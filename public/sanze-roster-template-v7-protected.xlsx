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土地清冊_匯入" sheetId="2" state="visible" r:id="rId2"/>
    <sheet xmlns:r="http://schemas.openxmlformats.org/officeDocument/2006/relationships" name="建物清冊_匯入" sheetId="3" state="visible" r:id="rId3"/>
    <sheet xmlns:r="http://schemas.openxmlformats.org/officeDocument/2006/relationships" name="整合紀錄_匯入" sheetId="4" state="visible" r:id="rId4"/>
    <sheet xmlns:r="http://schemas.openxmlformats.org/officeDocument/2006/relationships" name="分配條件_匯入" sheetId="5" state="visible" r:id="rId5"/>
    <sheet xmlns:r="http://schemas.openxmlformats.org/officeDocument/2006/relationships" name="欄位字典" sheetId="6" state="visible" r:id="rId6"/>
    <sheet xmlns:r="http://schemas.openxmlformats.org/officeDocument/2006/relationships" name="下拉選單" sheetId="7" state="visible" r:id="rId7"/>
  </sheets>
  <definedNames>
    <definedName name="_xlnm._FilterDatabase" localSheetId="1" hidden="1">'土地清冊_匯入'!$A$5:$AB$1005</definedName>
    <definedName name="_xlnm._FilterDatabase" localSheetId="2" hidden="1">'建物清冊_匯入'!$A$5:$AJ$1005</definedName>
    <definedName name="_xlnm._FilterDatabase" localSheetId="3" hidden="1">'整合紀錄_匯入'!$A$5:$U$1005</definedName>
    <definedName name="_xlnm._FilterDatabase" localSheetId="4" hidden="1">'分配條件_匯入'!$A$5:$U$1005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yyyy/mm/dd"/>
    <numFmt numFmtId="167" formatCode="0.0000"/>
  </numFmts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sz val="10"/>
    </font>
    <font>
      <name val="Microsoft JhengHei"/>
      <b val="1"/>
      <color rgb="00FFFFFF"/>
      <sz val="16"/>
    </font>
    <font>
      <name val="Microsoft JhengHei"/>
      <b val="1"/>
      <sz val="10"/>
    </font>
    <font>
      <name val="Microsoft Jheng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2" fillId="4" borderId="1" applyAlignment="1" applyProtection="1" pivotButton="0" quotePrefix="0" xfId="0">
      <alignment vertical="center"/>
      <protection locked="0" hidden="0"/>
    </xf>
    <xf numFmtId="2" fontId="2" fillId="4" borderId="1" applyAlignment="1" applyProtection="1" pivotButton="0" quotePrefix="0" xfId="0">
      <alignment vertical="center"/>
      <protection locked="0" hidden="0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3" fontId="2" fillId="4" borderId="1" applyAlignment="1" applyProtection="1" pivotButton="0" quotePrefix="0" xfId="0">
      <alignment vertical="center"/>
      <protection locked="0" hidden="0"/>
    </xf>
    <xf numFmtId="0" fontId="2" fillId="5" borderId="1" applyAlignment="1" pivotButton="0" quotePrefix="0" xfId="0">
      <alignment vertical="center"/>
    </xf>
    <xf numFmtId="2" fontId="2" fillId="5" borderId="1" applyAlignment="1" pivotButton="0" quotePrefix="0" xfId="0">
      <alignment vertical="center"/>
    </xf>
    <xf numFmtId="166" fontId="2" fillId="4" borderId="1" applyAlignment="1" applyProtection="1" pivotButton="0" quotePrefix="0" xfId="0">
      <alignment vertical="center"/>
      <protection locked="0" hidden="0"/>
    </xf>
    <xf numFmtId="164" fontId="2" fillId="4" borderId="1" applyAlignment="1" applyProtection="1" pivotButton="0" quotePrefix="0" xfId="0">
      <alignment vertical="center"/>
      <protection locked="0" hidden="0"/>
    </xf>
    <xf numFmtId="167" fontId="2" fillId="4" borderId="1" applyAlignment="1" applyProtection="1" pivotButton="0" quotePrefix="0" xfId="0">
      <alignment vertical="center"/>
      <protection locked="0" hidden="0"/>
    </xf>
    <xf numFmtId="167" fontId="2" fillId="5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sanze-roster-filler-tool</author>
  </authors>
  <commentList>
    <comment ref="A5" authorId="0" shapeId="0">
      <text>
        <t>跨表連動 key，建議格式 O001。</t>
      </text>
    </comment>
    <comment ref="F5" authorId="0" shapeId="0">
      <text>
        <t>僅現況地號明確有小段時填寫；重劃前小段不得填入此欄。</t>
      </text>
    </comment>
  </commentList>
</comments>
</file>

<file path=xl/comments/comment2.xml><?xml version="1.0" encoding="utf-8"?>
<comments xmlns="http://schemas.openxmlformats.org/spreadsheetml/2006/main">
  <authors>
    <author>sanze-roster-filler-tool</author>
  </authors>
  <commentList>
    <comment ref="A5" authorId="0" shapeId="0">
      <text>
        <t>建物清冊內部編號。</t>
      </text>
    </comment>
    <comment ref="F5" authorId="0" shapeId="0">
      <text>
        <t>僅現況建物標示明確有小段時填寫。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8" customWidth="1" min="2" max="2"/>
  </cols>
  <sheetData>
    <row r="1" ht="42" customHeight="1">
      <c r="A1" s="1" t="inlineStr">
        <is>
          <t>三策開發評估系統｜清冊匯入標準模板 v7</t>
        </is>
      </c>
      <c r="B1" s="2" t="inlineStr"/>
    </row>
    <row r="2">
      <c r="A2" s="3" t="inlineStr">
        <is>
          <t>三策專案管理顧問有限公司</t>
        </is>
      </c>
      <c r="B2" s="3" t="inlineStr"/>
    </row>
    <row r="3" ht="36" customHeight="1">
      <c r="A3" s="3" t="inlineStr">
        <is>
          <t>Sanze Project Management Consulting Co., Ltd.</t>
        </is>
      </c>
      <c r="B3" s="3" t="inlineStr"/>
    </row>
    <row r="4" ht="36" customHeight="1">
      <c r="A4" s="3" t="inlineStr">
        <is>
          <t>本模板為三策開發評估系統授權使用之標準清冊匯入格式。未經授權不得修改欄位結構、公式、驗證規則或轉作其他用途。</t>
        </is>
      </c>
      <c r="B4" s="3" t="inlineStr"/>
    </row>
    <row r="5">
      <c r="A5" s="3" t="inlineStr"/>
      <c r="B5" s="3" t="inlineStr"/>
    </row>
    <row r="6">
      <c r="A6" s="3" t="inlineStr">
        <is>
          <t>使用方式</t>
        </is>
      </c>
      <c r="B6" s="3" t="inlineStr">
        <is>
          <t>請由清冊產生器或三策系統匯出本檔。匯入前請確認必填欄位與公式檢核提示。</t>
        </is>
      </c>
    </row>
    <row r="7">
      <c r="A7" s="3" t="inlineStr">
        <is>
          <t>資料列</t>
        </is>
      </c>
      <c r="B7" s="3" t="inlineStr">
        <is>
          <t>各匯入 sheet 第 5 列為欄位名稱，第 6 列起為資料列。</t>
        </is>
      </c>
    </row>
    <row r="8">
      <c r="A8" s="3" t="inlineStr">
        <is>
          <t>公式欄</t>
        </is>
      </c>
      <c r="B8" s="3" t="inlineStr">
        <is>
          <t>灰底欄位為公式或系統輔助欄，請勿手動覆寫。</t>
        </is>
      </c>
    </row>
    <row r="9">
      <c r="A9" s="3" t="inlineStr">
        <is>
          <t>保護</t>
        </is>
      </c>
      <c r="B9" s="3" t="inlineStr">
        <is>
          <t>本檔於資料、格式、公式寫入完成後才套用 sheet protection；可輸入欄位保持 unlocked。</t>
        </is>
      </c>
    </row>
    <row r="10">
      <c r="A10" s="3" t="inlineStr">
        <is>
          <t>注意</t>
        </is>
      </c>
      <c r="B10" s="3" t="inlineStr">
        <is>
          <t>低信心、人工確認或來源不完整資料不可直接作正式資料。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2" customWidth="1" min="14" max="14"/>
    <col width="16" customWidth="1" min="15" max="15"/>
    <col width="13" customWidth="1" min="16" max="16"/>
    <col width="12" customWidth="1" min="17" max="17"/>
    <col width="13" customWidth="1" min="18" max="18"/>
    <col width="13" customWidth="1" min="19" max="19"/>
    <col width="18" customWidth="1" min="20" max="20"/>
    <col width="12" customWidth="1" min="21" max="21"/>
    <col width="13" customWidth="1" min="22" max="22"/>
    <col width="13" customWidth="1" min="23" max="23"/>
    <col width="16" customWidth="1" min="24" max="24"/>
    <col width="12" customWidth="1" min="25" max="25"/>
    <col width="28" customWidth="1" min="26" max="26"/>
    <col width="15" customWidth="1" min="27" max="27"/>
    <col width="17" customWidth="1" min="28" max="28"/>
  </cols>
  <sheetData>
    <row r="1" ht="21.95" customHeight="1">
      <c r="A1" s="4" t="inlineStr">
        <is>
          <t>三策專案管理顧問有限公司</t>
        </is>
      </c>
    </row>
    <row r="2" ht="21.95" customHeight="1">
      <c r="A2" s="3" t="inlineStr">
        <is>
          <t>Sanze Project Management Consulting Co., Ltd.</t>
        </is>
      </c>
    </row>
    <row r="3" ht="38.1" customHeight="1">
      <c r="A3" s="3" t="inlineStr">
        <is>
          <t>本模板為三策開發評估系統授權使用之標準清冊匯入格式。未經授權不得修改欄位結構、公式、驗證規則或轉作其他用途。</t>
        </is>
      </c>
    </row>
    <row r="4" ht="21.95" customHeight="1">
      <c r="A4" s="5" t="inlineStr">
        <is>
          <t>必填</t>
        </is>
      </c>
      <c r="B4" s="5" t="inlineStr">
        <is>
          <t>必填</t>
        </is>
      </c>
      <c r="C4" s="5" t="inlineStr">
        <is>
          <t>必填</t>
        </is>
      </c>
      <c r="D4" s="5" t="inlineStr">
        <is>
          <t>必填</t>
        </is>
      </c>
      <c r="E4" s="5" t="inlineStr">
        <is>
          <t>必填</t>
        </is>
      </c>
      <c r="F4" s="5" t="inlineStr">
        <is>
          <t>選填</t>
        </is>
      </c>
      <c r="G4" s="5" t="inlineStr">
        <is>
          <t>必填</t>
        </is>
      </c>
      <c r="H4" s="5" t="inlineStr">
        <is>
          <t>必填</t>
        </is>
      </c>
      <c r="I4" s="5" t="inlineStr">
        <is>
          <t>公式</t>
        </is>
      </c>
      <c r="J4" s="5" t="inlineStr">
        <is>
          <t>必填</t>
        </is>
      </c>
      <c r="K4" s="5" t="inlineStr">
        <is>
          <t>必填</t>
        </is>
      </c>
      <c r="L4" s="5" t="inlineStr">
        <is>
          <t>公式</t>
        </is>
      </c>
      <c r="M4" s="5" t="inlineStr">
        <is>
          <t>公式</t>
        </is>
      </c>
      <c r="N4" s="5" t="inlineStr">
        <is>
          <t>建議</t>
        </is>
      </c>
      <c r="O4" s="5" t="inlineStr">
        <is>
          <t>選填</t>
        </is>
      </c>
      <c r="P4" s="5" t="inlineStr">
        <is>
          <t>選填</t>
        </is>
      </c>
      <c r="Q4" s="5" t="inlineStr">
        <is>
          <t>建議</t>
        </is>
      </c>
      <c r="R4" s="5" t="inlineStr">
        <is>
          <t>建議</t>
        </is>
      </c>
      <c r="S4" s="5" t="inlineStr">
        <is>
          <t>建議</t>
        </is>
      </c>
      <c r="T4" s="5" t="inlineStr">
        <is>
          <t>選填</t>
        </is>
      </c>
      <c r="U4" s="5" t="inlineStr">
        <is>
          <t>建議</t>
        </is>
      </c>
      <c r="V4" s="5" t="inlineStr">
        <is>
          <t>建議</t>
        </is>
      </c>
      <c r="W4" s="5" t="inlineStr">
        <is>
          <t>建議</t>
        </is>
      </c>
      <c r="X4" s="5" t="inlineStr">
        <is>
          <t>選填</t>
        </is>
      </c>
      <c r="Y4" s="5" t="inlineStr">
        <is>
          <t>建議</t>
        </is>
      </c>
      <c r="Z4" s="5" t="inlineStr">
        <is>
          <t>選填</t>
        </is>
      </c>
      <c r="AA4" s="5" t="inlineStr">
        <is>
          <t>公式</t>
        </is>
      </c>
      <c r="AB4" s="5" t="inlineStr">
        <is>
          <t>公式</t>
        </is>
      </c>
    </row>
    <row r="5" ht="33.95" customHeight="1">
      <c r="A5" s="6" t="inlineStr">
        <is>
          <t>地主編號</t>
        </is>
      </c>
      <c r="B5" s="6" t="inlineStr">
        <is>
          <t>地主姓名</t>
        </is>
      </c>
      <c r="C5" s="6" t="inlineStr">
        <is>
          <t>縣市</t>
        </is>
      </c>
      <c r="D5" s="6" t="inlineStr">
        <is>
          <t>行政區</t>
        </is>
      </c>
      <c r="E5" s="6" t="inlineStr">
        <is>
          <t>段別</t>
        </is>
      </c>
      <c r="F5" s="6" t="inlineStr">
        <is>
          <t>小段</t>
        </is>
      </c>
      <c r="G5" s="6" t="inlineStr">
        <is>
          <t>地號</t>
        </is>
      </c>
      <c r="H5" s="6" t="inlineStr">
        <is>
          <t>土地面積㎡</t>
        </is>
      </c>
      <c r="I5" s="6" t="inlineStr">
        <is>
          <t>土地面積坪</t>
        </is>
      </c>
      <c r="J5" s="6" t="inlineStr">
        <is>
          <t>持分分子</t>
        </is>
      </c>
      <c r="K5" s="6" t="inlineStr">
        <is>
          <t>持分分母</t>
        </is>
      </c>
      <c r="L5" s="6" t="inlineStr">
        <is>
          <t>持分比例</t>
        </is>
      </c>
      <c r="M5" s="6" t="inlineStr">
        <is>
          <t>持分面積坪</t>
        </is>
      </c>
      <c r="N5" s="6" t="inlineStr">
        <is>
          <t>使用分區</t>
        </is>
      </c>
      <c r="O5" s="6" t="inlineStr">
        <is>
          <t>公告現值（元/㎡）</t>
        </is>
      </c>
      <c r="P5" s="6" t="inlineStr">
        <is>
          <t>公告地價</t>
        </is>
      </c>
      <c r="Q5" s="6" t="inlineStr">
        <is>
          <t>抵押設定</t>
        </is>
      </c>
      <c r="R5" s="6" t="inlineStr">
        <is>
          <t>查封限制</t>
        </is>
      </c>
      <c r="S5" s="6" t="inlineStr">
        <is>
          <t>繼承狀態</t>
        </is>
      </c>
      <c r="T5" s="6" t="inlineStr">
        <is>
          <t>聯絡方式</t>
        </is>
      </c>
      <c r="U5" s="6" t="inlineStr">
        <is>
          <t>聯絡狀態</t>
        </is>
      </c>
      <c r="V5" s="6" t="inlineStr">
        <is>
          <t>同意狀態</t>
        </is>
      </c>
      <c r="W5" s="6" t="inlineStr">
        <is>
          <t>簽約狀態</t>
        </is>
      </c>
      <c r="X5" s="6" t="inlineStr">
        <is>
          <t>整合負責人</t>
        </is>
      </c>
      <c r="Y5" s="6" t="inlineStr">
        <is>
          <t>風險等級</t>
        </is>
      </c>
      <c r="Z5" s="6" t="inlineStr">
        <is>
          <t>特殊備註</t>
        </is>
      </c>
      <c r="AA5" s="6" t="inlineStr">
        <is>
          <t>公式檢核提示</t>
        </is>
      </c>
      <c r="AB5" s="6" t="inlineStr">
        <is>
          <t>地主地號查找鍵</t>
        </is>
      </c>
    </row>
    <row r="6" ht="24" customHeight="1">
      <c r="A6" s="7" t="n"/>
      <c r="B6" s="7" t="n"/>
      <c r="C6" s="7" t="n"/>
      <c r="D6" s="7" t="n"/>
      <c r="E6" s="7" t="n"/>
      <c r="F6" s="7" t="n"/>
      <c r="G6" s="7" t="n"/>
      <c r="H6" s="8" t="n"/>
      <c r="I6" s="9">
        <f>IF(H6="","",ROUND(H6/3.305785,3))</f>
        <v/>
      </c>
      <c r="J6" s="7" t="n"/>
      <c r="K6" s="7" t="n"/>
      <c r="L6" s="10">
        <f>IF(OR(J6="",K6="",K6=0),"",ROUND(J6/K6,6))</f>
        <v/>
      </c>
      <c r="M6" s="9">
        <f>IF(OR(H6="",J6="",K6="",K6=0),"",ROUND(H6*J6/K6/3.305785,3))</f>
        <v/>
      </c>
      <c r="N6" s="7" t="n"/>
      <c r="O6" s="11" t="n"/>
      <c r="P6" s="11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12">
        <f>IF(A6="","",IF(OR(B6="",C6="",D6="",E6="",G6="",H6="",J6="",K6=""),"必填欄位未完整",""))</f>
        <v/>
      </c>
      <c r="AB6" s="12">
        <f>IF(A6="","",A6&amp;"|"&amp;G6)</f>
        <v/>
      </c>
    </row>
    <row r="7" ht="24" customHeight="1">
      <c r="A7" s="7" t="n"/>
      <c r="B7" s="7" t="n"/>
      <c r="C7" s="7" t="n"/>
      <c r="D7" s="7" t="n"/>
      <c r="E7" s="7" t="n"/>
      <c r="F7" s="7" t="n"/>
      <c r="G7" s="7" t="n"/>
      <c r="H7" s="8" t="n"/>
      <c r="I7" s="9">
        <f>IF(H7="","",ROUND(H7/3.305785,3))</f>
        <v/>
      </c>
      <c r="J7" s="7" t="n"/>
      <c r="K7" s="7" t="n"/>
      <c r="L7" s="10">
        <f>IF(OR(J7="",K7="",K7=0),"",ROUND(J7/K7,6))</f>
        <v/>
      </c>
      <c r="M7" s="9">
        <f>IF(OR(H7="",J7="",K7="",K7=0),"",ROUND(H7*J7/K7/3.305785,3))</f>
        <v/>
      </c>
      <c r="N7" s="7" t="n"/>
      <c r="O7" s="11" t="n"/>
      <c r="P7" s="11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12">
        <f>IF(A7="","",IF(OR(B7="",C7="",D7="",E7="",G7="",H7="",J7="",K7=""),"必填欄位未完整",""))</f>
        <v/>
      </c>
      <c r="AB7" s="12">
        <f>IF(A7="","",A7&amp;"|"&amp;G7)</f>
        <v/>
      </c>
    </row>
    <row r="8" ht="24" customHeight="1">
      <c r="A8" s="7" t="n"/>
      <c r="B8" s="7" t="n"/>
      <c r="C8" s="7" t="n"/>
      <c r="D8" s="7" t="n"/>
      <c r="E8" s="7" t="n"/>
      <c r="F8" s="7" t="n"/>
      <c r="G8" s="7" t="n"/>
      <c r="H8" s="8" t="n"/>
      <c r="I8" s="9">
        <f>IF(H8="","",ROUND(H8/3.305785,3))</f>
        <v/>
      </c>
      <c r="J8" s="7" t="n"/>
      <c r="K8" s="7" t="n"/>
      <c r="L8" s="10">
        <f>IF(OR(J8="",K8="",K8=0),"",ROUND(J8/K8,6))</f>
        <v/>
      </c>
      <c r="M8" s="9">
        <f>IF(OR(H8="",J8="",K8="",K8=0),"",ROUND(H8*J8/K8/3.305785,3))</f>
        <v/>
      </c>
      <c r="N8" s="7" t="n"/>
      <c r="O8" s="11" t="n"/>
      <c r="P8" s="11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12">
        <f>IF(A8="","",IF(OR(B8="",C8="",D8="",E8="",G8="",H8="",J8="",K8=""),"必填欄位未完整",""))</f>
        <v/>
      </c>
      <c r="AB8" s="12">
        <f>IF(A8="","",A8&amp;"|"&amp;G8)</f>
        <v/>
      </c>
    </row>
    <row r="9" ht="24" customHeight="1">
      <c r="A9" s="7" t="n"/>
      <c r="B9" s="7" t="n"/>
      <c r="C9" s="7" t="n"/>
      <c r="D9" s="7" t="n"/>
      <c r="E9" s="7" t="n"/>
      <c r="F9" s="7" t="n"/>
      <c r="G9" s="7" t="n"/>
      <c r="H9" s="8" t="n"/>
      <c r="I9" s="9">
        <f>IF(H9="","",ROUND(H9/3.305785,3))</f>
        <v/>
      </c>
      <c r="J9" s="7" t="n"/>
      <c r="K9" s="7" t="n"/>
      <c r="L9" s="10">
        <f>IF(OR(J9="",K9="",K9=0),"",ROUND(J9/K9,6))</f>
        <v/>
      </c>
      <c r="M9" s="9">
        <f>IF(OR(H9="",J9="",K9="",K9=0),"",ROUND(H9*J9/K9/3.305785,3))</f>
        <v/>
      </c>
      <c r="N9" s="7" t="n"/>
      <c r="O9" s="11" t="n"/>
      <c r="P9" s="11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12">
        <f>IF(A9="","",IF(OR(B9="",C9="",D9="",E9="",G9="",H9="",J9="",K9=""),"必填欄位未完整",""))</f>
        <v/>
      </c>
      <c r="AB9" s="12">
        <f>IF(A9="","",A9&amp;"|"&amp;G9)</f>
        <v/>
      </c>
    </row>
    <row r="10" ht="24" customHeight="1">
      <c r="A10" s="7" t="n"/>
      <c r="B10" s="7" t="n"/>
      <c r="C10" s="7" t="n"/>
      <c r="D10" s="7" t="n"/>
      <c r="E10" s="7" t="n"/>
      <c r="F10" s="7" t="n"/>
      <c r="G10" s="7" t="n"/>
      <c r="H10" s="8" t="n"/>
      <c r="I10" s="9">
        <f>IF(H10="","",ROUND(H10/3.305785,3))</f>
        <v/>
      </c>
      <c r="J10" s="7" t="n"/>
      <c r="K10" s="7" t="n"/>
      <c r="L10" s="10">
        <f>IF(OR(J10="",K10="",K10=0),"",ROUND(J10/K10,6))</f>
        <v/>
      </c>
      <c r="M10" s="9">
        <f>IF(OR(H10="",J10="",K10="",K10=0),"",ROUND(H10*J10/K10/3.305785,3))</f>
        <v/>
      </c>
      <c r="N10" s="7" t="n"/>
      <c r="O10" s="11" t="n"/>
      <c r="P10" s="11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12">
        <f>IF(A10="","",IF(OR(B10="",C10="",D10="",E10="",G10="",H10="",J10="",K10=""),"必填欄位未完整",""))</f>
        <v/>
      </c>
      <c r="AB10" s="12">
        <f>IF(A10="","",A10&amp;"|"&amp;G10)</f>
        <v/>
      </c>
    </row>
    <row r="11" ht="24" customHeight="1">
      <c r="A11" s="7" t="n"/>
      <c r="B11" s="7" t="n"/>
      <c r="C11" s="7" t="n"/>
      <c r="D11" s="7" t="n"/>
      <c r="E11" s="7" t="n"/>
      <c r="F11" s="7" t="n"/>
      <c r="G11" s="7" t="n"/>
      <c r="H11" s="8" t="n"/>
      <c r="I11" s="9">
        <f>IF(H11="","",ROUND(H11/3.305785,3))</f>
        <v/>
      </c>
      <c r="J11" s="7" t="n"/>
      <c r="K11" s="7" t="n"/>
      <c r="L11" s="10">
        <f>IF(OR(J11="",K11="",K11=0),"",ROUND(J11/K11,6))</f>
        <v/>
      </c>
      <c r="M11" s="9">
        <f>IF(OR(H11="",J11="",K11="",K11=0),"",ROUND(H11*J11/K11/3.305785,3))</f>
        <v/>
      </c>
      <c r="N11" s="7" t="n"/>
      <c r="O11" s="11" t="n"/>
      <c r="P11" s="11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12">
        <f>IF(A11="","",IF(OR(B11="",C11="",D11="",E11="",G11="",H11="",J11="",K11=""),"必填欄位未完整",""))</f>
        <v/>
      </c>
      <c r="AB11" s="12">
        <f>IF(A11="","",A11&amp;"|"&amp;G11)</f>
        <v/>
      </c>
    </row>
    <row r="12" ht="24" customHeight="1">
      <c r="A12" s="7" t="n"/>
      <c r="B12" s="7" t="n"/>
      <c r="C12" s="7" t="n"/>
      <c r="D12" s="7" t="n"/>
      <c r="E12" s="7" t="n"/>
      <c r="F12" s="7" t="n"/>
      <c r="G12" s="7" t="n"/>
      <c r="H12" s="8" t="n"/>
      <c r="I12" s="9">
        <f>IF(H12="","",ROUND(H12/3.305785,3))</f>
        <v/>
      </c>
      <c r="J12" s="7" t="n"/>
      <c r="K12" s="7" t="n"/>
      <c r="L12" s="10">
        <f>IF(OR(J12="",K12="",K12=0),"",ROUND(J12/K12,6))</f>
        <v/>
      </c>
      <c r="M12" s="9">
        <f>IF(OR(H12="",J12="",K12="",K12=0),"",ROUND(H12*J12/K12/3.305785,3))</f>
        <v/>
      </c>
      <c r="N12" s="7" t="n"/>
      <c r="O12" s="11" t="n"/>
      <c r="P12" s="11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12">
        <f>IF(A12="","",IF(OR(B12="",C12="",D12="",E12="",G12="",H12="",J12="",K12=""),"必填欄位未完整",""))</f>
        <v/>
      </c>
      <c r="AB12" s="12">
        <f>IF(A12="","",A12&amp;"|"&amp;G12)</f>
        <v/>
      </c>
    </row>
    <row r="13" ht="24" customHeight="1">
      <c r="A13" s="7" t="n"/>
      <c r="B13" s="7" t="n"/>
      <c r="C13" s="7" t="n"/>
      <c r="D13" s="7" t="n"/>
      <c r="E13" s="7" t="n"/>
      <c r="F13" s="7" t="n"/>
      <c r="G13" s="7" t="n"/>
      <c r="H13" s="8" t="n"/>
      <c r="I13" s="9">
        <f>IF(H13="","",ROUND(H13/3.305785,3))</f>
        <v/>
      </c>
      <c r="J13" s="7" t="n"/>
      <c r="K13" s="7" t="n"/>
      <c r="L13" s="10">
        <f>IF(OR(J13="",K13="",K13=0),"",ROUND(J13/K13,6))</f>
        <v/>
      </c>
      <c r="M13" s="9">
        <f>IF(OR(H13="",J13="",K13="",K13=0),"",ROUND(H13*J13/K13/3.305785,3))</f>
        <v/>
      </c>
      <c r="N13" s="7" t="n"/>
      <c r="O13" s="11" t="n"/>
      <c r="P13" s="11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12">
        <f>IF(A13="","",IF(OR(B13="",C13="",D13="",E13="",G13="",H13="",J13="",K13=""),"必填欄位未完整",""))</f>
        <v/>
      </c>
      <c r="AB13" s="12">
        <f>IF(A13="","",A13&amp;"|"&amp;G13)</f>
        <v/>
      </c>
    </row>
    <row r="14" ht="24" customHeight="1">
      <c r="A14" s="7" t="n"/>
      <c r="B14" s="7" t="n"/>
      <c r="C14" s="7" t="n"/>
      <c r="D14" s="7" t="n"/>
      <c r="E14" s="7" t="n"/>
      <c r="F14" s="7" t="n"/>
      <c r="G14" s="7" t="n"/>
      <c r="H14" s="8" t="n"/>
      <c r="I14" s="9">
        <f>IF(H14="","",ROUND(H14/3.305785,3))</f>
        <v/>
      </c>
      <c r="J14" s="7" t="n"/>
      <c r="K14" s="7" t="n"/>
      <c r="L14" s="10">
        <f>IF(OR(J14="",K14="",K14=0),"",ROUND(J14/K14,6))</f>
        <v/>
      </c>
      <c r="M14" s="9">
        <f>IF(OR(H14="",J14="",K14="",K14=0),"",ROUND(H14*J14/K14/3.305785,3))</f>
        <v/>
      </c>
      <c r="N14" s="7" t="n"/>
      <c r="O14" s="11" t="n"/>
      <c r="P14" s="11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12">
        <f>IF(A14="","",IF(OR(B14="",C14="",D14="",E14="",G14="",H14="",J14="",K14=""),"必填欄位未完整",""))</f>
        <v/>
      </c>
      <c r="AB14" s="12">
        <f>IF(A14="","",A14&amp;"|"&amp;G14)</f>
        <v/>
      </c>
    </row>
    <row r="15" ht="24" customHeight="1">
      <c r="A15" s="7" t="n"/>
      <c r="B15" s="7" t="n"/>
      <c r="C15" s="7" t="n"/>
      <c r="D15" s="7" t="n"/>
      <c r="E15" s="7" t="n"/>
      <c r="F15" s="7" t="n"/>
      <c r="G15" s="7" t="n"/>
      <c r="H15" s="8" t="n"/>
      <c r="I15" s="9">
        <f>IF(H15="","",ROUND(H15/3.305785,3))</f>
        <v/>
      </c>
      <c r="J15" s="7" t="n"/>
      <c r="K15" s="7" t="n"/>
      <c r="L15" s="10">
        <f>IF(OR(J15="",K15="",K15=0),"",ROUND(J15/K15,6))</f>
        <v/>
      </c>
      <c r="M15" s="9">
        <f>IF(OR(H15="",J15="",K15="",K15=0),"",ROUND(H15*J15/K15/3.305785,3))</f>
        <v/>
      </c>
      <c r="N15" s="7" t="n"/>
      <c r="O15" s="11" t="n"/>
      <c r="P15" s="11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12">
        <f>IF(A15="","",IF(OR(B15="",C15="",D15="",E15="",G15="",H15="",J15="",K15=""),"必填欄位未完整",""))</f>
        <v/>
      </c>
      <c r="AB15" s="12">
        <f>IF(A15="","",A15&amp;"|"&amp;G15)</f>
        <v/>
      </c>
    </row>
    <row r="16" ht="24" customHeight="1">
      <c r="A16" s="7" t="n"/>
      <c r="B16" s="7" t="n"/>
      <c r="C16" s="7" t="n"/>
      <c r="D16" s="7" t="n"/>
      <c r="E16" s="7" t="n"/>
      <c r="F16" s="7" t="n"/>
      <c r="G16" s="7" t="n"/>
      <c r="H16" s="8" t="n"/>
      <c r="I16" s="9">
        <f>IF(H16="","",ROUND(H16/3.305785,3))</f>
        <v/>
      </c>
      <c r="J16" s="7" t="n"/>
      <c r="K16" s="7" t="n"/>
      <c r="L16" s="10">
        <f>IF(OR(J16="",K16="",K16=0),"",ROUND(J16/K16,6))</f>
        <v/>
      </c>
      <c r="M16" s="9">
        <f>IF(OR(H16="",J16="",K16="",K16=0),"",ROUND(H16*J16/K16/3.305785,3))</f>
        <v/>
      </c>
      <c r="N16" s="7" t="n"/>
      <c r="O16" s="11" t="n"/>
      <c r="P16" s="11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12">
        <f>IF(A16="","",IF(OR(B16="",C16="",D16="",E16="",G16="",H16="",J16="",K16=""),"必填欄位未完整",""))</f>
        <v/>
      </c>
      <c r="AB16" s="12">
        <f>IF(A16="","",A16&amp;"|"&amp;G16)</f>
        <v/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8" t="n"/>
      <c r="I17" s="9">
        <f>IF(H17="","",ROUND(H17/3.305785,3))</f>
        <v/>
      </c>
      <c r="J17" s="7" t="n"/>
      <c r="K17" s="7" t="n"/>
      <c r="L17" s="10">
        <f>IF(OR(J17="",K17="",K17=0),"",ROUND(J17/K17,6))</f>
        <v/>
      </c>
      <c r="M17" s="9">
        <f>IF(OR(H17="",J17="",K17="",K17=0),"",ROUND(H17*J17/K17/3.305785,3))</f>
        <v/>
      </c>
      <c r="N17" s="7" t="n"/>
      <c r="O17" s="11" t="n"/>
      <c r="P17" s="11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12">
        <f>IF(A17="","",IF(OR(B17="",C17="",D17="",E17="",G17="",H17="",J17="",K17=""),"必填欄位未完整",""))</f>
        <v/>
      </c>
      <c r="AB17" s="12">
        <f>IF(A17="","",A17&amp;"|"&amp;G17)</f>
        <v/>
      </c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8" t="n"/>
      <c r="I18" s="9">
        <f>IF(H18="","",ROUND(H18/3.305785,3))</f>
        <v/>
      </c>
      <c r="J18" s="7" t="n"/>
      <c r="K18" s="7" t="n"/>
      <c r="L18" s="10">
        <f>IF(OR(J18="",K18="",K18=0),"",ROUND(J18/K18,6))</f>
        <v/>
      </c>
      <c r="M18" s="9">
        <f>IF(OR(H18="",J18="",K18="",K18=0),"",ROUND(H18*J18/K18/3.305785,3))</f>
        <v/>
      </c>
      <c r="N18" s="7" t="n"/>
      <c r="O18" s="11" t="n"/>
      <c r="P18" s="11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12">
        <f>IF(A18="","",IF(OR(B18="",C18="",D18="",E18="",G18="",H18="",J18="",K18=""),"必填欄位未完整",""))</f>
        <v/>
      </c>
      <c r="AB18" s="12">
        <f>IF(A18="","",A18&amp;"|"&amp;G18)</f>
        <v/>
      </c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8" t="n"/>
      <c r="I19" s="9">
        <f>IF(H19="","",ROUND(H19/3.305785,3))</f>
        <v/>
      </c>
      <c r="J19" s="7" t="n"/>
      <c r="K19" s="7" t="n"/>
      <c r="L19" s="10">
        <f>IF(OR(J19="",K19="",K19=0),"",ROUND(J19/K19,6))</f>
        <v/>
      </c>
      <c r="M19" s="9">
        <f>IF(OR(H19="",J19="",K19="",K19=0),"",ROUND(H19*J19/K19/3.305785,3))</f>
        <v/>
      </c>
      <c r="N19" s="7" t="n"/>
      <c r="O19" s="11" t="n"/>
      <c r="P19" s="11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12">
        <f>IF(A19="","",IF(OR(B19="",C19="",D19="",E19="",G19="",H19="",J19="",K19=""),"必填欄位未完整",""))</f>
        <v/>
      </c>
      <c r="AB19" s="12">
        <f>IF(A19="","",A19&amp;"|"&amp;G19)</f>
        <v/>
      </c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8" t="n"/>
      <c r="I20" s="9">
        <f>IF(H20="","",ROUND(H20/3.305785,3))</f>
        <v/>
      </c>
      <c r="J20" s="7" t="n"/>
      <c r="K20" s="7" t="n"/>
      <c r="L20" s="10">
        <f>IF(OR(J20="",K20="",K20=0),"",ROUND(J20/K20,6))</f>
        <v/>
      </c>
      <c r="M20" s="9">
        <f>IF(OR(H20="",J20="",K20="",K20=0),"",ROUND(H20*J20/K20/3.305785,3))</f>
        <v/>
      </c>
      <c r="N20" s="7" t="n"/>
      <c r="O20" s="11" t="n"/>
      <c r="P20" s="11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12">
        <f>IF(A20="","",IF(OR(B20="",C20="",D20="",E20="",G20="",H20="",J20="",K20=""),"必填欄位未完整",""))</f>
        <v/>
      </c>
      <c r="AB20" s="12">
        <f>IF(A20="","",A20&amp;"|"&amp;G20)</f>
        <v/>
      </c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8" t="n"/>
      <c r="I21" s="9">
        <f>IF(H21="","",ROUND(H21/3.305785,3))</f>
        <v/>
      </c>
      <c r="J21" s="7" t="n"/>
      <c r="K21" s="7" t="n"/>
      <c r="L21" s="10">
        <f>IF(OR(J21="",K21="",K21=0),"",ROUND(J21/K21,6))</f>
        <v/>
      </c>
      <c r="M21" s="9">
        <f>IF(OR(H21="",J21="",K21="",K21=0),"",ROUND(H21*J21/K21/3.305785,3))</f>
        <v/>
      </c>
      <c r="N21" s="7" t="n"/>
      <c r="O21" s="11" t="n"/>
      <c r="P21" s="11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12">
        <f>IF(A21="","",IF(OR(B21="",C21="",D21="",E21="",G21="",H21="",J21="",K21=""),"必填欄位未完整",""))</f>
        <v/>
      </c>
      <c r="AB21" s="12">
        <f>IF(A21="","",A21&amp;"|"&amp;G21)</f>
        <v/>
      </c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8" t="n"/>
      <c r="I22" s="9">
        <f>IF(H22="","",ROUND(H22/3.305785,3))</f>
        <v/>
      </c>
      <c r="J22" s="7" t="n"/>
      <c r="K22" s="7" t="n"/>
      <c r="L22" s="10">
        <f>IF(OR(J22="",K22="",K22=0),"",ROUND(J22/K22,6))</f>
        <v/>
      </c>
      <c r="M22" s="9">
        <f>IF(OR(H22="",J22="",K22="",K22=0),"",ROUND(H22*J22/K22/3.305785,3))</f>
        <v/>
      </c>
      <c r="N22" s="7" t="n"/>
      <c r="O22" s="11" t="n"/>
      <c r="P22" s="11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12">
        <f>IF(A22="","",IF(OR(B22="",C22="",D22="",E22="",G22="",H22="",J22="",K22=""),"必填欄位未完整",""))</f>
        <v/>
      </c>
      <c r="AB22" s="12">
        <f>IF(A22="","",A22&amp;"|"&amp;G22)</f>
        <v/>
      </c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8" t="n"/>
      <c r="I23" s="9">
        <f>IF(H23="","",ROUND(H23/3.305785,3))</f>
        <v/>
      </c>
      <c r="J23" s="7" t="n"/>
      <c r="K23" s="7" t="n"/>
      <c r="L23" s="10">
        <f>IF(OR(J23="",K23="",K23=0),"",ROUND(J23/K23,6))</f>
        <v/>
      </c>
      <c r="M23" s="9">
        <f>IF(OR(H23="",J23="",K23="",K23=0),"",ROUND(H23*J23/K23/3.305785,3))</f>
        <v/>
      </c>
      <c r="N23" s="7" t="n"/>
      <c r="O23" s="11" t="n"/>
      <c r="P23" s="11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12">
        <f>IF(A23="","",IF(OR(B23="",C23="",D23="",E23="",G23="",H23="",J23="",K23=""),"必填欄位未完整",""))</f>
        <v/>
      </c>
      <c r="AB23" s="12">
        <f>IF(A23="","",A23&amp;"|"&amp;G23)</f>
        <v/>
      </c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8" t="n"/>
      <c r="I24" s="9">
        <f>IF(H24="","",ROUND(H24/3.305785,3))</f>
        <v/>
      </c>
      <c r="J24" s="7" t="n"/>
      <c r="K24" s="7" t="n"/>
      <c r="L24" s="10">
        <f>IF(OR(J24="",K24="",K24=0),"",ROUND(J24/K24,6))</f>
        <v/>
      </c>
      <c r="M24" s="9">
        <f>IF(OR(H24="",J24="",K24="",K24=0),"",ROUND(H24*J24/K24/3.305785,3))</f>
        <v/>
      </c>
      <c r="N24" s="7" t="n"/>
      <c r="O24" s="11" t="n"/>
      <c r="P24" s="11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12">
        <f>IF(A24="","",IF(OR(B24="",C24="",D24="",E24="",G24="",H24="",J24="",K24=""),"必填欄位未完整",""))</f>
        <v/>
      </c>
      <c r="AB24" s="12">
        <f>IF(A24="","",A24&amp;"|"&amp;G24)</f>
        <v/>
      </c>
    </row>
    <row r="25" ht="24" customHeight="1">
      <c r="A25" s="7" t="n"/>
      <c r="B25" s="7" t="n"/>
      <c r="C25" s="7" t="n"/>
      <c r="D25" s="7" t="n"/>
      <c r="E25" s="7" t="n"/>
      <c r="F25" s="7" t="n"/>
      <c r="G25" s="7" t="n"/>
      <c r="H25" s="8" t="n"/>
      <c r="I25" s="9">
        <f>IF(H25="","",ROUND(H25/3.305785,3))</f>
        <v/>
      </c>
      <c r="J25" s="7" t="n"/>
      <c r="K25" s="7" t="n"/>
      <c r="L25" s="10">
        <f>IF(OR(J25="",K25="",K25=0),"",ROUND(J25/K25,6))</f>
        <v/>
      </c>
      <c r="M25" s="9">
        <f>IF(OR(H25="",J25="",K25="",K25=0),"",ROUND(H25*J25/K25/3.305785,3))</f>
        <v/>
      </c>
      <c r="N25" s="7" t="n"/>
      <c r="O25" s="11" t="n"/>
      <c r="P25" s="11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12">
        <f>IF(A25="","",IF(OR(B25="",C25="",D25="",E25="",G25="",H25="",J25="",K25=""),"必填欄位未完整",""))</f>
        <v/>
      </c>
      <c r="AB25" s="12">
        <f>IF(A25="","",A25&amp;"|"&amp;G25)</f>
        <v/>
      </c>
    </row>
    <row r="26" ht="24" customHeight="1">
      <c r="A26" s="7" t="n"/>
      <c r="B26" s="7" t="n"/>
      <c r="C26" s="7" t="n"/>
      <c r="D26" s="7" t="n"/>
      <c r="E26" s="7" t="n"/>
      <c r="F26" s="7" t="n"/>
      <c r="G26" s="7" t="n"/>
      <c r="H26" s="8" t="n"/>
      <c r="I26" s="9">
        <f>IF(H26="","",ROUND(H26/3.305785,3))</f>
        <v/>
      </c>
      <c r="J26" s="7" t="n"/>
      <c r="K26" s="7" t="n"/>
      <c r="L26" s="10">
        <f>IF(OR(J26="",K26="",K26=0),"",ROUND(J26/K26,6))</f>
        <v/>
      </c>
      <c r="M26" s="9">
        <f>IF(OR(H26="",J26="",K26="",K26=0),"",ROUND(H26*J26/K26/3.305785,3))</f>
        <v/>
      </c>
      <c r="N26" s="7" t="n"/>
      <c r="O26" s="11" t="n"/>
      <c r="P26" s="11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12">
        <f>IF(A26="","",IF(OR(B26="",C26="",D26="",E26="",G26="",H26="",J26="",K26=""),"必填欄位未完整",""))</f>
        <v/>
      </c>
      <c r="AB26" s="12">
        <f>IF(A26="","",A26&amp;"|"&amp;G26)</f>
        <v/>
      </c>
    </row>
    <row r="27" ht="24" customHeight="1">
      <c r="A27" s="7" t="n"/>
      <c r="B27" s="7" t="n"/>
      <c r="C27" s="7" t="n"/>
      <c r="D27" s="7" t="n"/>
      <c r="E27" s="7" t="n"/>
      <c r="F27" s="7" t="n"/>
      <c r="G27" s="7" t="n"/>
      <c r="H27" s="8" t="n"/>
      <c r="I27" s="9">
        <f>IF(H27="","",ROUND(H27/3.305785,3))</f>
        <v/>
      </c>
      <c r="J27" s="7" t="n"/>
      <c r="K27" s="7" t="n"/>
      <c r="L27" s="10">
        <f>IF(OR(J27="",K27="",K27=0),"",ROUND(J27/K27,6))</f>
        <v/>
      </c>
      <c r="M27" s="9">
        <f>IF(OR(H27="",J27="",K27="",K27=0),"",ROUND(H27*J27/K27/3.305785,3))</f>
        <v/>
      </c>
      <c r="N27" s="7" t="n"/>
      <c r="O27" s="11" t="n"/>
      <c r="P27" s="11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12">
        <f>IF(A27="","",IF(OR(B27="",C27="",D27="",E27="",G27="",H27="",J27="",K27=""),"必填欄位未完整",""))</f>
        <v/>
      </c>
      <c r="AB27" s="12">
        <f>IF(A27="","",A27&amp;"|"&amp;G27)</f>
        <v/>
      </c>
    </row>
    <row r="28" ht="24" customHeight="1">
      <c r="A28" s="7" t="n"/>
      <c r="B28" s="7" t="n"/>
      <c r="C28" s="7" t="n"/>
      <c r="D28" s="7" t="n"/>
      <c r="E28" s="7" t="n"/>
      <c r="F28" s="7" t="n"/>
      <c r="G28" s="7" t="n"/>
      <c r="H28" s="8" t="n"/>
      <c r="I28" s="9">
        <f>IF(H28="","",ROUND(H28/3.305785,3))</f>
        <v/>
      </c>
      <c r="J28" s="7" t="n"/>
      <c r="K28" s="7" t="n"/>
      <c r="L28" s="10">
        <f>IF(OR(J28="",K28="",K28=0),"",ROUND(J28/K28,6))</f>
        <v/>
      </c>
      <c r="M28" s="9">
        <f>IF(OR(H28="",J28="",K28="",K28=0),"",ROUND(H28*J28/K28/3.305785,3))</f>
        <v/>
      </c>
      <c r="N28" s="7" t="n"/>
      <c r="O28" s="11" t="n"/>
      <c r="P28" s="11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12">
        <f>IF(A28="","",IF(OR(B28="",C28="",D28="",E28="",G28="",H28="",J28="",K28=""),"必填欄位未完整",""))</f>
        <v/>
      </c>
      <c r="AB28" s="12">
        <f>IF(A28="","",A28&amp;"|"&amp;G28)</f>
        <v/>
      </c>
    </row>
    <row r="29" ht="24" customHeight="1">
      <c r="A29" s="7" t="n"/>
      <c r="B29" s="7" t="n"/>
      <c r="C29" s="7" t="n"/>
      <c r="D29" s="7" t="n"/>
      <c r="E29" s="7" t="n"/>
      <c r="F29" s="7" t="n"/>
      <c r="G29" s="7" t="n"/>
      <c r="H29" s="8" t="n"/>
      <c r="I29" s="9">
        <f>IF(H29="","",ROUND(H29/3.305785,3))</f>
        <v/>
      </c>
      <c r="J29" s="7" t="n"/>
      <c r="K29" s="7" t="n"/>
      <c r="L29" s="10">
        <f>IF(OR(J29="",K29="",K29=0),"",ROUND(J29/K29,6))</f>
        <v/>
      </c>
      <c r="M29" s="9">
        <f>IF(OR(H29="",J29="",K29="",K29=0),"",ROUND(H29*J29/K29/3.305785,3))</f>
        <v/>
      </c>
      <c r="N29" s="7" t="n"/>
      <c r="O29" s="11" t="n"/>
      <c r="P29" s="11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12">
        <f>IF(A29="","",IF(OR(B29="",C29="",D29="",E29="",G29="",H29="",J29="",K29=""),"必填欄位未完整",""))</f>
        <v/>
      </c>
      <c r="AB29" s="12">
        <f>IF(A29="","",A29&amp;"|"&amp;G29)</f>
        <v/>
      </c>
    </row>
    <row r="30" ht="24" customHeight="1">
      <c r="A30" s="7" t="n"/>
      <c r="B30" s="7" t="n"/>
      <c r="C30" s="7" t="n"/>
      <c r="D30" s="7" t="n"/>
      <c r="E30" s="7" t="n"/>
      <c r="F30" s="7" t="n"/>
      <c r="G30" s="7" t="n"/>
      <c r="H30" s="8" t="n"/>
      <c r="I30" s="9">
        <f>IF(H30="","",ROUND(H30/3.305785,3))</f>
        <v/>
      </c>
      <c r="J30" s="7" t="n"/>
      <c r="K30" s="7" t="n"/>
      <c r="L30" s="10">
        <f>IF(OR(J30="",K30="",K30=0),"",ROUND(J30/K30,6))</f>
        <v/>
      </c>
      <c r="M30" s="9">
        <f>IF(OR(H30="",J30="",K30="",K30=0),"",ROUND(H30*J30/K30/3.305785,3))</f>
        <v/>
      </c>
      <c r="N30" s="7" t="n"/>
      <c r="O30" s="11" t="n"/>
      <c r="P30" s="11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12">
        <f>IF(A30="","",IF(OR(B30="",C30="",D30="",E30="",G30="",H30="",J30="",K30=""),"必填欄位未完整",""))</f>
        <v/>
      </c>
      <c r="AB30" s="12">
        <f>IF(A30="","",A30&amp;"|"&amp;G30)</f>
        <v/>
      </c>
    </row>
    <row r="31" ht="24" customHeight="1">
      <c r="A31" s="7" t="n"/>
      <c r="B31" s="7" t="n"/>
      <c r="C31" s="7" t="n"/>
      <c r="D31" s="7" t="n"/>
      <c r="E31" s="7" t="n"/>
      <c r="F31" s="7" t="n"/>
      <c r="G31" s="7" t="n"/>
      <c r="H31" s="8" t="n"/>
      <c r="I31" s="9">
        <f>IF(H31="","",ROUND(H31/3.305785,3))</f>
        <v/>
      </c>
      <c r="J31" s="7" t="n"/>
      <c r="K31" s="7" t="n"/>
      <c r="L31" s="10">
        <f>IF(OR(J31="",K31="",K31=0),"",ROUND(J31/K31,6))</f>
        <v/>
      </c>
      <c r="M31" s="9">
        <f>IF(OR(H31="",J31="",K31="",K31=0),"",ROUND(H31*J31/K31/3.305785,3))</f>
        <v/>
      </c>
      <c r="N31" s="7" t="n"/>
      <c r="O31" s="11" t="n"/>
      <c r="P31" s="11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12">
        <f>IF(A31="","",IF(OR(B31="",C31="",D31="",E31="",G31="",H31="",J31="",K31=""),"必填欄位未完整",""))</f>
        <v/>
      </c>
      <c r="AB31" s="12">
        <f>IF(A31="","",A31&amp;"|"&amp;G31)</f>
        <v/>
      </c>
    </row>
    <row r="32" ht="24" customHeight="1">
      <c r="A32" s="7" t="n"/>
      <c r="B32" s="7" t="n"/>
      <c r="C32" s="7" t="n"/>
      <c r="D32" s="7" t="n"/>
      <c r="E32" s="7" t="n"/>
      <c r="F32" s="7" t="n"/>
      <c r="G32" s="7" t="n"/>
      <c r="H32" s="8" t="n"/>
      <c r="I32" s="9">
        <f>IF(H32="","",ROUND(H32/3.305785,3))</f>
        <v/>
      </c>
      <c r="J32" s="7" t="n"/>
      <c r="K32" s="7" t="n"/>
      <c r="L32" s="10">
        <f>IF(OR(J32="",K32="",K32=0),"",ROUND(J32/K32,6))</f>
        <v/>
      </c>
      <c r="M32" s="9">
        <f>IF(OR(H32="",J32="",K32="",K32=0),"",ROUND(H32*J32/K32/3.305785,3))</f>
        <v/>
      </c>
      <c r="N32" s="7" t="n"/>
      <c r="O32" s="11" t="n"/>
      <c r="P32" s="11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12">
        <f>IF(A32="","",IF(OR(B32="",C32="",D32="",E32="",G32="",H32="",J32="",K32=""),"必填欄位未完整",""))</f>
        <v/>
      </c>
      <c r="AB32" s="12">
        <f>IF(A32="","",A32&amp;"|"&amp;G32)</f>
        <v/>
      </c>
    </row>
    <row r="33" ht="24" customHeight="1">
      <c r="A33" s="7" t="n"/>
      <c r="B33" s="7" t="n"/>
      <c r="C33" s="7" t="n"/>
      <c r="D33" s="7" t="n"/>
      <c r="E33" s="7" t="n"/>
      <c r="F33" s="7" t="n"/>
      <c r="G33" s="7" t="n"/>
      <c r="H33" s="8" t="n"/>
      <c r="I33" s="9">
        <f>IF(H33="","",ROUND(H33/3.305785,3))</f>
        <v/>
      </c>
      <c r="J33" s="7" t="n"/>
      <c r="K33" s="7" t="n"/>
      <c r="L33" s="10">
        <f>IF(OR(J33="",K33="",K33=0),"",ROUND(J33/K33,6))</f>
        <v/>
      </c>
      <c r="M33" s="9">
        <f>IF(OR(H33="",J33="",K33="",K33=0),"",ROUND(H33*J33/K33/3.305785,3))</f>
        <v/>
      </c>
      <c r="N33" s="7" t="n"/>
      <c r="O33" s="11" t="n"/>
      <c r="P33" s="11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12">
        <f>IF(A33="","",IF(OR(B33="",C33="",D33="",E33="",G33="",H33="",J33="",K33=""),"必填欄位未完整",""))</f>
        <v/>
      </c>
      <c r="AB33" s="12">
        <f>IF(A33="","",A33&amp;"|"&amp;G33)</f>
        <v/>
      </c>
    </row>
    <row r="34" ht="24" customHeight="1">
      <c r="A34" s="7" t="n"/>
      <c r="B34" s="7" t="n"/>
      <c r="C34" s="7" t="n"/>
      <c r="D34" s="7" t="n"/>
      <c r="E34" s="7" t="n"/>
      <c r="F34" s="7" t="n"/>
      <c r="G34" s="7" t="n"/>
      <c r="H34" s="8" t="n"/>
      <c r="I34" s="9">
        <f>IF(H34="","",ROUND(H34/3.305785,3))</f>
        <v/>
      </c>
      <c r="J34" s="7" t="n"/>
      <c r="K34" s="7" t="n"/>
      <c r="L34" s="10">
        <f>IF(OR(J34="",K34="",K34=0),"",ROUND(J34/K34,6))</f>
        <v/>
      </c>
      <c r="M34" s="9">
        <f>IF(OR(H34="",J34="",K34="",K34=0),"",ROUND(H34*J34/K34/3.305785,3))</f>
        <v/>
      </c>
      <c r="N34" s="7" t="n"/>
      <c r="O34" s="11" t="n"/>
      <c r="P34" s="11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12">
        <f>IF(A34="","",IF(OR(B34="",C34="",D34="",E34="",G34="",H34="",J34="",K34=""),"必填欄位未完整",""))</f>
        <v/>
      </c>
      <c r="AB34" s="12">
        <f>IF(A34="","",A34&amp;"|"&amp;G34)</f>
        <v/>
      </c>
    </row>
    <row r="35" ht="24" customHeight="1">
      <c r="A35" s="7" t="n"/>
      <c r="B35" s="7" t="n"/>
      <c r="C35" s="7" t="n"/>
      <c r="D35" s="7" t="n"/>
      <c r="E35" s="7" t="n"/>
      <c r="F35" s="7" t="n"/>
      <c r="G35" s="7" t="n"/>
      <c r="H35" s="8" t="n"/>
      <c r="I35" s="9">
        <f>IF(H35="","",ROUND(H35/3.305785,3))</f>
        <v/>
      </c>
      <c r="J35" s="7" t="n"/>
      <c r="K35" s="7" t="n"/>
      <c r="L35" s="10">
        <f>IF(OR(J35="",K35="",K35=0),"",ROUND(J35/K35,6))</f>
        <v/>
      </c>
      <c r="M35" s="9">
        <f>IF(OR(H35="",J35="",K35="",K35=0),"",ROUND(H35*J35/K35/3.305785,3))</f>
        <v/>
      </c>
      <c r="N35" s="7" t="n"/>
      <c r="O35" s="11" t="n"/>
      <c r="P35" s="11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12">
        <f>IF(A35="","",IF(OR(B35="",C35="",D35="",E35="",G35="",H35="",J35="",K35=""),"必填欄位未完整",""))</f>
        <v/>
      </c>
      <c r="AB35" s="12">
        <f>IF(A35="","",A35&amp;"|"&amp;G35)</f>
        <v/>
      </c>
    </row>
    <row r="36" ht="24" customHeight="1">
      <c r="A36" s="7" t="n"/>
      <c r="B36" s="7" t="n"/>
      <c r="C36" s="7" t="n"/>
      <c r="D36" s="7" t="n"/>
      <c r="E36" s="7" t="n"/>
      <c r="F36" s="7" t="n"/>
      <c r="G36" s="7" t="n"/>
      <c r="H36" s="8" t="n"/>
      <c r="I36" s="9">
        <f>IF(H36="","",ROUND(H36/3.305785,3))</f>
        <v/>
      </c>
      <c r="J36" s="7" t="n"/>
      <c r="K36" s="7" t="n"/>
      <c r="L36" s="10">
        <f>IF(OR(J36="",K36="",K36=0),"",ROUND(J36/K36,6))</f>
        <v/>
      </c>
      <c r="M36" s="9">
        <f>IF(OR(H36="",J36="",K36="",K36=0),"",ROUND(H36*J36/K36/3.305785,3))</f>
        <v/>
      </c>
      <c r="N36" s="7" t="n"/>
      <c r="O36" s="11" t="n"/>
      <c r="P36" s="11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12">
        <f>IF(A36="","",IF(OR(B36="",C36="",D36="",E36="",G36="",H36="",J36="",K36=""),"必填欄位未完整",""))</f>
        <v/>
      </c>
      <c r="AB36" s="12">
        <f>IF(A36="","",A36&amp;"|"&amp;G36)</f>
        <v/>
      </c>
    </row>
    <row r="37" ht="24" customHeight="1">
      <c r="A37" s="7" t="n"/>
      <c r="B37" s="7" t="n"/>
      <c r="C37" s="7" t="n"/>
      <c r="D37" s="7" t="n"/>
      <c r="E37" s="7" t="n"/>
      <c r="F37" s="7" t="n"/>
      <c r="G37" s="7" t="n"/>
      <c r="H37" s="8" t="n"/>
      <c r="I37" s="9">
        <f>IF(H37="","",ROUND(H37/3.305785,3))</f>
        <v/>
      </c>
      <c r="J37" s="7" t="n"/>
      <c r="K37" s="7" t="n"/>
      <c r="L37" s="10">
        <f>IF(OR(J37="",K37="",K37=0),"",ROUND(J37/K37,6))</f>
        <v/>
      </c>
      <c r="M37" s="9">
        <f>IF(OR(H37="",J37="",K37="",K37=0),"",ROUND(H37*J37/K37/3.305785,3))</f>
        <v/>
      </c>
      <c r="N37" s="7" t="n"/>
      <c r="O37" s="11" t="n"/>
      <c r="P37" s="11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12">
        <f>IF(A37="","",IF(OR(B37="",C37="",D37="",E37="",G37="",H37="",J37="",K37=""),"必填欄位未完整",""))</f>
        <v/>
      </c>
      <c r="AB37" s="12">
        <f>IF(A37="","",A37&amp;"|"&amp;G37)</f>
        <v/>
      </c>
    </row>
    <row r="38" ht="24" customHeight="1">
      <c r="A38" s="7" t="n"/>
      <c r="B38" s="7" t="n"/>
      <c r="C38" s="7" t="n"/>
      <c r="D38" s="7" t="n"/>
      <c r="E38" s="7" t="n"/>
      <c r="F38" s="7" t="n"/>
      <c r="G38" s="7" t="n"/>
      <c r="H38" s="8" t="n"/>
      <c r="I38" s="9">
        <f>IF(H38="","",ROUND(H38/3.305785,3))</f>
        <v/>
      </c>
      <c r="J38" s="7" t="n"/>
      <c r="K38" s="7" t="n"/>
      <c r="L38" s="10">
        <f>IF(OR(J38="",K38="",K38=0),"",ROUND(J38/K38,6))</f>
        <v/>
      </c>
      <c r="M38" s="9">
        <f>IF(OR(H38="",J38="",K38="",K38=0),"",ROUND(H38*J38/K38/3.305785,3))</f>
        <v/>
      </c>
      <c r="N38" s="7" t="n"/>
      <c r="O38" s="11" t="n"/>
      <c r="P38" s="11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12">
        <f>IF(A38="","",IF(OR(B38="",C38="",D38="",E38="",G38="",H38="",J38="",K38=""),"必填欄位未完整",""))</f>
        <v/>
      </c>
      <c r="AB38" s="12">
        <f>IF(A38="","",A38&amp;"|"&amp;G38)</f>
        <v/>
      </c>
    </row>
    <row r="39" ht="24" customHeight="1">
      <c r="A39" s="7" t="n"/>
      <c r="B39" s="7" t="n"/>
      <c r="C39" s="7" t="n"/>
      <c r="D39" s="7" t="n"/>
      <c r="E39" s="7" t="n"/>
      <c r="F39" s="7" t="n"/>
      <c r="G39" s="7" t="n"/>
      <c r="H39" s="8" t="n"/>
      <c r="I39" s="9">
        <f>IF(H39="","",ROUND(H39/3.305785,3))</f>
        <v/>
      </c>
      <c r="J39" s="7" t="n"/>
      <c r="K39" s="7" t="n"/>
      <c r="L39" s="10">
        <f>IF(OR(J39="",K39="",K39=0),"",ROUND(J39/K39,6))</f>
        <v/>
      </c>
      <c r="M39" s="9">
        <f>IF(OR(H39="",J39="",K39="",K39=0),"",ROUND(H39*J39/K39/3.305785,3))</f>
        <v/>
      </c>
      <c r="N39" s="7" t="n"/>
      <c r="O39" s="11" t="n"/>
      <c r="P39" s="11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12">
        <f>IF(A39="","",IF(OR(B39="",C39="",D39="",E39="",G39="",H39="",J39="",K39=""),"必填欄位未完整",""))</f>
        <v/>
      </c>
      <c r="AB39" s="12">
        <f>IF(A39="","",A39&amp;"|"&amp;G39)</f>
        <v/>
      </c>
    </row>
    <row r="40" ht="24" customHeight="1">
      <c r="A40" s="7" t="n"/>
      <c r="B40" s="7" t="n"/>
      <c r="C40" s="7" t="n"/>
      <c r="D40" s="7" t="n"/>
      <c r="E40" s="7" t="n"/>
      <c r="F40" s="7" t="n"/>
      <c r="G40" s="7" t="n"/>
      <c r="H40" s="8" t="n"/>
      <c r="I40" s="9">
        <f>IF(H40="","",ROUND(H40/3.305785,3))</f>
        <v/>
      </c>
      <c r="J40" s="7" t="n"/>
      <c r="K40" s="7" t="n"/>
      <c r="L40" s="10">
        <f>IF(OR(J40="",K40="",K40=0),"",ROUND(J40/K40,6))</f>
        <v/>
      </c>
      <c r="M40" s="9">
        <f>IF(OR(H40="",J40="",K40="",K40=0),"",ROUND(H40*J40/K40/3.305785,3))</f>
        <v/>
      </c>
      <c r="N40" s="7" t="n"/>
      <c r="O40" s="11" t="n"/>
      <c r="P40" s="11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12">
        <f>IF(A40="","",IF(OR(B40="",C40="",D40="",E40="",G40="",H40="",J40="",K40=""),"必填欄位未完整",""))</f>
        <v/>
      </c>
      <c r="AB40" s="12">
        <f>IF(A40="","",A40&amp;"|"&amp;G40)</f>
        <v/>
      </c>
    </row>
    <row r="41" ht="24" customHeight="1">
      <c r="A41" s="7" t="n"/>
      <c r="B41" s="7" t="n"/>
      <c r="C41" s="7" t="n"/>
      <c r="D41" s="7" t="n"/>
      <c r="E41" s="7" t="n"/>
      <c r="F41" s="7" t="n"/>
      <c r="G41" s="7" t="n"/>
      <c r="H41" s="8" t="n"/>
      <c r="I41" s="9">
        <f>IF(H41="","",ROUND(H41/3.305785,3))</f>
        <v/>
      </c>
      <c r="J41" s="7" t="n"/>
      <c r="K41" s="7" t="n"/>
      <c r="L41" s="10">
        <f>IF(OR(J41="",K41="",K41=0),"",ROUND(J41/K41,6))</f>
        <v/>
      </c>
      <c r="M41" s="9">
        <f>IF(OR(H41="",J41="",K41="",K41=0),"",ROUND(H41*J41/K41/3.305785,3))</f>
        <v/>
      </c>
      <c r="N41" s="7" t="n"/>
      <c r="O41" s="11" t="n"/>
      <c r="P41" s="11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12">
        <f>IF(A41="","",IF(OR(B41="",C41="",D41="",E41="",G41="",H41="",J41="",K41=""),"必填欄位未完整",""))</f>
        <v/>
      </c>
      <c r="AB41" s="12">
        <f>IF(A41="","",A41&amp;"|"&amp;G41)</f>
        <v/>
      </c>
    </row>
    <row r="42" ht="24" customHeight="1">
      <c r="A42" s="7" t="n"/>
      <c r="B42" s="7" t="n"/>
      <c r="C42" s="7" t="n"/>
      <c r="D42" s="7" t="n"/>
      <c r="E42" s="7" t="n"/>
      <c r="F42" s="7" t="n"/>
      <c r="G42" s="7" t="n"/>
      <c r="H42" s="8" t="n"/>
      <c r="I42" s="9">
        <f>IF(H42="","",ROUND(H42/3.305785,3))</f>
        <v/>
      </c>
      <c r="J42" s="7" t="n"/>
      <c r="K42" s="7" t="n"/>
      <c r="L42" s="10">
        <f>IF(OR(J42="",K42="",K42=0),"",ROUND(J42/K42,6))</f>
        <v/>
      </c>
      <c r="M42" s="9">
        <f>IF(OR(H42="",J42="",K42="",K42=0),"",ROUND(H42*J42/K42/3.305785,3))</f>
        <v/>
      </c>
      <c r="N42" s="7" t="n"/>
      <c r="O42" s="11" t="n"/>
      <c r="P42" s="11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12">
        <f>IF(A42="","",IF(OR(B42="",C42="",D42="",E42="",G42="",H42="",J42="",K42=""),"必填欄位未完整",""))</f>
        <v/>
      </c>
      <c r="AB42" s="12">
        <f>IF(A42="","",A42&amp;"|"&amp;G42)</f>
        <v/>
      </c>
    </row>
    <row r="43" ht="24" customHeight="1">
      <c r="A43" s="7" t="n"/>
      <c r="B43" s="7" t="n"/>
      <c r="C43" s="7" t="n"/>
      <c r="D43" s="7" t="n"/>
      <c r="E43" s="7" t="n"/>
      <c r="F43" s="7" t="n"/>
      <c r="G43" s="7" t="n"/>
      <c r="H43" s="8" t="n"/>
      <c r="I43" s="9">
        <f>IF(H43="","",ROUND(H43/3.305785,3))</f>
        <v/>
      </c>
      <c r="J43" s="7" t="n"/>
      <c r="K43" s="7" t="n"/>
      <c r="L43" s="10">
        <f>IF(OR(J43="",K43="",K43=0),"",ROUND(J43/K43,6))</f>
        <v/>
      </c>
      <c r="M43" s="9">
        <f>IF(OR(H43="",J43="",K43="",K43=0),"",ROUND(H43*J43/K43/3.305785,3))</f>
        <v/>
      </c>
      <c r="N43" s="7" t="n"/>
      <c r="O43" s="11" t="n"/>
      <c r="P43" s="11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12">
        <f>IF(A43="","",IF(OR(B43="",C43="",D43="",E43="",G43="",H43="",J43="",K43=""),"必填欄位未完整",""))</f>
        <v/>
      </c>
      <c r="AB43" s="12">
        <f>IF(A43="","",A43&amp;"|"&amp;G43)</f>
        <v/>
      </c>
    </row>
    <row r="44" ht="24" customHeight="1">
      <c r="A44" s="7" t="n"/>
      <c r="B44" s="7" t="n"/>
      <c r="C44" s="7" t="n"/>
      <c r="D44" s="7" t="n"/>
      <c r="E44" s="7" t="n"/>
      <c r="F44" s="7" t="n"/>
      <c r="G44" s="7" t="n"/>
      <c r="H44" s="8" t="n"/>
      <c r="I44" s="9">
        <f>IF(H44="","",ROUND(H44/3.305785,3))</f>
        <v/>
      </c>
      <c r="J44" s="7" t="n"/>
      <c r="K44" s="7" t="n"/>
      <c r="L44" s="10">
        <f>IF(OR(J44="",K44="",K44=0),"",ROUND(J44/K44,6))</f>
        <v/>
      </c>
      <c r="M44" s="9">
        <f>IF(OR(H44="",J44="",K44="",K44=0),"",ROUND(H44*J44/K44/3.305785,3))</f>
        <v/>
      </c>
      <c r="N44" s="7" t="n"/>
      <c r="O44" s="11" t="n"/>
      <c r="P44" s="11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12">
        <f>IF(A44="","",IF(OR(B44="",C44="",D44="",E44="",G44="",H44="",J44="",K44=""),"必填欄位未完整",""))</f>
        <v/>
      </c>
      <c r="AB44" s="12">
        <f>IF(A44="","",A44&amp;"|"&amp;G44)</f>
        <v/>
      </c>
    </row>
    <row r="45" ht="24" customHeight="1">
      <c r="A45" s="7" t="n"/>
      <c r="B45" s="7" t="n"/>
      <c r="C45" s="7" t="n"/>
      <c r="D45" s="7" t="n"/>
      <c r="E45" s="7" t="n"/>
      <c r="F45" s="7" t="n"/>
      <c r="G45" s="7" t="n"/>
      <c r="H45" s="8" t="n"/>
      <c r="I45" s="9">
        <f>IF(H45="","",ROUND(H45/3.305785,3))</f>
        <v/>
      </c>
      <c r="J45" s="7" t="n"/>
      <c r="K45" s="7" t="n"/>
      <c r="L45" s="10">
        <f>IF(OR(J45="",K45="",K45=0),"",ROUND(J45/K45,6))</f>
        <v/>
      </c>
      <c r="M45" s="9">
        <f>IF(OR(H45="",J45="",K45="",K45=0),"",ROUND(H45*J45/K45/3.305785,3))</f>
        <v/>
      </c>
      <c r="N45" s="7" t="n"/>
      <c r="O45" s="11" t="n"/>
      <c r="P45" s="11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12">
        <f>IF(A45="","",IF(OR(B45="",C45="",D45="",E45="",G45="",H45="",J45="",K45=""),"必填欄位未完整",""))</f>
        <v/>
      </c>
      <c r="AB45" s="12">
        <f>IF(A45="","",A45&amp;"|"&amp;G45)</f>
        <v/>
      </c>
    </row>
    <row r="46" ht="24" customHeight="1">
      <c r="A46" s="7" t="n"/>
      <c r="B46" s="7" t="n"/>
      <c r="C46" s="7" t="n"/>
      <c r="D46" s="7" t="n"/>
      <c r="E46" s="7" t="n"/>
      <c r="F46" s="7" t="n"/>
      <c r="G46" s="7" t="n"/>
      <c r="H46" s="8" t="n"/>
      <c r="I46" s="9">
        <f>IF(H46="","",ROUND(H46/3.305785,3))</f>
        <v/>
      </c>
      <c r="J46" s="7" t="n"/>
      <c r="K46" s="7" t="n"/>
      <c r="L46" s="10">
        <f>IF(OR(J46="",K46="",K46=0),"",ROUND(J46/K46,6))</f>
        <v/>
      </c>
      <c r="M46" s="9">
        <f>IF(OR(H46="",J46="",K46="",K46=0),"",ROUND(H46*J46/K46/3.305785,3))</f>
        <v/>
      </c>
      <c r="N46" s="7" t="n"/>
      <c r="O46" s="11" t="n"/>
      <c r="P46" s="11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12">
        <f>IF(A46="","",IF(OR(B46="",C46="",D46="",E46="",G46="",H46="",J46="",K46=""),"必填欄位未完整",""))</f>
        <v/>
      </c>
      <c r="AB46" s="12">
        <f>IF(A46="","",A46&amp;"|"&amp;G46)</f>
        <v/>
      </c>
    </row>
    <row r="47" ht="24" customHeight="1">
      <c r="A47" s="7" t="n"/>
      <c r="B47" s="7" t="n"/>
      <c r="C47" s="7" t="n"/>
      <c r="D47" s="7" t="n"/>
      <c r="E47" s="7" t="n"/>
      <c r="F47" s="7" t="n"/>
      <c r="G47" s="7" t="n"/>
      <c r="H47" s="8" t="n"/>
      <c r="I47" s="9">
        <f>IF(H47="","",ROUND(H47/3.305785,3))</f>
        <v/>
      </c>
      <c r="J47" s="7" t="n"/>
      <c r="K47" s="7" t="n"/>
      <c r="L47" s="10">
        <f>IF(OR(J47="",K47="",K47=0),"",ROUND(J47/K47,6))</f>
        <v/>
      </c>
      <c r="M47" s="9">
        <f>IF(OR(H47="",J47="",K47="",K47=0),"",ROUND(H47*J47/K47/3.305785,3))</f>
        <v/>
      </c>
      <c r="N47" s="7" t="n"/>
      <c r="O47" s="11" t="n"/>
      <c r="P47" s="11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12">
        <f>IF(A47="","",IF(OR(B47="",C47="",D47="",E47="",G47="",H47="",J47="",K47=""),"必填欄位未完整",""))</f>
        <v/>
      </c>
      <c r="AB47" s="12">
        <f>IF(A47="","",A47&amp;"|"&amp;G47)</f>
        <v/>
      </c>
    </row>
    <row r="48" ht="24" customHeight="1">
      <c r="A48" s="7" t="n"/>
      <c r="B48" s="7" t="n"/>
      <c r="C48" s="7" t="n"/>
      <c r="D48" s="7" t="n"/>
      <c r="E48" s="7" t="n"/>
      <c r="F48" s="7" t="n"/>
      <c r="G48" s="7" t="n"/>
      <c r="H48" s="8" t="n"/>
      <c r="I48" s="9">
        <f>IF(H48="","",ROUND(H48/3.305785,3))</f>
        <v/>
      </c>
      <c r="J48" s="7" t="n"/>
      <c r="K48" s="7" t="n"/>
      <c r="L48" s="10">
        <f>IF(OR(J48="",K48="",K48=0),"",ROUND(J48/K48,6))</f>
        <v/>
      </c>
      <c r="M48" s="9">
        <f>IF(OR(H48="",J48="",K48="",K48=0),"",ROUND(H48*J48/K48/3.305785,3))</f>
        <v/>
      </c>
      <c r="N48" s="7" t="n"/>
      <c r="O48" s="11" t="n"/>
      <c r="P48" s="11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12">
        <f>IF(A48="","",IF(OR(B48="",C48="",D48="",E48="",G48="",H48="",J48="",K48=""),"必填欄位未完整",""))</f>
        <v/>
      </c>
      <c r="AB48" s="12">
        <f>IF(A48="","",A48&amp;"|"&amp;G48)</f>
        <v/>
      </c>
    </row>
    <row r="49" ht="24" customHeight="1">
      <c r="A49" s="7" t="n"/>
      <c r="B49" s="7" t="n"/>
      <c r="C49" s="7" t="n"/>
      <c r="D49" s="7" t="n"/>
      <c r="E49" s="7" t="n"/>
      <c r="F49" s="7" t="n"/>
      <c r="G49" s="7" t="n"/>
      <c r="H49" s="8" t="n"/>
      <c r="I49" s="9">
        <f>IF(H49="","",ROUND(H49/3.305785,3))</f>
        <v/>
      </c>
      <c r="J49" s="7" t="n"/>
      <c r="K49" s="7" t="n"/>
      <c r="L49" s="10">
        <f>IF(OR(J49="",K49="",K49=0),"",ROUND(J49/K49,6))</f>
        <v/>
      </c>
      <c r="M49" s="9">
        <f>IF(OR(H49="",J49="",K49="",K49=0),"",ROUND(H49*J49/K49/3.305785,3))</f>
        <v/>
      </c>
      <c r="N49" s="7" t="n"/>
      <c r="O49" s="11" t="n"/>
      <c r="P49" s="11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12">
        <f>IF(A49="","",IF(OR(B49="",C49="",D49="",E49="",G49="",H49="",J49="",K49=""),"必填欄位未完整",""))</f>
        <v/>
      </c>
      <c r="AB49" s="12">
        <f>IF(A49="","",A49&amp;"|"&amp;G49)</f>
        <v/>
      </c>
    </row>
    <row r="50" ht="24" customHeight="1">
      <c r="A50" s="7" t="n"/>
      <c r="B50" s="7" t="n"/>
      <c r="C50" s="7" t="n"/>
      <c r="D50" s="7" t="n"/>
      <c r="E50" s="7" t="n"/>
      <c r="F50" s="7" t="n"/>
      <c r="G50" s="7" t="n"/>
      <c r="H50" s="8" t="n"/>
      <c r="I50" s="9">
        <f>IF(H50="","",ROUND(H50/3.305785,3))</f>
        <v/>
      </c>
      <c r="J50" s="7" t="n"/>
      <c r="K50" s="7" t="n"/>
      <c r="L50" s="10">
        <f>IF(OR(J50="",K50="",K50=0),"",ROUND(J50/K50,6))</f>
        <v/>
      </c>
      <c r="M50" s="9">
        <f>IF(OR(H50="",J50="",K50="",K50=0),"",ROUND(H50*J50/K50/3.305785,3))</f>
        <v/>
      </c>
      <c r="N50" s="7" t="n"/>
      <c r="O50" s="11" t="n"/>
      <c r="P50" s="11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12">
        <f>IF(A50="","",IF(OR(B50="",C50="",D50="",E50="",G50="",H50="",J50="",K50=""),"必填欄位未完整",""))</f>
        <v/>
      </c>
      <c r="AB50" s="12">
        <f>IF(A50="","",A50&amp;"|"&amp;G50)</f>
        <v/>
      </c>
    </row>
    <row r="51" ht="24" customHeight="1">
      <c r="A51" s="7" t="n"/>
      <c r="B51" s="7" t="n"/>
      <c r="C51" s="7" t="n"/>
      <c r="D51" s="7" t="n"/>
      <c r="E51" s="7" t="n"/>
      <c r="F51" s="7" t="n"/>
      <c r="G51" s="7" t="n"/>
      <c r="H51" s="8" t="n"/>
      <c r="I51" s="9">
        <f>IF(H51="","",ROUND(H51/3.305785,3))</f>
        <v/>
      </c>
      <c r="J51" s="7" t="n"/>
      <c r="K51" s="7" t="n"/>
      <c r="L51" s="10">
        <f>IF(OR(J51="",K51="",K51=0),"",ROUND(J51/K51,6))</f>
        <v/>
      </c>
      <c r="M51" s="9">
        <f>IF(OR(H51="",J51="",K51="",K51=0),"",ROUND(H51*J51/K51/3.305785,3))</f>
        <v/>
      </c>
      <c r="N51" s="7" t="n"/>
      <c r="O51" s="11" t="n"/>
      <c r="P51" s="11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12">
        <f>IF(A51="","",IF(OR(B51="",C51="",D51="",E51="",G51="",H51="",J51="",K51=""),"必填欄位未完整",""))</f>
        <v/>
      </c>
      <c r="AB51" s="12">
        <f>IF(A51="","",A51&amp;"|"&amp;G51)</f>
        <v/>
      </c>
    </row>
    <row r="52" ht="24" customHeight="1">
      <c r="A52" s="7" t="n"/>
      <c r="B52" s="7" t="n"/>
      <c r="C52" s="7" t="n"/>
      <c r="D52" s="7" t="n"/>
      <c r="E52" s="7" t="n"/>
      <c r="F52" s="7" t="n"/>
      <c r="G52" s="7" t="n"/>
      <c r="H52" s="8" t="n"/>
      <c r="I52" s="9">
        <f>IF(H52="","",ROUND(H52/3.305785,3))</f>
        <v/>
      </c>
      <c r="J52" s="7" t="n"/>
      <c r="K52" s="7" t="n"/>
      <c r="L52" s="10">
        <f>IF(OR(J52="",K52="",K52=0),"",ROUND(J52/K52,6))</f>
        <v/>
      </c>
      <c r="M52" s="9">
        <f>IF(OR(H52="",J52="",K52="",K52=0),"",ROUND(H52*J52/K52/3.305785,3))</f>
        <v/>
      </c>
      <c r="N52" s="7" t="n"/>
      <c r="O52" s="11" t="n"/>
      <c r="P52" s="11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12">
        <f>IF(A52="","",IF(OR(B52="",C52="",D52="",E52="",G52="",H52="",J52="",K52=""),"必填欄位未完整",""))</f>
        <v/>
      </c>
      <c r="AB52" s="12">
        <f>IF(A52="","",A52&amp;"|"&amp;G52)</f>
        <v/>
      </c>
    </row>
    <row r="53" ht="24" customHeight="1">
      <c r="A53" s="7" t="n"/>
      <c r="B53" s="7" t="n"/>
      <c r="C53" s="7" t="n"/>
      <c r="D53" s="7" t="n"/>
      <c r="E53" s="7" t="n"/>
      <c r="F53" s="7" t="n"/>
      <c r="G53" s="7" t="n"/>
      <c r="H53" s="8" t="n"/>
      <c r="I53" s="9">
        <f>IF(H53="","",ROUND(H53/3.305785,3))</f>
        <v/>
      </c>
      <c r="J53" s="7" t="n"/>
      <c r="K53" s="7" t="n"/>
      <c r="L53" s="10">
        <f>IF(OR(J53="",K53="",K53=0),"",ROUND(J53/K53,6))</f>
        <v/>
      </c>
      <c r="M53" s="9">
        <f>IF(OR(H53="",J53="",K53="",K53=0),"",ROUND(H53*J53/K53/3.305785,3))</f>
        <v/>
      </c>
      <c r="N53" s="7" t="n"/>
      <c r="O53" s="11" t="n"/>
      <c r="P53" s="11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12">
        <f>IF(A53="","",IF(OR(B53="",C53="",D53="",E53="",G53="",H53="",J53="",K53=""),"必填欄位未完整",""))</f>
        <v/>
      </c>
      <c r="AB53" s="12">
        <f>IF(A53="","",A53&amp;"|"&amp;G53)</f>
        <v/>
      </c>
    </row>
    <row r="54" ht="24" customHeight="1">
      <c r="A54" s="7" t="n"/>
      <c r="B54" s="7" t="n"/>
      <c r="C54" s="7" t="n"/>
      <c r="D54" s="7" t="n"/>
      <c r="E54" s="7" t="n"/>
      <c r="F54" s="7" t="n"/>
      <c r="G54" s="7" t="n"/>
      <c r="H54" s="8" t="n"/>
      <c r="I54" s="9">
        <f>IF(H54="","",ROUND(H54/3.305785,3))</f>
        <v/>
      </c>
      <c r="J54" s="7" t="n"/>
      <c r="K54" s="7" t="n"/>
      <c r="L54" s="10">
        <f>IF(OR(J54="",K54="",K54=0),"",ROUND(J54/K54,6))</f>
        <v/>
      </c>
      <c r="M54" s="9">
        <f>IF(OR(H54="",J54="",K54="",K54=0),"",ROUND(H54*J54/K54/3.305785,3))</f>
        <v/>
      </c>
      <c r="N54" s="7" t="n"/>
      <c r="O54" s="11" t="n"/>
      <c r="P54" s="11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12">
        <f>IF(A54="","",IF(OR(B54="",C54="",D54="",E54="",G54="",H54="",J54="",K54=""),"必填欄位未完整",""))</f>
        <v/>
      </c>
      <c r="AB54" s="12">
        <f>IF(A54="","",A54&amp;"|"&amp;G54)</f>
        <v/>
      </c>
    </row>
    <row r="55" ht="24" customHeight="1">
      <c r="A55" s="7" t="n"/>
      <c r="B55" s="7" t="n"/>
      <c r="C55" s="7" t="n"/>
      <c r="D55" s="7" t="n"/>
      <c r="E55" s="7" t="n"/>
      <c r="F55" s="7" t="n"/>
      <c r="G55" s="7" t="n"/>
      <c r="H55" s="8" t="n"/>
      <c r="I55" s="9">
        <f>IF(H55="","",ROUND(H55/3.305785,3))</f>
        <v/>
      </c>
      <c r="J55" s="7" t="n"/>
      <c r="K55" s="7" t="n"/>
      <c r="L55" s="10">
        <f>IF(OR(J55="",K55="",K55=0),"",ROUND(J55/K55,6))</f>
        <v/>
      </c>
      <c r="M55" s="9">
        <f>IF(OR(H55="",J55="",K55="",K55=0),"",ROUND(H55*J55/K55/3.305785,3))</f>
        <v/>
      </c>
      <c r="N55" s="7" t="n"/>
      <c r="O55" s="11" t="n"/>
      <c r="P55" s="11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12">
        <f>IF(A55="","",IF(OR(B55="",C55="",D55="",E55="",G55="",H55="",J55="",K55=""),"必填欄位未完整",""))</f>
        <v/>
      </c>
      <c r="AB55" s="12">
        <f>IF(A55="","",A55&amp;"|"&amp;G55)</f>
        <v/>
      </c>
    </row>
    <row r="56" ht="24" customHeight="1">
      <c r="A56" s="7" t="n"/>
      <c r="B56" s="7" t="n"/>
      <c r="C56" s="7" t="n"/>
      <c r="D56" s="7" t="n"/>
      <c r="E56" s="7" t="n"/>
      <c r="F56" s="7" t="n"/>
      <c r="G56" s="7" t="n"/>
      <c r="H56" s="8" t="n"/>
      <c r="I56" s="9">
        <f>IF(H56="","",ROUND(H56/3.305785,3))</f>
        <v/>
      </c>
      <c r="J56" s="7" t="n"/>
      <c r="K56" s="7" t="n"/>
      <c r="L56" s="10">
        <f>IF(OR(J56="",K56="",K56=0),"",ROUND(J56/K56,6))</f>
        <v/>
      </c>
      <c r="M56" s="9">
        <f>IF(OR(H56="",J56="",K56="",K56=0),"",ROUND(H56*J56/K56/3.305785,3))</f>
        <v/>
      </c>
      <c r="N56" s="7" t="n"/>
      <c r="O56" s="11" t="n"/>
      <c r="P56" s="11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12">
        <f>IF(A56="","",IF(OR(B56="",C56="",D56="",E56="",G56="",H56="",J56="",K56=""),"必填欄位未完整",""))</f>
        <v/>
      </c>
      <c r="AB56" s="12">
        <f>IF(A56="","",A56&amp;"|"&amp;G56)</f>
        <v/>
      </c>
    </row>
    <row r="57" ht="24" customHeight="1">
      <c r="A57" s="7" t="n"/>
      <c r="B57" s="7" t="n"/>
      <c r="C57" s="7" t="n"/>
      <c r="D57" s="7" t="n"/>
      <c r="E57" s="7" t="n"/>
      <c r="F57" s="7" t="n"/>
      <c r="G57" s="7" t="n"/>
      <c r="H57" s="8" t="n"/>
      <c r="I57" s="9">
        <f>IF(H57="","",ROUND(H57/3.305785,3))</f>
        <v/>
      </c>
      <c r="J57" s="7" t="n"/>
      <c r="K57" s="7" t="n"/>
      <c r="L57" s="10">
        <f>IF(OR(J57="",K57="",K57=0),"",ROUND(J57/K57,6))</f>
        <v/>
      </c>
      <c r="M57" s="9">
        <f>IF(OR(H57="",J57="",K57="",K57=0),"",ROUND(H57*J57/K57/3.305785,3))</f>
        <v/>
      </c>
      <c r="N57" s="7" t="n"/>
      <c r="O57" s="11" t="n"/>
      <c r="P57" s="11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12">
        <f>IF(A57="","",IF(OR(B57="",C57="",D57="",E57="",G57="",H57="",J57="",K57=""),"必填欄位未完整",""))</f>
        <v/>
      </c>
      <c r="AB57" s="12">
        <f>IF(A57="","",A57&amp;"|"&amp;G57)</f>
        <v/>
      </c>
    </row>
    <row r="58" ht="24" customHeight="1">
      <c r="A58" s="7" t="n"/>
      <c r="B58" s="7" t="n"/>
      <c r="C58" s="7" t="n"/>
      <c r="D58" s="7" t="n"/>
      <c r="E58" s="7" t="n"/>
      <c r="F58" s="7" t="n"/>
      <c r="G58" s="7" t="n"/>
      <c r="H58" s="8" t="n"/>
      <c r="I58" s="9">
        <f>IF(H58="","",ROUND(H58/3.305785,3))</f>
        <v/>
      </c>
      <c r="J58" s="7" t="n"/>
      <c r="K58" s="7" t="n"/>
      <c r="L58" s="10">
        <f>IF(OR(J58="",K58="",K58=0),"",ROUND(J58/K58,6))</f>
        <v/>
      </c>
      <c r="M58" s="9">
        <f>IF(OR(H58="",J58="",K58="",K58=0),"",ROUND(H58*J58/K58/3.305785,3))</f>
        <v/>
      </c>
      <c r="N58" s="7" t="n"/>
      <c r="O58" s="11" t="n"/>
      <c r="P58" s="11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12">
        <f>IF(A58="","",IF(OR(B58="",C58="",D58="",E58="",G58="",H58="",J58="",K58=""),"必填欄位未完整",""))</f>
        <v/>
      </c>
      <c r="AB58" s="12">
        <f>IF(A58="","",A58&amp;"|"&amp;G58)</f>
        <v/>
      </c>
    </row>
    <row r="59" ht="24" customHeight="1">
      <c r="A59" s="7" t="n"/>
      <c r="B59" s="7" t="n"/>
      <c r="C59" s="7" t="n"/>
      <c r="D59" s="7" t="n"/>
      <c r="E59" s="7" t="n"/>
      <c r="F59" s="7" t="n"/>
      <c r="G59" s="7" t="n"/>
      <c r="H59" s="8" t="n"/>
      <c r="I59" s="9">
        <f>IF(H59="","",ROUND(H59/3.305785,3))</f>
        <v/>
      </c>
      <c r="J59" s="7" t="n"/>
      <c r="K59" s="7" t="n"/>
      <c r="L59" s="10">
        <f>IF(OR(J59="",K59="",K59=0),"",ROUND(J59/K59,6))</f>
        <v/>
      </c>
      <c r="M59" s="9">
        <f>IF(OR(H59="",J59="",K59="",K59=0),"",ROUND(H59*J59/K59/3.305785,3))</f>
        <v/>
      </c>
      <c r="N59" s="7" t="n"/>
      <c r="O59" s="11" t="n"/>
      <c r="P59" s="11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12">
        <f>IF(A59="","",IF(OR(B59="",C59="",D59="",E59="",G59="",H59="",J59="",K59=""),"必填欄位未完整",""))</f>
        <v/>
      </c>
      <c r="AB59" s="12">
        <f>IF(A59="","",A59&amp;"|"&amp;G59)</f>
        <v/>
      </c>
    </row>
    <row r="60" ht="24" customHeight="1">
      <c r="A60" s="7" t="n"/>
      <c r="B60" s="7" t="n"/>
      <c r="C60" s="7" t="n"/>
      <c r="D60" s="7" t="n"/>
      <c r="E60" s="7" t="n"/>
      <c r="F60" s="7" t="n"/>
      <c r="G60" s="7" t="n"/>
      <c r="H60" s="8" t="n"/>
      <c r="I60" s="9">
        <f>IF(H60="","",ROUND(H60/3.305785,3))</f>
        <v/>
      </c>
      <c r="J60" s="7" t="n"/>
      <c r="K60" s="7" t="n"/>
      <c r="L60" s="10">
        <f>IF(OR(J60="",K60="",K60=0),"",ROUND(J60/K60,6))</f>
        <v/>
      </c>
      <c r="M60" s="9">
        <f>IF(OR(H60="",J60="",K60="",K60=0),"",ROUND(H60*J60/K60/3.305785,3))</f>
        <v/>
      </c>
      <c r="N60" s="7" t="n"/>
      <c r="O60" s="11" t="n"/>
      <c r="P60" s="11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12">
        <f>IF(A60="","",IF(OR(B60="",C60="",D60="",E60="",G60="",H60="",J60="",K60=""),"必填欄位未完整",""))</f>
        <v/>
      </c>
      <c r="AB60" s="12">
        <f>IF(A60="","",A60&amp;"|"&amp;G60)</f>
        <v/>
      </c>
    </row>
    <row r="61" ht="24" customHeight="1">
      <c r="A61" s="7" t="n"/>
      <c r="B61" s="7" t="n"/>
      <c r="C61" s="7" t="n"/>
      <c r="D61" s="7" t="n"/>
      <c r="E61" s="7" t="n"/>
      <c r="F61" s="7" t="n"/>
      <c r="G61" s="7" t="n"/>
      <c r="H61" s="8" t="n"/>
      <c r="I61" s="9">
        <f>IF(H61="","",ROUND(H61/3.305785,3))</f>
        <v/>
      </c>
      <c r="J61" s="7" t="n"/>
      <c r="K61" s="7" t="n"/>
      <c r="L61" s="10">
        <f>IF(OR(J61="",K61="",K61=0),"",ROUND(J61/K61,6))</f>
        <v/>
      </c>
      <c r="M61" s="9">
        <f>IF(OR(H61="",J61="",K61="",K61=0),"",ROUND(H61*J61/K61/3.305785,3))</f>
        <v/>
      </c>
      <c r="N61" s="7" t="n"/>
      <c r="O61" s="11" t="n"/>
      <c r="P61" s="11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12">
        <f>IF(A61="","",IF(OR(B61="",C61="",D61="",E61="",G61="",H61="",J61="",K61=""),"必填欄位未完整",""))</f>
        <v/>
      </c>
      <c r="AB61" s="12">
        <f>IF(A61="","",A61&amp;"|"&amp;G61)</f>
        <v/>
      </c>
    </row>
    <row r="62" ht="24" customHeight="1">
      <c r="A62" s="7" t="n"/>
      <c r="B62" s="7" t="n"/>
      <c r="C62" s="7" t="n"/>
      <c r="D62" s="7" t="n"/>
      <c r="E62" s="7" t="n"/>
      <c r="F62" s="7" t="n"/>
      <c r="G62" s="7" t="n"/>
      <c r="H62" s="8" t="n"/>
      <c r="I62" s="9">
        <f>IF(H62="","",ROUND(H62/3.305785,3))</f>
        <v/>
      </c>
      <c r="J62" s="7" t="n"/>
      <c r="K62" s="7" t="n"/>
      <c r="L62" s="10">
        <f>IF(OR(J62="",K62="",K62=0),"",ROUND(J62/K62,6))</f>
        <v/>
      </c>
      <c r="M62" s="9">
        <f>IF(OR(H62="",J62="",K62="",K62=0),"",ROUND(H62*J62/K62/3.305785,3))</f>
        <v/>
      </c>
      <c r="N62" s="7" t="n"/>
      <c r="O62" s="11" t="n"/>
      <c r="P62" s="11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12">
        <f>IF(A62="","",IF(OR(B62="",C62="",D62="",E62="",G62="",H62="",J62="",K62=""),"必填欄位未完整",""))</f>
        <v/>
      </c>
      <c r="AB62" s="12">
        <f>IF(A62="","",A62&amp;"|"&amp;G62)</f>
        <v/>
      </c>
    </row>
    <row r="63" ht="24" customHeight="1">
      <c r="A63" s="7" t="n"/>
      <c r="B63" s="7" t="n"/>
      <c r="C63" s="7" t="n"/>
      <c r="D63" s="7" t="n"/>
      <c r="E63" s="7" t="n"/>
      <c r="F63" s="7" t="n"/>
      <c r="G63" s="7" t="n"/>
      <c r="H63" s="8" t="n"/>
      <c r="I63" s="9">
        <f>IF(H63="","",ROUND(H63/3.305785,3))</f>
        <v/>
      </c>
      <c r="J63" s="7" t="n"/>
      <c r="K63" s="7" t="n"/>
      <c r="L63" s="10">
        <f>IF(OR(J63="",K63="",K63=0),"",ROUND(J63/K63,6))</f>
        <v/>
      </c>
      <c r="M63" s="9">
        <f>IF(OR(H63="",J63="",K63="",K63=0),"",ROUND(H63*J63/K63/3.305785,3))</f>
        <v/>
      </c>
      <c r="N63" s="7" t="n"/>
      <c r="O63" s="11" t="n"/>
      <c r="P63" s="11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12">
        <f>IF(A63="","",IF(OR(B63="",C63="",D63="",E63="",G63="",H63="",J63="",K63=""),"必填欄位未完整",""))</f>
        <v/>
      </c>
      <c r="AB63" s="12">
        <f>IF(A63="","",A63&amp;"|"&amp;G63)</f>
        <v/>
      </c>
    </row>
    <row r="64" ht="24" customHeight="1">
      <c r="A64" s="7" t="n"/>
      <c r="B64" s="7" t="n"/>
      <c r="C64" s="7" t="n"/>
      <c r="D64" s="7" t="n"/>
      <c r="E64" s="7" t="n"/>
      <c r="F64" s="7" t="n"/>
      <c r="G64" s="7" t="n"/>
      <c r="H64" s="8" t="n"/>
      <c r="I64" s="9">
        <f>IF(H64="","",ROUND(H64/3.305785,3))</f>
        <v/>
      </c>
      <c r="J64" s="7" t="n"/>
      <c r="K64" s="7" t="n"/>
      <c r="L64" s="10">
        <f>IF(OR(J64="",K64="",K64=0),"",ROUND(J64/K64,6))</f>
        <v/>
      </c>
      <c r="M64" s="9">
        <f>IF(OR(H64="",J64="",K64="",K64=0),"",ROUND(H64*J64/K64/3.305785,3))</f>
        <v/>
      </c>
      <c r="N64" s="7" t="n"/>
      <c r="O64" s="11" t="n"/>
      <c r="P64" s="11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12">
        <f>IF(A64="","",IF(OR(B64="",C64="",D64="",E64="",G64="",H64="",J64="",K64=""),"必填欄位未完整",""))</f>
        <v/>
      </c>
      <c r="AB64" s="12">
        <f>IF(A64="","",A64&amp;"|"&amp;G64)</f>
        <v/>
      </c>
    </row>
    <row r="65" ht="24" customHeight="1">
      <c r="A65" s="7" t="n"/>
      <c r="B65" s="7" t="n"/>
      <c r="C65" s="7" t="n"/>
      <c r="D65" s="7" t="n"/>
      <c r="E65" s="7" t="n"/>
      <c r="F65" s="7" t="n"/>
      <c r="G65" s="7" t="n"/>
      <c r="H65" s="8" t="n"/>
      <c r="I65" s="9">
        <f>IF(H65="","",ROUND(H65/3.305785,3))</f>
        <v/>
      </c>
      <c r="J65" s="7" t="n"/>
      <c r="K65" s="7" t="n"/>
      <c r="L65" s="10">
        <f>IF(OR(J65="",K65="",K65=0),"",ROUND(J65/K65,6))</f>
        <v/>
      </c>
      <c r="M65" s="9">
        <f>IF(OR(H65="",J65="",K65="",K65=0),"",ROUND(H65*J65/K65/3.305785,3))</f>
        <v/>
      </c>
      <c r="N65" s="7" t="n"/>
      <c r="O65" s="11" t="n"/>
      <c r="P65" s="11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12">
        <f>IF(A65="","",IF(OR(B65="",C65="",D65="",E65="",G65="",H65="",J65="",K65=""),"必填欄位未完整",""))</f>
        <v/>
      </c>
      <c r="AB65" s="12">
        <f>IF(A65="","",A65&amp;"|"&amp;G65)</f>
        <v/>
      </c>
    </row>
    <row r="66" ht="24" customHeight="1">
      <c r="A66" s="7" t="n"/>
      <c r="B66" s="7" t="n"/>
      <c r="C66" s="7" t="n"/>
      <c r="D66" s="7" t="n"/>
      <c r="E66" s="7" t="n"/>
      <c r="F66" s="7" t="n"/>
      <c r="G66" s="7" t="n"/>
      <c r="H66" s="8" t="n"/>
      <c r="I66" s="9">
        <f>IF(H66="","",ROUND(H66/3.305785,3))</f>
        <v/>
      </c>
      <c r="J66" s="7" t="n"/>
      <c r="K66" s="7" t="n"/>
      <c r="L66" s="10">
        <f>IF(OR(J66="",K66="",K66=0),"",ROUND(J66/K66,6))</f>
        <v/>
      </c>
      <c r="M66" s="9">
        <f>IF(OR(H66="",J66="",K66="",K66=0),"",ROUND(H66*J66/K66/3.305785,3))</f>
        <v/>
      </c>
      <c r="N66" s="7" t="n"/>
      <c r="O66" s="11" t="n"/>
      <c r="P66" s="11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12">
        <f>IF(A66="","",IF(OR(B66="",C66="",D66="",E66="",G66="",H66="",J66="",K66=""),"必填欄位未完整",""))</f>
        <v/>
      </c>
      <c r="AB66" s="12">
        <f>IF(A66="","",A66&amp;"|"&amp;G66)</f>
        <v/>
      </c>
    </row>
    <row r="67" ht="24" customHeight="1">
      <c r="A67" s="7" t="n"/>
      <c r="B67" s="7" t="n"/>
      <c r="C67" s="7" t="n"/>
      <c r="D67" s="7" t="n"/>
      <c r="E67" s="7" t="n"/>
      <c r="F67" s="7" t="n"/>
      <c r="G67" s="7" t="n"/>
      <c r="H67" s="8" t="n"/>
      <c r="I67" s="9">
        <f>IF(H67="","",ROUND(H67/3.305785,3))</f>
        <v/>
      </c>
      <c r="J67" s="7" t="n"/>
      <c r="K67" s="7" t="n"/>
      <c r="L67" s="10">
        <f>IF(OR(J67="",K67="",K67=0),"",ROUND(J67/K67,6))</f>
        <v/>
      </c>
      <c r="M67" s="9">
        <f>IF(OR(H67="",J67="",K67="",K67=0),"",ROUND(H67*J67/K67/3.305785,3))</f>
        <v/>
      </c>
      <c r="N67" s="7" t="n"/>
      <c r="O67" s="11" t="n"/>
      <c r="P67" s="11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12">
        <f>IF(A67="","",IF(OR(B67="",C67="",D67="",E67="",G67="",H67="",J67="",K67=""),"必填欄位未完整",""))</f>
        <v/>
      </c>
      <c r="AB67" s="12">
        <f>IF(A67="","",A67&amp;"|"&amp;G67)</f>
        <v/>
      </c>
    </row>
    <row r="68" ht="24" customHeight="1">
      <c r="A68" s="7" t="n"/>
      <c r="B68" s="7" t="n"/>
      <c r="C68" s="7" t="n"/>
      <c r="D68" s="7" t="n"/>
      <c r="E68" s="7" t="n"/>
      <c r="F68" s="7" t="n"/>
      <c r="G68" s="7" t="n"/>
      <c r="H68" s="8" t="n"/>
      <c r="I68" s="9">
        <f>IF(H68="","",ROUND(H68/3.305785,3))</f>
        <v/>
      </c>
      <c r="J68" s="7" t="n"/>
      <c r="K68" s="7" t="n"/>
      <c r="L68" s="10">
        <f>IF(OR(J68="",K68="",K68=0),"",ROUND(J68/K68,6))</f>
        <v/>
      </c>
      <c r="M68" s="9">
        <f>IF(OR(H68="",J68="",K68="",K68=0),"",ROUND(H68*J68/K68/3.305785,3))</f>
        <v/>
      </c>
      <c r="N68" s="7" t="n"/>
      <c r="O68" s="11" t="n"/>
      <c r="P68" s="11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12">
        <f>IF(A68="","",IF(OR(B68="",C68="",D68="",E68="",G68="",H68="",J68="",K68=""),"必填欄位未完整",""))</f>
        <v/>
      </c>
      <c r="AB68" s="12">
        <f>IF(A68="","",A68&amp;"|"&amp;G68)</f>
        <v/>
      </c>
    </row>
    <row r="69" ht="24" customHeight="1">
      <c r="A69" s="7" t="n"/>
      <c r="B69" s="7" t="n"/>
      <c r="C69" s="7" t="n"/>
      <c r="D69" s="7" t="n"/>
      <c r="E69" s="7" t="n"/>
      <c r="F69" s="7" t="n"/>
      <c r="G69" s="7" t="n"/>
      <c r="H69" s="8" t="n"/>
      <c r="I69" s="9">
        <f>IF(H69="","",ROUND(H69/3.305785,3))</f>
        <v/>
      </c>
      <c r="J69" s="7" t="n"/>
      <c r="K69" s="7" t="n"/>
      <c r="L69" s="10">
        <f>IF(OR(J69="",K69="",K69=0),"",ROUND(J69/K69,6))</f>
        <v/>
      </c>
      <c r="M69" s="9">
        <f>IF(OR(H69="",J69="",K69="",K69=0),"",ROUND(H69*J69/K69/3.305785,3))</f>
        <v/>
      </c>
      <c r="N69" s="7" t="n"/>
      <c r="O69" s="11" t="n"/>
      <c r="P69" s="11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12">
        <f>IF(A69="","",IF(OR(B69="",C69="",D69="",E69="",G69="",H69="",J69="",K69=""),"必填欄位未完整",""))</f>
        <v/>
      </c>
      <c r="AB69" s="12">
        <f>IF(A69="","",A69&amp;"|"&amp;G69)</f>
        <v/>
      </c>
    </row>
    <row r="70" ht="24" customHeight="1">
      <c r="A70" s="7" t="n"/>
      <c r="B70" s="7" t="n"/>
      <c r="C70" s="7" t="n"/>
      <c r="D70" s="7" t="n"/>
      <c r="E70" s="7" t="n"/>
      <c r="F70" s="7" t="n"/>
      <c r="G70" s="7" t="n"/>
      <c r="H70" s="8" t="n"/>
      <c r="I70" s="9">
        <f>IF(H70="","",ROUND(H70/3.305785,3))</f>
        <v/>
      </c>
      <c r="J70" s="7" t="n"/>
      <c r="K70" s="7" t="n"/>
      <c r="L70" s="10">
        <f>IF(OR(J70="",K70="",K70=0),"",ROUND(J70/K70,6))</f>
        <v/>
      </c>
      <c r="M70" s="9">
        <f>IF(OR(H70="",J70="",K70="",K70=0),"",ROUND(H70*J70/K70/3.305785,3))</f>
        <v/>
      </c>
      <c r="N70" s="7" t="n"/>
      <c r="O70" s="11" t="n"/>
      <c r="P70" s="11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12">
        <f>IF(A70="","",IF(OR(B70="",C70="",D70="",E70="",G70="",H70="",J70="",K70=""),"必填欄位未完整",""))</f>
        <v/>
      </c>
      <c r="AB70" s="12">
        <f>IF(A70="","",A70&amp;"|"&amp;G70)</f>
        <v/>
      </c>
    </row>
    <row r="71" ht="24" customHeight="1">
      <c r="A71" s="7" t="n"/>
      <c r="B71" s="7" t="n"/>
      <c r="C71" s="7" t="n"/>
      <c r="D71" s="7" t="n"/>
      <c r="E71" s="7" t="n"/>
      <c r="F71" s="7" t="n"/>
      <c r="G71" s="7" t="n"/>
      <c r="H71" s="8" t="n"/>
      <c r="I71" s="9">
        <f>IF(H71="","",ROUND(H71/3.305785,3))</f>
        <v/>
      </c>
      <c r="J71" s="7" t="n"/>
      <c r="K71" s="7" t="n"/>
      <c r="L71" s="10">
        <f>IF(OR(J71="",K71="",K71=0),"",ROUND(J71/K71,6))</f>
        <v/>
      </c>
      <c r="M71" s="9">
        <f>IF(OR(H71="",J71="",K71="",K71=0),"",ROUND(H71*J71/K71/3.305785,3))</f>
        <v/>
      </c>
      <c r="N71" s="7" t="n"/>
      <c r="O71" s="11" t="n"/>
      <c r="P71" s="11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12">
        <f>IF(A71="","",IF(OR(B71="",C71="",D71="",E71="",G71="",H71="",J71="",K71=""),"必填欄位未完整",""))</f>
        <v/>
      </c>
      <c r="AB71" s="12">
        <f>IF(A71="","",A71&amp;"|"&amp;G71)</f>
        <v/>
      </c>
    </row>
    <row r="72" ht="24" customHeight="1">
      <c r="A72" s="7" t="n"/>
      <c r="B72" s="7" t="n"/>
      <c r="C72" s="7" t="n"/>
      <c r="D72" s="7" t="n"/>
      <c r="E72" s="7" t="n"/>
      <c r="F72" s="7" t="n"/>
      <c r="G72" s="7" t="n"/>
      <c r="H72" s="8" t="n"/>
      <c r="I72" s="9">
        <f>IF(H72="","",ROUND(H72/3.305785,3))</f>
        <v/>
      </c>
      <c r="J72" s="7" t="n"/>
      <c r="K72" s="7" t="n"/>
      <c r="L72" s="10">
        <f>IF(OR(J72="",K72="",K72=0),"",ROUND(J72/K72,6))</f>
        <v/>
      </c>
      <c r="M72" s="9">
        <f>IF(OR(H72="",J72="",K72="",K72=0),"",ROUND(H72*J72/K72/3.305785,3))</f>
        <v/>
      </c>
      <c r="N72" s="7" t="n"/>
      <c r="O72" s="11" t="n"/>
      <c r="P72" s="11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12">
        <f>IF(A72="","",IF(OR(B72="",C72="",D72="",E72="",G72="",H72="",J72="",K72=""),"必填欄位未完整",""))</f>
        <v/>
      </c>
      <c r="AB72" s="12">
        <f>IF(A72="","",A72&amp;"|"&amp;G72)</f>
        <v/>
      </c>
    </row>
    <row r="73" ht="24" customHeight="1">
      <c r="A73" s="7" t="n"/>
      <c r="B73" s="7" t="n"/>
      <c r="C73" s="7" t="n"/>
      <c r="D73" s="7" t="n"/>
      <c r="E73" s="7" t="n"/>
      <c r="F73" s="7" t="n"/>
      <c r="G73" s="7" t="n"/>
      <c r="H73" s="8" t="n"/>
      <c r="I73" s="9">
        <f>IF(H73="","",ROUND(H73/3.305785,3))</f>
        <v/>
      </c>
      <c r="J73" s="7" t="n"/>
      <c r="K73" s="7" t="n"/>
      <c r="L73" s="10">
        <f>IF(OR(J73="",K73="",K73=0),"",ROUND(J73/K73,6))</f>
        <v/>
      </c>
      <c r="M73" s="9">
        <f>IF(OR(H73="",J73="",K73="",K73=0),"",ROUND(H73*J73/K73/3.305785,3))</f>
        <v/>
      </c>
      <c r="N73" s="7" t="n"/>
      <c r="O73" s="11" t="n"/>
      <c r="P73" s="11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12">
        <f>IF(A73="","",IF(OR(B73="",C73="",D73="",E73="",G73="",H73="",J73="",K73=""),"必填欄位未完整",""))</f>
        <v/>
      </c>
      <c r="AB73" s="12">
        <f>IF(A73="","",A73&amp;"|"&amp;G73)</f>
        <v/>
      </c>
    </row>
    <row r="74" ht="24" customHeight="1">
      <c r="A74" s="7" t="n"/>
      <c r="B74" s="7" t="n"/>
      <c r="C74" s="7" t="n"/>
      <c r="D74" s="7" t="n"/>
      <c r="E74" s="7" t="n"/>
      <c r="F74" s="7" t="n"/>
      <c r="G74" s="7" t="n"/>
      <c r="H74" s="8" t="n"/>
      <c r="I74" s="9">
        <f>IF(H74="","",ROUND(H74/3.305785,3))</f>
        <v/>
      </c>
      <c r="J74" s="7" t="n"/>
      <c r="K74" s="7" t="n"/>
      <c r="L74" s="10">
        <f>IF(OR(J74="",K74="",K74=0),"",ROUND(J74/K74,6))</f>
        <v/>
      </c>
      <c r="M74" s="9">
        <f>IF(OR(H74="",J74="",K74="",K74=0),"",ROUND(H74*J74/K74/3.305785,3))</f>
        <v/>
      </c>
      <c r="N74" s="7" t="n"/>
      <c r="O74" s="11" t="n"/>
      <c r="P74" s="11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12">
        <f>IF(A74="","",IF(OR(B74="",C74="",D74="",E74="",G74="",H74="",J74="",K74=""),"必填欄位未完整",""))</f>
        <v/>
      </c>
      <c r="AB74" s="12">
        <f>IF(A74="","",A74&amp;"|"&amp;G74)</f>
        <v/>
      </c>
    </row>
    <row r="75" ht="24" customHeight="1">
      <c r="A75" s="7" t="n"/>
      <c r="B75" s="7" t="n"/>
      <c r="C75" s="7" t="n"/>
      <c r="D75" s="7" t="n"/>
      <c r="E75" s="7" t="n"/>
      <c r="F75" s="7" t="n"/>
      <c r="G75" s="7" t="n"/>
      <c r="H75" s="8" t="n"/>
      <c r="I75" s="9">
        <f>IF(H75="","",ROUND(H75/3.305785,3))</f>
        <v/>
      </c>
      <c r="J75" s="7" t="n"/>
      <c r="K75" s="7" t="n"/>
      <c r="L75" s="10">
        <f>IF(OR(J75="",K75="",K75=0),"",ROUND(J75/K75,6))</f>
        <v/>
      </c>
      <c r="M75" s="9">
        <f>IF(OR(H75="",J75="",K75="",K75=0),"",ROUND(H75*J75/K75/3.305785,3))</f>
        <v/>
      </c>
      <c r="N75" s="7" t="n"/>
      <c r="O75" s="11" t="n"/>
      <c r="P75" s="11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12">
        <f>IF(A75="","",IF(OR(B75="",C75="",D75="",E75="",G75="",H75="",J75="",K75=""),"必填欄位未完整",""))</f>
        <v/>
      </c>
      <c r="AB75" s="12">
        <f>IF(A75="","",A75&amp;"|"&amp;G75)</f>
        <v/>
      </c>
    </row>
    <row r="76" ht="24" customHeight="1">
      <c r="A76" s="7" t="n"/>
      <c r="B76" s="7" t="n"/>
      <c r="C76" s="7" t="n"/>
      <c r="D76" s="7" t="n"/>
      <c r="E76" s="7" t="n"/>
      <c r="F76" s="7" t="n"/>
      <c r="G76" s="7" t="n"/>
      <c r="H76" s="8" t="n"/>
      <c r="I76" s="9">
        <f>IF(H76="","",ROUND(H76/3.305785,3))</f>
        <v/>
      </c>
      <c r="J76" s="7" t="n"/>
      <c r="K76" s="7" t="n"/>
      <c r="L76" s="10">
        <f>IF(OR(J76="",K76="",K76=0),"",ROUND(J76/K76,6))</f>
        <v/>
      </c>
      <c r="M76" s="9">
        <f>IF(OR(H76="",J76="",K76="",K76=0),"",ROUND(H76*J76/K76/3.305785,3))</f>
        <v/>
      </c>
      <c r="N76" s="7" t="n"/>
      <c r="O76" s="11" t="n"/>
      <c r="P76" s="11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12">
        <f>IF(A76="","",IF(OR(B76="",C76="",D76="",E76="",G76="",H76="",J76="",K76=""),"必填欄位未完整",""))</f>
        <v/>
      </c>
      <c r="AB76" s="12">
        <f>IF(A76="","",A76&amp;"|"&amp;G76)</f>
        <v/>
      </c>
    </row>
    <row r="77" ht="24" customHeight="1">
      <c r="A77" s="7" t="n"/>
      <c r="B77" s="7" t="n"/>
      <c r="C77" s="7" t="n"/>
      <c r="D77" s="7" t="n"/>
      <c r="E77" s="7" t="n"/>
      <c r="F77" s="7" t="n"/>
      <c r="G77" s="7" t="n"/>
      <c r="H77" s="8" t="n"/>
      <c r="I77" s="9">
        <f>IF(H77="","",ROUND(H77/3.305785,3))</f>
        <v/>
      </c>
      <c r="J77" s="7" t="n"/>
      <c r="K77" s="7" t="n"/>
      <c r="L77" s="10">
        <f>IF(OR(J77="",K77="",K77=0),"",ROUND(J77/K77,6))</f>
        <v/>
      </c>
      <c r="M77" s="9">
        <f>IF(OR(H77="",J77="",K77="",K77=0),"",ROUND(H77*J77/K77/3.305785,3))</f>
        <v/>
      </c>
      <c r="N77" s="7" t="n"/>
      <c r="O77" s="11" t="n"/>
      <c r="P77" s="11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12">
        <f>IF(A77="","",IF(OR(B77="",C77="",D77="",E77="",G77="",H77="",J77="",K77=""),"必填欄位未完整",""))</f>
        <v/>
      </c>
      <c r="AB77" s="12">
        <f>IF(A77="","",A77&amp;"|"&amp;G77)</f>
        <v/>
      </c>
    </row>
    <row r="78" ht="24" customHeight="1">
      <c r="A78" s="7" t="n"/>
      <c r="B78" s="7" t="n"/>
      <c r="C78" s="7" t="n"/>
      <c r="D78" s="7" t="n"/>
      <c r="E78" s="7" t="n"/>
      <c r="F78" s="7" t="n"/>
      <c r="G78" s="7" t="n"/>
      <c r="H78" s="8" t="n"/>
      <c r="I78" s="9">
        <f>IF(H78="","",ROUND(H78/3.305785,3))</f>
        <v/>
      </c>
      <c r="J78" s="7" t="n"/>
      <c r="K78" s="7" t="n"/>
      <c r="L78" s="10">
        <f>IF(OR(J78="",K78="",K78=0),"",ROUND(J78/K78,6))</f>
        <v/>
      </c>
      <c r="M78" s="9">
        <f>IF(OR(H78="",J78="",K78="",K78=0),"",ROUND(H78*J78/K78/3.305785,3))</f>
        <v/>
      </c>
      <c r="N78" s="7" t="n"/>
      <c r="O78" s="11" t="n"/>
      <c r="P78" s="11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12">
        <f>IF(A78="","",IF(OR(B78="",C78="",D78="",E78="",G78="",H78="",J78="",K78=""),"必填欄位未完整",""))</f>
        <v/>
      </c>
      <c r="AB78" s="12">
        <f>IF(A78="","",A78&amp;"|"&amp;G78)</f>
        <v/>
      </c>
    </row>
    <row r="79" ht="24" customHeight="1">
      <c r="A79" s="7" t="n"/>
      <c r="B79" s="7" t="n"/>
      <c r="C79" s="7" t="n"/>
      <c r="D79" s="7" t="n"/>
      <c r="E79" s="7" t="n"/>
      <c r="F79" s="7" t="n"/>
      <c r="G79" s="7" t="n"/>
      <c r="H79" s="8" t="n"/>
      <c r="I79" s="9">
        <f>IF(H79="","",ROUND(H79/3.305785,3))</f>
        <v/>
      </c>
      <c r="J79" s="7" t="n"/>
      <c r="K79" s="7" t="n"/>
      <c r="L79" s="10">
        <f>IF(OR(J79="",K79="",K79=0),"",ROUND(J79/K79,6))</f>
        <v/>
      </c>
      <c r="M79" s="9">
        <f>IF(OR(H79="",J79="",K79="",K79=0),"",ROUND(H79*J79/K79/3.305785,3))</f>
        <v/>
      </c>
      <c r="N79" s="7" t="n"/>
      <c r="O79" s="11" t="n"/>
      <c r="P79" s="11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12">
        <f>IF(A79="","",IF(OR(B79="",C79="",D79="",E79="",G79="",H79="",J79="",K79=""),"必填欄位未完整",""))</f>
        <v/>
      </c>
      <c r="AB79" s="12">
        <f>IF(A79="","",A79&amp;"|"&amp;G79)</f>
        <v/>
      </c>
    </row>
    <row r="80" ht="24" customHeight="1">
      <c r="A80" s="7" t="n"/>
      <c r="B80" s="7" t="n"/>
      <c r="C80" s="7" t="n"/>
      <c r="D80" s="7" t="n"/>
      <c r="E80" s="7" t="n"/>
      <c r="F80" s="7" t="n"/>
      <c r="G80" s="7" t="n"/>
      <c r="H80" s="8" t="n"/>
      <c r="I80" s="9">
        <f>IF(H80="","",ROUND(H80/3.305785,3))</f>
        <v/>
      </c>
      <c r="J80" s="7" t="n"/>
      <c r="K80" s="7" t="n"/>
      <c r="L80" s="10">
        <f>IF(OR(J80="",K80="",K80=0),"",ROUND(J80/K80,6))</f>
        <v/>
      </c>
      <c r="M80" s="9">
        <f>IF(OR(H80="",J80="",K80="",K80=0),"",ROUND(H80*J80/K80/3.305785,3))</f>
        <v/>
      </c>
      <c r="N80" s="7" t="n"/>
      <c r="O80" s="11" t="n"/>
      <c r="P80" s="11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12">
        <f>IF(A80="","",IF(OR(B80="",C80="",D80="",E80="",G80="",H80="",J80="",K80=""),"必填欄位未完整",""))</f>
        <v/>
      </c>
      <c r="AB80" s="12">
        <f>IF(A80="","",A80&amp;"|"&amp;G80)</f>
        <v/>
      </c>
    </row>
    <row r="81" ht="24" customHeight="1">
      <c r="A81" s="7" t="n"/>
      <c r="B81" s="7" t="n"/>
      <c r="C81" s="7" t="n"/>
      <c r="D81" s="7" t="n"/>
      <c r="E81" s="7" t="n"/>
      <c r="F81" s="7" t="n"/>
      <c r="G81" s="7" t="n"/>
      <c r="H81" s="8" t="n"/>
      <c r="I81" s="9">
        <f>IF(H81="","",ROUND(H81/3.305785,3))</f>
        <v/>
      </c>
      <c r="J81" s="7" t="n"/>
      <c r="K81" s="7" t="n"/>
      <c r="L81" s="10">
        <f>IF(OR(J81="",K81="",K81=0),"",ROUND(J81/K81,6))</f>
        <v/>
      </c>
      <c r="M81" s="9">
        <f>IF(OR(H81="",J81="",K81="",K81=0),"",ROUND(H81*J81/K81/3.305785,3))</f>
        <v/>
      </c>
      <c r="N81" s="7" t="n"/>
      <c r="O81" s="11" t="n"/>
      <c r="P81" s="11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12">
        <f>IF(A81="","",IF(OR(B81="",C81="",D81="",E81="",G81="",H81="",J81="",K81=""),"必填欄位未完整",""))</f>
        <v/>
      </c>
      <c r="AB81" s="12">
        <f>IF(A81="","",A81&amp;"|"&amp;G81)</f>
        <v/>
      </c>
    </row>
    <row r="82" ht="24" customHeight="1">
      <c r="A82" s="7" t="n"/>
      <c r="B82" s="7" t="n"/>
      <c r="C82" s="7" t="n"/>
      <c r="D82" s="7" t="n"/>
      <c r="E82" s="7" t="n"/>
      <c r="F82" s="7" t="n"/>
      <c r="G82" s="7" t="n"/>
      <c r="H82" s="8" t="n"/>
      <c r="I82" s="9">
        <f>IF(H82="","",ROUND(H82/3.305785,3))</f>
        <v/>
      </c>
      <c r="J82" s="7" t="n"/>
      <c r="K82" s="7" t="n"/>
      <c r="L82" s="10">
        <f>IF(OR(J82="",K82="",K82=0),"",ROUND(J82/K82,6))</f>
        <v/>
      </c>
      <c r="M82" s="9">
        <f>IF(OR(H82="",J82="",K82="",K82=0),"",ROUND(H82*J82/K82/3.305785,3))</f>
        <v/>
      </c>
      <c r="N82" s="7" t="n"/>
      <c r="O82" s="11" t="n"/>
      <c r="P82" s="11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12">
        <f>IF(A82="","",IF(OR(B82="",C82="",D82="",E82="",G82="",H82="",J82="",K82=""),"必填欄位未完整",""))</f>
        <v/>
      </c>
      <c r="AB82" s="12">
        <f>IF(A82="","",A82&amp;"|"&amp;G82)</f>
        <v/>
      </c>
    </row>
    <row r="83" ht="24" customHeight="1">
      <c r="A83" s="7" t="n"/>
      <c r="B83" s="7" t="n"/>
      <c r="C83" s="7" t="n"/>
      <c r="D83" s="7" t="n"/>
      <c r="E83" s="7" t="n"/>
      <c r="F83" s="7" t="n"/>
      <c r="G83" s="7" t="n"/>
      <c r="H83" s="8" t="n"/>
      <c r="I83" s="9">
        <f>IF(H83="","",ROUND(H83/3.305785,3))</f>
        <v/>
      </c>
      <c r="J83" s="7" t="n"/>
      <c r="K83" s="7" t="n"/>
      <c r="L83" s="10">
        <f>IF(OR(J83="",K83="",K83=0),"",ROUND(J83/K83,6))</f>
        <v/>
      </c>
      <c r="M83" s="9">
        <f>IF(OR(H83="",J83="",K83="",K83=0),"",ROUND(H83*J83/K83/3.305785,3))</f>
        <v/>
      </c>
      <c r="N83" s="7" t="n"/>
      <c r="O83" s="11" t="n"/>
      <c r="P83" s="11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12">
        <f>IF(A83="","",IF(OR(B83="",C83="",D83="",E83="",G83="",H83="",J83="",K83=""),"必填欄位未完整",""))</f>
        <v/>
      </c>
      <c r="AB83" s="12">
        <f>IF(A83="","",A83&amp;"|"&amp;G83)</f>
        <v/>
      </c>
    </row>
    <row r="84" ht="24" customHeight="1">
      <c r="A84" s="7" t="n"/>
      <c r="B84" s="7" t="n"/>
      <c r="C84" s="7" t="n"/>
      <c r="D84" s="7" t="n"/>
      <c r="E84" s="7" t="n"/>
      <c r="F84" s="7" t="n"/>
      <c r="G84" s="7" t="n"/>
      <c r="H84" s="8" t="n"/>
      <c r="I84" s="9">
        <f>IF(H84="","",ROUND(H84/3.305785,3))</f>
        <v/>
      </c>
      <c r="J84" s="7" t="n"/>
      <c r="K84" s="7" t="n"/>
      <c r="L84" s="10">
        <f>IF(OR(J84="",K84="",K84=0),"",ROUND(J84/K84,6))</f>
        <v/>
      </c>
      <c r="M84" s="9">
        <f>IF(OR(H84="",J84="",K84="",K84=0),"",ROUND(H84*J84/K84/3.305785,3))</f>
        <v/>
      </c>
      <c r="N84" s="7" t="n"/>
      <c r="O84" s="11" t="n"/>
      <c r="P84" s="11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12">
        <f>IF(A84="","",IF(OR(B84="",C84="",D84="",E84="",G84="",H84="",J84="",K84=""),"必填欄位未完整",""))</f>
        <v/>
      </c>
      <c r="AB84" s="12">
        <f>IF(A84="","",A84&amp;"|"&amp;G84)</f>
        <v/>
      </c>
    </row>
    <row r="85" ht="24" customHeight="1">
      <c r="A85" s="7" t="n"/>
      <c r="B85" s="7" t="n"/>
      <c r="C85" s="7" t="n"/>
      <c r="D85" s="7" t="n"/>
      <c r="E85" s="7" t="n"/>
      <c r="F85" s="7" t="n"/>
      <c r="G85" s="7" t="n"/>
      <c r="H85" s="8" t="n"/>
      <c r="I85" s="9">
        <f>IF(H85="","",ROUND(H85/3.305785,3))</f>
        <v/>
      </c>
      <c r="J85" s="7" t="n"/>
      <c r="K85" s="7" t="n"/>
      <c r="L85" s="10">
        <f>IF(OR(J85="",K85="",K85=0),"",ROUND(J85/K85,6))</f>
        <v/>
      </c>
      <c r="M85" s="9">
        <f>IF(OR(H85="",J85="",K85="",K85=0),"",ROUND(H85*J85/K85/3.305785,3))</f>
        <v/>
      </c>
      <c r="N85" s="7" t="n"/>
      <c r="O85" s="11" t="n"/>
      <c r="P85" s="11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12">
        <f>IF(A85="","",IF(OR(B85="",C85="",D85="",E85="",G85="",H85="",J85="",K85=""),"必填欄位未完整",""))</f>
        <v/>
      </c>
      <c r="AB85" s="12">
        <f>IF(A85="","",A85&amp;"|"&amp;G85)</f>
        <v/>
      </c>
    </row>
    <row r="86" ht="24" customHeight="1">
      <c r="A86" s="7" t="n"/>
      <c r="B86" s="7" t="n"/>
      <c r="C86" s="7" t="n"/>
      <c r="D86" s="7" t="n"/>
      <c r="E86" s="7" t="n"/>
      <c r="F86" s="7" t="n"/>
      <c r="G86" s="7" t="n"/>
      <c r="H86" s="8" t="n"/>
      <c r="I86" s="9">
        <f>IF(H86="","",ROUND(H86/3.305785,3))</f>
        <v/>
      </c>
      <c r="J86" s="7" t="n"/>
      <c r="K86" s="7" t="n"/>
      <c r="L86" s="10">
        <f>IF(OR(J86="",K86="",K86=0),"",ROUND(J86/K86,6))</f>
        <v/>
      </c>
      <c r="M86" s="9">
        <f>IF(OR(H86="",J86="",K86="",K86=0),"",ROUND(H86*J86/K86/3.305785,3))</f>
        <v/>
      </c>
      <c r="N86" s="7" t="n"/>
      <c r="O86" s="11" t="n"/>
      <c r="P86" s="11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12">
        <f>IF(A86="","",IF(OR(B86="",C86="",D86="",E86="",G86="",H86="",J86="",K86=""),"必填欄位未完整",""))</f>
        <v/>
      </c>
      <c r="AB86" s="12">
        <f>IF(A86="","",A86&amp;"|"&amp;G86)</f>
        <v/>
      </c>
    </row>
    <row r="87" ht="24" customHeight="1">
      <c r="A87" s="7" t="n"/>
      <c r="B87" s="7" t="n"/>
      <c r="C87" s="7" t="n"/>
      <c r="D87" s="7" t="n"/>
      <c r="E87" s="7" t="n"/>
      <c r="F87" s="7" t="n"/>
      <c r="G87" s="7" t="n"/>
      <c r="H87" s="8" t="n"/>
      <c r="I87" s="9">
        <f>IF(H87="","",ROUND(H87/3.305785,3))</f>
        <v/>
      </c>
      <c r="J87" s="7" t="n"/>
      <c r="K87" s="7" t="n"/>
      <c r="L87" s="10">
        <f>IF(OR(J87="",K87="",K87=0),"",ROUND(J87/K87,6))</f>
        <v/>
      </c>
      <c r="M87" s="9">
        <f>IF(OR(H87="",J87="",K87="",K87=0),"",ROUND(H87*J87/K87/3.305785,3))</f>
        <v/>
      </c>
      <c r="N87" s="7" t="n"/>
      <c r="O87" s="11" t="n"/>
      <c r="P87" s="11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12">
        <f>IF(A87="","",IF(OR(B87="",C87="",D87="",E87="",G87="",H87="",J87="",K87=""),"必填欄位未完整",""))</f>
        <v/>
      </c>
      <c r="AB87" s="12">
        <f>IF(A87="","",A87&amp;"|"&amp;G87)</f>
        <v/>
      </c>
    </row>
    <row r="88" ht="24" customHeight="1">
      <c r="A88" s="7" t="n"/>
      <c r="B88" s="7" t="n"/>
      <c r="C88" s="7" t="n"/>
      <c r="D88" s="7" t="n"/>
      <c r="E88" s="7" t="n"/>
      <c r="F88" s="7" t="n"/>
      <c r="G88" s="7" t="n"/>
      <c r="H88" s="8" t="n"/>
      <c r="I88" s="9">
        <f>IF(H88="","",ROUND(H88/3.305785,3))</f>
        <v/>
      </c>
      <c r="J88" s="7" t="n"/>
      <c r="K88" s="7" t="n"/>
      <c r="L88" s="10">
        <f>IF(OR(J88="",K88="",K88=0),"",ROUND(J88/K88,6))</f>
        <v/>
      </c>
      <c r="M88" s="9">
        <f>IF(OR(H88="",J88="",K88="",K88=0),"",ROUND(H88*J88/K88/3.305785,3))</f>
        <v/>
      </c>
      <c r="N88" s="7" t="n"/>
      <c r="O88" s="11" t="n"/>
      <c r="P88" s="11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12">
        <f>IF(A88="","",IF(OR(B88="",C88="",D88="",E88="",G88="",H88="",J88="",K88=""),"必填欄位未完整",""))</f>
        <v/>
      </c>
      <c r="AB88" s="12">
        <f>IF(A88="","",A88&amp;"|"&amp;G88)</f>
        <v/>
      </c>
    </row>
    <row r="89" ht="24" customHeight="1">
      <c r="A89" s="7" t="n"/>
      <c r="B89" s="7" t="n"/>
      <c r="C89" s="7" t="n"/>
      <c r="D89" s="7" t="n"/>
      <c r="E89" s="7" t="n"/>
      <c r="F89" s="7" t="n"/>
      <c r="G89" s="7" t="n"/>
      <c r="H89" s="8" t="n"/>
      <c r="I89" s="9">
        <f>IF(H89="","",ROUND(H89/3.305785,3))</f>
        <v/>
      </c>
      <c r="J89" s="7" t="n"/>
      <c r="K89" s="7" t="n"/>
      <c r="L89" s="10">
        <f>IF(OR(J89="",K89="",K89=0),"",ROUND(J89/K89,6))</f>
        <v/>
      </c>
      <c r="M89" s="9">
        <f>IF(OR(H89="",J89="",K89="",K89=0),"",ROUND(H89*J89/K89/3.305785,3))</f>
        <v/>
      </c>
      <c r="N89" s="7" t="n"/>
      <c r="O89" s="11" t="n"/>
      <c r="P89" s="11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12">
        <f>IF(A89="","",IF(OR(B89="",C89="",D89="",E89="",G89="",H89="",J89="",K89=""),"必填欄位未完整",""))</f>
        <v/>
      </c>
      <c r="AB89" s="12">
        <f>IF(A89="","",A89&amp;"|"&amp;G89)</f>
        <v/>
      </c>
    </row>
    <row r="90" ht="24" customHeight="1">
      <c r="A90" s="7" t="n"/>
      <c r="B90" s="7" t="n"/>
      <c r="C90" s="7" t="n"/>
      <c r="D90" s="7" t="n"/>
      <c r="E90" s="7" t="n"/>
      <c r="F90" s="7" t="n"/>
      <c r="G90" s="7" t="n"/>
      <c r="H90" s="8" t="n"/>
      <c r="I90" s="9">
        <f>IF(H90="","",ROUND(H90/3.305785,3))</f>
        <v/>
      </c>
      <c r="J90" s="7" t="n"/>
      <c r="K90" s="7" t="n"/>
      <c r="L90" s="10">
        <f>IF(OR(J90="",K90="",K90=0),"",ROUND(J90/K90,6))</f>
        <v/>
      </c>
      <c r="M90" s="9">
        <f>IF(OR(H90="",J90="",K90="",K90=0),"",ROUND(H90*J90/K90/3.305785,3))</f>
        <v/>
      </c>
      <c r="N90" s="7" t="n"/>
      <c r="O90" s="11" t="n"/>
      <c r="P90" s="11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12">
        <f>IF(A90="","",IF(OR(B90="",C90="",D90="",E90="",G90="",H90="",J90="",K90=""),"必填欄位未完整",""))</f>
        <v/>
      </c>
      <c r="AB90" s="12">
        <f>IF(A90="","",A90&amp;"|"&amp;G90)</f>
        <v/>
      </c>
    </row>
    <row r="91" ht="24" customHeight="1">
      <c r="A91" s="7" t="n"/>
      <c r="B91" s="7" t="n"/>
      <c r="C91" s="7" t="n"/>
      <c r="D91" s="7" t="n"/>
      <c r="E91" s="7" t="n"/>
      <c r="F91" s="7" t="n"/>
      <c r="G91" s="7" t="n"/>
      <c r="H91" s="8" t="n"/>
      <c r="I91" s="9">
        <f>IF(H91="","",ROUND(H91/3.305785,3))</f>
        <v/>
      </c>
      <c r="J91" s="7" t="n"/>
      <c r="K91" s="7" t="n"/>
      <c r="L91" s="10">
        <f>IF(OR(J91="",K91="",K91=0),"",ROUND(J91/K91,6))</f>
        <v/>
      </c>
      <c r="M91" s="9">
        <f>IF(OR(H91="",J91="",K91="",K91=0),"",ROUND(H91*J91/K91/3.305785,3))</f>
        <v/>
      </c>
      <c r="N91" s="7" t="n"/>
      <c r="O91" s="11" t="n"/>
      <c r="P91" s="11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12">
        <f>IF(A91="","",IF(OR(B91="",C91="",D91="",E91="",G91="",H91="",J91="",K91=""),"必填欄位未完整",""))</f>
        <v/>
      </c>
      <c r="AB91" s="12">
        <f>IF(A91="","",A91&amp;"|"&amp;G91)</f>
        <v/>
      </c>
    </row>
    <row r="92" ht="24" customHeight="1">
      <c r="A92" s="7" t="n"/>
      <c r="B92" s="7" t="n"/>
      <c r="C92" s="7" t="n"/>
      <c r="D92" s="7" t="n"/>
      <c r="E92" s="7" t="n"/>
      <c r="F92" s="7" t="n"/>
      <c r="G92" s="7" t="n"/>
      <c r="H92" s="8" t="n"/>
      <c r="I92" s="9">
        <f>IF(H92="","",ROUND(H92/3.305785,3))</f>
        <v/>
      </c>
      <c r="J92" s="7" t="n"/>
      <c r="K92" s="7" t="n"/>
      <c r="L92" s="10">
        <f>IF(OR(J92="",K92="",K92=0),"",ROUND(J92/K92,6))</f>
        <v/>
      </c>
      <c r="M92" s="9">
        <f>IF(OR(H92="",J92="",K92="",K92=0),"",ROUND(H92*J92/K92/3.305785,3))</f>
        <v/>
      </c>
      <c r="N92" s="7" t="n"/>
      <c r="O92" s="11" t="n"/>
      <c r="P92" s="11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12">
        <f>IF(A92="","",IF(OR(B92="",C92="",D92="",E92="",G92="",H92="",J92="",K92=""),"必填欄位未完整",""))</f>
        <v/>
      </c>
      <c r="AB92" s="12">
        <f>IF(A92="","",A92&amp;"|"&amp;G92)</f>
        <v/>
      </c>
    </row>
    <row r="93" ht="24" customHeight="1">
      <c r="A93" s="7" t="n"/>
      <c r="B93" s="7" t="n"/>
      <c r="C93" s="7" t="n"/>
      <c r="D93" s="7" t="n"/>
      <c r="E93" s="7" t="n"/>
      <c r="F93" s="7" t="n"/>
      <c r="G93" s="7" t="n"/>
      <c r="H93" s="8" t="n"/>
      <c r="I93" s="9">
        <f>IF(H93="","",ROUND(H93/3.305785,3))</f>
        <v/>
      </c>
      <c r="J93" s="7" t="n"/>
      <c r="K93" s="7" t="n"/>
      <c r="L93" s="10">
        <f>IF(OR(J93="",K93="",K93=0),"",ROUND(J93/K93,6))</f>
        <v/>
      </c>
      <c r="M93" s="9">
        <f>IF(OR(H93="",J93="",K93="",K93=0),"",ROUND(H93*J93/K93/3.305785,3))</f>
        <v/>
      </c>
      <c r="N93" s="7" t="n"/>
      <c r="O93" s="11" t="n"/>
      <c r="P93" s="11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12">
        <f>IF(A93="","",IF(OR(B93="",C93="",D93="",E93="",G93="",H93="",J93="",K93=""),"必填欄位未完整",""))</f>
        <v/>
      </c>
      <c r="AB93" s="12">
        <f>IF(A93="","",A93&amp;"|"&amp;G93)</f>
        <v/>
      </c>
    </row>
    <row r="94" ht="24" customHeight="1">
      <c r="A94" s="7" t="n"/>
      <c r="B94" s="7" t="n"/>
      <c r="C94" s="7" t="n"/>
      <c r="D94" s="7" t="n"/>
      <c r="E94" s="7" t="n"/>
      <c r="F94" s="7" t="n"/>
      <c r="G94" s="7" t="n"/>
      <c r="H94" s="8" t="n"/>
      <c r="I94" s="9">
        <f>IF(H94="","",ROUND(H94/3.305785,3))</f>
        <v/>
      </c>
      <c r="J94" s="7" t="n"/>
      <c r="K94" s="7" t="n"/>
      <c r="L94" s="10">
        <f>IF(OR(J94="",K94="",K94=0),"",ROUND(J94/K94,6))</f>
        <v/>
      </c>
      <c r="M94" s="9">
        <f>IF(OR(H94="",J94="",K94="",K94=0),"",ROUND(H94*J94/K94/3.305785,3))</f>
        <v/>
      </c>
      <c r="N94" s="7" t="n"/>
      <c r="O94" s="11" t="n"/>
      <c r="P94" s="11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12">
        <f>IF(A94="","",IF(OR(B94="",C94="",D94="",E94="",G94="",H94="",J94="",K94=""),"必填欄位未完整",""))</f>
        <v/>
      </c>
      <c r="AB94" s="12">
        <f>IF(A94="","",A94&amp;"|"&amp;G94)</f>
        <v/>
      </c>
    </row>
    <row r="95" ht="24" customHeight="1">
      <c r="A95" s="7" t="n"/>
      <c r="B95" s="7" t="n"/>
      <c r="C95" s="7" t="n"/>
      <c r="D95" s="7" t="n"/>
      <c r="E95" s="7" t="n"/>
      <c r="F95" s="7" t="n"/>
      <c r="G95" s="7" t="n"/>
      <c r="H95" s="8" t="n"/>
      <c r="I95" s="9">
        <f>IF(H95="","",ROUND(H95/3.305785,3))</f>
        <v/>
      </c>
      <c r="J95" s="7" t="n"/>
      <c r="K95" s="7" t="n"/>
      <c r="L95" s="10">
        <f>IF(OR(J95="",K95="",K95=0),"",ROUND(J95/K95,6))</f>
        <v/>
      </c>
      <c r="M95" s="9">
        <f>IF(OR(H95="",J95="",K95="",K95=0),"",ROUND(H95*J95/K95/3.305785,3))</f>
        <v/>
      </c>
      <c r="N95" s="7" t="n"/>
      <c r="O95" s="11" t="n"/>
      <c r="P95" s="11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12">
        <f>IF(A95="","",IF(OR(B95="",C95="",D95="",E95="",G95="",H95="",J95="",K95=""),"必填欄位未完整",""))</f>
        <v/>
      </c>
      <c r="AB95" s="12">
        <f>IF(A95="","",A95&amp;"|"&amp;G95)</f>
        <v/>
      </c>
    </row>
    <row r="96" ht="24" customHeight="1">
      <c r="A96" s="7" t="n"/>
      <c r="B96" s="7" t="n"/>
      <c r="C96" s="7" t="n"/>
      <c r="D96" s="7" t="n"/>
      <c r="E96" s="7" t="n"/>
      <c r="F96" s="7" t="n"/>
      <c r="G96" s="7" t="n"/>
      <c r="H96" s="8" t="n"/>
      <c r="I96" s="9">
        <f>IF(H96="","",ROUND(H96/3.305785,3))</f>
        <v/>
      </c>
      <c r="J96" s="7" t="n"/>
      <c r="K96" s="7" t="n"/>
      <c r="L96" s="10">
        <f>IF(OR(J96="",K96="",K96=0),"",ROUND(J96/K96,6))</f>
        <v/>
      </c>
      <c r="M96" s="9">
        <f>IF(OR(H96="",J96="",K96="",K96=0),"",ROUND(H96*J96/K96/3.305785,3))</f>
        <v/>
      </c>
      <c r="N96" s="7" t="n"/>
      <c r="O96" s="11" t="n"/>
      <c r="P96" s="11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12">
        <f>IF(A96="","",IF(OR(B96="",C96="",D96="",E96="",G96="",H96="",J96="",K96=""),"必填欄位未完整",""))</f>
        <v/>
      </c>
      <c r="AB96" s="12">
        <f>IF(A96="","",A96&amp;"|"&amp;G96)</f>
        <v/>
      </c>
    </row>
    <row r="97" ht="24" customHeight="1">
      <c r="A97" s="7" t="n"/>
      <c r="B97" s="7" t="n"/>
      <c r="C97" s="7" t="n"/>
      <c r="D97" s="7" t="n"/>
      <c r="E97" s="7" t="n"/>
      <c r="F97" s="7" t="n"/>
      <c r="G97" s="7" t="n"/>
      <c r="H97" s="8" t="n"/>
      <c r="I97" s="9">
        <f>IF(H97="","",ROUND(H97/3.305785,3))</f>
        <v/>
      </c>
      <c r="J97" s="7" t="n"/>
      <c r="K97" s="7" t="n"/>
      <c r="L97" s="10">
        <f>IF(OR(J97="",K97="",K97=0),"",ROUND(J97/K97,6))</f>
        <v/>
      </c>
      <c r="M97" s="9">
        <f>IF(OR(H97="",J97="",K97="",K97=0),"",ROUND(H97*J97/K97/3.305785,3))</f>
        <v/>
      </c>
      <c r="N97" s="7" t="n"/>
      <c r="O97" s="11" t="n"/>
      <c r="P97" s="11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12">
        <f>IF(A97="","",IF(OR(B97="",C97="",D97="",E97="",G97="",H97="",J97="",K97=""),"必填欄位未完整",""))</f>
        <v/>
      </c>
      <c r="AB97" s="12">
        <f>IF(A97="","",A97&amp;"|"&amp;G97)</f>
        <v/>
      </c>
    </row>
    <row r="98" ht="24" customHeight="1">
      <c r="A98" s="7" t="n"/>
      <c r="B98" s="7" t="n"/>
      <c r="C98" s="7" t="n"/>
      <c r="D98" s="7" t="n"/>
      <c r="E98" s="7" t="n"/>
      <c r="F98" s="7" t="n"/>
      <c r="G98" s="7" t="n"/>
      <c r="H98" s="8" t="n"/>
      <c r="I98" s="9">
        <f>IF(H98="","",ROUND(H98/3.305785,3))</f>
        <v/>
      </c>
      <c r="J98" s="7" t="n"/>
      <c r="K98" s="7" t="n"/>
      <c r="L98" s="10">
        <f>IF(OR(J98="",K98="",K98=0),"",ROUND(J98/K98,6))</f>
        <v/>
      </c>
      <c r="M98" s="9">
        <f>IF(OR(H98="",J98="",K98="",K98=0),"",ROUND(H98*J98/K98/3.305785,3))</f>
        <v/>
      </c>
      <c r="N98" s="7" t="n"/>
      <c r="O98" s="11" t="n"/>
      <c r="P98" s="11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12">
        <f>IF(A98="","",IF(OR(B98="",C98="",D98="",E98="",G98="",H98="",J98="",K98=""),"必填欄位未完整",""))</f>
        <v/>
      </c>
      <c r="AB98" s="12">
        <f>IF(A98="","",A98&amp;"|"&amp;G98)</f>
        <v/>
      </c>
    </row>
    <row r="99" ht="24" customHeight="1">
      <c r="A99" s="7" t="n"/>
      <c r="B99" s="7" t="n"/>
      <c r="C99" s="7" t="n"/>
      <c r="D99" s="7" t="n"/>
      <c r="E99" s="7" t="n"/>
      <c r="F99" s="7" t="n"/>
      <c r="G99" s="7" t="n"/>
      <c r="H99" s="8" t="n"/>
      <c r="I99" s="9">
        <f>IF(H99="","",ROUND(H99/3.305785,3))</f>
        <v/>
      </c>
      <c r="J99" s="7" t="n"/>
      <c r="K99" s="7" t="n"/>
      <c r="L99" s="10">
        <f>IF(OR(J99="",K99="",K99=0),"",ROUND(J99/K99,6))</f>
        <v/>
      </c>
      <c r="M99" s="9">
        <f>IF(OR(H99="",J99="",K99="",K99=0),"",ROUND(H99*J99/K99/3.305785,3))</f>
        <v/>
      </c>
      <c r="N99" s="7" t="n"/>
      <c r="O99" s="11" t="n"/>
      <c r="P99" s="11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12">
        <f>IF(A99="","",IF(OR(B99="",C99="",D99="",E99="",G99="",H99="",J99="",K99=""),"必填欄位未完整",""))</f>
        <v/>
      </c>
      <c r="AB99" s="12">
        <f>IF(A99="","",A99&amp;"|"&amp;G99)</f>
        <v/>
      </c>
    </row>
    <row r="100" ht="24" customHeight="1">
      <c r="A100" s="7" t="n"/>
      <c r="B100" s="7" t="n"/>
      <c r="C100" s="7" t="n"/>
      <c r="D100" s="7" t="n"/>
      <c r="E100" s="7" t="n"/>
      <c r="F100" s="7" t="n"/>
      <c r="G100" s="7" t="n"/>
      <c r="H100" s="8" t="n"/>
      <c r="I100" s="9">
        <f>IF(H100="","",ROUND(H100/3.305785,3))</f>
        <v/>
      </c>
      <c r="J100" s="7" t="n"/>
      <c r="K100" s="7" t="n"/>
      <c r="L100" s="10">
        <f>IF(OR(J100="",K100="",K100=0),"",ROUND(J100/K100,6))</f>
        <v/>
      </c>
      <c r="M100" s="9">
        <f>IF(OR(H100="",J100="",K100="",K100=0),"",ROUND(H100*J100/K100/3.305785,3))</f>
        <v/>
      </c>
      <c r="N100" s="7" t="n"/>
      <c r="O100" s="11" t="n"/>
      <c r="P100" s="11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12">
        <f>IF(A100="","",IF(OR(B100="",C100="",D100="",E100="",G100="",H100="",J100="",K100=""),"必填欄位未完整",""))</f>
        <v/>
      </c>
      <c r="AB100" s="12">
        <f>IF(A100="","",A100&amp;"|"&amp;G100)</f>
        <v/>
      </c>
    </row>
    <row r="101" ht="24" customHeight="1">
      <c r="A101" s="7" t="n"/>
      <c r="B101" s="7" t="n"/>
      <c r="C101" s="7" t="n"/>
      <c r="D101" s="7" t="n"/>
      <c r="E101" s="7" t="n"/>
      <c r="F101" s="7" t="n"/>
      <c r="G101" s="7" t="n"/>
      <c r="H101" s="8" t="n"/>
      <c r="I101" s="9">
        <f>IF(H101="","",ROUND(H101/3.305785,3))</f>
        <v/>
      </c>
      <c r="J101" s="7" t="n"/>
      <c r="K101" s="7" t="n"/>
      <c r="L101" s="10">
        <f>IF(OR(J101="",K101="",K101=0),"",ROUND(J101/K101,6))</f>
        <v/>
      </c>
      <c r="M101" s="9">
        <f>IF(OR(H101="",J101="",K101="",K101=0),"",ROUND(H101*J101/K101/3.305785,3))</f>
        <v/>
      </c>
      <c r="N101" s="7" t="n"/>
      <c r="O101" s="11" t="n"/>
      <c r="P101" s="11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12">
        <f>IF(A101="","",IF(OR(B101="",C101="",D101="",E101="",G101="",H101="",J101="",K101=""),"必填欄位未完整",""))</f>
        <v/>
      </c>
      <c r="AB101" s="12">
        <f>IF(A101="","",A101&amp;"|"&amp;G101)</f>
        <v/>
      </c>
    </row>
    <row r="102" ht="24" customHeight="1">
      <c r="A102" s="7" t="n"/>
      <c r="B102" s="7" t="n"/>
      <c r="C102" s="7" t="n"/>
      <c r="D102" s="7" t="n"/>
      <c r="E102" s="7" t="n"/>
      <c r="F102" s="7" t="n"/>
      <c r="G102" s="7" t="n"/>
      <c r="H102" s="8" t="n"/>
      <c r="I102" s="9">
        <f>IF(H102="","",ROUND(H102/3.305785,3))</f>
        <v/>
      </c>
      <c r="J102" s="7" t="n"/>
      <c r="K102" s="7" t="n"/>
      <c r="L102" s="10">
        <f>IF(OR(J102="",K102="",K102=0),"",ROUND(J102/K102,6))</f>
        <v/>
      </c>
      <c r="M102" s="9">
        <f>IF(OR(H102="",J102="",K102="",K102=0),"",ROUND(H102*J102/K102/3.305785,3))</f>
        <v/>
      </c>
      <c r="N102" s="7" t="n"/>
      <c r="O102" s="11" t="n"/>
      <c r="P102" s="11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12">
        <f>IF(A102="","",IF(OR(B102="",C102="",D102="",E102="",G102="",H102="",J102="",K102=""),"必填欄位未完整",""))</f>
        <v/>
      </c>
      <c r="AB102" s="12">
        <f>IF(A102="","",A102&amp;"|"&amp;G102)</f>
        <v/>
      </c>
    </row>
    <row r="103" ht="24" customHeight="1">
      <c r="A103" s="7" t="n"/>
      <c r="B103" s="7" t="n"/>
      <c r="C103" s="7" t="n"/>
      <c r="D103" s="7" t="n"/>
      <c r="E103" s="7" t="n"/>
      <c r="F103" s="7" t="n"/>
      <c r="G103" s="7" t="n"/>
      <c r="H103" s="8" t="n"/>
      <c r="I103" s="9">
        <f>IF(H103="","",ROUND(H103/3.305785,3))</f>
        <v/>
      </c>
      <c r="J103" s="7" t="n"/>
      <c r="K103" s="7" t="n"/>
      <c r="L103" s="10">
        <f>IF(OR(J103="",K103="",K103=0),"",ROUND(J103/K103,6))</f>
        <v/>
      </c>
      <c r="M103" s="9">
        <f>IF(OR(H103="",J103="",K103="",K103=0),"",ROUND(H103*J103/K103/3.305785,3))</f>
        <v/>
      </c>
      <c r="N103" s="7" t="n"/>
      <c r="O103" s="11" t="n"/>
      <c r="P103" s="11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12">
        <f>IF(A103="","",IF(OR(B103="",C103="",D103="",E103="",G103="",H103="",J103="",K103=""),"必填欄位未完整",""))</f>
        <v/>
      </c>
      <c r="AB103" s="12">
        <f>IF(A103="","",A103&amp;"|"&amp;G103)</f>
        <v/>
      </c>
    </row>
    <row r="104" ht="24" customHeight="1">
      <c r="A104" s="7" t="n"/>
      <c r="B104" s="7" t="n"/>
      <c r="C104" s="7" t="n"/>
      <c r="D104" s="7" t="n"/>
      <c r="E104" s="7" t="n"/>
      <c r="F104" s="7" t="n"/>
      <c r="G104" s="7" t="n"/>
      <c r="H104" s="8" t="n"/>
      <c r="I104" s="9">
        <f>IF(H104="","",ROUND(H104/3.305785,3))</f>
        <v/>
      </c>
      <c r="J104" s="7" t="n"/>
      <c r="K104" s="7" t="n"/>
      <c r="L104" s="10">
        <f>IF(OR(J104="",K104="",K104=0),"",ROUND(J104/K104,6))</f>
        <v/>
      </c>
      <c r="M104" s="9">
        <f>IF(OR(H104="",J104="",K104="",K104=0),"",ROUND(H104*J104/K104/3.305785,3))</f>
        <v/>
      </c>
      <c r="N104" s="7" t="n"/>
      <c r="O104" s="11" t="n"/>
      <c r="P104" s="11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12">
        <f>IF(A104="","",IF(OR(B104="",C104="",D104="",E104="",G104="",H104="",J104="",K104=""),"必填欄位未完整",""))</f>
        <v/>
      </c>
      <c r="AB104" s="12">
        <f>IF(A104="","",A104&amp;"|"&amp;G104)</f>
        <v/>
      </c>
    </row>
    <row r="105" ht="24" customHeight="1">
      <c r="A105" s="7" t="n"/>
      <c r="B105" s="7" t="n"/>
      <c r="C105" s="7" t="n"/>
      <c r="D105" s="7" t="n"/>
      <c r="E105" s="7" t="n"/>
      <c r="F105" s="7" t="n"/>
      <c r="G105" s="7" t="n"/>
      <c r="H105" s="8" t="n"/>
      <c r="I105" s="9">
        <f>IF(H105="","",ROUND(H105/3.305785,3))</f>
        <v/>
      </c>
      <c r="J105" s="7" t="n"/>
      <c r="K105" s="7" t="n"/>
      <c r="L105" s="10">
        <f>IF(OR(J105="",K105="",K105=0),"",ROUND(J105/K105,6))</f>
        <v/>
      </c>
      <c r="M105" s="9">
        <f>IF(OR(H105="",J105="",K105="",K105=0),"",ROUND(H105*J105/K105/3.305785,3))</f>
        <v/>
      </c>
      <c r="N105" s="7" t="n"/>
      <c r="O105" s="11" t="n"/>
      <c r="P105" s="11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12">
        <f>IF(A105="","",IF(OR(B105="",C105="",D105="",E105="",G105="",H105="",J105="",K105=""),"必填欄位未完整",""))</f>
        <v/>
      </c>
      <c r="AB105" s="12">
        <f>IF(A105="","",A105&amp;"|"&amp;G105)</f>
        <v/>
      </c>
    </row>
    <row r="106" ht="24" customHeight="1">
      <c r="A106" s="7" t="n"/>
      <c r="B106" s="7" t="n"/>
      <c r="C106" s="7" t="n"/>
      <c r="D106" s="7" t="n"/>
      <c r="E106" s="7" t="n"/>
      <c r="F106" s="7" t="n"/>
      <c r="G106" s="7" t="n"/>
      <c r="H106" s="8" t="n"/>
      <c r="I106" s="9">
        <f>IF(H106="","",ROUND(H106/3.305785,3))</f>
        <v/>
      </c>
      <c r="J106" s="7" t="n"/>
      <c r="K106" s="7" t="n"/>
      <c r="L106" s="10">
        <f>IF(OR(J106="",K106="",K106=0),"",ROUND(J106/K106,6))</f>
        <v/>
      </c>
      <c r="M106" s="9">
        <f>IF(OR(H106="",J106="",K106="",K106=0),"",ROUND(H106*J106/K106/3.305785,3))</f>
        <v/>
      </c>
      <c r="N106" s="7" t="n"/>
      <c r="O106" s="11" t="n"/>
      <c r="P106" s="11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12">
        <f>IF(A106="","",IF(OR(B106="",C106="",D106="",E106="",G106="",H106="",J106="",K106=""),"必填欄位未完整",""))</f>
        <v/>
      </c>
      <c r="AB106" s="12">
        <f>IF(A106="","",A106&amp;"|"&amp;G106)</f>
        <v/>
      </c>
    </row>
    <row r="107" ht="24" customHeight="1">
      <c r="A107" s="7" t="n"/>
      <c r="B107" s="7" t="n"/>
      <c r="C107" s="7" t="n"/>
      <c r="D107" s="7" t="n"/>
      <c r="E107" s="7" t="n"/>
      <c r="F107" s="7" t="n"/>
      <c r="G107" s="7" t="n"/>
      <c r="H107" s="8" t="n"/>
      <c r="I107" s="9">
        <f>IF(H107="","",ROUND(H107/3.305785,3))</f>
        <v/>
      </c>
      <c r="J107" s="7" t="n"/>
      <c r="K107" s="7" t="n"/>
      <c r="L107" s="10">
        <f>IF(OR(J107="",K107="",K107=0),"",ROUND(J107/K107,6))</f>
        <v/>
      </c>
      <c r="M107" s="9">
        <f>IF(OR(H107="",J107="",K107="",K107=0),"",ROUND(H107*J107/K107/3.305785,3))</f>
        <v/>
      </c>
      <c r="N107" s="7" t="n"/>
      <c r="O107" s="11" t="n"/>
      <c r="P107" s="11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12">
        <f>IF(A107="","",IF(OR(B107="",C107="",D107="",E107="",G107="",H107="",J107="",K107=""),"必填欄位未完整",""))</f>
        <v/>
      </c>
      <c r="AB107" s="12">
        <f>IF(A107="","",A107&amp;"|"&amp;G107)</f>
        <v/>
      </c>
    </row>
    <row r="108" ht="24" customHeight="1">
      <c r="A108" s="7" t="n"/>
      <c r="B108" s="7" t="n"/>
      <c r="C108" s="7" t="n"/>
      <c r="D108" s="7" t="n"/>
      <c r="E108" s="7" t="n"/>
      <c r="F108" s="7" t="n"/>
      <c r="G108" s="7" t="n"/>
      <c r="H108" s="8" t="n"/>
      <c r="I108" s="9">
        <f>IF(H108="","",ROUND(H108/3.305785,3))</f>
        <v/>
      </c>
      <c r="J108" s="7" t="n"/>
      <c r="K108" s="7" t="n"/>
      <c r="L108" s="10">
        <f>IF(OR(J108="",K108="",K108=0),"",ROUND(J108/K108,6))</f>
        <v/>
      </c>
      <c r="M108" s="9">
        <f>IF(OR(H108="",J108="",K108="",K108=0),"",ROUND(H108*J108/K108/3.305785,3))</f>
        <v/>
      </c>
      <c r="N108" s="7" t="n"/>
      <c r="O108" s="11" t="n"/>
      <c r="P108" s="11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12">
        <f>IF(A108="","",IF(OR(B108="",C108="",D108="",E108="",G108="",H108="",J108="",K108=""),"必填欄位未完整",""))</f>
        <v/>
      </c>
      <c r="AB108" s="12">
        <f>IF(A108="","",A108&amp;"|"&amp;G108)</f>
        <v/>
      </c>
    </row>
    <row r="109" ht="24" customHeight="1">
      <c r="A109" s="7" t="n"/>
      <c r="B109" s="7" t="n"/>
      <c r="C109" s="7" t="n"/>
      <c r="D109" s="7" t="n"/>
      <c r="E109" s="7" t="n"/>
      <c r="F109" s="7" t="n"/>
      <c r="G109" s="7" t="n"/>
      <c r="H109" s="8" t="n"/>
      <c r="I109" s="9">
        <f>IF(H109="","",ROUND(H109/3.305785,3))</f>
        <v/>
      </c>
      <c r="J109" s="7" t="n"/>
      <c r="K109" s="7" t="n"/>
      <c r="L109" s="10">
        <f>IF(OR(J109="",K109="",K109=0),"",ROUND(J109/K109,6))</f>
        <v/>
      </c>
      <c r="M109" s="9">
        <f>IF(OR(H109="",J109="",K109="",K109=0),"",ROUND(H109*J109/K109/3.305785,3))</f>
        <v/>
      </c>
      <c r="N109" s="7" t="n"/>
      <c r="O109" s="11" t="n"/>
      <c r="P109" s="11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12">
        <f>IF(A109="","",IF(OR(B109="",C109="",D109="",E109="",G109="",H109="",J109="",K109=""),"必填欄位未完整",""))</f>
        <v/>
      </c>
      <c r="AB109" s="12">
        <f>IF(A109="","",A109&amp;"|"&amp;G109)</f>
        <v/>
      </c>
    </row>
    <row r="110" ht="24" customHeight="1">
      <c r="A110" s="7" t="n"/>
      <c r="B110" s="7" t="n"/>
      <c r="C110" s="7" t="n"/>
      <c r="D110" s="7" t="n"/>
      <c r="E110" s="7" t="n"/>
      <c r="F110" s="7" t="n"/>
      <c r="G110" s="7" t="n"/>
      <c r="H110" s="8" t="n"/>
      <c r="I110" s="9">
        <f>IF(H110="","",ROUND(H110/3.305785,3))</f>
        <v/>
      </c>
      <c r="J110" s="7" t="n"/>
      <c r="K110" s="7" t="n"/>
      <c r="L110" s="10">
        <f>IF(OR(J110="",K110="",K110=0),"",ROUND(J110/K110,6))</f>
        <v/>
      </c>
      <c r="M110" s="9">
        <f>IF(OR(H110="",J110="",K110="",K110=0),"",ROUND(H110*J110/K110/3.305785,3))</f>
        <v/>
      </c>
      <c r="N110" s="7" t="n"/>
      <c r="O110" s="11" t="n"/>
      <c r="P110" s="11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12">
        <f>IF(A110="","",IF(OR(B110="",C110="",D110="",E110="",G110="",H110="",J110="",K110=""),"必填欄位未完整",""))</f>
        <v/>
      </c>
      <c r="AB110" s="12">
        <f>IF(A110="","",A110&amp;"|"&amp;G110)</f>
        <v/>
      </c>
    </row>
    <row r="111" ht="24" customHeight="1">
      <c r="A111" s="7" t="n"/>
      <c r="B111" s="7" t="n"/>
      <c r="C111" s="7" t="n"/>
      <c r="D111" s="7" t="n"/>
      <c r="E111" s="7" t="n"/>
      <c r="F111" s="7" t="n"/>
      <c r="G111" s="7" t="n"/>
      <c r="H111" s="8" t="n"/>
      <c r="I111" s="9">
        <f>IF(H111="","",ROUND(H111/3.305785,3))</f>
        <v/>
      </c>
      <c r="J111" s="7" t="n"/>
      <c r="K111" s="7" t="n"/>
      <c r="L111" s="10">
        <f>IF(OR(J111="",K111="",K111=0),"",ROUND(J111/K111,6))</f>
        <v/>
      </c>
      <c r="M111" s="9">
        <f>IF(OR(H111="",J111="",K111="",K111=0),"",ROUND(H111*J111/K111/3.305785,3))</f>
        <v/>
      </c>
      <c r="N111" s="7" t="n"/>
      <c r="O111" s="11" t="n"/>
      <c r="P111" s="11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12">
        <f>IF(A111="","",IF(OR(B111="",C111="",D111="",E111="",G111="",H111="",J111="",K111=""),"必填欄位未完整",""))</f>
        <v/>
      </c>
      <c r="AB111" s="12">
        <f>IF(A111="","",A111&amp;"|"&amp;G111)</f>
        <v/>
      </c>
    </row>
    <row r="112" ht="24" customHeight="1">
      <c r="A112" s="7" t="n"/>
      <c r="B112" s="7" t="n"/>
      <c r="C112" s="7" t="n"/>
      <c r="D112" s="7" t="n"/>
      <c r="E112" s="7" t="n"/>
      <c r="F112" s="7" t="n"/>
      <c r="G112" s="7" t="n"/>
      <c r="H112" s="8" t="n"/>
      <c r="I112" s="9">
        <f>IF(H112="","",ROUND(H112/3.305785,3))</f>
        <v/>
      </c>
      <c r="J112" s="7" t="n"/>
      <c r="K112" s="7" t="n"/>
      <c r="L112" s="10">
        <f>IF(OR(J112="",K112="",K112=0),"",ROUND(J112/K112,6))</f>
        <v/>
      </c>
      <c r="M112" s="9">
        <f>IF(OR(H112="",J112="",K112="",K112=0),"",ROUND(H112*J112/K112/3.305785,3))</f>
        <v/>
      </c>
      <c r="N112" s="7" t="n"/>
      <c r="O112" s="11" t="n"/>
      <c r="P112" s="11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12">
        <f>IF(A112="","",IF(OR(B112="",C112="",D112="",E112="",G112="",H112="",J112="",K112=""),"必填欄位未完整",""))</f>
        <v/>
      </c>
      <c r="AB112" s="12">
        <f>IF(A112="","",A112&amp;"|"&amp;G112)</f>
        <v/>
      </c>
    </row>
    <row r="113" ht="24" customHeight="1">
      <c r="A113" s="7" t="n"/>
      <c r="B113" s="7" t="n"/>
      <c r="C113" s="7" t="n"/>
      <c r="D113" s="7" t="n"/>
      <c r="E113" s="7" t="n"/>
      <c r="F113" s="7" t="n"/>
      <c r="G113" s="7" t="n"/>
      <c r="H113" s="8" t="n"/>
      <c r="I113" s="9">
        <f>IF(H113="","",ROUND(H113/3.305785,3))</f>
        <v/>
      </c>
      <c r="J113" s="7" t="n"/>
      <c r="K113" s="7" t="n"/>
      <c r="L113" s="10">
        <f>IF(OR(J113="",K113="",K113=0),"",ROUND(J113/K113,6))</f>
        <v/>
      </c>
      <c r="M113" s="9">
        <f>IF(OR(H113="",J113="",K113="",K113=0),"",ROUND(H113*J113/K113/3.305785,3))</f>
        <v/>
      </c>
      <c r="N113" s="7" t="n"/>
      <c r="O113" s="11" t="n"/>
      <c r="P113" s="11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12">
        <f>IF(A113="","",IF(OR(B113="",C113="",D113="",E113="",G113="",H113="",J113="",K113=""),"必填欄位未完整",""))</f>
        <v/>
      </c>
      <c r="AB113" s="12">
        <f>IF(A113="","",A113&amp;"|"&amp;G113)</f>
        <v/>
      </c>
    </row>
    <row r="114" ht="24" customHeight="1">
      <c r="A114" s="7" t="n"/>
      <c r="B114" s="7" t="n"/>
      <c r="C114" s="7" t="n"/>
      <c r="D114" s="7" t="n"/>
      <c r="E114" s="7" t="n"/>
      <c r="F114" s="7" t="n"/>
      <c r="G114" s="7" t="n"/>
      <c r="H114" s="8" t="n"/>
      <c r="I114" s="9">
        <f>IF(H114="","",ROUND(H114/3.305785,3))</f>
        <v/>
      </c>
      <c r="J114" s="7" t="n"/>
      <c r="K114" s="7" t="n"/>
      <c r="L114" s="10">
        <f>IF(OR(J114="",K114="",K114=0),"",ROUND(J114/K114,6))</f>
        <v/>
      </c>
      <c r="M114" s="9">
        <f>IF(OR(H114="",J114="",K114="",K114=0),"",ROUND(H114*J114/K114/3.305785,3))</f>
        <v/>
      </c>
      <c r="N114" s="7" t="n"/>
      <c r="O114" s="11" t="n"/>
      <c r="P114" s="11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12">
        <f>IF(A114="","",IF(OR(B114="",C114="",D114="",E114="",G114="",H114="",J114="",K114=""),"必填欄位未完整",""))</f>
        <v/>
      </c>
      <c r="AB114" s="12">
        <f>IF(A114="","",A114&amp;"|"&amp;G114)</f>
        <v/>
      </c>
    </row>
    <row r="115" ht="24" customHeight="1">
      <c r="A115" s="7" t="n"/>
      <c r="B115" s="7" t="n"/>
      <c r="C115" s="7" t="n"/>
      <c r="D115" s="7" t="n"/>
      <c r="E115" s="7" t="n"/>
      <c r="F115" s="7" t="n"/>
      <c r="G115" s="7" t="n"/>
      <c r="H115" s="8" t="n"/>
      <c r="I115" s="9">
        <f>IF(H115="","",ROUND(H115/3.305785,3))</f>
        <v/>
      </c>
      <c r="J115" s="7" t="n"/>
      <c r="K115" s="7" t="n"/>
      <c r="L115" s="10">
        <f>IF(OR(J115="",K115="",K115=0),"",ROUND(J115/K115,6))</f>
        <v/>
      </c>
      <c r="M115" s="9">
        <f>IF(OR(H115="",J115="",K115="",K115=0),"",ROUND(H115*J115/K115/3.305785,3))</f>
        <v/>
      </c>
      <c r="N115" s="7" t="n"/>
      <c r="O115" s="11" t="n"/>
      <c r="P115" s="11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12">
        <f>IF(A115="","",IF(OR(B115="",C115="",D115="",E115="",G115="",H115="",J115="",K115=""),"必填欄位未完整",""))</f>
        <v/>
      </c>
      <c r="AB115" s="12">
        <f>IF(A115="","",A115&amp;"|"&amp;G115)</f>
        <v/>
      </c>
    </row>
    <row r="116" ht="24" customHeight="1">
      <c r="A116" s="7" t="n"/>
      <c r="B116" s="7" t="n"/>
      <c r="C116" s="7" t="n"/>
      <c r="D116" s="7" t="n"/>
      <c r="E116" s="7" t="n"/>
      <c r="F116" s="7" t="n"/>
      <c r="G116" s="7" t="n"/>
      <c r="H116" s="8" t="n"/>
      <c r="I116" s="9">
        <f>IF(H116="","",ROUND(H116/3.305785,3))</f>
        <v/>
      </c>
      <c r="J116" s="7" t="n"/>
      <c r="K116" s="7" t="n"/>
      <c r="L116" s="10">
        <f>IF(OR(J116="",K116="",K116=0),"",ROUND(J116/K116,6))</f>
        <v/>
      </c>
      <c r="M116" s="9">
        <f>IF(OR(H116="",J116="",K116="",K116=0),"",ROUND(H116*J116/K116/3.305785,3))</f>
        <v/>
      </c>
      <c r="N116" s="7" t="n"/>
      <c r="O116" s="11" t="n"/>
      <c r="P116" s="11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12">
        <f>IF(A116="","",IF(OR(B116="",C116="",D116="",E116="",G116="",H116="",J116="",K116=""),"必填欄位未完整",""))</f>
        <v/>
      </c>
      <c r="AB116" s="12">
        <f>IF(A116="","",A116&amp;"|"&amp;G116)</f>
        <v/>
      </c>
    </row>
    <row r="117" ht="24" customHeight="1">
      <c r="A117" s="7" t="n"/>
      <c r="B117" s="7" t="n"/>
      <c r="C117" s="7" t="n"/>
      <c r="D117" s="7" t="n"/>
      <c r="E117" s="7" t="n"/>
      <c r="F117" s="7" t="n"/>
      <c r="G117" s="7" t="n"/>
      <c r="H117" s="8" t="n"/>
      <c r="I117" s="9">
        <f>IF(H117="","",ROUND(H117/3.305785,3))</f>
        <v/>
      </c>
      <c r="J117" s="7" t="n"/>
      <c r="K117" s="7" t="n"/>
      <c r="L117" s="10">
        <f>IF(OR(J117="",K117="",K117=0),"",ROUND(J117/K117,6))</f>
        <v/>
      </c>
      <c r="M117" s="9">
        <f>IF(OR(H117="",J117="",K117="",K117=0),"",ROUND(H117*J117/K117/3.305785,3))</f>
        <v/>
      </c>
      <c r="N117" s="7" t="n"/>
      <c r="O117" s="11" t="n"/>
      <c r="P117" s="11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12">
        <f>IF(A117="","",IF(OR(B117="",C117="",D117="",E117="",G117="",H117="",J117="",K117=""),"必填欄位未完整",""))</f>
        <v/>
      </c>
      <c r="AB117" s="12">
        <f>IF(A117="","",A117&amp;"|"&amp;G117)</f>
        <v/>
      </c>
    </row>
    <row r="118" ht="24" customHeight="1">
      <c r="A118" s="7" t="n"/>
      <c r="B118" s="7" t="n"/>
      <c r="C118" s="7" t="n"/>
      <c r="D118" s="7" t="n"/>
      <c r="E118" s="7" t="n"/>
      <c r="F118" s="7" t="n"/>
      <c r="G118" s="7" t="n"/>
      <c r="H118" s="8" t="n"/>
      <c r="I118" s="9">
        <f>IF(H118="","",ROUND(H118/3.305785,3))</f>
        <v/>
      </c>
      <c r="J118" s="7" t="n"/>
      <c r="K118" s="7" t="n"/>
      <c r="L118" s="10">
        <f>IF(OR(J118="",K118="",K118=0),"",ROUND(J118/K118,6))</f>
        <v/>
      </c>
      <c r="M118" s="9">
        <f>IF(OR(H118="",J118="",K118="",K118=0),"",ROUND(H118*J118/K118/3.305785,3))</f>
        <v/>
      </c>
      <c r="N118" s="7" t="n"/>
      <c r="O118" s="11" t="n"/>
      <c r="P118" s="11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12">
        <f>IF(A118="","",IF(OR(B118="",C118="",D118="",E118="",G118="",H118="",J118="",K118=""),"必填欄位未完整",""))</f>
        <v/>
      </c>
      <c r="AB118" s="12">
        <f>IF(A118="","",A118&amp;"|"&amp;G118)</f>
        <v/>
      </c>
    </row>
    <row r="119" ht="24" customHeight="1">
      <c r="A119" s="7" t="n"/>
      <c r="B119" s="7" t="n"/>
      <c r="C119" s="7" t="n"/>
      <c r="D119" s="7" t="n"/>
      <c r="E119" s="7" t="n"/>
      <c r="F119" s="7" t="n"/>
      <c r="G119" s="7" t="n"/>
      <c r="H119" s="8" t="n"/>
      <c r="I119" s="9">
        <f>IF(H119="","",ROUND(H119/3.305785,3))</f>
        <v/>
      </c>
      <c r="J119" s="7" t="n"/>
      <c r="K119" s="7" t="n"/>
      <c r="L119" s="10">
        <f>IF(OR(J119="",K119="",K119=0),"",ROUND(J119/K119,6))</f>
        <v/>
      </c>
      <c r="M119" s="9">
        <f>IF(OR(H119="",J119="",K119="",K119=0),"",ROUND(H119*J119/K119/3.305785,3))</f>
        <v/>
      </c>
      <c r="N119" s="7" t="n"/>
      <c r="O119" s="11" t="n"/>
      <c r="P119" s="11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12">
        <f>IF(A119="","",IF(OR(B119="",C119="",D119="",E119="",G119="",H119="",J119="",K119=""),"必填欄位未完整",""))</f>
        <v/>
      </c>
      <c r="AB119" s="12">
        <f>IF(A119="","",A119&amp;"|"&amp;G119)</f>
        <v/>
      </c>
    </row>
    <row r="120" ht="24" customHeight="1">
      <c r="A120" s="7" t="n"/>
      <c r="B120" s="7" t="n"/>
      <c r="C120" s="7" t="n"/>
      <c r="D120" s="7" t="n"/>
      <c r="E120" s="7" t="n"/>
      <c r="F120" s="7" t="n"/>
      <c r="G120" s="7" t="n"/>
      <c r="H120" s="8" t="n"/>
      <c r="I120" s="9">
        <f>IF(H120="","",ROUND(H120/3.305785,3))</f>
        <v/>
      </c>
      <c r="J120" s="7" t="n"/>
      <c r="K120" s="7" t="n"/>
      <c r="L120" s="10">
        <f>IF(OR(J120="",K120="",K120=0),"",ROUND(J120/K120,6))</f>
        <v/>
      </c>
      <c r="M120" s="9">
        <f>IF(OR(H120="",J120="",K120="",K120=0),"",ROUND(H120*J120/K120/3.305785,3))</f>
        <v/>
      </c>
      <c r="N120" s="7" t="n"/>
      <c r="O120" s="11" t="n"/>
      <c r="P120" s="11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12">
        <f>IF(A120="","",IF(OR(B120="",C120="",D120="",E120="",G120="",H120="",J120="",K120=""),"必填欄位未完整",""))</f>
        <v/>
      </c>
      <c r="AB120" s="12">
        <f>IF(A120="","",A120&amp;"|"&amp;G120)</f>
        <v/>
      </c>
    </row>
    <row r="121" ht="24" customHeight="1">
      <c r="A121" s="7" t="n"/>
      <c r="B121" s="7" t="n"/>
      <c r="C121" s="7" t="n"/>
      <c r="D121" s="7" t="n"/>
      <c r="E121" s="7" t="n"/>
      <c r="F121" s="7" t="n"/>
      <c r="G121" s="7" t="n"/>
      <c r="H121" s="8" t="n"/>
      <c r="I121" s="9">
        <f>IF(H121="","",ROUND(H121/3.305785,3))</f>
        <v/>
      </c>
      <c r="J121" s="7" t="n"/>
      <c r="K121" s="7" t="n"/>
      <c r="L121" s="10">
        <f>IF(OR(J121="",K121="",K121=0),"",ROUND(J121/K121,6))</f>
        <v/>
      </c>
      <c r="M121" s="9">
        <f>IF(OR(H121="",J121="",K121="",K121=0),"",ROUND(H121*J121/K121/3.305785,3))</f>
        <v/>
      </c>
      <c r="N121" s="7" t="n"/>
      <c r="O121" s="11" t="n"/>
      <c r="P121" s="11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12">
        <f>IF(A121="","",IF(OR(B121="",C121="",D121="",E121="",G121="",H121="",J121="",K121=""),"必填欄位未完整",""))</f>
        <v/>
      </c>
      <c r="AB121" s="12">
        <f>IF(A121="","",A121&amp;"|"&amp;G121)</f>
        <v/>
      </c>
    </row>
    <row r="122" ht="24" customHeight="1">
      <c r="A122" s="7" t="n"/>
      <c r="B122" s="7" t="n"/>
      <c r="C122" s="7" t="n"/>
      <c r="D122" s="7" t="n"/>
      <c r="E122" s="7" t="n"/>
      <c r="F122" s="7" t="n"/>
      <c r="G122" s="7" t="n"/>
      <c r="H122" s="8" t="n"/>
      <c r="I122" s="9">
        <f>IF(H122="","",ROUND(H122/3.305785,3))</f>
        <v/>
      </c>
      <c r="J122" s="7" t="n"/>
      <c r="K122" s="7" t="n"/>
      <c r="L122" s="10">
        <f>IF(OR(J122="",K122="",K122=0),"",ROUND(J122/K122,6))</f>
        <v/>
      </c>
      <c r="M122" s="9">
        <f>IF(OR(H122="",J122="",K122="",K122=0),"",ROUND(H122*J122/K122/3.305785,3))</f>
        <v/>
      </c>
      <c r="N122" s="7" t="n"/>
      <c r="O122" s="11" t="n"/>
      <c r="P122" s="11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12">
        <f>IF(A122="","",IF(OR(B122="",C122="",D122="",E122="",G122="",H122="",J122="",K122=""),"必填欄位未完整",""))</f>
        <v/>
      </c>
      <c r="AB122" s="12">
        <f>IF(A122="","",A122&amp;"|"&amp;G122)</f>
        <v/>
      </c>
    </row>
    <row r="123" ht="24" customHeight="1">
      <c r="A123" s="7" t="n"/>
      <c r="B123" s="7" t="n"/>
      <c r="C123" s="7" t="n"/>
      <c r="D123" s="7" t="n"/>
      <c r="E123" s="7" t="n"/>
      <c r="F123" s="7" t="n"/>
      <c r="G123" s="7" t="n"/>
      <c r="H123" s="8" t="n"/>
      <c r="I123" s="9">
        <f>IF(H123="","",ROUND(H123/3.305785,3))</f>
        <v/>
      </c>
      <c r="J123" s="7" t="n"/>
      <c r="K123" s="7" t="n"/>
      <c r="L123" s="10">
        <f>IF(OR(J123="",K123="",K123=0),"",ROUND(J123/K123,6))</f>
        <v/>
      </c>
      <c r="M123" s="9">
        <f>IF(OR(H123="",J123="",K123="",K123=0),"",ROUND(H123*J123/K123/3.305785,3))</f>
        <v/>
      </c>
      <c r="N123" s="7" t="n"/>
      <c r="O123" s="11" t="n"/>
      <c r="P123" s="11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12">
        <f>IF(A123="","",IF(OR(B123="",C123="",D123="",E123="",G123="",H123="",J123="",K123=""),"必填欄位未完整",""))</f>
        <v/>
      </c>
      <c r="AB123" s="12">
        <f>IF(A123="","",A123&amp;"|"&amp;G123)</f>
        <v/>
      </c>
    </row>
    <row r="124" ht="24" customHeight="1">
      <c r="A124" s="7" t="n"/>
      <c r="B124" s="7" t="n"/>
      <c r="C124" s="7" t="n"/>
      <c r="D124" s="7" t="n"/>
      <c r="E124" s="7" t="n"/>
      <c r="F124" s="7" t="n"/>
      <c r="G124" s="7" t="n"/>
      <c r="H124" s="8" t="n"/>
      <c r="I124" s="9">
        <f>IF(H124="","",ROUND(H124/3.305785,3))</f>
        <v/>
      </c>
      <c r="J124" s="7" t="n"/>
      <c r="K124" s="7" t="n"/>
      <c r="L124" s="10">
        <f>IF(OR(J124="",K124="",K124=0),"",ROUND(J124/K124,6))</f>
        <v/>
      </c>
      <c r="M124" s="9">
        <f>IF(OR(H124="",J124="",K124="",K124=0),"",ROUND(H124*J124/K124/3.305785,3))</f>
        <v/>
      </c>
      <c r="N124" s="7" t="n"/>
      <c r="O124" s="11" t="n"/>
      <c r="P124" s="11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12">
        <f>IF(A124="","",IF(OR(B124="",C124="",D124="",E124="",G124="",H124="",J124="",K124=""),"必填欄位未完整",""))</f>
        <v/>
      </c>
      <c r="AB124" s="12">
        <f>IF(A124="","",A124&amp;"|"&amp;G124)</f>
        <v/>
      </c>
    </row>
    <row r="125" ht="24" customHeight="1">
      <c r="A125" s="7" t="n"/>
      <c r="B125" s="7" t="n"/>
      <c r="C125" s="7" t="n"/>
      <c r="D125" s="7" t="n"/>
      <c r="E125" s="7" t="n"/>
      <c r="F125" s="7" t="n"/>
      <c r="G125" s="7" t="n"/>
      <c r="H125" s="8" t="n"/>
      <c r="I125" s="9">
        <f>IF(H125="","",ROUND(H125/3.305785,3))</f>
        <v/>
      </c>
      <c r="J125" s="7" t="n"/>
      <c r="K125" s="7" t="n"/>
      <c r="L125" s="10">
        <f>IF(OR(J125="",K125="",K125=0),"",ROUND(J125/K125,6))</f>
        <v/>
      </c>
      <c r="M125" s="9">
        <f>IF(OR(H125="",J125="",K125="",K125=0),"",ROUND(H125*J125/K125/3.305785,3))</f>
        <v/>
      </c>
      <c r="N125" s="7" t="n"/>
      <c r="O125" s="11" t="n"/>
      <c r="P125" s="11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12">
        <f>IF(A125="","",IF(OR(B125="",C125="",D125="",E125="",G125="",H125="",J125="",K125=""),"必填欄位未完整",""))</f>
        <v/>
      </c>
      <c r="AB125" s="12">
        <f>IF(A125="","",A125&amp;"|"&amp;G125)</f>
        <v/>
      </c>
    </row>
    <row r="126" ht="24" customHeight="1">
      <c r="A126" s="7" t="n"/>
      <c r="B126" s="7" t="n"/>
      <c r="C126" s="7" t="n"/>
      <c r="D126" s="7" t="n"/>
      <c r="E126" s="7" t="n"/>
      <c r="F126" s="7" t="n"/>
      <c r="G126" s="7" t="n"/>
      <c r="H126" s="8" t="n"/>
      <c r="I126" s="9">
        <f>IF(H126="","",ROUND(H126/3.305785,3))</f>
        <v/>
      </c>
      <c r="J126" s="7" t="n"/>
      <c r="K126" s="7" t="n"/>
      <c r="L126" s="10">
        <f>IF(OR(J126="",K126="",K126=0),"",ROUND(J126/K126,6))</f>
        <v/>
      </c>
      <c r="M126" s="9">
        <f>IF(OR(H126="",J126="",K126="",K126=0),"",ROUND(H126*J126/K126/3.305785,3))</f>
        <v/>
      </c>
      <c r="N126" s="7" t="n"/>
      <c r="O126" s="11" t="n"/>
      <c r="P126" s="11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12">
        <f>IF(A126="","",IF(OR(B126="",C126="",D126="",E126="",G126="",H126="",J126="",K126=""),"必填欄位未完整",""))</f>
        <v/>
      </c>
      <c r="AB126" s="12">
        <f>IF(A126="","",A126&amp;"|"&amp;G126)</f>
        <v/>
      </c>
    </row>
    <row r="127" ht="24" customHeight="1">
      <c r="A127" s="7" t="n"/>
      <c r="B127" s="7" t="n"/>
      <c r="C127" s="7" t="n"/>
      <c r="D127" s="7" t="n"/>
      <c r="E127" s="7" t="n"/>
      <c r="F127" s="7" t="n"/>
      <c r="G127" s="7" t="n"/>
      <c r="H127" s="8" t="n"/>
      <c r="I127" s="9">
        <f>IF(H127="","",ROUND(H127/3.305785,3))</f>
        <v/>
      </c>
      <c r="J127" s="7" t="n"/>
      <c r="K127" s="7" t="n"/>
      <c r="L127" s="10">
        <f>IF(OR(J127="",K127="",K127=0),"",ROUND(J127/K127,6))</f>
        <v/>
      </c>
      <c r="M127" s="9">
        <f>IF(OR(H127="",J127="",K127="",K127=0),"",ROUND(H127*J127/K127/3.305785,3))</f>
        <v/>
      </c>
      <c r="N127" s="7" t="n"/>
      <c r="O127" s="11" t="n"/>
      <c r="P127" s="11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12">
        <f>IF(A127="","",IF(OR(B127="",C127="",D127="",E127="",G127="",H127="",J127="",K127=""),"必填欄位未完整",""))</f>
        <v/>
      </c>
      <c r="AB127" s="12">
        <f>IF(A127="","",A127&amp;"|"&amp;G127)</f>
        <v/>
      </c>
    </row>
    <row r="128" ht="24" customHeight="1">
      <c r="A128" s="7" t="n"/>
      <c r="B128" s="7" t="n"/>
      <c r="C128" s="7" t="n"/>
      <c r="D128" s="7" t="n"/>
      <c r="E128" s="7" t="n"/>
      <c r="F128" s="7" t="n"/>
      <c r="G128" s="7" t="n"/>
      <c r="H128" s="8" t="n"/>
      <c r="I128" s="9">
        <f>IF(H128="","",ROUND(H128/3.305785,3))</f>
        <v/>
      </c>
      <c r="J128" s="7" t="n"/>
      <c r="K128" s="7" t="n"/>
      <c r="L128" s="10">
        <f>IF(OR(J128="",K128="",K128=0),"",ROUND(J128/K128,6))</f>
        <v/>
      </c>
      <c r="M128" s="9">
        <f>IF(OR(H128="",J128="",K128="",K128=0),"",ROUND(H128*J128/K128/3.305785,3))</f>
        <v/>
      </c>
      <c r="N128" s="7" t="n"/>
      <c r="O128" s="11" t="n"/>
      <c r="P128" s="11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12">
        <f>IF(A128="","",IF(OR(B128="",C128="",D128="",E128="",G128="",H128="",J128="",K128=""),"必填欄位未完整",""))</f>
        <v/>
      </c>
      <c r="AB128" s="12">
        <f>IF(A128="","",A128&amp;"|"&amp;G128)</f>
        <v/>
      </c>
    </row>
    <row r="129" ht="24" customHeight="1">
      <c r="A129" s="7" t="n"/>
      <c r="B129" s="7" t="n"/>
      <c r="C129" s="7" t="n"/>
      <c r="D129" s="7" t="n"/>
      <c r="E129" s="7" t="n"/>
      <c r="F129" s="7" t="n"/>
      <c r="G129" s="7" t="n"/>
      <c r="H129" s="8" t="n"/>
      <c r="I129" s="9">
        <f>IF(H129="","",ROUND(H129/3.305785,3))</f>
        <v/>
      </c>
      <c r="J129" s="7" t="n"/>
      <c r="K129" s="7" t="n"/>
      <c r="L129" s="10">
        <f>IF(OR(J129="",K129="",K129=0),"",ROUND(J129/K129,6))</f>
        <v/>
      </c>
      <c r="M129" s="9">
        <f>IF(OR(H129="",J129="",K129="",K129=0),"",ROUND(H129*J129/K129/3.305785,3))</f>
        <v/>
      </c>
      <c r="N129" s="7" t="n"/>
      <c r="O129" s="11" t="n"/>
      <c r="P129" s="11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12">
        <f>IF(A129="","",IF(OR(B129="",C129="",D129="",E129="",G129="",H129="",J129="",K129=""),"必填欄位未完整",""))</f>
        <v/>
      </c>
      <c r="AB129" s="12">
        <f>IF(A129="","",A129&amp;"|"&amp;G129)</f>
        <v/>
      </c>
    </row>
    <row r="130" ht="24" customHeight="1">
      <c r="A130" s="7" t="n"/>
      <c r="B130" s="7" t="n"/>
      <c r="C130" s="7" t="n"/>
      <c r="D130" s="7" t="n"/>
      <c r="E130" s="7" t="n"/>
      <c r="F130" s="7" t="n"/>
      <c r="G130" s="7" t="n"/>
      <c r="H130" s="8" t="n"/>
      <c r="I130" s="9">
        <f>IF(H130="","",ROUND(H130/3.305785,3))</f>
        <v/>
      </c>
      <c r="J130" s="7" t="n"/>
      <c r="K130" s="7" t="n"/>
      <c r="L130" s="10">
        <f>IF(OR(J130="",K130="",K130=0),"",ROUND(J130/K130,6))</f>
        <v/>
      </c>
      <c r="M130" s="9">
        <f>IF(OR(H130="",J130="",K130="",K130=0),"",ROUND(H130*J130/K130/3.305785,3))</f>
        <v/>
      </c>
      <c r="N130" s="7" t="n"/>
      <c r="O130" s="11" t="n"/>
      <c r="P130" s="11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12">
        <f>IF(A130="","",IF(OR(B130="",C130="",D130="",E130="",G130="",H130="",J130="",K130=""),"必填欄位未完整",""))</f>
        <v/>
      </c>
      <c r="AB130" s="12">
        <f>IF(A130="","",A130&amp;"|"&amp;G130)</f>
        <v/>
      </c>
    </row>
    <row r="131" ht="24" customHeight="1">
      <c r="A131" s="7" t="n"/>
      <c r="B131" s="7" t="n"/>
      <c r="C131" s="7" t="n"/>
      <c r="D131" s="7" t="n"/>
      <c r="E131" s="7" t="n"/>
      <c r="F131" s="7" t="n"/>
      <c r="G131" s="7" t="n"/>
      <c r="H131" s="8" t="n"/>
      <c r="I131" s="9">
        <f>IF(H131="","",ROUND(H131/3.305785,3))</f>
        <v/>
      </c>
      <c r="J131" s="7" t="n"/>
      <c r="K131" s="7" t="n"/>
      <c r="L131" s="10">
        <f>IF(OR(J131="",K131="",K131=0),"",ROUND(J131/K131,6))</f>
        <v/>
      </c>
      <c r="M131" s="9">
        <f>IF(OR(H131="",J131="",K131="",K131=0),"",ROUND(H131*J131/K131/3.305785,3))</f>
        <v/>
      </c>
      <c r="N131" s="7" t="n"/>
      <c r="O131" s="11" t="n"/>
      <c r="P131" s="11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12">
        <f>IF(A131="","",IF(OR(B131="",C131="",D131="",E131="",G131="",H131="",J131="",K131=""),"必填欄位未完整",""))</f>
        <v/>
      </c>
      <c r="AB131" s="12">
        <f>IF(A131="","",A131&amp;"|"&amp;G131)</f>
        <v/>
      </c>
    </row>
    <row r="132" ht="24" customHeight="1">
      <c r="A132" s="7" t="n"/>
      <c r="B132" s="7" t="n"/>
      <c r="C132" s="7" t="n"/>
      <c r="D132" s="7" t="n"/>
      <c r="E132" s="7" t="n"/>
      <c r="F132" s="7" t="n"/>
      <c r="G132" s="7" t="n"/>
      <c r="H132" s="8" t="n"/>
      <c r="I132" s="9">
        <f>IF(H132="","",ROUND(H132/3.305785,3))</f>
        <v/>
      </c>
      <c r="J132" s="7" t="n"/>
      <c r="K132" s="7" t="n"/>
      <c r="L132" s="10">
        <f>IF(OR(J132="",K132="",K132=0),"",ROUND(J132/K132,6))</f>
        <v/>
      </c>
      <c r="M132" s="9">
        <f>IF(OR(H132="",J132="",K132="",K132=0),"",ROUND(H132*J132/K132/3.305785,3))</f>
        <v/>
      </c>
      <c r="N132" s="7" t="n"/>
      <c r="O132" s="11" t="n"/>
      <c r="P132" s="11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12">
        <f>IF(A132="","",IF(OR(B132="",C132="",D132="",E132="",G132="",H132="",J132="",K132=""),"必填欄位未完整",""))</f>
        <v/>
      </c>
      <c r="AB132" s="12">
        <f>IF(A132="","",A132&amp;"|"&amp;G132)</f>
        <v/>
      </c>
    </row>
    <row r="133" ht="24" customHeight="1">
      <c r="A133" s="7" t="n"/>
      <c r="B133" s="7" t="n"/>
      <c r="C133" s="7" t="n"/>
      <c r="D133" s="7" t="n"/>
      <c r="E133" s="7" t="n"/>
      <c r="F133" s="7" t="n"/>
      <c r="G133" s="7" t="n"/>
      <c r="H133" s="8" t="n"/>
      <c r="I133" s="9">
        <f>IF(H133="","",ROUND(H133/3.305785,3))</f>
        <v/>
      </c>
      <c r="J133" s="7" t="n"/>
      <c r="K133" s="7" t="n"/>
      <c r="L133" s="10">
        <f>IF(OR(J133="",K133="",K133=0),"",ROUND(J133/K133,6))</f>
        <v/>
      </c>
      <c r="M133" s="9">
        <f>IF(OR(H133="",J133="",K133="",K133=0),"",ROUND(H133*J133/K133/3.305785,3))</f>
        <v/>
      </c>
      <c r="N133" s="7" t="n"/>
      <c r="O133" s="11" t="n"/>
      <c r="P133" s="11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12">
        <f>IF(A133="","",IF(OR(B133="",C133="",D133="",E133="",G133="",H133="",J133="",K133=""),"必填欄位未完整",""))</f>
        <v/>
      </c>
      <c r="AB133" s="12">
        <f>IF(A133="","",A133&amp;"|"&amp;G133)</f>
        <v/>
      </c>
    </row>
    <row r="134" ht="24" customHeight="1">
      <c r="A134" s="7" t="n"/>
      <c r="B134" s="7" t="n"/>
      <c r="C134" s="7" t="n"/>
      <c r="D134" s="7" t="n"/>
      <c r="E134" s="7" t="n"/>
      <c r="F134" s="7" t="n"/>
      <c r="G134" s="7" t="n"/>
      <c r="H134" s="8" t="n"/>
      <c r="I134" s="9">
        <f>IF(H134="","",ROUND(H134/3.305785,3))</f>
        <v/>
      </c>
      <c r="J134" s="7" t="n"/>
      <c r="K134" s="7" t="n"/>
      <c r="L134" s="10">
        <f>IF(OR(J134="",K134="",K134=0),"",ROUND(J134/K134,6))</f>
        <v/>
      </c>
      <c r="M134" s="9">
        <f>IF(OR(H134="",J134="",K134="",K134=0),"",ROUND(H134*J134/K134/3.305785,3))</f>
        <v/>
      </c>
      <c r="N134" s="7" t="n"/>
      <c r="O134" s="11" t="n"/>
      <c r="P134" s="11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12">
        <f>IF(A134="","",IF(OR(B134="",C134="",D134="",E134="",G134="",H134="",J134="",K134=""),"必填欄位未完整",""))</f>
        <v/>
      </c>
      <c r="AB134" s="12">
        <f>IF(A134="","",A134&amp;"|"&amp;G134)</f>
        <v/>
      </c>
    </row>
    <row r="135" ht="24" customHeight="1">
      <c r="A135" s="7" t="n"/>
      <c r="B135" s="7" t="n"/>
      <c r="C135" s="7" t="n"/>
      <c r="D135" s="7" t="n"/>
      <c r="E135" s="7" t="n"/>
      <c r="F135" s="7" t="n"/>
      <c r="G135" s="7" t="n"/>
      <c r="H135" s="8" t="n"/>
      <c r="I135" s="9">
        <f>IF(H135="","",ROUND(H135/3.305785,3))</f>
        <v/>
      </c>
      <c r="J135" s="7" t="n"/>
      <c r="K135" s="7" t="n"/>
      <c r="L135" s="10">
        <f>IF(OR(J135="",K135="",K135=0),"",ROUND(J135/K135,6))</f>
        <v/>
      </c>
      <c r="M135" s="9">
        <f>IF(OR(H135="",J135="",K135="",K135=0),"",ROUND(H135*J135/K135/3.305785,3))</f>
        <v/>
      </c>
      <c r="N135" s="7" t="n"/>
      <c r="O135" s="11" t="n"/>
      <c r="P135" s="11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12">
        <f>IF(A135="","",IF(OR(B135="",C135="",D135="",E135="",G135="",H135="",J135="",K135=""),"必填欄位未完整",""))</f>
        <v/>
      </c>
      <c r="AB135" s="12">
        <f>IF(A135="","",A135&amp;"|"&amp;G135)</f>
        <v/>
      </c>
    </row>
    <row r="136" ht="24" customHeight="1">
      <c r="A136" s="7" t="n"/>
      <c r="B136" s="7" t="n"/>
      <c r="C136" s="7" t="n"/>
      <c r="D136" s="7" t="n"/>
      <c r="E136" s="7" t="n"/>
      <c r="F136" s="7" t="n"/>
      <c r="G136" s="7" t="n"/>
      <c r="H136" s="8" t="n"/>
      <c r="I136" s="9">
        <f>IF(H136="","",ROUND(H136/3.305785,3))</f>
        <v/>
      </c>
      <c r="J136" s="7" t="n"/>
      <c r="K136" s="7" t="n"/>
      <c r="L136" s="10">
        <f>IF(OR(J136="",K136="",K136=0),"",ROUND(J136/K136,6))</f>
        <v/>
      </c>
      <c r="M136" s="9">
        <f>IF(OR(H136="",J136="",K136="",K136=0),"",ROUND(H136*J136/K136/3.305785,3))</f>
        <v/>
      </c>
      <c r="N136" s="7" t="n"/>
      <c r="O136" s="11" t="n"/>
      <c r="P136" s="11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12">
        <f>IF(A136="","",IF(OR(B136="",C136="",D136="",E136="",G136="",H136="",J136="",K136=""),"必填欄位未完整",""))</f>
        <v/>
      </c>
      <c r="AB136" s="12">
        <f>IF(A136="","",A136&amp;"|"&amp;G136)</f>
        <v/>
      </c>
    </row>
    <row r="137" ht="24" customHeight="1">
      <c r="A137" s="7" t="n"/>
      <c r="B137" s="7" t="n"/>
      <c r="C137" s="7" t="n"/>
      <c r="D137" s="7" t="n"/>
      <c r="E137" s="7" t="n"/>
      <c r="F137" s="7" t="n"/>
      <c r="G137" s="7" t="n"/>
      <c r="H137" s="8" t="n"/>
      <c r="I137" s="9">
        <f>IF(H137="","",ROUND(H137/3.305785,3))</f>
        <v/>
      </c>
      <c r="J137" s="7" t="n"/>
      <c r="K137" s="7" t="n"/>
      <c r="L137" s="10">
        <f>IF(OR(J137="",K137="",K137=0),"",ROUND(J137/K137,6))</f>
        <v/>
      </c>
      <c r="M137" s="9">
        <f>IF(OR(H137="",J137="",K137="",K137=0),"",ROUND(H137*J137/K137/3.305785,3))</f>
        <v/>
      </c>
      <c r="N137" s="7" t="n"/>
      <c r="O137" s="11" t="n"/>
      <c r="P137" s="11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12">
        <f>IF(A137="","",IF(OR(B137="",C137="",D137="",E137="",G137="",H137="",J137="",K137=""),"必填欄位未完整",""))</f>
        <v/>
      </c>
      <c r="AB137" s="12">
        <f>IF(A137="","",A137&amp;"|"&amp;G137)</f>
        <v/>
      </c>
    </row>
    <row r="138" ht="24" customHeight="1">
      <c r="A138" s="7" t="n"/>
      <c r="B138" s="7" t="n"/>
      <c r="C138" s="7" t="n"/>
      <c r="D138" s="7" t="n"/>
      <c r="E138" s="7" t="n"/>
      <c r="F138" s="7" t="n"/>
      <c r="G138" s="7" t="n"/>
      <c r="H138" s="8" t="n"/>
      <c r="I138" s="9">
        <f>IF(H138="","",ROUND(H138/3.305785,3))</f>
        <v/>
      </c>
      <c r="J138" s="7" t="n"/>
      <c r="K138" s="7" t="n"/>
      <c r="L138" s="10">
        <f>IF(OR(J138="",K138="",K138=0),"",ROUND(J138/K138,6))</f>
        <v/>
      </c>
      <c r="M138" s="9">
        <f>IF(OR(H138="",J138="",K138="",K138=0),"",ROUND(H138*J138/K138/3.305785,3))</f>
        <v/>
      </c>
      <c r="N138" s="7" t="n"/>
      <c r="O138" s="11" t="n"/>
      <c r="P138" s="11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12">
        <f>IF(A138="","",IF(OR(B138="",C138="",D138="",E138="",G138="",H138="",J138="",K138=""),"必填欄位未完整",""))</f>
        <v/>
      </c>
      <c r="AB138" s="12">
        <f>IF(A138="","",A138&amp;"|"&amp;G138)</f>
        <v/>
      </c>
    </row>
    <row r="139" ht="24" customHeight="1">
      <c r="A139" s="7" t="n"/>
      <c r="B139" s="7" t="n"/>
      <c r="C139" s="7" t="n"/>
      <c r="D139" s="7" t="n"/>
      <c r="E139" s="7" t="n"/>
      <c r="F139" s="7" t="n"/>
      <c r="G139" s="7" t="n"/>
      <c r="H139" s="8" t="n"/>
      <c r="I139" s="9">
        <f>IF(H139="","",ROUND(H139/3.305785,3))</f>
        <v/>
      </c>
      <c r="J139" s="7" t="n"/>
      <c r="K139" s="7" t="n"/>
      <c r="L139" s="10">
        <f>IF(OR(J139="",K139="",K139=0),"",ROUND(J139/K139,6))</f>
        <v/>
      </c>
      <c r="M139" s="9">
        <f>IF(OR(H139="",J139="",K139="",K139=0),"",ROUND(H139*J139/K139/3.305785,3))</f>
        <v/>
      </c>
      <c r="N139" s="7" t="n"/>
      <c r="O139" s="11" t="n"/>
      <c r="P139" s="11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12">
        <f>IF(A139="","",IF(OR(B139="",C139="",D139="",E139="",G139="",H139="",J139="",K139=""),"必填欄位未完整",""))</f>
        <v/>
      </c>
      <c r="AB139" s="12">
        <f>IF(A139="","",A139&amp;"|"&amp;G139)</f>
        <v/>
      </c>
    </row>
    <row r="140" ht="24" customHeight="1">
      <c r="A140" s="7" t="n"/>
      <c r="B140" s="7" t="n"/>
      <c r="C140" s="7" t="n"/>
      <c r="D140" s="7" t="n"/>
      <c r="E140" s="7" t="n"/>
      <c r="F140" s="7" t="n"/>
      <c r="G140" s="7" t="n"/>
      <c r="H140" s="8" t="n"/>
      <c r="I140" s="9">
        <f>IF(H140="","",ROUND(H140/3.305785,3))</f>
        <v/>
      </c>
      <c r="J140" s="7" t="n"/>
      <c r="K140" s="7" t="n"/>
      <c r="L140" s="10">
        <f>IF(OR(J140="",K140="",K140=0),"",ROUND(J140/K140,6))</f>
        <v/>
      </c>
      <c r="M140" s="9">
        <f>IF(OR(H140="",J140="",K140="",K140=0),"",ROUND(H140*J140/K140/3.305785,3))</f>
        <v/>
      </c>
      <c r="N140" s="7" t="n"/>
      <c r="O140" s="11" t="n"/>
      <c r="P140" s="11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12">
        <f>IF(A140="","",IF(OR(B140="",C140="",D140="",E140="",G140="",H140="",J140="",K140=""),"必填欄位未完整",""))</f>
        <v/>
      </c>
      <c r="AB140" s="12">
        <f>IF(A140="","",A140&amp;"|"&amp;G140)</f>
        <v/>
      </c>
    </row>
    <row r="141" ht="24" customHeight="1">
      <c r="A141" s="7" t="n"/>
      <c r="B141" s="7" t="n"/>
      <c r="C141" s="7" t="n"/>
      <c r="D141" s="7" t="n"/>
      <c r="E141" s="7" t="n"/>
      <c r="F141" s="7" t="n"/>
      <c r="G141" s="7" t="n"/>
      <c r="H141" s="8" t="n"/>
      <c r="I141" s="9">
        <f>IF(H141="","",ROUND(H141/3.305785,3))</f>
        <v/>
      </c>
      <c r="J141" s="7" t="n"/>
      <c r="K141" s="7" t="n"/>
      <c r="L141" s="10">
        <f>IF(OR(J141="",K141="",K141=0),"",ROUND(J141/K141,6))</f>
        <v/>
      </c>
      <c r="M141" s="9">
        <f>IF(OR(H141="",J141="",K141="",K141=0),"",ROUND(H141*J141/K141/3.305785,3))</f>
        <v/>
      </c>
      <c r="N141" s="7" t="n"/>
      <c r="O141" s="11" t="n"/>
      <c r="P141" s="11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12">
        <f>IF(A141="","",IF(OR(B141="",C141="",D141="",E141="",G141="",H141="",J141="",K141=""),"必填欄位未完整",""))</f>
        <v/>
      </c>
      <c r="AB141" s="12">
        <f>IF(A141="","",A141&amp;"|"&amp;G141)</f>
        <v/>
      </c>
    </row>
    <row r="142" ht="24" customHeight="1">
      <c r="A142" s="7" t="n"/>
      <c r="B142" s="7" t="n"/>
      <c r="C142" s="7" t="n"/>
      <c r="D142" s="7" t="n"/>
      <c r="E142" s="7" t="n"/>
      <c r="F142" s="7" t="n"/>
      <c r="G142" s="7" t="n"/>
      <c r="H142" s="8" t="n"/>
      <c r="I142" s="9">
        <f>IF(H142="","",ROUND(H142/3.305785,3))</f>
        <v/>
      </c>
      <c r="J142" s="7" t="n"/>
      <c r="K142" s="7" t="n"/>
      <c r="L142" s="10">
        <f>IF(OR(J142="",K142="",K142=0),"",ROUND(J142/K142,6))</f>
        <v/>
      </c>
      <c r="M142" s="9">
        <f>IF(OR(H142="",J142="",K142="",K142=0),"",ROUND(H142*J142/K142/3.305785,3))</f>
        <v/>
      </c>
      <c r="N142" s="7" t="n"/>
      <c r="O142" s="11" t="n"/>
      <c r="P142" s="11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12">
        <f>IF(A142="","",IF(OR(B142="",C142="",D142="",E142="",G142="",H142="",J142="",K142=""),"必填欄位未完整",""))</f>
        <v/>
      </c>
      <c r="AB142" s="12">
        <f>IF(A142="","",A142&amp;"|"&amp;G142)</f>
        <v/>
      </c>
    </row>
    <row r="143" ht="24" customHeight="1">
      <c r="A143" s="7" t="n"/>
      <c r="B143" s="7" t="n"/>
      <c r="C143" s="7" t="n"/>
      <c r="D143" s="7" t="n"/>
      <c r="E143" s="7" t="n"/>
      <c r="F143" s="7" t="n"/>
      <c r="G143" s="7" t="n"/>
      <c r="H143" s="8" t="n"/>
      <c r="I143" s="9">
        <f>IF(H143="","",ROUND(H143/3.305785,3))</f>
        <v/>
      </c>
      <c r="J143" s="7" t="n"/>
      <c r="K143" s="7" t="n"/>
      <c r="L143" s="10">
        <f>IF(OR(J143="",K143="",K143=0),"",ROUND(J143/K143,6))</f>
        <v/>
      </c>
      <c r="M143" s="9">
        <f>IF(OR(H143="",J143="",K143="",K143=0),"",ROUND(H143*J143/K143/3.305785,3))</f>
        <v/>
      </c>
      <c r="N143" s="7" t="n"/>
      <c r="O143" s="11" t="n"/>
      <c r="P143" s="11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12">
        <f>IF(A143="","",IF(OR(B143="",C143="",D143="",E143="",G143="",H143="",J143="",K143=""),"必填欄位未完整",""))</f>
        <v/>
      </c>
      <c r="AB143" s="12">
        <f>IF(A143="","",A143&amp;"|"&amp;G143)</f>
        <v/>
      </c>
    </row>
    <row r="144" ht="24" customHeight="1">
      <c r="A144" s="7" t="n"/>
      <c r="B144" s="7" t="n"/>
      <c r="C144" s="7" t="n"/>
      <c r="D144" s="7" t="n"/>
      <c r="E144" s="7" t="n"/>
      <c r="F144" s="7" t="n"/>
      <c r="G144" s="7" t="n"/>
      <c r="H144" s="8" t="n"/>
      <c r="I144" s="9">
        <f>IF(H144="","",ROUND(H144/3.305785,3))</f>
        <v/>
      </c>
      <c r="J144" s="7" t="n"/>
      <c r="K144" s="7" t="n"/>
      <c r="L144" s="10">
        <f>IF(OR(J144="",K144="",K144=0),"",ROUND(J144/K144,6))</f>
        <v/>
      </c>
      <c r="M144" s="9">
        <f>IF(OR(H144="",J144="",K144="",K144=0),"",ROUND(H144*J144/K144/3.305785,3))</f>
        <v/>
      </c>
      <c r="N144" s="7" t="n"/>
      <c r="O144" s="11" t="n"/>
      <c r="P144" s="11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12">
        <f>IF(A144="","",IF(OR(B144="",C144="",D144="",E144="",G144="",H144="",J144="",K144=""),"必填欄位未完整",""))</f>
        <v/>
      </c>
      <c r="AB144" s="12">
        <f>IF(A144="","",A144&amp;"|"&amp;G144)</f>
        <v/>
      </c>
    </row>
    <row r="145" ht="24" customHeight="1">
      <c r="A145" s="7" t="n"/>
      <c r="B145" s="7" t="n"/>
      <c r="C145" s="7" t="n"/>
      <c r="D145" s="7" t="n"/>
      <c r="E145" s="7" t="n"/>
      <c r="F145" s="7" t="n"/>
      <c r="G145" s="7" t="n"/>
      <c r="H145" s="8" t="n"/>
      <c r="I145" s="9">
        <f>IF(H145="","",ROUND(H145/3.305785,3))</f>
        <v/>
      </c>
      <c r="J145" s="7" t="n"/>
      <c r="K145" s="7" t="n"/>
      <c r="L145" s="10">
        <f>IF(OR(J145="",K145="",K145=0),"",ROUND(J145/K145,6))</f>
        <v/>
      </c>
      <c r="M145" s="9">
        <f>IF(OR(H145="",J145="",K145="",K145=0),"",ROUND(H145*J145/K145/3.305785,3))</f>
        <v/>
      </c>
      <c r="N145" s="7" t="n"/>
      <c r="O145" s="11" t="n"/>
      <c r="P145" s="11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12">
        <f>IF(A145="","",IF(OR(B145="",C145="",D145="",E145="",G145="",H145="",J145="",K145=""),"必填欄位未完整",""))</f>
        <v/>
      </c>
      <c r="AB145" s="12">
        <f>IF(A145="","",A145&amp;"|"&amp;G145)</f>
        <v/>
      </c>
    </row>
    <row r="146" ht="24" customHeight="1">
      <c r="A146" s="7" t="n"/>
      <c r="B146" s="7" t="n"/>
      <c r="C146" s="7" t="n"/>
      <c r="D146" s="7" t="n"/>
      <c r="E146" s="7" t="n"/>
      <c r="F146" s="7" t="n"/>
      <c r="G146" s="7" t="n"/>
      <c r="H146" s="8" t="n"/>
      <c r="I146" s="9">
        <f>IF(H146="","",ROUND(H146/3.305785,3))</f>
        <v/>
      </c>
      <c r="J146" s="7" t="n"/>
      <c r="K146" s="7" t="n"/>
      <c r="L146" s="10">
        <f>IF(OR(J146="",K146="",K146=0),"",ROUND(J146/K146,6))</f>
        <v/>
      </c>
      <c r="M146" s="9">
        <f>IF(OR(H146="",J146="",K146="",K146=0),"",ROUND(H146*J146/K146/3.305785,3))</f>
        <v/>
      </c>
      <c r="N146" s="7" t="n"/>
      <c r="O146" s="11" t="n"/>
      <c r="P146" s="11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12">
        <f>IF(A146="","",IF(OR(B146="",C146="",D146="",E146="",G146="",H146="",J146="",K146=""),"必填欄位未完整",""))</f>
        <v/>
      </c>
      <c r="AB146" s="12">
        <f>IF(A146="","",A146&amp;"|"&amp;G146)</f>
        <v/>
      </c>
    </row>
    <row r="147" ht="24" customHeight="1">
      <c r="A147" s="7" t="n"/>
      <c r="B147" s="7" t="n"/>
      <c r="C147" s="7" t="n"/>
      <c r="D147" s="7" t="n"/>
      <c r="E147" s="7" t="n"/>
      <c r="F147" s="7" t="n"/>
      <c r="G147" s="7" t="n"/>
      <c r="H147" s="8" t="n"/>
      <c r="I147" s="9">
        <f>IF(H147="","",ROUND(H147/3.305785,3))</f>
        <v/>
      </c>
      <c r="J147" s="7" t="n"/>
      <c r="K147" s="7" t="n"/>
      <c r="L147" s="10">
        <f>IF(OR(J147="",K147="",K147=0),"",ROUND(J147/K147,6))</f>
        <v/>
      </c>
      <c r="M147" s="9">
        <f>IF(OR(H147="",J147="",K147="",K147=0),"",ROUND(H147*J147/K147/3.305785,3))</f>
        <v/>
      </c>
      <c r="N147" s="7" t="n"/>
      <c r="O147" s="11" t="n"/>
      <c r="P147" s="11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12">
        <f>IF(A147="","",IF(OR(B147="",C147="",D147="",E147="",G147="",H147="",J147="",K147=""),"必填欄位未完整",""))</f>
        <v/>
      </c>
      <c r="AB147" s="12">
        <f>IF(A147="","",A147&amp;"|"&amp;G147)</f>
        <v/>
      </c>
    </row>
    <row r="148" ht="24" customHeight="1">
      <c r="A148" s="7" t="n"/>
      <c r="B148" s="7" t="n"/>
      <c r="C148" s="7" t="n"/>
      <c r="D148" s="7" t="n"/>
      <c r="E148" s="7" t="n"/>
      <c r="F148" s="7" t="n"/>
      <c r="G148" s="7" t="n"/>
      <c r="H148" s="8" t="n"/>
      <c r="I148" s="9">
        <f>IF(H148="","",ROUND(H148/3.305785,3))</f>
        <v/>
      </c>
      <c r="J148" s="7" t="n"/>
      <c r="K148" s="7" t="n"/>
      <c r="L148" s="10">
        <f>IF(OR(J148="",K148="",K148=0),"",ROUND(J148/K148,6))</f>
        <v/>
      </c>
      <c r="M148" s="9">
        <f>IF(OR(H148="",J148="",K148="",K148=0),"",ROUND(H148*J148/K148/3.305785,3))</f>
        <v/>
      </c>
      <c r="N148" s="7" t="n"/>
      <c r="O148" s="11" t="n"/>
      <c r="P148" s="11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12">
        <f>IF(A148="","",IF(OR(B148="",C148="",D148="",E148="",G148="",H148="",J148="",K148=""),"必填欄位未完整",""))</f>
        <v/>
      </c>
      <c r="AB148" s="12">
        <f>IF(A148="","",A148&amp;"|"&amp;G148)</f>
        <v/>
      </c>
    </row>
    <row r="149" ht="24" customHeight="1">
      <c r="A149" s="7" t="n"/>
      <c r="B149" s="7" t="n"/>
      <c r="C149" s="7" t="n"/>
      <c r="D149" s="7" t="n"/>
      <c r="E149" s="7" t="n"/>
      <c r="F149" s="7" t="n"/>
      <c r="G149" s="7" t="n"/>
      <c r="H149" s="8" t="n"/>
      <c r="I149" s="9">
        <f>IF(H149="","",ROUND(H149/3.305785,3))</f>
        <v/>
      </c>
      <c r="J149" s="7" t="n"/>
      <c r="K149" s="7" t="n"/>
      <c r="L149" s="10">
        <f>IF(OR(J149="",K149="",K149=0),"",ROUND(J149/K149,6))</f>
        <v/>
      </c>
      <c r="M149" s="9">
        <f>IF(OR(H149="",J149="",K149="",K149=0),"",ROUND(H149*J149/K149/3.305785,3))</f>
        <v/>
      </c>
      <c r="N149" s="7" t="n"/>
      <c r="O149" s="11" t="n"/>
      <c r="P149" s="11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12">
        <f>IF(A149="","",IF(OR(B149="",C149="",D149="",E149="",G149="",H149="",J149="",K149=""),"必填欄位未完整",""))</f>
        <v/>
      </c>
      <c r="AB149" s="12">
        <f>IF(A149="","",A149&amp;"|"&amp;G149)</f>
        <v/>
      </c>
    </row>
    <row r="150" ht="24" customHeight="1">
      <c r="A150" s="7" t="n"/>
      <c r="B150" s="7" t="n"/>
      <c r="C150" s="7" t="n"/>
      <c r="D150" s="7" t="n"/>
      <c r="E150" s="7" t="n"/>
      <c r="F150" s="7" t="n"/>
      <c r="G150" s="7" t="n"/>
      <c r="H150" s="8" t="n"/>
      <c r="I150" s="9">
        <f>IF(H150="","",ROUND(H150/3.305785,3))</f>
        <v/>
      </c>
      <c r="J150" s="7" t="n"/>
      <c r="K150" s="7" t="n"/>
      <c r="L150" s="10">
        <f>IF(OR(J150="",K150="",K150=0),"",ROUND(J150/K150,6))</f>
        <v/>
      </c>
      <c r="M150" s="9">
        <f>IF(OR(H150="",J150="",K150="",K150=0),"",ROUND(H150*J150/K150/3.305785,3))</f>
        <v/>
      </c>
      <c r="N150" s="7" t="n"/>
      <c r="O150" s="11" t="n"/>
      <c r="P150" s="11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12">
        <f>IF(A150="","",IF(OR(B150="",C150="",D150="",E150="",G150="",H150="",J150="",K150=""),"必填欄位未完整",""))</f>
        <v/>
      </c>
      <c r="AB150" s="12">
        <f>IF(A150="","",A150&amp;"|"&amp;G150)</f>
        <v/>
      </c>
    </row>
    <row r="151" ht="24" customHeight="1">
      <c r="A151" s="7" t="n"/>
      <c r="B151" s="7" t="n"/>
      <c r="C151" s="7" t="n"/>
      <c r="D151" s="7" t="n"/>
      <c r="E151" s="7" t="n"/>
      <c r="F151" s="7" t="n"/>
      <c r="G151" s="7" t="n"/>
      <c r="H151" s="8" t="n"/>
      <c r="I151" s="9">
        <f>IF(H151="","",ROUND(H151/3.305785,3))</f>
        <v/>
      </c>
      <c r="J151" s="7" t="n"/>
      <c r="K151" s="7" t="n"/>
      <c r="L151" s="10">
        <f>IF(OR(J151="",K151="",K151=0),"",ROUND(J151/K151,6))</f>
        <v/>
      </c>
      <c r="M151" s="9">
        <f>IF(OR(H151="",J151="",K151="",K151=0),"",ROUND(H151*J151/K151/3.305785,3))</f>
        <v/>
      </c>
      <c r="N151" s="7" t="n"/>
      <c r="O151" s="11" t="n"/>
      <c r="P151" s="11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12">
        <f>IF(A151="","",IF(OR(B151="",C151="",D151="",E151="",G151="",H151="",J151="",K151=""),"必填欄位未完整",""))</f>
        <v/>
      </c>
      <c r="AB151" s="12">
        <f>IF(A151="","",A151&amp;"|"&amp;G151)</f>
        <v/>
      </c>
    </row>
    <row r="152" ht="24" customHeight="1">
      <c r="A152" s="7" t="n"/>
      <c r="B152" s="7" t="n"/>
      <c r="C152" s="7" t="n"/>
      <c r="D152" s="7" t="n"/>
      <c r="E152" s="7" t="n"/>
      <c r="F152" s="7" t="n"/>
      <c r="G152" s="7" t="n"/>
      <c r="H152" s="8" t="n"/>
      <c r="I152" s="9">
        <f>IF(H152="","",ROUND(H152/3.305785,3))</f>
        <v/>
      </c>
      <c r="J152" s="7" t="n"/>
      <c r="K152" s="7" t="n"/>
      <c r="L152" s="10">
        <f>IF(OR(J152="",K152="",K152=0),"",ROUND(J152/K152,6))</f>
        <v/>
      </c>
      <c r="M152" s="9">
        <f>IF(OR(H152="",J152="",K152="",K152=0),"",ROUND(H152*J152/K152/3.305785,3))</f>
        <v/>
      </c>
      <c r="N152" s="7" t="n"/>
      <c r="O152" s="11" t="n"/>
      <c r="P152" s="11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12">
        <f>IF(A152="","",IF(OR(B152="",C152="",D152="",E152="",G152="",H152="",J152="",K152=""),"必填欄位未完整",""))</f>
        <v/>
      </c>
      <c r="AB152" s="12">
        <f>IF(A152="","",A152&amp;"|"&amp;G152)</f>
        <v/>
      </c>
    </row>
    <row r="153" ht="24" customHeight="1">
      <c r="A153" s="7" t="n"/>
      <c r="B153" s="7" t="n"/>
      <c r="C153" s="7" t="n"/>
      <c r="D153" s="7" t="n"/>
      <c r="E153" s="7" t="n"/>
      <c r="F153" s="7" t="n"/>
      <c r="G153" s="7" t="n"/>
      <c r="H153" s="8" t="n"/>
      <c r="I153" s="9">
        <f>IF(H153="","",ROUND(H153/3.305785,3))</f>
        <v/>
      </c>
      <c r="J153" s="7" t="n"/>
      <c r="K153" s="7" t="n"/>
      <c r="L153" s="10">
        <f>IF(OR(J153="",K153="",K153=0),"",ROUND(J153/K153,6))</f>
        <v/>
      </c>
      <c r="M153" s="9">
        <f>IF(OR(H153="",J153="",K153="",K153=0),"",ROUND(H153*J153/K153/3.305785,3))</f>
        <v/>
      </c>
      <c r="N153" s="7" t="n"/>
      <c r="O153" s="11" t="n"/>
      <c r="P153" s="11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12">
        <f>IF(A153="","",IF(OR(B153="",C153="",D153="",E153="",G153="",H153="",J153="",K153=""),"必填欄位未完整",""))</f>
        <v/>
      </c>
      <c r="AB153" s="12">
        <f>IF(A153="","",A153&amp;"|"&amp;G153)</f>
        <v/>
      </c>
    </row>
    <row r="154" ht="24" customHeight="1">
      <c r="A154" s="7" t="n"/>
      <c r="B154" s="7" t="n"/>
      <c r="C154" s="7" t="n"/>
      <c r="D154" s="7" t="n"/>
      <c r="E154" s="7" t="n"/>
      <c r="F154" s="7" t="n"/>
      <c r="G154" s="7" t="n"/>
      <c r="H154" s="8" t="n"/>
      <c r="I154" s="9">
        <f>IF(H154="","",ROUND(H154/3.305785,3))</f>
        <v/>
      </c>
      <c r="J154" s="7" t="n"/>
      <c r="K154" s="7" t="n"/>
      <c r="L154" s="10">
        <f>IF(OR(J154="",K154="",K154=0),"",ROUND(J154/K154,6))</f>
        <v/>
      </c>
      <c r="M154" s="9">
        <f>IF(OR(H154="",J154="",K154="",K154=0),"",ROUND(H154*J154/K154/3.305785,3))</f>
        <v/>
      </c>
      <c r="N154" s="7" t="n"/>
      <c r="O154" s="11" t="n"/>
      <c r="P154" s="11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12">
        <f>IF(A154="","",IF(OR(B154="",C154="",D154="",E154="",G154="",H154="",J154="",K154=""),"必填欄位未完整",""))</f>
        <v/>
      </c>
      <c r="AB154" s="12">
        <f>IF(A154="","",A154&amp;"|"&amp;G154)</f>
        <v/>
      </c>
    </row>
    <row r="155" ht="24" customHeight="1">
      <c r="A155" s="7" t="n"/>
      <c r="B155" s="7" t="n"/>
      <c r="C155" s="7" t="n"/>
      <c r="D155" s="7" t="n"/>
      <c r="E155" s="7" t="n"/>
      <c r="F155" s="7" t="n"/>
      <c r="G155" s="7" t="n"/>
      <c r="H155" s="8" t="n"/>
      <c r="I155" s="9">
        <f>IF(H155="","",ROUND(H155/3.305785,3))</f>
        <v/>
      </c>
      <c r="J155" s="7" t="n"/>
      <c r="K155" s="7" t="n"/>
      <c r="L155" s="10">
        <f>IF(OR(J155="",K155="",K155=0),"",ROUND(J155/K155,6))</f>
        <v/>
      </c>
      <c r="M155" s="9">
        <f>IF(OR(H155="",J155="",K155="",K155=0),"",ROUND(H155*J155/K155/3.305785,3))</f>
        <v/>
      </c>
      <c r="N155" s="7" t="n"/>
      <c r="O155" s="11" t="n"/>
      <c r="P155" s="11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12">
        <f>IF(A155="","",IF(OR(B155="",C155="",D155="",E155="",G155="",H155="",J155="",K155=""),"必填欄位未完整",""))</f>
        <v/>
      </c>
      <c r="AB155" s="12">
        <f>IF(A155="","",A155&amp;"|"&amp;G155)</f>
        <v/>
      </c>
    </row>
    <row r="156" ht="24" customHeight="1">
      <c r="A156" s="7" t="n"/>
      <c r="B156" s="7" t="n"/>
      <c r="C156" s="7" t="n"/>
      <c r="D156" s="7" t="n"/>
      <c r="E156" s="7" t="n"/>
      <c r="F156" s="7" t="n"/>
      <c r="G156" s="7" t="n"/>
      <c r="H156" s="8" t="n"/>
      <c r="I156" s="9">
        <f>IF(H156="","",ROUND(H156/3.305785,3))</f>
        <v/>
      </c>
      <c r="J156" s="7" t="n"/>
      <c r="K156" s="7" t="n"/>
      <c r="L156" s="10">
        <f>IF(OR(J156="",K156="",K156=0),"",ROUND(J156/K156,6))</f>
        <v/>
      </c>
      <c r="M156" s="9">
        <f>IF(OR(H156="",J156="",K156="",K156=0),"",ROUND(H156*J156/K156/3.305785,3))</f>
        <v/>
      </c>
      <c r="N156" s="7" t="n"/>
      <c r="O156" s="11" t="n"/>
      <c r="P156" s="11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12">
        <f>IF(A156="","",IF(OR(B156="",C156="",D156="",E156="",G156="",H156="",J156="",K156=""),"必填欄位未完整",""))</f>
        <v/>
      </c>
      <c r="AB156" s="12">
        <f>IF(A156="","",A156&amp;"|"&amp;G156)</f>
        <v/>
      </c>
    </row>
    <row r="157" ht="24" customHeight="1">
      <c r="A157" s="7" t="n"/>
      <c r="B157" s="7" t="n"/>
      <c r="C157" s="7" t="n"/>
      <c r="D157" s="7" t="n"/>
      <c r="E157" s="7" t="n"/>
      <c r="F157" s="7" t="n"/>
      <c r="G157" s="7" t="n"/>
      <c r="H157" s="8" t="n"/>
      <c r="I157" s="9">
        <f>IF(H157="","",ROUND(H157/3.305785,3))</f>
        <v/>
      </c>
      <c r="J157" s="7" t="n"/>
      <c r="K157" s="7" t="n"/>
      <c r="L157" s="10">
        <f>IF(OR(J157="",K157="",K157=0),"",ROUND(J157/K157,6))</f>
        <v/>
      </c>
      <c r="M157" s="9">
        <f>IF(OR(H157="",J157="",K157="",K157=0),"",ROUND(H157*J157/K157/3.305785,3))</f>
        <v/>
      </c>
      <c r="N157" s="7" t="n"/>
      <c r="O157" s="11" t="n"/>
      <c r="P157" s="11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12">
        <f>IF(A157="","",IF(OR(B157="",C157="",D157="",E157="",G157="",H157="",J157="",K157=""),"必填欄位未完整",""))</f>
        <v/>
      </c>
      <c r="AB157" s="12">
        <f>IF(A157="","",A157&amp;"|"&amp;G157)</f>
        <v/>
      </c>
    </row>
    <row r="158" ht="24" customHeight="1">
      <c r="A158" s="7" t="n"/>
      <c r="B158" s="7" t="n"/>
      <c r="C158" s="7" t="n"/>
      <c r="D158" s="7" t="n"/>
      <c r="E158" s="7" t="n"/>
      <c r="F158" s="7" t="n"/>
      <c r="G158" s="7" t="n"/>
      <c r="H158" s="8" t="n"/>
      <c r="I158" s="9">
        <f>IF(H158="","",ROUND(H158/3.305785,3))</f>
        <v/>
      </c>
      <c r="J158" s="7" t="n"/>
      <c r="K158" s="7" t="n"/>
      <c r="L158" s="10">
        <f>IF(OR(J158="",K158="",K158=0),"",ROUND(J158/K158,6))</f>
        <v/>
      </c>
      <c r="M158" s="9">
        <f>IF(OR(H158="",J158="",K158="",K158=0),"",ROUND(H158*J158/K158/3.305785,3))</f>
        <v/>
      </c>
      <c r="N158" s="7" t="n"/>
      <c r="O158" s="11" t="n"/>
      <c r="P158" s="11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12">
        <f>IF(A158="","",IF(OR(B158="",C158="",D158="",E158="",G158="",H158="",J158="",K158=""),"必填欄位未完整",""))</f>
        <v/>
      </c>
      <c r="AB158" s="12">
        <f>IF(A158="","",A158&amp;"|"&amp;G158)</f>
        <v/>
      </c>
    </row>
    <row r="159" ht="24" customHeight="1">
      <c r="A159" s="7" t="n"/>
      <c r="B159" s="7" t="n"/>
      <c r="C159" s="7" t="n"/>
      <c r="D159" s="7" t="n"/>
      <c r="E159" s="7" t="n"/>
      <c r="F159" s="7" t="n"/>
      <c r="G159" s="7" t="n"/>
      <c r="H159" s="8" t="n"/>
      <c r="I159" s="9">
        <f>IF(H159="","",ROUND(H159/3.305785,3))</f>
        <v/>
      </c>
      <c r="J159" s="7" t="n"/>
      <c r="K159" s="7" t="n"/>
      <c r="L159" s="10">
        <f>IF(OR(J159="",K159="",K159=0),"",ROUND(J159/K159,6))</f>
        <v/>
      </c>
      <c r="M159" s="9">
        <f>IF(OR(H159="",J159="",K159="",K159=0),"",ROUND(H159*J159/K159/3.305785,3))</f>
        <v/>
      </c>
      <c r="N159" s="7" t="n"/>
      <c r="O159" s="11" t="n"/>
      <c r="P159" s="11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12">
        <f>IF(A159="","",IF(OR(B159="",C159="",D159="",E159="",G159="",H159="",J159="",K159=""),"必填欄位未完整",""))</f>
        <v/>
      </c>
      <c r="AB159" s="12">
        <f>IF(A159="","",A159&amp;"|"&amp;G159)</f>
        <v/>
      </c>
    </row>
    <row r="160" ht="24" customHeight="1">
      <c r="A160" s="7" t="n"/>
      <c r="B160" s="7" t="n"/>
      <c r="C160" s="7" t="n"/>
      <c r="D160" s="7" t="n"/>
      <c r="E160" s="7" t="n"/>
      <c r="F160" s="7" t="n"/>
      <c r="G160" s="7" t="n"/>
      <c r="H160" s="8" t="n"/>
      <c r="I160" s="9">
        <f>IF(H160="","",ROUND(H160/3.305785,3))</f>
        <v/>
      </c>
      <c r="J160" s="7" t="n"/>
      <c r="K160" s="7" t="n"/>
      <c r="L160" s="10">
        <f>IF(OR(J160="",K160="",K160=0),"",ROUND(J160/K160,6))</f>
        <v/>
      </c>
      <c r="M160" s="9">
        <f>IF(OR(H160="",J160="",K160="",K160=0),"",ROUND(H160*J160/K160/3.305785,3))</f>
        <v/>
      </c>
      <c r="N160" s="7" t="n"/>
      <c r="O160" s="11" t="n"/>
      <c r="P160" s="11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12">
        <f>IF(A160="","",IF(OR(B160="",C160="",D160="",E160="",G160="",H160="",J160="",K160=""),"必填欄位未完整",""))</f>
        <v/>
      </c>
      <c r="AB160" s="12">
        <f>IF(A160="","",A160&amp;"|"&amp;G160)</f>
        <v/>
      </c>
    </row>
    <row r="161" ht="24" customHeight="1">
      <c r="A161" s="7" t="n"/>
      <c r="B161" s="7" t="n"/>
      <c r="C161" s="7" t="n"/>
      <c r="D161" s="7" t="n"/>
      <c r="E161" s="7" t="n"/>
      <c r="F161" s="7" t="n"/>
      <c r="G161" s="7" t="n"/>
      <c r="H161" s="8" t="n"/>
      <c r="I161" s="9">
        <f>IF(H161="","",ROUND(H161/3.305785,3))</f>
        <v/>
      </c>
      <c r="J161" s="7" t="n"/>
      <c r="K161" s="7" t="n"/>
      <c r="L161" s="10">
        <f>IF(OR(J161="",K161="",K161=0),"",ROUND(J161/K161,6))</f>
        <v/>
      </c>
      <c r="M161" s="9">
        <f>IF(OR(H161="",J161="",K161="",K161=0),"",ROUND(H161*J161/K161/3.305785,3))</f>
        <v/>
      </c>
      <c r="N161" s="7" t="n"/>
      <c r="O161" s="11" t="n"/>
      <c r="P161" s="11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12">
        <f>IF(A161="","",IF(OR(B161="",C161="",D161="",E161="",G161="",H161="",J161="",K161=""),"必填欄位未完整",""))</f>
        <v/>
      </c>
      <c r="AB161" s="12">
        <f>IF(A161="","",A161&amp;"|"&amp;G161)</f>
        <v/>
      </c>
    </row>
    <row r="162" ht="24" customHeight="1">
      <c r="A162" s="7" t="n"/>
      <c r="B162" s="7" t="n"/>
      <c r="C162" s="7" t="n"/>
      <c r="D162" s="7" t="n"/>
      <c r="E162" s="7" t="n"/>
      <c r="F162" s="7" t="n"/>
      <c r="G162" s="7" t="n"/>
      <c r="H162" s="8" t="n"/>
      <c r="I162" s="9">
        <f>IF(H162="","",ROUND(H162/3.305785,3))</f>
        <v/>
      </c>
      <c r="J162" s="7" t="n"/>
      <c r="K162" s="7" t="n"/>
      <c r="L162" s="10">
        <f>IF(OR(J162="",K162="",K162=0),"",ROUND(J162/K162,6))</f>
        <v/>
      </c>
      <c r="M162" s="9">
        <f>IF(OR(H162="",J162="",K162="",K162=0),"",ROUND(H162*J162/K162/3.305785,3))</f>
        <v/>
      </c>
      <c r="N162" s="7" t="n"/>
      <c r="O162" s="11" t="n"/>
      <c r="P162" s="11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12">
        <f>IF(A162="","",IF(OR(B162="",C162="",D162="",E162="",G162="",H162="",J162="",K162=""),"必填欄位未完整",""))</f>
        <v/>
      </c>
      <c r="AB162" s="12">
        <f>IF(A162="","",A162&amp;"|"&amp;G162)</f>
        <v/>
      </c>
    </row>
    <row r="163" ht="24" customHeight="1">
      <c r="A163" s="7" t="n"/>
      <c r="B163" s="7" t="n"/>
      <c r="C163" s="7" t="n"/>
      <c r="D163" s="7" t="n"/>
      <c r="E163" s="7" t="n"/>
      <c r="F163" s="7" t="n"/>
      <c r="G163" s="7" t="n"/>
      <c r="H163" s="8" t="n"/>
      <c r="I163" s="9">
        <f>IF(H163="","",ROUND(H163/3.305785,3))</f>
        <v/>
      </c>
      <c r="J163" s="7" t="n"/>
      <c r="K163" s="7" t="n"/>
      <c r="L163" s="10">
        <f>IF(OR(J163="",K163="",K163=0),"",ROUND(J163/K163,6))</f>
        <v/>
      </c>
      <c r="M163" s="9">
        <f>IF(OR(H163="",J163="",K163="",K163=0),"",ROUND(H163*J163/K163/3.305785,3))</f>
        <v/>
      </c>
      <c r="N163" s="7" t="n"/>
      <c r="O163" s="11" t="n"/>
      <c r="P163" s="11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12">
        <f>IF(A163="","",IF(OR(B163="",C163="",D163="",E163="",G163="",H163="",J163="",K163=""),"必填欄位未完整",""))</f>
        <v/>
      </c>
      <c r="AB163" s="12">
        <f>IF(A163="","",A163&amp;"|"&amp;G163)</f>
        <v/>
      </c>
    </row>
    <row r="164" ht="24" customHeight="1">
      <c r="A164" s="7" t="n"/>
      <c r="B164" s="7" t="n"/>
      <c r="C164" s="7" t="n"/>
      <c r="D164" s="7" t="n"/>
      <c r="E164" s="7" t="n"/>
      <c r="F164" s="7" t="n"/>
      <c r="G164" s="7" t="n"/>
      <c r="H164" s="8" t="n"/>
      <c r="I164" s="9">
        <f>IF(H164="","",ROUND(H164/3.305785,3))</f>
        <v/>
      </c>
      <c r="J164" s="7" t="n"/>
      <c r="K164" s="7" t="n"/>
      <c r="L164" s="10">
        <f>IF(OR(J164="",K164="",K164=0),"",ROUND(J164/K164,6))</f>
        <v/>
      </c>
      <c r="M164" s="9">
        <f>IF(OR(H164="",J164="",K164="",K164=0),"",ROUND(H164*J164/K164/3.305785,3))</f>
        <v/>
      </c>
      <c r="N164" s="7" t="n"/>
      <c r="O164" s="11" t="n"/>
      <c r="P164" s="11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12">
        <f>IF(A164="","",IF(OR(B164="",C164="",D164="",E164="",G164="",H164="",J164="",K164=""),"必填欄位未完整",""))</f>
        <v/>
      </c>
      <c r="AB164" s="12">
        <f>IF(A164="","",A164&amp;"|"&amp;G164)</f>
        <v/>
      </c>
    </row>
    <row r="165" ht="24" customHeight="1">
      <c r="A165" s="7" t="n"/>
      <c r="B165" s="7" t="n"/>
      <c r="C165" s="7" t="n"/>
      <c r="D165" s="7" t="n"/>
      <c r="E165" s="7" t="n"/>
      <c r="F165" s="7" t="n"/>
      <c r="G165" s="7" t="n"/>
      <c r="H165" s="8" t="n"/>
      <c r="I165" s="9">
        <f>IF(H165="","",ROUND(H165/3.305785,3))</f>
        <v/>
      </c>
      <c r="J165" s="7" t="n"/>
      <c r="K165" s="7" t="n"/>
      <c r="L165" s="10">
        <f>IF(OR(J165="",K165="",K165=0),"",ROUND(J165/K165,6))</f>
        <v/>
      </c>
      <c r="M165" s="9">
        <f>IF(OR(H165="",J165="",K165="",K165=0),"",ROUND(H165*J165/K165/3.305785,3))</f>
        <v/>
      </c>
      <c r="N165" s="7" t="n"/>
      <c r="O165" s="11" t="n"/>
      <c r="P165" s="11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12">
        <f>IF(A165="","",IF(OR(B165="",C165="",D165="",E165="",G165="",H165="",J165="",K165=""),"必填欄位未完整",""))</f>
        <v/>
      </c>
      <c r="AB165" s="12">
        <f>IF(A165="","",A165&amp;"|"&amp;G165)</f>
        <v/>
      </c>
    </row>
    <row r="166" ht="24" customHeight="1">
      <c r="A166" s="7" t="n"/>
      <c r="B166" s="7" t="n"/>
      <c r="C166" s="7" t="n"/>
      <c r="D166" s="7" t="n"/>
      <c r="E166" s="7" t="n"/>
      <c r="F166" s="7" t="n"/>
      <c r="G166" s="7" t="n"/>
      <c r="H166" s="8" t="n"/>
      <c r="I166" s="9">
        <f>IF(H166="","",ROUND(H166/3.305785,3))</f>
        <v/>
      </c>
      <c r="J166" s="7" t="n"/>
      <c r="K166" s="7" t="n"/>
      <c r="L166" s="10">
        <f>IF(OR(J166="",K166="",K166=0),"",ROUND(J166/K166,6))</f>
        <v/>
      </c>
      <c r="M166" s="9">
        <f>IF(OR(H166="",J166="",K166="",K166=0),"",ROUND(H166*J166/K166/3.305785,3))</f>
        <v/>
      </c>
      <c r="N166" s="7" t="n"/>
      <c r="O166" s="11" t="n"/>
      <c r="P166" s="11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12">
        <f>IF(A166="","",IF(OR(B166="",C166="",D166="",E166="",G166="",H166="",J166="",K166=""),"必填欄位未完整",""))</f>
        <v/>
      </c>
      <c r="AB166" s="12">
        <f>IF(A166="","",A166&amp;"|"&amp;G166)</f>
        <v/>
      </c>
    </row>
    <row r="167" ht="24" customHeight="1">
      <c r="A167" s="7" t="n"/>
      <c r="B167" s="7" t="n"/>
      <c r="C167" s="7" t="n"/>
      <c r="D167" s="7" t="n"/>
      <c r="E167" s="7" t="n"/>
      <c r="F167" s="7" t="n"/>
      <c r="G167" s="7" t="n"/>
      <c r="H167" s="8" t="n"/>
      <c r="I167" s="9">
        <f>IF(H167="","",ROUND(H167/3.305785,3))</f>
        <v/>
      </c>
      <c r="J167" s="7" t="n"/>
      <c r="K167" s="7" t="n"/>
      <c r="L167" s="10">
        <f>IF(OR(J167="",K167="",K167=0),"",ROUND(J167/K167,6))</f>
        <v/>
      </c>
      <c r="M167" s="9">
        <f>IF(OR(H167="",J167="",K167="",K167=0),"",ROUND(H167*J167/K167/3.305785,3))</f>
        <v/>
      </c>
      <c r="N167" s="7" t="n"/>
      <c r="O167" s="11" t="n"/>
      <c r="P167" s="11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12">
        <f>IF(A167="","",IF(OR(B167="",C167="",D167="",E167="",G167="",H167="",J167="",K167=""),"必填欄位未完整",""))</f>
        <v/>
      </c>
      <c r="AB167" s="12">
        <f>IF(A167="","",A167&amp;"|"&amp;G167)</f>
        <v/>
      </c>
    </row>
    <row r="168" ht="24" customHeight="1">
      <c r="A168" s="7" t="n"/>
      <c r="B168" s="7" t="n"/>
      <c r="C168" s="7" t="n"/>
      <c r="D168" s="7" t="n"/>
      <c r="E168" s="7" t="n"/>
      <c r="F168" s="7" t="n"/>
      <c r="G168" s="7" t="n"/>
      <c r="H168" s="8" t="n"/>
      <c r="I168" s="9">
        <f>IF(H168="","",ROUND(H168/3.305785,3))</f>
        <v/>
      </c>
      <c r="J168" s="7" t="n"/>
      <c r="K168" s="7" t="n"/>
      <c r="L168" s="10">
        <f>IF(OR(J168="",K168="",K168=0),"",ROUND(J168/K168,6))</f>
        <v/>
      </c>
      <c r="M168" s="9">
        <f>IF(OR(H168="",J168="",K168="",K168=0),"",ROUND(H168*J168/K168/3.305785,3))</f>
        <v/>
      </c>
      <c r="N168" s="7" t="n"/>
      <c r="O168" s="11" t="n"/>
      <c r="P168" s="11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12">
        <f>IF(A168="","",IF(OR(B168="",C168="",D168="",E168="",G168="",H168="",J168="",K168=""),"必填欄位未完整",""))</f>
        <v/>
      </c>
      <c r="AB168" s="12">
        <f>IF(A168="","",A168&amp;"|"&amp;G168)</f>
        <v/>
      </c>
    </row>
    <row r="169" ht="24" customHeight="1">
      <c r="A169" s="7" t="n"/>
      <c r="B169" s="7" t="n"/>
      <c r="C169" s="7" t="n"/>
      <c r="D169" s="7" t="n"/>
      <c r="E169" s="7" t="n"/>
      <c r="F169" s="7" t="n"/>
      <c r="G169" s="7" t="n"/>
      <c r="H169" s="8" t="n"/>
      <c r="I169" s="9">
        <f>IF(H169="","",ROUND(H169/3.305785,3))</f>
        <v/>
      </c>
      <c r="J169" s="7" t="n"/>
      <c r="K169" s="7" t="n"/>
      <c r="L169" s="10">
        <f>IF(OR(J169="",K169="",K169=0),"",ROUND(J169/K169,6))</f>
        <v/>
      </c>
      <c r="M169" s="9">
        <f>IF(OR(H169="",J169="",K169="",K169=0),"",ROUND(H169*J169/K169/3.305785,3))</f>
        <v/>
      </c>
      <c r="N169" s="7" t="n"/>
      <c r="O169" s="11" t="n"/>
      <c r="P169" s="11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12">
        <f>IF(A169="","",IF(OR(B169="",C169="",D169="",E169="",G169="",H169="",J169="",K169=""),"必填欄位未完整",""))</f>
        <v/>
      </c>
      <c r="AB169" s="12">
        <f>IF(A169="","",A169&amp;"|"&amp;G169)</f>
        <v/>
      </c>
    </row>
    <row r="170" ht="24" customHeight="1">
      <c r="A170" s="7" t="n"/>
      <c r="B170" s="7" t="n"/>
      <c r="C170" s="7" t="n"/>
      <c r="D170" s="7" t="n"/>
      <c r="E170" s="7" t="n"/>
      <c r="F170" s="7" t="n"/>
      <c r="G170" s="7" t="n"/>
      <c r="H170" s="8" t="n"/>
      <c r="I170" s="9">
        <f>IF(H170="","",ROUND(H170/3.305785,3))</f>
        <v/>
      </c>
      <c r="J170" s="7" t="n"/>
      <c r="K170" s="7" t="n"/>
      <c r="L170" s="10">
        <f>IF(OR(J170="",K170="",K170=0),"",ROUND(J170/K170,6))</f>
        <v/>
      </c>
      <c r="M170" s="9">
        <f>IF(OR(H170="",J170="",K170="",K170=0),"",ROUND(H170*J170/K170/3.305785,3))</f>
        <v/>
      </c>
      <c r="N170" s="7" t="n"/>
      <c r="O170" s="11" t="n"/>
      <c r="P170" s="11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12">
        <f>IF(A170="","",IF(OR(B170="",C170="",D170="",E170="",G170="",H170="",J170="",K170=""),"必填欄位未完整",""))</f>
        <v/>
      </c>
      <c r="AB170" s="12">
        <f>IF(A170="","",A170&amp;"|"&amp;G170)</f>
        <v/>
      </c>
    </row>
    <row r="171" ht="24" customHeight="1">
      <c r="A171" s="7" t="n"/>
      <c r="B171" s="7" t="n"/>
      <c r="C171" s="7" t="n"/>
      <c r="D171" s="7" t="n"/>
      <c r="E171" s="7" t="n"/>
      <c r="F171" s="7" t="n"/>
      <c r="G171" s="7" t="n"/>
      <c r="H171" s="8" t="n"/>
      <c r="I171" s="9">
        <f>IF(H171="","",ROUND(H171/3.305785,3))</f>
        <v/>
      </c>
      <c r="J171" s="7" t="n"/>
      <c r="K171" s="7" t="n"/>
      <c r="L171" s="10">
        <f>IF(OR(J171="",K171="",K171=0),"",ROUND(J171/K171,6))</f>
        <v/>
      </c>
      <c r="M171" s="9">
        <f>IF(OR(H171="",J171="",K171="",K171=0),"",ROUND(H171*J171/K171/3.305785,3))</f>
        <v/>
      </c>
      <c r="N171" s="7" t="n"/>
      <c r="O171" s="11" t="n"/>
      <c r="P171" s="11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12">
        <f>IF(A171="","",IF(OR(B171="",C171="",D171="",E171="",G171="",H171="",J171="",K171=""),"必填欄位未完整",""))</f>
        <v/>
      </c>
      <c r="AB171" s="12">
        <f>IF(A171="","",A171&amp;"|"&amp;G171)</f>
        <v/>
      </c>
    </row>
    <row r="172" ht="24" customHeight="1">
      <c r="A172" s="7" t="n"/>
      <c r="B172" s="7" t="n"/>
      <c r="C172" s="7" t="n"/>
      <c r="D172" s="7" t="n"/>
      <c r="E172" s="7" t="n"/>
      <c r="F172" s="7" t="n"/>
      <c r="G172" s="7" t="n"/>
      <c r="H172" s="8" t="n"/>
      <c r="I172" s="9">
        <f>IF(H172="","",ROUND(H172/3.305785,3))</f>
        <v/>
      </c>
      <c r="J172" s="7" t="n"/>
      <c r="K172" s="7" t="n"/>
      <c r="L172" s="10">
        <f>IF(OR(J172="",K172="",K172=0),"",ROUND(J172/K172,6))</f>
        <v/>
      </c>
      <c r="M172" s="9">
        <f>IF(OR(H172="",J172="",K172="",K172=0),"",ROUND(H172*J172/K172/3.305785,3))</f>
        <v/>
      </c>
      <c r="N172" s="7" t="n"/>
      <c r="O172" s="11" t="n"/>
      <c r="P172" s="11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12">
        <f>IF(A172="","",IF(OR(B172="",C172="",D172="",E172="",G172="",H172="",J172="",K172=""),"必填欄位未完整",""))</f>
        <v/>
      </c>
      <c r="AB172" s="12">
        <f>IF(A172="","",A172&amp;"|"&amp;G172)</f>
        <v/>
      </c>
    </row>
    <row r="173" ht="24" customHeight="1">
      <c r="A173" s="7" t="n"/>
      <c r="B173" s="7" t="n"/>
      <c r="C173" s="7" t="n"/>
      <c r="D173" s="7" t="n"/>
      <c r="E173" s="7" t="n"/>
      <c r="F173" s="7" t="n"/>
      <c r="G173" s="7" t="n"/>
      <c r="H173" s="8" t="n"/>
      <c r="I173" s="9">
        <f>IF(H173="","",ROUND(H173/3.305785,3))</f>
        <v/>
      </c>
      <c r="J173" s="7" t="n"/>
      <c r="K173" s="7" t="n"/>
      <c r="L173" s="10">
        <f>IF(OR(J173="",K173="",K173=0),"",ROUND(J173/K173,6))</f>
        <v/>
      </c>
      <c r="M173" s="9">
        <f>IF(OR(H173="",J173="",K173="",K173=0),"",ROUND(H173*J173/K173/3.305785,3))</f>
        <v/>
      </c>
      <c r="N173" s="7" t="n"/>
      <c r="O173" s="11" t="n"/>
      <c r="P173" s="11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12">
        <f>IF(A173="","",IF(OR(B173="",C173="",D173="",E173="",G173="",H173="",J173="",K173=""),"必填欄位未完整",""))</f>
        <v/>
      </c>
      <c r="AB173" s="12">
        <f>IF(A173="","",A173&amp;"|"&amp;G173)</f>
        <v/>
      </c>
    </row>
    <row r="174" ht="24" customHeight="1">
      <c r="A174" s="7" t="n"/>
      <c r="B174" s="7" t="n"/>
      <c r="C174" s="7" t="n"/>
      <c r="D174" s="7" t="n"/>
      <c r="E174" s="7" t="n"/>
      <c r="F174" s="7" t="n"/>
      <c r="G174" s="7" t="n"/>
      <c r="H174" s="8" t="n"/>
      <c r="I174" s="9">
        <f>IF(H174="","",ROUND(H174/3.305785,3))</f>
        <v/>
      </c>
      <c r="J174" s="7" t="n"/>
      <c r="K174" s="7" t="n"/>
      <c r="L174" s="10">
        <f>IF(OR(J174="",K174="",K174=0),"",ROUND(J174/K174,6))</f>
        <v/>
      </c>
      <c r="M174" s="9">
        <f>IF(OR(H174="",J174="",K174="",K174=0),"",ROUND(H174*J174/K174/3.305785,3))</f>
        <v/>
      </c>
      <c r="N174" s="7" t="n"/>
      <c r="O174" s="11" t="n"/>
      <c r="P174" s="11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12">
        <f>IF(A174="","",IF(OR(B174="",C174="",D174="",E174="",G174="",H174="",J174="",K174=""),"必填欄位未完整",""))</f>
        <v/>
      </c>
      <c r="AB174" s="12">
        <f>IF(A174="","",A174&amp;"|"&amp;G174)</f>
        <v/>
      </c>
    </row>
    <row r="175" ht="24" customHeight="1">
      <c r="A175" s="7" t="n"/>
      <c r="B175" s="7" t="n"/>
      <c r="C175" s="7" t="n"/>
      <c r="D175" s="7" t="n"/>
      <c r="E175" s="7" t="n"/>
      <c r="F175" s="7" t="n"/>
      <c r="G175" s="7" t="n"/>
      <c r="H175" s="8" t="n"/>
      <c r="I175" s="9">
        <f>IF(H175="","",ROUND(H175/3.305785,3))</f>
        <v/>
      </c>
      <c r="J175" s="7" t="n"/>
      <c r="K175" s="7" t="n"/>
      <c r="L175" s="10">
        <f>IF(OR(J175="",K175="",K175=0),"",ROUND(J175/K175,6))</f>
        <v/>
      </c>
      <c r="M175" s="9">
        <f>IF(OR(H175="",J175="",K175="",K175=0),"",ROUND(H175*J175/K175/3.305785,3))</f>
        <v/>
      </c>
      <c r="N175" s="7" t="n"/>
      <c r="O175" s="11" t="n"/>
      <c r="P175" s="11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12">
        <f>IF(A175="","",IF(OR(B175="",C175="",D175="",E175="",G175="",H175="",J175="",K175=""),"必填欄位未完整",""))</f>
        <v/>
      </c>
      <c r="AB175" s="12">
        <f>IF(A175="","",A175&amp;"|"&amp;G175)</f>
        <v/>
      </c>
    </row>
    <row r="176" ht="24" customHeight="1">
      <c r="A176" s="7" t="n"/>
      <c r="B176" s="7" t="n"/>
      <c r="C176" s="7" t="n"/>
      <c r="D176" s="7" t="n"/>
      <c r="E176" s="7" t="n"/>
      <c r="F176" s="7" t="n"/>
      <c r="G176" s="7" t="n"/>
      <c r="H176" s="8" t="n"/>
      <c r="I176" s="9">
        <f>IF(H176="","",ROUND(H176/3.305785,3))</f>
        <v/>
      </c>
      <c r="J176" s="7" t="n"/>
      <c r="K176" s="7" t="n"/>
      <c r="L176" s="10">
        <f>IF(OR(J176="",K176="",K176=0),"",ROUND(J176/K176,6))</f>
        <v/>
      </c>
      <c r="M176" s="9">
        <f>IF(OR(H176="",J176="",K176="",K176=0),"",ROUND(H176*J176/K176/3.305785,3))</f>
        <v/>
      </c>
      <c r="N176" s="7" t="n"/>
      <c r="O176" s="11" t="n"/>
      <c r="P176" s="11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12">
        <f>IF(A176="","",IF(OR(B176="",C176="",D176="",E176="",G176="",H176="",J176="",K176=""),"必填欄位未完整",""))</f>
        <v/>
      </c>
      <c r="AB176" s="12">
        <f>IF(A176="","",A176&amp;"|"&amp;G176)</f>
        <v/>
      </c>
    </row>
    <row r="177" ht="24" customHeight="1">
      <c r="A177" s="7" t="n"/>
      <c r="B177" s="7" t="n"/>
      <c r="C177" s="7" t="n"/>
      <c r="D177" s="7" t="n"/>
      <c r="E177" s="7" t="n"/>
      <c r="F177" s="7" t="n"/>
      <c r="G177" s="7" t="n"/>
      <c r="H177" s="8" t="n"/>
      <c r="I177" s="9">
        <f>IF(H177="","",ROUND(H177/3.305785,3))</f>
        <v/>
      </c>
      <c r="J177" s="7" t="n"/>
      <c r="K177" s="7" t="n"/>
      <c r="L177" s="10">
        <f>IF(OR(J177="",K177="",K177=0),"",ROUND(J177/K177,6))</f>
        <v/>
      </c>
      <c r="M177" s="9">
        <f>IF(OR(H177="",J177="",K177="",K177=0),"",ROUND(H177*J177/K177/3.305785,3))</f>
        <v/>
      </c>
      <c r="N177" s="7" t="n"/>
      <c r="O177" s="11" t="n"/>
      <c r="P177" s="11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12">
        <f>IF(A177="","",IF(OR(B177="",C177="",D177="",E177="",G177="",H177="",J177="",K177=""),"必填欄位未完整",""))</f>
        <v/>
      </c>
      <c r="AB177" s="12">
        <f>IF(A177="","",A177&amp;"|"&amp;G177)</f>
        <v/>
      </c>
    </row>
    <row r="178" ht="24" customHeight="1">
      <c r="A178" s="7" t="n"/>
      <c r="B178" s="7" t="n"/>
      <c r="C178" s="7" t="n"/>
      <c r="D178" s="7" t="n"/>
      <c r="E178" s="7" t="n"/>
      <c r="F178" s="7" t="n"/>
      <c r="G178" s="7" t="n"/>
      <c r="H178" s="8" t="n"/>
      <c r="I178" s="9">
        <f>IF(H178="","",ROUND(H178/3.305785,3))</f>
        <v/>
      </c>
      <c r="J178" s="7" t="n"/>
      <c r="K178" s="7" t="n"/>
      <c r="L178" s="10">
        <f>IF(OR(J178="",K178="",K178=0),"",ROUND(J178/K178,6))</f>
        <v/>
      </c>
      <c r="M178" s="9">
        <f>IF(OR(H178="",J178="",K178="",K178=0),"",ROUND(H178*J178/K178/3.305785,3))</f>
        <v/>
      </c>
      <c r="N178" s="7" t="n"/>
      <c r="O178" s="11" t="n"/>
      <c r="P178" s="11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12">
        <f>IF(A178="","",IF(OR(B178="",C178="",D178="",E178="",G178="",H178="",J178="",K178=""),"必填欄位未完整",""))</f>
        <v/>
      </c>
      <c r="AB178" s="12">
        <f>IF(A178="","",A178&amp;"|"&amp;G178)</f>
        <v/>
      </c>
    </row>
    <row r="179" ht="24" customHeight="1">
      <c r="A179" s="7" t="n"/>
      <c r="B179" s="7" t="n"/>
      <c r="C179" s="7" t="n"/>
      <c r="D179" s="7" t="n"/>
      <c r="E179" s="7" t="n"/>
      <c r="F179" s="7" t="n"/>
      <c r="G179" s="7" t="n"/>
      <c r="H179" s="8" t="n"/>
      <c r="I179" s="9">
        <f>IF(H179="","",ROUND(H179/3.305785,3))</f>
        <v/>
      </c>
      <c r="J179" s="7" t="n"/>
      <c r="K179" s="7" t="n"/>
      <c r="L179" s="10">
        <f>IF(OR(J179="",K179="",K179=0),"",ROUND(J179/K179,6))</f>
        <v/>
      </c>
      <c r="M179" s="9">
        <f>IF(OR(H179="",J179="",K179="",K179=0),"",ROUND(H179*J179/K179/3.305785,3))</f>
        <v/>
      </c>
      <c r="N179" s="7" t="n"/>
      <c r="O179" s="11" t="n"/>
      <c r="P179" s="11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12">
        <f>IF(A179="","",IF(OR(B179="",C179="",D179="",E179="",G179="",H179="",J179="",K179=""),"必填欄位未完整",""))</f>
        <v/>
      </c>
      <c r="AB179" s="12">
        <f>IF(A179="","",A179&amp;"|"&amp;G179)</f>
        <v/>
      </c>
    </row>
    <row r="180" ht="24" customHeight="1">
      <c r="A180" s="7" t="n"/>
      <c r="B180" s="7" t="n"/>
      <c r="C180" s="7" t="n"/>
      <c r="D180" s="7" t="n"/>
      <c r="E180" s="7" t="n"/>
      <c r="F180" s="7" t="n"/>
      <c r="G180" s="7" t="n"/>
      <c r="H180" s="8" t="n"/>
      <c r="I180" s="9">
        <f>IF(H180="","",ROUND(H180/3.305785,3))</f>
        <v/>
      </c>
      <c r="J180" s="7" t="n"/>
      <c r="K180" s="7" t="n"/>
      <c r="L180" s="10">
        <f>IF(OR(J180="",K180="",K180=0),"",ROUND(J180/K180,6))</f>
        <v/>
      </c>
      <c r="M180" s="9">
        <f>IF(OR(H180="",J180="",K180="",K180=0),"",ROUND(H180*J180/K180/3.305785,3))</f>
        <v/>
      </c>
      <c r="N180" s="7" t="n"/>
      <c r="O180" s="11" t="n"/>
      <c r="P180" s="11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12">
        <f>IF(A180="","",IF(OR(B180="",C180="",D180="",E180="",G180="",H180="",J180="",K180=""),"必填欄位未完整",""))</f>
        <v/>
      </c>
      <c r="AB180" s="12">
        <f>IF(A180="","",A180&amp;"|"&amp;G180)</f>
        <v/>
      </c>
    </row>
    <row r="181" ht="24" customHeight="1">
      <c r="A181" s="7" t="n"/>
      <c r="B181" s="7" t="n"/>
      <c r="C181" s="7" t="n"/>
      <c r="D181" s="7" t="n"/>
      <c r="E181" s="7" t="n"/>
      <c r="F181" s="7" t="n"/>
      <c r="G181" s="7" t="n"/>
      <c r="H181" s="8" t="n"/>
      <c r="I181" s="9">
        <f>IF(H181="","",ROUND(H181/3.305785,3))</f>
        <v/>
      </c>
      <c r="J181" s="7" t="n"/>
      <c r="K181" s="7" t="n"/>
      <c r="L181" s="10">
        <f>IF(OR(J181="",K181="",K181=0),"",ROUND(J181/K181,6))</f>
        <v/>
      </c>
      <c r="M181" s="9">
        <f>IF(OR(H181="",J181="",K181="",K181=0),"",ROUND(H181*J181/K181/3.305785,3))</f>
        <v/>
      </c>
      <c r="N181" s="7" t="n"/>
      <c r="O181" s="11" t="n"/>
      <c r="P181" s="11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12">
        <f>IF(A181="","",IF(OR(B181="",C181="",D181="",E181="",G181="",H181="",J181="",K181=""),"必填欄位未完整",""))</f>
        <v/>
      </c>
      <c r="AB181" s="12">
        <f>IF(A181="","",A181&amp;"|"&amp;G181)</f>
        <v/>
      </c>
    </row>
    <row r="182" ht="24" customHeight="1">
      <c r="A182" s="7" t="n"/>
      <c r="B182" s="7" t="n"/>
      <c r="C182" s="7" t="n"/>
      <c r="D182" s="7" t="n"/>
      <c r="E182" s="7" t="n"/>
      <c r="F182" s="7" t="n"/>
      <c r="G182" s="7" t="n"/>
      <c r="H182" s="8" t="n"/>
      <c r="I182" s="9">
        <f>IF(H182="","",ROUND(H182/3.305785,3))</f>
        <v/>
      </c>
      <c r="J182" s="7" t="n"/>
      <c r="K182" s="7" t="n"/>
      <c r="L182" s="10">
        <f>IF(OR(J182="",K182="",K182=0),"",ROUND(J182/K182,6))</f>
        <v/>
      </c>
      <c r="M182" s="9">
        <f>IF(OR(H182="",J182="",K182="",K182=0),"",ROUND(H182*J182/K182/3.305785,3))</f>
        <v/>
      </c>
      <c r="N182" s="7" t="n"/>
      <c r="O182" s="11" t="n"/>
      <c r="P182" s="11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12">
        <f>IF(A182="","",IF(OR(B182="",C182="",D182="",E182="",G182="",H182="",J182="",K182=""),"必填欄位未完整",""))</f>
        <v/>
      </c>
      <c r="AB182" s="12">
        <f>IF(A182="","",A182&amp;"|"&amp;G182)</f>
        <v/>
      </c>
    </row>
    <row r="183" ht="24" customHeight="1">
      <c r="A183" s="7" t="n"/>
      <c r="B183" s="7" t="n"/>
      <c r="C183" s="7" t="n"/>
      <c r="D183" s="7" t="n"/>
      <c r="E183" s="7" t="n"/>
      <c r="F183" s="7" t="n"/>
      <c r="G183" s="7" t="n"/>
      <c r="H183" s="8" t="n"/>
      <c r="I183" s="9">
        <f>IF(H183="","",ROUND(H183/3.305785,3))</f>
        <v/>
      </c>
      <c r="J183" s="7" t="n"/>
      <c r="K183" s="7" t="n"/>
      <c r="L183" s="10">
        <f>IF(OR(J183="",K183="",K183=0),"",ROUND(J183/K183,6))</f>
        <v/>
      </c>
      <c r="M183" s="9">
        <f>IF(OR(H183="",J183="",K183="",K183=0),"",ROUND(H183*J183/K183/3.305785,3))</f>
        <v/>
      </c>
      <c r="N183" s="7" t="n"/>
      <c r="O183" s="11" t="n"/>
      <c r="P183" s="11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12">
        <f>IF(A183="","",IF(OR(B183="",C183="",D183="",E183="",G183="",H183="",J183="",K183=""),"必填欄位未完整",""))</f>
        <v/>
      </c>
      <c r="AB183" s="12">
        <f>IF(A183="","",A183&amp;"|"&amp;G183)</f>
        <v/>
      </c>
    </row>
    <row r="184" ht="24" customHeight="1">
      <c r="A184" s="7" t="n"/>
      <c r="B184" s="7" t="n"/>
      <c r="C184" s="7" t="n"/>
      <c r="D184" s="7" t="n"/>
      <c r="E184" s="7" t="n"/>
      <c r="F184" s="7" t="n"/>
      <c r="G184" s="7" t="n"/>
      <c r="H184" s="8" t="n"/>
      <c r="I184" s="9">
        <f>IF(H184="","",ROUND(H184/3.305785,3))</f>
        <v/>
      </c>
      <c r="J184" s="7" t="n"/>
      <c r="K184" s="7" t="n"/>
      <c r="L184" s="10">
        <f>IF(OR(J184="",K184="",K184=0),"",ROUND(J184/K184,6))</f>
        <v/>
      </c>
      <c r="M184" s="9">
        <f>IF(OR(H184="",J184="",K184="",K184=0),"",ROUND(H184*J184/K184/3.305785,3))</f>
        <v/>
      </c>
      <c r="N184" s="7" t="n"/>
      <c r="O184" s="11" t="n"/>
      <c r="P184" s="11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12">
        <f>IF(A184="","",IF(OR(B184="",C184="",D184="",E184="",G184="",H184="",J184="",K184=""),"必填欄位未完整",""))</f>
        <v/>
      </c>
      <c r="AB184" s="12">
        <f>IF(A184="","",A184&amp;"|"&amp;G184)</f>
        <v/>
      </c>
    </row>
    <row r="185" ht="24" customHeight="1">
      <c r="A185" s="7" t="n"/>
      <c r="B185" s="7" t="n"/>
      <c r="C185" s="7" t="n"/>
      <c r="D185" s="7" t="n"/>
      <c r="E185" s="7" t="n"/>
      <c r="F185" s="7" t="n"/>
      <c r="G185" s="7" t="n"/>
      <c r="H185" s="8" t="n"/>
      <c r="I185" s="9">
        <f>IF(H185="","",ROUND(H185/3.305785,3))</f>
        <v/>
      </c>
      <c r="J185" s="7" t="n"/>
      <c r="K185" s="7" t="n"/>
      <c r="L185" s="10">
        <f>IF(OR(J185="",K185="",K185=0),"",ROUND(J185/K185,6))</f>
        <v/>
      </c>
      <c r="M185" s="9">
        <f>IF(OR(H185="",J185="",K185="",K185=0),"",ROUND(H185*J185/K185/3.305785,3))</f>
        <v/>
      </c>
      <c r="N185" s="7" t="n"/>
      <c r="O185" s="11" t="n"/>
      <c r="P185" s="11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12">
        <f>IF(A185="","",IF(OR(B185="",C185="",D185="",E185="",G185="",H185="",J185="",K185=""),"必填欄位未完整",""))</f>
        <v/>
      </c>
      <c r="AB185" s="12">
        <f>IF(A185="","",A185&amp;"|"&amp;G185)</f>
        <v/>
      </c>
    </row>
    <row r="186" ht="24" customHeight="1">
      <c r="A186" s="7" t="n"/>
      <c r="B186" s="7" t="n"/>
      <c r="C186" s="7" t="n"/>
      <c r="D186" s="7" t="n"/>
      <c r="E186" s="7" t="n"/>
      <c r="F186" s="7" t="n"/>
      <c r="G186" s="7" t="n"/>
      <c r="H186" s="8" t="n"/>
      <c r="I186" s="9">
        <f>IF(H186="","",ROUND(H186/3.305785,3))</f>
        <v/>
      </c>
      <c r="J186" s="7" t="n"/>
      <c r="K186" s="7" t="n"/>
      <c r="L186" s="10">
        <f>IF(OR(J186="",K186="",K186=0),"",ROUND(J186/K186,6))</f>
        <v/>
      </c>
      <c r="M186" s="9">
        <f>IF(OR(H186="",J186="",K186="",K186=0),"",ROUND(H186*J186/K186/3.305785,3))</f>
        <v/>
      </c>
      <c r="N186" s="7" t="n"/>
      <c r="O186" s="11" t="n"/>
      <c r="P186" s="11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12">
        <f>IF(A186="","",IF(OR(B186="",C186="",D186="",E186="",G186="",H186="",J186="",K186=""),"必填欄位未完整",""))</f>
        <v/>
      </c>
      <c r="AB186" s="12">
        <f>IF(A186="","",A186&amp;"|"&amp;G186)</f>
        <v/>
      </c>
    </row>
    <row r="187" ht="24" customHeight="1">
      <c r="A187" s="7" t="n"/>
      <c r="B187" s="7" t="n"/>
      <c r="C187" s="7" t="n"/>
      <c r="D187" s="7" t="n"/>
      <c r="E187" s="7" t="n"/>
      <c r="F187" s="7" t="n"/>
      <c r="G187" s="7" t="n"/>
      <c r="H187" s="8" t="n"/>
      <c r="I187" s="9">
        <f>IF(H187="","",ROUND(H187/3.305785,3))</f>
        <v/>
      </c>
      <c r="J187" s="7" t="n"/>
      <c r="K187" s="7" t="n"/>
      <c r="L187" s="10">
        <f>IF(OR(J187="",K187="",K187=0),"",ROUND(J187/K187,6))</f>
        <v/>
      </c>
      <c r="M187" s="9">
        <f>IF(OR(H187="",J187="",K187="",K187=0),"",ROUND(H187*J187/K187/3.305785,3))</f>
        <v/>
      </c>
      <c r="N187" s="7" t="n"/>
      <c r="O187" s="11" t="n"/>
      <c r="P187" s="11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12">
        <f>IF(A187="","",IF(OR(B187="",C187="",D187="",E187="",G187="",H187="",J187="",K187=""),"必填欄位未完整",""))</f>
        <v/>
      </c>
      <c r="AB187" s="12">
        <f>IF(A187="","",A187&amp;"|"&amp;G187)</f>
        <v/>
      </c>
    </row>
    <row r="188" ht="24" customHeight="1">
      <c r="A188" s="7" t="n"/>
      <c r="B188" s="7" t="n"/>
      <c r="C188" s="7" t="n"/>
      <c r="D188" s="7" t="n"/>
      <c r="E188" s="7" t="n"/>
      <c r="F188" s="7" t="n"/>
      <c r="G188" s="7" t="n"/>
      <c r="H188" s="8" t="n"/>
      <c r="I188" s="9">
        <f>IF(H188="","",ROUND(H188/3.305785,3))</f>
        <v/>
      </c>
      <c r="J188" s="7" t="n"/>
      <c r="K188" s="7" t="n"/>
      <c r="L188" s="10">
        <f>IF(OR(J188="",K188="",K188=0),"",ROUND(J188/K188,6))</f>
        <v/>
      </c>
      <c r="M188" s="9">
        <f>IF(OR(H188="",J188="",K188="",K188=0),"",ROUND(H188*J188/K188/3.305785,3))</f>
        <v/>
      </c>
      <c r="N188" s="7" t="n"/>
      <c r="O188" s="11" t="n"/>
      <c r="P188" s="11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12">
        <f>IF(A188="","",IF(OR(B188="",C188="",D188="",E188="",G188="",H188="",J188="",K188=""),"必填欄位未完整",""))</f>
        <v/>
      </c>
      <c r="AB188" s="12">
        <f>IF(A188="","",A188&amp;"|"&amp;G188)</f>
        <v/>
      </c>
    </row>
    <row r="189" ht="24" customHeight="1">
      <c r="A189" s="7" t="n"/>
      <c r="B189" s="7" t="n"/>
      <c r="C189" s="7" t="n"/>
      <c r="D189" s="7" t="n"/>
      <c r="E189" s="7" t="n"/>
      <c r="F189" s="7" t="n"/>
      <c r="G189" s="7" t="n"/>
      <c r="H189" s="8" t="n"/>
      <c r="I189" s="9">
        <f>IF(H189="","",ROUND(H189/3.305785,3))</f>
        <v/>
      </c>
      <c r="J189" s="7" t="n"/>
      <c r="K189" s="7" t="n"/>
      <c r="L189" s="10">
        <f>IF(OR(J189="",K189="",K189=0),"",ROUND(J189/K189,6))</f>
        <v/>
      </c>
      <c r="M189" s="9">
        <f>IF(OR(H189="",J189="",K189="",K189=0),"",ROUND(H189*J189/K189/3.305785,3))</f>
        <v/>
      </c>
      <c r="N189" s="7" t="n"/>
      <c r="O189" s="11" t="n"/>
      <c r="P189" s="11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12">
        <f>IF(A189="","",IF(OR(B189="",C189="",D189="",E189="",G189="",H189="",J189="",K189=""),"必填欄位未完整",""))</f>
        <v/>
      </c>
      <c r="AB189" s="12">
        <f>IF(A189="","",A189&amp;"|"&amp;G189)</f>
        <v/>
      </c>
    </row>
    <row r="190" ht="24" customHeight="1">
      <c r="A190" s="7" t="n"/>
      <c r="B190" s="7" t="n"/>
      <c r="C190" s="7" t="n"/>
      <c r="D190" s="7" t="n"/>
      <c r="E190" s="7" t="n"/>
      <c r="F190" s="7" t="n"/>
      <c r="G190" s="7" t="n"/>
      <c r="H190" s="8" t="n"/>
      <c r="I190" s="9">
        <f>IF(H190="","",ROUND(H190/3.305785,3))</f>
        <v/>
      </c>
      <c r="J190" s="7" t="n"/>
      <c r="K190" s="7" t="n"/>
      <c r="L190" s="10">
        <f>IF(OR(J190="",K190="",K190=0),"",ROUND(J190/K190,6))</f>
        <v/>
      </c>
      <c r="M190" s="9">
        <f>IF(OR(H190="",J190="",K190="",K190=0),"",ROUND(H190*J190/K190/3.305785,3))</f>
        <v/>
      </c>
      <c r="N190" s="7" t="n"/>
      <c r="O190" s="11" t="n"/>
      <c r="P190" s="11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12">
        <f>IF(A190="","",IF(OR(B190="",C190="",D190="",E190="",G190="",H190="",J190="",K190=""),"必填欄位未完整",""))</f>
        <v/>
      </c>
      <c r="AB190" s="12">
        <f>IF(A190="","",A190&amp;"|"&amp;G190)</f>
        <v/>
      </c>
    </row>
    <row r="191" ht="24" customHeight="1">
      <c r="A191" s="7" t="n"/>
      <c r="B191" s="7" t="n"/>
      <c r="C191" s="7" t="n"/>
      <c r="D191" s="7" t="n"/>
      <c r="E191" s="7" t="n"/>
      <c r="F191" s="7" t="n"/>
      <c r="G191" s="7" t="n"/>
      <c r="H191" s="8" t="n"/>
      <c r="I191" s="9">
        <f>IF(H191="","",ROUND(H191/3.305785,3))</f>
        <v/>
      </c>
      <c r="J191" s="7" t="n"/>
      <c r="K191" s="7" t="n"/>
      <c r="L191" s="10">
        <f>IF(OR(J191="",K191="",K191=0),"",ROUND(J191/K191,6))</f>
        <v/>
      </c>
      <c r="M191" s="9">
        <f>IF(OR(H191="",J191="",K191="",K191=0),"",ROUND(H191*J191/K191/3.305785,3))</f>
        <v/>
      </c>
      <c r="N191" s="7" t="n"/>
      <c r="O191" s="11" t="n"/>
      <c r="P191" s="11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12">
        <f>IF(A191="","",IF(OR(B191="",C191="",D191="",E191="",G191="",H191="",J191="",K191=""),"必填欄位未完整",""))</f>
        <v/>
      </c>
      <c r="AB191" s="12">
        <f>IF(A191="","",A191&amp;"|"&amp;G191)</f>
        <v/>
      </c>
    </row>
    <row r="192" ht="24" customHeight="1">
      <c r="A192" s="7" t="n"/>
      <c r="B192" s="7" t="n"/>
      <c r="C192" s="7" t="n"/>
      <c r="D192" s="7" t="n"/>
      <c r="E192" s="7" t="n"/>
      <c r="F192" s="7" t="n"/>
      <c r="G192" s="7" t="n"/>
      <c r="H192" s="8" t="n"/>
      <c r="I192" s="9">
        <f>IF(H192="","",ROUND(H192/3.305785,3))</f>
        <v/>
      </c>
      <c r="J192" s="7" t="n"/>
      <c r="K192" s="7" t="n"/>
      <c r="L192" s="10">
        <f>IF(OR(J192="",K192="",K192=0),"",ROUND(J192/K192,6))</f>
        <v/>
      </c>
      <c r="M192" s="9">
        <f>IF(OR(H192="",J192="",K192="",K192=0),"",ROUND(H192*J192/K192/3.305785,3))</f>
        <v/>
      </c>
      <c r="N192" s="7" t="n"/>
      <c r="O192" s="11" t="n"/>
      <c r="P192" s="11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12">
        <f>IF(A192="","",IF(OR(B192="",C192="",D192="",E192="",G192="",H192="",J192="",K192=""),"必填欄位未完整",""))</f>
        <v/>
      </c>
      <c r="AB192" s="12">
        <f>IF(A192="","",A192&amp;"|"&amp;G192)</f>
        <v/>
      </c>
    </row>
    <row r="193" ht="24" customHeight="1">
      <c r="A193" s="7" t="n"/>
      <c r="B193" s="7" t="n"/>
      <c r="C193" s="7" t="n"/>
      <c r="D193" s="7" t="n"/>
      <c r="E193" s="7" t="n"/>
      <c r="F193" s="7" t="n"/>
      <c r="G193" s="7" t="n"/>
      <c r="H193" s="8" t="n"/>
      <c r="I193" s="9">
        <f>IF(H193="","",ROUND(H193/3.305785,3))</f>
        <v/>
      </c>
      <c r="J193" s="7" t="n"/>
      <c r="K193" s="7" t="n"/>
      <c r="L193" s="10">
        <f>IF(OR(J193="",K193="",K193=0),"",ROUND(J193/K193,6))</f>
        <v/>
      </c>
      <c r="M193" s="9">
        <f>IF(OR(H193="",J193="",K193="",K193=0),"",ROUND(H193*J193/K193/3.305785,3))</f>
        <v/>
      </c>
      <c r="N193" s="7" t="n"/>
      <c r="O193" s="11" t="n"/>
      <c r="P193" s="11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12">
        <f>IF(A193="","",IF(OR(B193="",C193="",D193="",E193="",G193="",H193="",J193="",K193=""),"必填欄位未完整",""))</f>
        <v/>
      </c>
      <c r="AB193" s="12">
        <f>IF(A193="","",A193&amp;"|"&amp;G193)</f>
        <v/>
      </c>
    </row>
    <row r="194" ht="24" customHeight="1">
      <c r="A194" s="7" t="n"/>
      <c r="B194" s="7" t="n"/>
      <c r="C194" s="7" t="n"/>
      <c r="D194" s="7" t="n"/>
      <c r="E194" s="7" t="n"/>
      <c r="F194" s="7" t="n"/>
      <c r="G194" s="7" t="n"/>
      <c r="H194" s="8" t="n"/>
      <c r="I194" s="9">
        <f>IF(H194="","",ROUND(H194/3.305785,3))</f>
        <v/>
      </c>
      <c r="J194" s="7" t="n"/>
      <c r="K194" s="7" t="n"/>
      <c r="L194" s="10">
        <f>IF(OR(J194="",K194="",K194=0),"",ROUND(J194/K194,6))</f>
        <v/>
      </c>
      <c r="M194" s="9">
        <f>IF(OR(H194="",J194="",K194="",K194=0),"",ROUND(H194*J194/K194/3.305785,3))</f>
        <v/>
      </c>
      <c r="N194" s="7" t="n"/>
      <c r="O194" s="11" t="n"/>
      <c r="P194" s="11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12">
        <f>IF(A194="","",IF(OR(B194="",C194="",D194="",E194="",G194="",H194="",J194="",K194=""),"必填欄位未完整",""))</f>
        <v/>
      </c>
      <c r="AB194" s="12">
        <f>IF(A194="","",A194&amp;"|"&amp;G194)</f>
        <v/>
      </c>
    </row>
    <row r="195" ht="24" customHeight="1">
      <c r="A195" s="7" t="n"/>
      <c r="B195" s="7" t="n"/>
      <c r="C195" s="7" t="n"/>
      <c r="D195" s="7" t="n"/>
      <c r="E195" s="7" t="n"/>
      <c r="F195" s="7" t="n"/>
      <c r="G195" s="7" t="n"/>
      <c r="H195" s="8" t="n"/>
      <c r="I195" s="9">
        <f>IF(H195="","",ROUND(H195/3.305785,3))</f>
        <v/>
      </c>
      <c r="J195" s="7" t="n"/>
      <c r="K195" s="7" t="n"/>
      <c r="L195" s="10">
        <f>IF(OR(J195="",K195="",K195=0),"",ROUND(J195/K195,6))</f>
        <v/>
      </c>
      <c r="M195" s="9">
        <f>IF(OR(H195="",J195="",K195="",K195=0),"",ROUND(H195*J195/K195/3.305785,3))</f>
        <v/>
      </c>
      <c r="N195" s="7" t="n"/>
      <c r="O195" s="11" t="n"/>
      <c r="P195" s="11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12">
        <f>IF(A195="","",IF(OR(B195="",C195="",D195="",E195="",G195="",H195="",J195="",K195=""),"必填欄位未完整",""))</f>
        <v/>
      </c>
      <c r="AB195" s="12">
        <f>IF(A195="","",A195&amp;"|"&amp;G195)</f>
        <v/>
      </c>
    </row>
    <row r="196" ht="24" customHeight="1">
      <c r="A196" s="7" t="n"/>
      <c r="B196" s="7" t="n"/>
      <c r="C196" s="7" t="n"/>
      <c r="D196" s="7" t="n"/>
      <c r="E196" s="7" t="n"/>
      <c r="F196" s="7" t="n"/>
      <c r="G196" s="7" t="n"/>
      <c r="H196" s="8" t="n"/>
      <c r="I196" s="9">
        <f>IF(H196="","",ROUND(H196/3.305785,3))</f>
        <v/>
      </c>
      <c r="J196" s="7" t="n"/>
      <c r="K196" s="7" t="n"/>
      <c r="L196" s="10">
        <f>IF(OR(J196="",K196="",K196=0),"",ROUND(J196/K196,6))</f>
        <v/>
      </c>
      <c r="M196" s="9">
        <f>IF(OR(H196="",J196="",K196="",K196=0),"",ROUND(H196*J196/K196/3.305785,3))</f>
        <v/>
      </c>
      <c r="N196" s="7" t="n"/>
      <c r="O196" s="11" t="n"/>
      <c r="P196" s="11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12">
        <f>IF(A196="","",IF(OR(B196="",C196="",D196="",E196="",G196="",H196="",J196="",K196=""),"必填欄位未完整",""))</f>
        <v/>
      </c>
      <c r="AB196" s="12">
        <f>IF(A196="","",A196&amp;"|"&amp;G196)</f>
        <v/>
      </c>
    </row>
    <row r="197" ht="24" customHeight="1">
      <c r="A197" s="7" t="n"/>
      <c r="B197" s="7" t="n"/>
      <c r="C197" s="7" t="n"/>
      <c r="D197" s="7" t="n"/>
      <c r="E197" s="7" t="n"/>
      <c r="F197" s="7" t="n"/>
      <c r="G197" s="7" t="n"/>
      <c r="H197" s="8" t="n"/>
      <c r="I197" s="9">
        <f>IF(H197="","",ROUND(H197/3.305785,3))</f>
        <v/>
      </c>
      <c r="J197" s="7" t="n"/>
      <c r="K197" s="7" t="n"/>
      <c r="L197" s="10">
        <f>IF(OR(J197="",K197="",K197=0),"",ROUND(J197/K197,6))</f>
        <v/>
      </c>
      <c r="M197" s="9">
        <f>IF(OR(H197="",J197="",K197="",K197=0),"",ROUND(H197*J197/K197/3.305785,3))</f>
        <v/>
      </c>
      <c r="N197" s="7" t="n"/>
      <c r="O197" s="11" t="n"/>
      <c r="P197" s="11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12">
        <f>IF(A197="","",IF(OR(B197="",C197="",D197="",E197="",G197="",H197="",J197="",K197=""),"必填欄位未完整",""))</f>
        <v/>
      </c>
      <c r="AB197" s="12">
        <f>IF(A197="","",A197&amp;"|"&amp;G197)</f>
        <v/>
      </c>
    </row>
    <row r="198" ht="24" customHeight="1">
      <c r="A198" s="7" t="n"/>
      <c r="B198" s="7" t="n"/>
      <c r="C198" s="7" t="n"/>
      <c r="D198" s="7" t="n"/>
      <c r="E198" s="7" t="n"/>
      <c r="F198" s="7" t="n"/>
      <c r="G198" s="7" t="n"/>
      <c r="H198" s="8" t="n"/>
      <c r="I198" s="9">
        <f>IF(H198="","",ROUND(H198/3.305785,3))</f>
        <v/>
      </c>
      <c r="J198" s="7" t="n"/>
      <c r="K198" s="7" t="n"/>
      <c r="L198" s="10">
        <f>IF(OR(J198="",K198="",K198=0),"",ROUND(J198/K198,6))</f>
        <v/>
      </c>
      <c r="M198" s="9">
        <f>IF(OR(H198="",J198="",K198="",K198=0),"",ROUND(H198*J198/K198/3.305785,3))</f>
        <v/>
      </c>
      <c r="N198" s="7" t="n"/>
      <c r="O198" s="11" t="n"/>
      <c r="P198" s="11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12">
        <f>IF(A198="","",IF(OR(B198="",C198="",D198="",E198="",G198="",H198="",J198="",K198=""),"必填欄位未完整",""))</f>
        <v/>
      </c>
      <c r="AB198" s="12">
        <f>IF(A198="","",A198&amp;"|"&amp;G198)</f>
        <v/>
      </c>
    </row>
    <row r="199" ht="24" customHeight="1">
      <c r="A199" s="7" t="n"/>
      <c r="B199" s="7" t="n"/>
      <c r="C199" s="7" t="n"/>
      <c r="D199" s="7" t="n"/>
      <c r="E199" s="7" t="n"/>
      <c r="F199" s="7" t="n"/>
      <c r="G199" s="7" t="n"/>
      <c r="H199" s="8" t="n"/>
      <c r="I199" s="9">
        <f>IF(H199="","",ROUND(H199/3.305785,3))</f>
        <v/>
      </c>
      <c r="J199" s="7" t="n"/>
      <c r="K199" s="7" t="n"/>
      <c r="L199" s="10">
        <f>IF(OR(J199="",K199="",K199=0),"",ROUND(J199/K199,6))</f>
        <v/>
      </c>
      <c r="M199" s="9">
        <f>IF(OR(H199="",J199="",K199="",K199=0),"",ROUND(H199*J199/K199/3.305785,3))</f>
        <v/>
      </c>
      <c r="N199" s="7" t="n"/>
      <c r="O199" s="11" t="n"/>
      <c r="P199" s="11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12">
        <f>IF(A199="","",IF(OR(B199="",C199="",D199="",E199="",G199="",H199="",J199="",K199=""),"必填欄位未完整",""))</f>
        <v/>
      </c>
      <c r="AB199" s="12">
        <f>IF(A199="","",A199&amp;"|"&amp;G199)</f>
        <v/>
      </c>
    </row>
    <row r="200" ht="24" customHeight="1">
      <c r="A200" s="7" t="n"/>
      <c r="B200" s="7" t="n"/>
      <c r="C200" s="7" t="n"/>
      <c r="D200" s="7" t="n"/>
      <c r="E200" s="7" t="n"/>
      <c r="F200" s="7" t="n"/>
      <c r="G200" s="7" t="n"/>
      <c r="H200" s="8" t="n"/>
      <c r="I200" s="9">
        <f>IF(H200="","",ROUND(H200/3.305785,3))</f>
        <v/>
      </c>
      <c r="J200" s="7" t="n"/>
      <c r="K200" s="7" t="n"/>
      <c r="L200" s="10">
        <f>IF(OR(J200="",K200="",K200=0),"",ROUND(J200/K200,6))</f>
        <v/>
      </c>
      <c r="M200" s="9">
        <f>IF(OR(H200="",J200="",K200="",K200=0),"",ROUND(H200*J200/K200/3.305785,3))</f>
        <v/>
      </c>
      <c r="N200" s="7" t="n"/>
      <c r="O200" s="11" t="n"/>
      <c r="P200" s="11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12">
        <f>IF(A200="","",IF(OR(B200="",C200="",D200="",E200="",G200="",H200="",J200="",K200=""),"必填欄位未完整",""))</f>
        <v/>
      </c>
      <c r="AB200" s="12">
        <f>IF(A200="","",A200&amp;"|"&amp;G200)</f>
        <v/>
      </c>
    </row>
    <row r="201" ht="24" customHeight="1">
      <c r="A201" s="7" t="n"/>
      <c r="B201" s="7" t="n"/>
      <c r="C201" s="7" t="n"/>
      <c r="D201" s="7" t="n"/>
      <c r="E201" s="7" t="n"/>
      <c r="F201" s="7" t="n"/>
      <c r="G201" s="7" t="n"/>
      <c r="H201" s="8" t="n"/>
      <c r="I201" s="9">
        <f>IF(H201="","",ROUND(H201/3.305785,3))</f>
        <v/>
      </c>
      <c r="J201" s="7" t="n"/>
      <c r="K201" s="7" t="n"/>
      <c r="L201" s="10">
        <f>IF(OR(J201="",K201="",K201=0),"",ROUND(J201/K201,6))</f>
        <v/>
      </c>
      <c r="M201" s="9">
        <f>IF(OR(H201="",J201="",K201="",K201=0),"",ROUND(H201*J201/K201/3.305785,3))</f>
        <v/>
      </c>
      <c r="N201" s="7" t="n"/>
      <c r="O201" s="11" t="n"/>
      <c r="P201" s="11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12">
        <f>IF(A201="","",IF(OR(B201="",C201="",D201="",E201="",G201="",H201="",J201="",K201=""),"必填欄位未完整",""))</f>
        <v/>
      </c>
      <c r="AB201" s="12">
        <f>IF(A201="","",A201&amp;"|"&amp;G201)</f>
        <v/>
      </c>
    </row>
    <row r="202" ht="24" customHeight="1">
      <c r="A202" s="7" t="n"/>
      <c r="B202" s="7" t="n"/>
      <c r="C202" s="7" t="n"/>
      <c r="D202" s="7" t="n"/>
      <c r="E202" s="7" t="n"/>
      <c r="F202" s="7" t="n"/>
      <c r="G202" s="7" t="n"/>
      <c r="H202" s="8" t="n"/>
      <c r="I202" s="9">
        <f>IF(H202="","",ROUND(H202/3.305785,3))</f>
        <v/>
      </c>
      <c r="J202" s="7" t="n"/>
      <c r="K202" s="7" t="n"/>
      <c r="L202" s="10">
        <f>IF(OR(J202="",K202="",K202=0),"",ROUND(J202/K202,6))</f>
        <v/>
      </c>
      <c r="M202" s="9">
        <f>IF(OR(H202="",J202="",K202="",K202=0),"",ROUND(H202*J202/K202/3.305785,3))</f>
        <v/>
      </c>
      <c r="N202" s="7" t="n"/>
      <c r="O202" s="11" t="n"/>
      <c r="P202" s="11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12">
        <f>IF(A202="","",IF(OR(B202="",C202="",D202="",E202="",G202="",H202="",J202="",K202=""),"必填欄位未完整",""))</f>
        <v/>
      </c>
      <c r="AB202" s="12">
        <f>IF(A202="","",A202&amp;"|"&amp;G202)</f>
        <v/>
      </c>
    </row>
    <row r="203" ht="24" customHeight="1">
      <c r="A203" s="7" t="n"/>
      <c r="B203" s="7" t="n"/>
      <c r="C203" s="7" t="n"/>
      <c r="D203" s="7" t="n"/>
      <c r="E203" s="7" t="n"/>
      <c r="F203" s="7" t="n"/>
      <c r="G203" s="7" t="n"/>
      <c r="H203" s="8" t="n"/>
      <c r="I203" s="9">
        <f>IF(H203="","",ROUND(H203/3.305785,3))</f>
        <v/>
      </c>
      <c r="J203" s="7" t="n"/>
      <c r="K203" s="7" t="n"/>
      <c r="L203" s="10">
        <f>IF(OR(J203="",K203="",K203=0),"",ROUND(J203/K203,6))</f>
        <v/>
      </c>
      <c r="M203" s="9">
        <f>IF(OR(H203="",J203="",K203="",K203=0),"",ROUND(H203*J203/K203/3.305785,3))</f>
        <v/>
      </c>
      <c r="N203" s="7" t="n"/>
      <c r="O203" s="11" t="n"/>
      <c r="P203" s="11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12">
        <f>IF(A203="","",IF(OR(B203="",C203="",D203="",E203="",G203="",H203="",J203="",K203=""),"必填欄位未完整",""))</f>
        <v/>
      </c>
      <c r="AB203" s="12">
        <f>IF(A203="","",A203&amp;"|"&amp;G203)</f>
        <v/>
      </c>
    </row>
    <row r="204" ht="24" customHeight="1">
      <c r="A204" s="7" t="n"/>
      <c r="B204" s="7" t="n"/>
      <c r="C204" s="7" t="n"/>
      <c r="D204" s="7" t="n"/>
      <c r="E204" s="7" t="n"/>
      <c r="F204" s="7" t="n"/>
      <c r="G204" s="7" t="n"/>
      <c r="H204" s="8" t="n"/>
      <c r="I204" s="9">
        <f>IF(H204="","",ROUND(H204/3.305785,3))</f>
        <v/>
      </c>
      <c r="J204" s="7" t="n"/>
      <c r="K204" s="7" t="n"/>
      <c r="L204" s="10">
        <f>IF(OR(J204="",K204="",K204=0),"",ROUND(J204/K204,6))</f>
        <v/>
      </c>
      <c r="M204" s="9">
        <f>IF(OR(H204="",J204="",K204="",K204=0),"",ROUND(H204*J204/K204/3.305785,3))</f>
        <v/>
      </c>
      <c r="N204" s="7" t="n"/>
      <c r="O204" s="11" t="n"/>
      <c r="P204" s="11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12">
        <f>IF(A204="","",IF(OR(B204="",C204="",D204="",E204="",G204="",H204="",J204="",K204=""),"必填欄位未完整",""))</f>
        <v/>
      </c>
      <c r="AB204" s="12">
        <f>IF(A204="","",A204&amp;"|"&amp;G204)</f>
        <v/>
      </c>
    </row>
    <row r="205" ht="24" customHeight="1">
      <c r="A205" s="7" t="n"/>
      <c r="B205" s="7" t="n"/>
      <c r="C205" s="7" t="n"/>
      <c r="D205" s="7" t="n"/>
      <c r="E205" s="7" t="n"/>
      <c r="F205" s="7" t="n"/>
      <c r="G205" s="7" t="n"/>
      <c r="H205" s="8" t="n"/>
      <c r="I205" s="9">
        <f>IF(H205="","",ROUND(H205/3.305785,3))</f>
        <v/>
      </c>
      <c r="J205" s="7" t="n"/>
      <c r="K205" s="7" t="n"/>
      <c r="L205" s="10">
        <f>IF(OR(J205="",K205="",K205=0),"",ROUND(J205/K205,6))</f>
        <v/>
      </c>
      <c r="M205" s="9">
        <f>IF(OR(H205="",J205="",K205="",K205=0),"",ROUND(H205*J205/K205/3.305785,3))</f>
        <v/>
      </c>
      <c r="N205" s="7" t="n"/>
      <c r="O205" s="11" t="n"/>
      <c r="P205" s="11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12">
        <f>IF(A205="","",IF(OR(B205="",C205="",D205="",E205="",G205="",H205="",J205="",K205=""),"必填欄位未完整",""))</f>
        <v/>
      </c>
      <c r="AB205" s="12">
        <f>IF(A205="","",A205&amp;"|"&amp;G205)</f>
        <v/>
      </c>
    </row>
    <row r="206" ht="24" customHeight="1">
      <c r="A206" s="7" t="n"/>
      <c r="B206" s="7" t="n"/>
      <c r="C206" s="7" t="n"/>
      <c r="D206" s="7" t="n"/>
      <c r="E206" s="7" t="n"/>
      <c r="F206" s="7" t="n"/>
      <c r="G206" s="7" t="n"/>
      <c r="H206" s="8" t="n"/>
      <c r="I206" s="9">
        <f>IF(H206="","",ROUND(H206/3.305785,3))</f>
        <v/>
      </c>
      <c r="J206" s="7" t="n"/>
      <c r="K206" s="7" t="n"/>
      <c r="L206" s="10">
        <f>IF(OR(J206="",K206="",K206=0),"",ROUND(J206/K206,6))</f>
        <v/>
      </c>
      <c r="M206" s="9">
        <f>IF(OR(H206="",J206="",K206="",K206=0),"",ROUND(H206*J206/K206/3.305785,3))</f>
        <v/>
      </c>
      <c r="N206" s="7" t="n"/>
      <c r="O206" s="11" t="n"/>
      <c r="P206" s="11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12">
        <f>IF(A206="","",IF(OR(B206="",C206="",D206="",E206="",G206="",H206="",J206="",K206=""),"必填欄位未完整",""))</f>
        <v/>
      </c>
      <c r="AB206" s="12">
        <f>IF(A206="","",A206&amp;"|"&amp;G206)</f>
        <v/>
      </c>
    </row>
    <row r="207" ht="24" customHeight="1">
      <c r="A207" s="7" t="n"/>
      <c r="B207" s="7" t="n"/>
      <c r="C207" s="7" t="n"/>
      <c r="D207" s="7" t="n"/>
      <c r="E207" s="7" t="n"/>
      <c r="F207" s="7" t="n"/>
      <c r="G207" s="7" t="n"/>
      <c r="H207" s="8" t="n"/>
      <c r="I207" s="9">
        <f>IF(H207="","",ROUND(H207/3.305785,3))</f>
        <v/>
      </c>
      <c r="J207" s="7" t="n"/>
      <c r="K207" s="7" t="n"/>
      <c r="L207" s="10">
        <f>IF(OR(J207="",K207="",K207=0),"",ROUND(J207/K207,6))</f>
        <v/>
      </c>
      <c r="M207" s="9">
        <f>IF(OR(H207="",J207="",K207="",K207=0),"",ROUND(H207*J207/K207/3.305785,3))</f>
        <v/>
      </c>
      <c r="N207" s="7" t="n"/>
      <c r="O207" s="11" t="n"/>
      <c r="P207" s="11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12">
        <f>IF(A207="","",IF(OR(B207="",C207="",D207="",E207="",G207="",H207="",J207="",K207=""),"必填欄位未完整",""))</f>
        <v/>
      </c>
      <c r="AB207" s="12">
        <f>IF(A207="","",A207&amp;"|"&amp;G207)</f>
        <v/>
      </c>
    </row>
    <row r="208" ht="24" customHeight="1">
      <c r="A208" s="7" t="n"/>
      <c r="B208" s="7" t="n"/>
      <c r="C208" s="7" t="n"/>
      <c r="D208" s="7" t="n"/>
      <c r="E208" s="7" t="n"/>
      <c r="F208" s="7" t="n"/>
      <c r="G208" s="7" t="n"/>
      <c r="H208" s="8" t="n"/>
      <c r="I208" s="9">
        <f>IF(H208="","",ROUND(H208/3.305785,3))</f>
        <v/>
      </c>
      <c r="J208" s="7" t="n"/>
      <c r="K208" s="7" t="n"/>
      <c r="L208" s="10">
        <f>IF(OR(J208="",K208="",K208=0),"",ROUND(J208/K208,6))</f>
        <v/>
      </c>
      <c r="M208" s="9">
        <f>IF(OR(H208="",J208="",K208="",K208=0),"",ROUND(H208*J208/K208/3.305785,3))</f>
        <v/>
      </c>
      <c r="N208" s="7" t="n"/>
      <c r="O208" s="11" t="n"/>
      <c r="P208" s="11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12">
        <f>IF(A208="","",IF(OR(B208="",C208="",D208="",E208="",G208="",H208="",J208="",K208=""),"必填欄位未完整",""))</f>
        <v/>
      </c>
      <c r="AB208" s="12">
        <f>IF(A208="","",A208&amp;"|"&amp;G208)</f>
        <v/>
      </c>
    </row>
    <row r="209" ht="24" customHeight="1">
      <c r="A209" s="7" t="n"/>
      <c r="B209" s="7" t="n"/>
      <c r="C209" s="7" t="n"/>
      <c r="D209" s="7" t="n"/>
      <c r="E209" s="7" t="n"/>
      <c r="F209" s="7" t="n"/>
      <c r="G209" s="7" t="n"/>
      <c r="H209" s="8" t="n"/>
      <c r="I209" s="9">
        <f>IF(H209="","",ROUND(H209/3.305785,3))</f>
        <v/>
      </c>
      <c r="J209" s="7" t="n"/>
      <c r="K209" s="7" t="n"/>
      <c r="L209" s="10">
        <f>IF(OR(J209="",K209="",K209=0),"",ROUND(J209/K209,6))</f>
        <v/>
      </c>
      <c r="M209" s="9">
        <f>IF(OR(H209="",J209="",K209="",K209=0),"",ROUND(H209*J209/K209/3.305785,3))</f>
        <v/>
      </c>
      <c r="N209" s="7" t="n"/>
      <c r="O209" s="11" t="n"/>
      <c r="P209" s="11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12">
        <f>IF(A209="","",IF(OR(B209="",C209="",D209="",E209="",G209="",H209="",J209="",K209=""),"必填欄位未完整",""))</f>
        <v/>
      </c>
      <c r="AB209" s="12">
        <f>IF(A209="","",A209&amp;"|"&amp;G209)</f>
        <v/>
      </c>
    </row>
    <row r="210" ht="24" customHeight="1">
      <c r="A210" s="7" t="n"/>
      <c r="B210" s="7" t="n"/>
      <c r="C210" s="7" t="n"/>
      <c r="D210" s="7" t="n"/>
      <c r="E210" s="7" t="n"/>
      <c r="F210" s="7" t="n"/>
      <c r="G210" s="7" t="n"/>
      <c r="H210" s="8" t="n"/>
      <c r="I210" s="9">
        <f>IF(H210="","",ROUND(H210/3.305785,3))</f>
        <v/>
      </c>
      <c r="J210" s="7" t="n"/>
      <c r="K210" s="7" t="n"/>
      <c r="L210" s="10">
        <f>IF(OR(J210="",K210="",K210=0),"",ROUND(J210/K210,6))</f>
        <v/>
      </c>
      <c r="M210" s="9">
        <f>IF(OR(H210="",J210="",K210="",K210=0),"",ROUND(H210*J210/K210/3.305785,3))</f>
        <v/>
      </c>
      <c r="N210" s="7" t="n"/>
      <c r="O210" s="11" t="n"/>
      <c r="P210" s="11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12">
        <f>IF(A210="","",IF(OR(B210="",C210="",D210="",E210="",G210="",H210="",J210="",K210=""),"必填欄位未完整",""))</f>
        <v/>
      </c>
      <c r="AB210" s="12">
        <f>IF(A210="","",A210&amp;"|"&amp;G210)</f>
        <v/>
      </c>
    </row>
    <row r="211" ht="24" customHeight="1">
      <c r="A211" s="7" t="n"/>
      <c r="B211" s="7" t="n"/>
      <c r="C211" s="7" t="n"/>
      <c r="D211" s="7" t="n"/>
      <c r="E211" s="7" t="n"/>
      <c r="F211" s="7" t="n"/>
      <c r="G211" s="7" t="n"/>
      <c r="H211" s="8" t="n"/>
      <c r="I211" s="9">
        <f>IF(H211="","",ROUND(H211/3.305785,3))</f>
        <v/>
      </c>
      <c r="J211" s="7" t="n"/>
      <c r="K211" s="7" t="n"/>
      <c r="L211" s="10">
        <f>IF(OR(J211="",K211="",K211=0),"",ROUND(J211/K211,6))</f>
        <v/>
      </c>
      <c r="M211" s="9">
        <f>IF(OR(H211="",J211="",K211="",K211=0),"",ROUND(H211*J211/K211/3.305785,3))</f>
        <v/>
      </c>
      <c r="N211" s="7" t="n"/>
      <c r="O211" s="11" t="n"/>
      <c r="P211" s="11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12">
        <f>IF(A211="","",IF(OR(B211="",C211="",D211="",E211="",G211="",H211="",J211="",K211=""),"必填欄位未完整",""))</f>
        <v/>
      </c>
      <c r="AB211" s="12">
        <f>IF(A211="","",A211&amp;"|"&amp;G211)</f>
        <v/>
      </c>
    </row>
    <row r="212" ht="24" customHeight="1">
      <c r="A212" s="7" t="n"/>
      <c r="B212" s="7" t="n"/>
      <c r="C212" s="7" t="n"/>
      <c r="D212" s="7" t="n"/>
      <c r="E212" s="7" t="n"/>
      <c r="F212" s="7" t="n"/>
      <c r="G212" s="7" t="n"/>
      <c r="H212" s="8" t="n"/>
      <c r="I212" s="9">
        <f>IF(H212="","",ROUND(H212/3.305785,3))</f>
        <v/>
      </c>
      <c r="J212" s="7" t="n"/>
      <c r="K212" s="7" t="n"/>
      <c r="L212" s="10">
        <f>IF(OR(J212="",K212="",K212=0),"",ROUND(J212/K212,6))</f>
        <v/>
      </c>
      <c r="M212" s="9">
        <f>IF(OR(H212="",J212="",K212="",K212=0),"",ROUND(H212*J212/K212/3.305785,3))</f>
        <v/>
      </c>
      <c r="N212" s="7" t="n"/>
      <c r="O212" s="11" t="n"/>
      <c r="P212" s="11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12">
        <f>IF(A212="","",IF(OR(B212="",C212="",D212="",E212="",G212="",H212="",J212="",K212=""),"必填欄位未完整",""))</f>
        <v/>
      </c>
      <c r="AB212" s="12">
        <f>IF(A212="","",A212&amp;"|"&amp;G212)</f>
        <v/>
      </c>
    </row>
    <row r="213" ht="24" customHeight="1">
      <c r="A213" s="7" t="n"/>
      <c r="B213" s="7" t="n"/>
      <c r="C213" s="7" t="n"/>
      <c r="D213" s="7" t="n"/>
      <c r="E213" s="7" t="n"/>
      <c r="F213" s="7" t="n"/>
      <c r="G213" s="7" t="n"/>
      <c r="H213" s="8" t="n"/>
      <c r="I213" s="9">
        <f>IF(H213="","",ROUND(H213/3.305785,3))</f>
        <v/>
      </c>
      <c r="J213" s="7" t="n"/>
      <c r="K213" s="7" t="n"/>
      <c r="L213" s="10">
        <f>IF(OR(J213="",K213="",K213=0),"",ROUND(J213/K213,6))</f>
        <v/>
      </c>
      <c r="M213" s="9">
        <f>IF(OR(H213="",J213="",K213="",K213=0),"",ROUND(H213*J213/K213/3.305785,3))</f>
        <v/>
      </c>
      <c r="N213" s="7" t="n"/>
      <c r="O213" s="11" t="n"/>
      <c r="P213" s="11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12">
        <f>IF(A213="","",IF(OR(B213="",C213="",D213="",E213="",G213="",H213="",J213="",K213=""),"必填欄位未完整",""))</f>
        <v/>
      </c>
      <c r="AB213" s="12">
        <f>IF(A213="","",A213&amp;"|"&amp;G213)</f>
        <v/>
      </c>
    </row>
    <row r="214" ht="24" customHeight="1">
      <c r="A214" s="7" t="n"/>
      <c r="B214" s="7" t="n"/>
      <c r="C214" s="7" t="n"/>
      <c r="D214" s="7" t="n"/>
      <c r="E214" s="7" t="n"/>
      <c r="F214" s="7" t="n"/>
      <c r="G214" s="7" t="n"/>
      <c r="H214" s="8" t="n"/>
      <c r="I214" s="9">
        <f>IF(H214="","",ROUND(H214/3.305785,3))</f>
        <v/>
      </c>
      <c r="J214" s="7" t="n"/>
      <c r="K214" s="7" t="n"/>
      <c r="L214" s="10">
        <f>IF(OR(J214="",K214="",K214=0),"",ROUND(J214/K214,6))</f>
        <v/>
      </c>
      <c r="M214" s="9">
        <f>IF(OR(H214="",J214="",K214="",K214=0),"",ROUND(H214*J214/K214/3.305785,3))</f>
        <v/>
      </c>
      <c r="N214" s="7" t="n"/>
      <c r="O214" s="11" t="n"/>
      <c r="P214" s="11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12">
        <f>IF(A214="","",IF(OR(B214="",C214="",D214="",E214="",G214="",H214="",J214="",K214=""),"必填欄位未完整",""))</f>
        <v/>
      </c>
      <c r="AB214" s="12">
        <f>IF(A214="","",A214&amp;"|"&amp;G214)</f>
        <v/>
      </c>
    </row>
    <row r="215" ht="24" customHeight="1">
      <c r="A215" s="7" t="n"/>
      <c r="B215" s="7" t="n"/>
      <c r="C215" s="7" t="n"/>
      <c r="D215" s="7" t="n"/>
      <c r="E215" s="7" t="n"/>
      <c r="F215" s="7" t="n"/>
      <c r="G215" s="7" t="n"/>
      <c r="H215" s="8" t="n"/>
      <c r="I215" s="9">
        <f>IF(H215="","",ROUND(H215/3.305785,3))</f>
        <v/>
      </c>
      <c r="J215" s="7" t="n"/>
      <c r="K215" s="7" t="n"/>
      <c r="L215" s="10">
        <f>IF(OR(J215="",K215="",K215=0),"",ROUND(J215/K215,6))</f>
        <v/>
      </c>
      <c r="M215" s="9">
        <f>IF(OR(H215="",J215="",K215="",K215=0),"",ROUND(H215*J215/K215/3.305785,3))</f>
        <v/>
      </c>
      <c r="N215" s="7" t="n"/>
      <c r="O215" s="11" t="n"/>
      <c r="P215" s="11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12">
        <f>IF(A215="","",IF(OR(B215="",C215="",D215="",E215="",G215="",H215="",J215="",K215=""),"必填欄位未完整",""))</f>
        <v/>
      </c>
      <c r="AB215" s="12">
        <f>IF(A215="","",A215&amp;"|"&amp;G215)</f>
        <v/>
      </c>
    </row>
    <row r="216" ht="24" customHeight="1">
      <c r="A216" s="7" t="n"/>
      <c r="B216" s="7" t="n"/>
      <c r="C216" s="7" t="n"/>
      <c r="D216" s="7" t="n"/>
      <c r="E216" s="7" t="n"/>
      <c r="F216" s="7" t="n"/>
      <c r="G216" s="7" t="n"/>
      <c r="H216" s="8" t="n"/>
      <c r="I216" s="9">
        <f>IF(H216="","",ROUND(H216/3.305785,3))</f>
        <v/>
      </c>
      <c r="J216" s="7" t="n"/>
      <c r="K216" s="7" t="n"/>
      <c r="L216" s="10">
        <f>IF(OR(J216="",K216="",K216=0),"",ROUND(J216/K216,6))</f>
        <v/>
      </c>
      <c r="M216" s="9">
        <f>IF(OR(H216="",J216="",K216="",K216=0),"",ROUND(H216*J216/K216/3.305785,3))</f>
        <v/>
      </c>
      <c r="N216" s="7" t="n"/>
      <c r="O216" s="11" t="n"/>
      <c r="P216" s="11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12">
        <f>IF(A216="","",IF(OR(B216="",C216="",D216="",E216="",G216="",H216="",J216="",K216=""),"必填欄位未完整",""))</f>
        <v/>
      </c>
      <c r="AB216" s="12">
        <f>IF(A216="","",A216&amp;"|"&amp;G216)</f>
        <v/>
      </c>
    </row>
    <row r="217" ht="24" customHeight="1">
      <c r="A217" s="7" t="n"/>
      <c r="B217" s="7" t="n"/>
      <c r="C217" s="7" t="n"/>
      <c r="D217" s="7" t="n"/>
      <c r="E217" s="7" t="n"/>
      <c r="F217" s="7" t="n"/>
      <c r="G217" s="7" t="n"/>
      <c r="H217" s="8" t="n"/>
      <c r="I217" s="9">
        <f>IF(H217="","",ROUND(H217/3.305785,3))</f>
        <v/>
      </c>
      <c r="J217" s="7" t="n"/>
      <c r="K217" s="7" t="n"/>
      <c r="L217" s="10">
        <f>IF(OR(J217="",K217="",K217=0),"",ROUND(J217/K217,6))</f>
        <v/>
      </c>
      <c r="M217" s="9">
        <f>IF(OR(H217="",J217="",K217="",K217=0),"",ROUND(H217*J217/K217/3.305785,3))</f>
        <v/>
      </c>
      <c r="N217" s="7" t="n"/>
      <c r="O217" s="11" t="n"/>
      <c r="P217" s="11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12">
        <f>IF(A217="","",IF(OR(B217="",C217="",D217="",E217="",G217="",H217="",J217="",K217=""),"必填欄位未完整",""))</f>
        <v/>
      </c>
      <c r="AB217" s="12">
        <f>IF(A217="","",A217&amp;"|"&amp;G217)</f>
        <v/>
      </c>
    </row>
    <row r="218" ht="24" customHeight="1">
      <c r="A218" s="7" t="n"/>
      <c r="B218" s="7" t="n"/>
      <c r="C218" s="7" t="n"/>
      <c r="D218" s="7" t="n"/>
      <c r="E218" s="7" t="n"/>
      <c r="F218" s="7" t="n"/>
      <c r="G218" s="7" t="n"/>
      <c r="H218" s="8" t="n"/>
      <c r="I218" s="9">
        <f>IF(H218="","",ROUND(H218/3.305785,3))</f>
        <v/>
      </c>
      <c r="J218" s="7" t="n"/>
      <c r="K218" s="7" t="n"/>
      <c r="L218" s="10">
        <f>IF(OR(J218="",K218="",K218=0),"",ROUND(J218/K218,6))</f>
        <v/>
      </c>
      <c r="M218" s="9">
        <f>IF(OR(H218="",J218="",K218="",K218=0),"",ROUND(H218*J218/K218/3.305785,3))</f>
        <v/>
      </c>
      <c r="N218" s="7" t="n"/>
      <c r="O218" s="11" t="n"/>
      <c r="P218" s="11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12">
        <f>IF(A218="","",IF(OR(B218="",C218="",D218="",E218="",G218="",H218="",J218="",K218=""),"必填欄位未完整",""))</f>
        <v/>
      </c>
      <c r="AB218" s="12">
        <f>IF(A218="","",A218&amp;"|"&amp;G218)</f>
        <v/>
      </c>
    </row>
    <row r="219" ht="24" customHeight="1">
      <c r="A219" s="7" t="n"/>
      <c r="B219" s="7" t="n"/>
      <c r="C219" s="7" t="n"/>
      <c r="D219" s="7" t="n"/>
      <c r="E219" s="7" t="n"/>
      <c r="F219" s="7" t="n"/>
      <c r="G219" s="7" t="n"/>
      <c r="H219" s="8" t="n"/>
      <c r="I219" s="9">
        <f>IF(H219="","",ROUND(H219/3.305785,3))</f>
        <v/>
      </c>
      <c r="J219" s="7" t="n"/>
      <c r="K219" s="7" t="n"/>
      <c r="L219" s="10">
        <f>IF(OR(J219="",K219="",K219=0),"",ROUND(J219/K219,6))</f>
        <v/>
      </c>
      <c r="M219" s="9">
        <f>IF(OR(H219="",J219="",K219="",K219=0),"",ROUND(H219*J219/K219/3.305785,3))</f>
        <v/>
      </c>
      <c r="N219" s="7" t="n"/>
      <c r="O219" s="11" t="n"/>
      <c r="P219" s="11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12">
        <f>IF(A219="","",IF(OR(B219="",C219="",D219="",E219="",G219="",H219="",J219="",K219=""),"必填欄位未完整",""))</f>
        <v/>
      </c>
      <c r="AB219" s="12">
        <f>IF(A219="","",A219&amp;"|"&amp;G219)</f>
        <v/>
      </c>
    </row>
    <row r="220" ht="24" customHeight="1">
      <c r="A220" s="7" t="n"/>
      <c r="B220" s="7" t="n"/>
      <c r="C220" s="7" t="n"/>
      <c r="D220" s="7" t="n"/>
      <c r="E220" s="7" t="n"/>
      <c r="F220" s="7" t="n"/>
      <c r="G220" s="7" t="n"/>
      <c r="H220" s="8" t="n"/>
      <c r="I220" s="9">
        <f>IF(H220="","",ROUND(H220/3.305785,3))</f>
        <v/>
      </c>
      <c r="J220" s="7" t="n"/>
      <c r="K220" s="7" t="n"/>
      <c r="L220" s="10">
        <f>IF(OR(J220="",K220="",K220=0),"",ROUND(J220/K220,6))</f>
        <v/>
      </c>
      <c r="M220" s="9">
        <f>IF(OR(H220="",J220="",K220="",K220=0),"",ROUND(H220*J220/K220/3.305785,3))</f>
        <v/>
      </c>
      <c r="N220" s="7" t="n"/>
      <c r="O220" s="11" t="n"/>
      <c r="P220" s="11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12">
        <f>IF(A220="","",IF(OR(B220="",C220="",D220="",E220="",G220="",H220="",J220="",K220=""),"必填欄位未完整",""))</f>
        <v/>
      </c>
      <c r="AB220" s="12">
        <f>IF(A220="","",A220&amp;"|"&amp;G220)</f>
        <v/>
      </c>
    </row>
    <row r="221" ht="24" customHeight="1">
      <c r="A221" s="7" t="n"/>
      <c r="B221" s="7" t="n"/>
      <c r="C221" s="7" t="n"/>
      <c r="D221" s="7" t="n"/>
      <c r="E221" s="7" t="n"/>
      <c r="F221" s="7" t="n"/>
      <c r="G221" s="7" t="n"/>
      <c r="H221" s="8" t="n"/>
      <c r="I221" s="9">
        <f>IF(H221="","",ROUND(H221/3.305785,3))</f>
        <v/>
      </c>
      <c r="J221" s="7" t="n"/>
      <c r="K221" s="7" t="n"/>
      <c r="L221" s="10">
        <f>IF(OR(J221="",K221="",K221=0),"",ROUND(J221/K221,6))</f>
        <v/>
      </c>
      <c r="M221" s="9">
        <f>IF(OR(H221="",J221="",K221="",K221=0),"",ROUND(H221*J221/K221/3.305785,3))</f>
        <v/>
      </c>
      <c r="N221" s="7" t="n"/>
      <c r="O221" s="11" t="n"/>
      <c r="P221" s="11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12">
        <f>IF(A221="","",IF(OR(B221="",C221="",D221="",E221="",G221="",H221="",J221="",K221=""),"必填欄位未完整",""))</f>
        <v/>
      </c>
      <c r="AB221" s="12">
        <f>IF(A221="","",A221&amp;"|"&amp;G221)</f>
        <v/>
      </c>
    </row>
    <row r="222" ht="24" customHeight="1">
      <c r="A222" s="7" t="n"/>
      <c r="B222" s="7" t="n"/>
      <c r="C222" s="7" t="n"/>
      <c r="D222" s="7" t="n"/>
      <c r="E222" s="7" t="n"/>
      <c r="F222" s="7" t="n"/>
      <c r="G222" s="7" t="n"/>
      <c r="H222" s="8" t="n"/>
      <c r="I222" s="9">
        <f>IF(H222="","",ROUND(H222/3.305785,3))</f>
        <v/>
      </c>
      <c r="J222" s="7" t="n"/>
      <c r="K222" s="7" t="n"/>
      <c r="L222" s="10">
        <f>IF(OR(J222="",K222="",K222=0),"",ROUND(J222/K222,6))</f>
        <v/>
      </c>
      <c r="M222" s="9">
        <f>IF(OR(H222="",J222="",K222="",K222=0),"",ROUND(H222*J222/K222/3.305785,3))</f>
        <v/>
      </c>
      <c r="N222" s="7" t="n"/>
      <c r="O222" s="11" t="n"/>
      <c r="P222" s="11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12">
        <f>IF(A222="","",IF(OR(B222="",C222="",D222="",E222="",G222="",H222="",J222="",K222=""),"必填欄位未完整",""))</f>
        <v/>
      </c>
      <c r="AB222" s="12">
        <f>IF(A222="","",A222&amp;"|"&amp;G222)</f>
        <v/>
      </c>
    </row>
    <row r="223" ht="24" customHeight="1">
      <c r="A223" s="7" t="n"/>
      <c r="B223" s="7" t="n"/>
      <c r="C223" s="7" t="n"/>
      <c r="D223" s="7" t="n"/>
      <c r="E223" s="7" t="n"/>
      <c r="F223" s="7" t="n"/>
      <c r="G223" s="7" t="n"/>
      <c r="H223" s="8" t="n"/>
      <c r="I223" s="9">
        <f>IF(H223="","",ROUND(H223/3.305785,3))</f>
        <v/>
      </c>
      <c r="J223" s="7" t="n"/>
      <c r="K223" s="7" t="n"/>
      <c r="L223" s="10">
        <f>IF(OR(J223="",K223="",K223=0),"",ROUND(J223/K223,6))</f>
        <v/>
      </c>
      <c r="M223" s="9">
        <f>IF(OR(H223="",J223="",K223="",K223=0),"",ROUND(H223*J223/K223/3.305785,3))</f>
        <v/>
      </c>
      <c r="N223" s="7" t="n"/>
      <c r="O223" s="11" t="n"/>
      <c r="P223" s="11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12">
        <f>IF(A223="","",IF(OR(B223="",C223="",D223="",E223="",G223="",H223="",J223="",K223=""),"必填欄位未完整",""))</f>
        <v/>
      </c>
      <c r="AB223" s="12">
        <f>IF(A223="","",A223&amp;"|"&amp;G223)</f>
        <v/>
      </c>
    </row>
    <row r="224" ht="24" customHeight="1">
      <c r="A224" s="7" t="n"/>
      <c r="B224" s="7" t="n"/>
      <c r="C224" s="7" t="n"/>
      <c r="D224" s="7" t="n"/>
      <c r="E224" s="7" t="n"/>
      <c r="F224" s="7" t="n"/>
      <c r="G224" s="7" t="n"/>
      <c r="H224" s="8" t="n"/>
      <c r="I224" s="9">
        <f>IF(H224="","",ROUND(H224/3.305785,3))</f>
        <v/>
      </c>
      <c r="J224" s="7" t="n"/>
      <c r="K224" s="7" t="n"/>
      <c r="L224" s="10">
        <f>IF(OR(J224="",K224="",K224=0),"",ROUND(J224/K224,6))</f>
        <v/>
      </c>
      <c r="M224" s="9">
        <f>IF(OR(H224="",J224="",K224="",K224=0),"",ROUND(H224*J224/K224/3.305785,3))</f>
        <v/>
      </c>
      <c r="N224" s="7" t="n"/>
      <c r="O224" s="11" t="n"/>
      <c r="P224" s="11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12">
        <f>IF(A224="","",IF(OR(B224="",C224="",D224="",E224="",G224="",H224="",J224="",K224=""),"必填欄位未完整",""))</f>
        <v/>
      </c>
      <c r="AB224" s="12">
        <f>IF(A224="","",A224&amp;"|"&amp;G224)</f>
        <v/>
      </c>
    </row>
    <row r="225" ht="24" customHeight="1">
      <c r="A225" s="7" t="n"/>
      <c r="B225" s="7" t="n"/>
      <c r="C225" s="7" t="n"/>
      <c r="D225" s="7" t="n"/>
      <c r="E225" s="7" t="n"/>
      <c r="F225" s="7" t="n"/>
      <c r="G225" s="7" t="n"/>
      <c r="H225" s="8" t="n"/>
      <c r="I225" s="9">
        <f>IF(H225="","",ROUND(H225/3.305785,3))</f>
        <v/>
      </c>
      <c r="J225" s="7" t="n"/>
      <c r="K225" s="7" t="n"/>
      <c r="L225" s="10">
        <f>IF(OR(J225="",K225="",K225=0),"",ROUND(J225/K225,6))</f>
        <v/>
      </c>
      <c r="M225" s="9">
        <f>IF(OR(H225="",J225="",K225="",K225=0),"",ROUND(H225*J225/K225/3.305785,3))</f>
        <v/>
      </c>
      <c r="N225" s="7" t="n"/>
      <c r="O225" s="11" t="n"/>
      <c r="P225" s="11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12">
        <f>IF(A225="","",IF(OR(B225="",C225="",D225="",E225="",G225="",H225="",J225="",K225=""),"必填欄位未完整",""))</f>
        <v/>
      </c>
      <c r="AB225" s="12">
        <f>IF(A225="","",A225&amp;"|"&amp;G225)</f>
        <v/>
      </c>
    </row>
    <row r="226" ht="24" customHeight="1">
      <c r="A226" s="7" t="n"/>
      <c r="B226" s="7" t="n"/>
      <c r="C226" s="7" t="n"/>
      <c r="D226" s="7" t="n"/>
      <c r="E226" s="7" t="n"/>
      <c r="F226" s="7" t="n"/>
      <c r="G226" s="7" t="n"/>
      <c r="H226" s="8" t="n"/>
      <c r="I226" s="9">
        <f>IF(H226="","",ROUND(H226/3.305785,3))</f>
        <v/>
      </c>
      <c r="J226" s="7" t="n"/>
      <c r="K226" s="7" t="n"/>
      <c r="L226" s="10">
        <f>IF(OR(J226="",K226="",K226=0),"",ROUND(J226/K226,6))</f>
        <v/>
      </c>
      <c r="M226" s="9">
        <f>IF(OR(H226="",J226="",K226="",K226=0),"",ROUND(H226*J226/K226/3.305785,3))</f>
        <v/>
      </c>
      <c r="N226" s="7" t="n"/>
      <c r="O226" s="11" t="n"/>
      <c r="P226" s="11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12">
        <f>IF(A226="","",IF(OR(B226="",C226="",D226="",E226="",G226="",H226="",J226="",K226=""),"必填欄位未完整",""))</f>
        <v/>
      </c>
      <c r="AB226" s="12">
        <f>IF(A226="","",A226&amp;"|"&amp;G226)</f>
        <v/>
      </c>
    </row>
    <row r="227" ht="24" customHeight="1">
      <c r="A227" s="7" t="n"/>
      <c r="B227" s="7" t="n"/>
      <c r="C227" s="7" t="n"/>
      <c r="D227" s="7" t="n"/>
      <c r="E227" s="7" t="n"/>
      <c r="F227" s="7" t="n"/>
      <c r="G227" s="7" t="n"/>
      <c r="H227" s="8" t="n"/>
      <c r="I227" s="9">
        <f>IF(H227="","",ROUND(H227/3.305785,3))</f>
        <v/>
      </c>
      <c r="J227" s="7" t="n"/>
      <c r="K227" s="7" t="n"/>
      <c r="L227" s="10">
        <f>IF(OR(J227="",K227="",K227=0),"",ROUND(J227/K227,6))</f>
        <v/>
      </c>
      <c r="M227" s="9">
        <f>IF(OR(H227="",J227="",K227="",K227=0),"",ROUND(H227*J227/K227/3.305785,3))</f>
        <v/>
      </c>
      <c r="N227" s="7" t="n"/>
      <c r="O227" s="11" t="n"/>
      <c r="P227" s="11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12">
        <f>IF(A227="","",IF(OR(B227="",C227="",D227="",E227="",G227="",H227="",J227="",K227=""),"必填欄位未完整",""))</f>
        <v/>
      </c>
      <c r="AB227" s="12">
        <f>IF(A227="","",A227&amp;"|"&amp;G227)</f>
        <v/>
      </c>
    </row>
    <row r="228" ht="24" customHeight="1">
      <c r="A228" s="7" t="n"/>
      <c r="B228" s="7" t="n"/>
      <c r="C228" s="7" t="n"/>
      <c r="D228" s="7" t="n"/>
      <c r="E228" s="7" t="n"/>
      <c r="F228" s="7" t="n"/>
      <c r="G228" s="7" t="n"/>
      <c r="H228" s="8" t="n"/>
      <c r="I228" s="9">
        <f>IF(H228="","",ROUND(H228/3.305785,3))</f>
        <v/>
      </c>
      <c r="J228" s="7" t="n"/>
      <c r="K228" s="7" t="n"/>
      <c r="L228" s="10">
        <f>IF(OR(J228="",K228="",K228=0),"",ROUND(J228/K228,6))</f>
        <v/>
      </c>
      <c r="M228" s="9">
        <f>IF(OR(H228="",J228="",K228="",K228=0),"",ROUND(H228*J228/K228/3.305785,3))</f>
        <v/>
      </c>
      <c r="N228" s="7" t="n"/>
      <c r="O228" s="11" t="n"/>
      <c r="P228" s="11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12">
        <f>IF(A228="","",IF(OR(B228="",C228="",D228="",E228="",G228="",H228="",J228="",K228=""),"必填欄位未完整",""))</f>
        <v/>
      </c>
      <c r="AB228" s="12">
        <f>IF(A228="","",A228&amp;"|"&amp;G228)</f>
        <v/>
      </c>
    </row>
    <row r="229" ht="24" customHeight="1">
      <c r="A229" s="7" t="n"/>
      <c r="B229" s="7" t="n"/>
      <c r="C229" s="7" t="n"/>
      <c r="D229" s="7" t="n"/>
      <c r="E229" s="7" t="n"/>
      <c r="F229" s="7" t="n"/>
      <c r="G229" s="7" t="n"/>
      <c r="H229" s="8" t="n"/>
      <c r="I229" s="9">
        <f>IF(H229="","",ROUND(H229/3.305785,3))</f>
        <v/>
      </c>
      <c r="J229" s="7" t="n"/>
      <c r="K229" s="7" t="n"/>
      <c r="L229" s="10">
        <f>IF(OR(J229="",K229="",K229=0),"",ROUND(J229/K229,6))</f>
        <v/>
      </c>
      <c r="M229" s="9">
        <f>IF(OR(H229="",J229="",K229="",K229=0),"",ROUND(H229*J229/K229/3.305785,3))</f>
        <v/>
      </c>
      <c r="N229" s="7" t="n"/>
      <c r="O229" s="11" t="n"/>
      <c r="P229" s="11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12">
        <f>IF(A229="","",IF(OR(B229="",C229="",D229="",E229="",G229="",H229="",J229="",K229=""),"必填欄位未完整",""))</f>
        <v/>
      </c>
      <c r="AB229" s="12">
        <f>IF(A229="","",A229&amp;"|"&amp;G229)</f>
        <v/>
      </c>
    </row>
    <row r="230" ht="24" customHeight="1">
      <c r="A230" s="7" t="n"/>
      <c r="B230" s="7" t="n"/>
      <c r="C230" s="7" t="n"/>
      <c r="D230" s="7" t="n"/>
      <c r="E230" s="7" t="n"/>
      <c r="F230" s="7" t="n"/>
      <c r="G230" s="7" t="n"/>
      <c r="H230" s="8" t="n"/>
      <c r="I230" s="9">
        <f>IF(H230="","",ROUND(H230/3.305785,3))</f>
        <v/>
      </c>
      <c r="J230" s="7" t="n"/>
      <c r="K230" s="7" t="n"/>
      <c r="L230" s="10">
        <f>IF(OR(J230="",K230="",K230=0),"",ROUND(J230/K230,6))</f>
        <v/>
      </c>
      <c r="M230" s="9">
        <f>IF(OR(H230="",J230="",K230="",K230=0),"",ROUND(H230*J230/K230/3.305785,3))</f>
        <v/>
      </c>
      <c r="N230" s="7" t="n"/>
      <c r="O230" s="11" t="n"/>
      <c r="P230" s="11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12">
        <f>IF(A230="","",IF(OR(B230="",C230="",D230="",E230="",G230="",H230="",J230="",K230=""),"必填欄位未完整",""))</f>
        <v/>
      </c>
      <c r="AB230" s="12">
        <f>IF(A230="","",A230&amp;"|"&amp;G230)</f>
        <v/>
      </c>
    </row>
    <row r="231" ht="24" customHeight="1">
      <c r="A231" s="7" t="n"/>
      <c r="B231" s="7" t="n"/>
      <c r="C231" s="7" t="n"/>
      <c r="D231" s="7" t="n"/>
      <c r="E231" s="7" t="n"/>
      <c r="F231" s="7" t="n"/>
      <c r="G231" s="7" t="n"/>
      <c r="H231" s="8" t="n"/>
      <c r="I231" s="9">
        <f>IF(H231="","",ROUND(H231/3.305785,3))</f>
        <v/>
      </c>
      <c r="J231" s="7" t="n"/>
      <c r="K231" s="7" t="n"/>
      <c r="L231" s="10">
        <f>IF(OR(J231="",K231="",K231=0),"",ROUND(J231/K231,6))</f>
        <v/>
      </c>
      <c r="M231" s="9">
        <f>IF(OR(H231="",J231="",K231="",K231=0),"",ROUND(H231*J231/K231/3.305785,3))</f>
        <v/>
      </c>
      <c r="N231" s="7" t="n"/>
      <c r="O231" s="11" t="n"/>
      <c r="P231" s="11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12">
        <f>IF(A231="","",IF(OR(B231="",C231="",D231="",E231="",G231="",H231="",J231="",K231=""),"必填欄位未完整",""))</f>
        <v/>
      </c>
      <c r="AB231" s="12">
        <f>IF(A231="","",A231&amp;"|"&amp;G231)</f>
        <v/>
      </c>
    </row>
    <row r="232" ht="24" customHeight="1">
      <c r="A232" s="7" t="n"/>
      <c r="B232" s="7" t="n"/>
      <c r="C232" s="7" t="n"/>
      <c r="D232" s="7" t="n"/>
      <c r="E232" s="7" t="n"/>
      <c r="F232" s="7" t="n"/>
      <c r="G232" s="7" t="n"/>
      <c r="H232" s="8" t="n"/>
      <c r="I232" s="9">
        <f>IF(H232="","",ROUND(H232/3.305785,3))</f>
        <v/>
      </c>
      <c r="J232" s="7" t="n"/>
      <c r="K232" s="7" t="n"/>
      <c r="L232" s="10">
        <f>IF(OR(J232="",K232="",K232=0),"",ROUND(J232/K232,6))</f>
        <v/>
      </c>
      <c r="M232" s="9">
        <f>IF(OR(H232="",J232="",K232="",K232=0),"",ROUND(H232*J232/K232/3.305785,3))</f>
        <v/>
      </c>
      <c r="N232" s="7" t="n"/>
      <c r="O232" s="11" t="n"/>
      <c r="P232" s="11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12">
        <f>IF(A232="","",IF(OR(B232="",C232="",D232="",E232="",G232="",H232="",J232="",K232=""),"必填欄位未完整",""))</f>
        <v/>
      </c>
      <c r="AB232" s="12">
        <f>IF(A232="","",A232&amp;"|"&amp;G232)</f>
        <v/>
      </c>
    </row>
    <row r="233" ht="24" customHeight="1">
      <c r="A233" s="7" t="n"/>
      <c r="B233" s="7" t="n"/>
      <c r="C233" s="7" t="n"/>
      <c r="D233" s="7" t="n"/>
      <c r="E233" s="7" t="n"/>
      <c r="F233" s="7" t="n"/>
      <c r="G233" s="7" t="n"/>
      <c r="H233" s="8" t="n"/>
      <c r="I233" s="9">
        <f>IF(H233="","",ROUND(H233/3.305785,3))</f>
        <v/>
      </c>
      <c r="J233" s="7" t="n"/>
      <c r="K233" s="7" t="n"/>
      <c r="L233" s="10">
        <f>IF(OR(J233="",K233="",K233=0),"",ROUND(J233/K233,6))</f>
        <v/>
      </c>
      <c r="M233" s="9">
        <f>IF(OR(H233="",J233="",K233="",K233=0),"",ROUND(H233*J233/K233/3.305785,3))</f>
        <v/>
      </c>
      <c r="N233" s="7" t="n"/>
      <c r="O233" s="11" t="n"/>
      <c r="P233" s="11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12">
        <f>IF(A233="","",IF(OR(B233="",C233="",D233="",E233="",G233="",H233="",J233="",K233=""),"必填欄位未完整",""))</f>
        <v/>
      </c>
      <c r="AB233" s="12">
        <f>IF(A233="","",A233&amp;"|"&amp;G233)</f>
        <v/>
      </c>
    </row>
    <row r="234" ht="24" customHeight="1">
      <c r="A234" s="7" t="n"/>
      <c r="B234" s="7" t="n"/>
      <c r="C234" s="7" t="n"/>
      <c r="D234" s="7" t="n"/>
      <c r="E234" s="7" t="n"/>
      <c r="F234" s="7" t="n"/>
      <c r="G234" s="7" t="n"/>
      <c r="H234" s="8" t="n"/>
      <c r="I234" s="9">
        <f>IF(H234="","",ROUND(H234/3.305785,3))</f>
        <v/>
      </c>
      <c r="J234" s="7" t="n"/>
      <c r="K234" s="7" t="n"/>
      <c r="L234" s="10">
        <f>IF(OR(J234="",K234="",K234=0),"",ROUND(J234/K234,6))</f>
        <v/>
      </c>
      <c r="M234" s="9">
        <f>IF(OR(H234="",J234="",K234="",K234=0),"",ROUND(H234*J234/K234/3.305785,3))</f>
        <v/>
      </c>
      <c r="N234" s="7" t="n"/>
      <c r="O234" s="11" t="n"/>
      <c r="P234" s="11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12">
        <f>IF(A234="","",IF(OR(B234="",C234="",D234="",E234="",G234="",H234="",J234="",K234=""),"必填欄位未完整",""))</f>
        <v/>
      </c>
      <c r="AB234" s="12">
        <f>IF(A234="","",A234&amp;"|"&amp;G234)</f>
        <v/>
      </c>
    </row>
    <row r="235" ht="24" customHeight="1">
      <c r="A235" s="7" t="n"/>
      <c r="B235" s="7" t="n"/>
      <c r="C235" s="7" t="n"/>
      <c r="D235" s="7" t="n"/>
      <c r="E235" s="7" t="n"/>
      <c r="F235" s="7" t="n"/>
      <c r="G235" s="7" t="n"/>
      <c r="H235" s="8" t="n"/>
      <c r="I235" s="9">
        <f>IF(H235="","",ROUND(H235/3.305785,3))</f>
        <v/>
      </c>
      <c r="J235" s="7" t="n"/>
      <c r="K235" s="7" t="n"/>
      <c r="L235" s="10">
        <f>IF(OR(J235="",K235="",K235=0),"",ROUND(J235/K235,6))</f>
        <v/>
      </c>
      <c r="M235" s="9">
        <f>IF(OR(H235="",J235="",K235="",K235=0),"",ROUND(H235*J235/K235/3.305785,3))</f>
        <v/>
      </c>
      <c r="N235" s="7" t="n"/>
      <c r="O235" s="11" t="n"/>
      <c r="P235" s="11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12">
        <f>IF(A235="","",IF(OR(B235="",C235="",D235="",E235="",G235="",H235="",J235="",K235=""),"必填欄位未完整",""))</f>
        <v/>
      </c>
      <c r="AB235" s="12">
        <f>IF(A235="","",A235&amp;"|"&amp;G235)</f>
        <v/>
      </c>
    </row>
    <row r="236" ht="24" customHeight="1">
      <c r="A236" s="7" t="n"/>
      <c r="B236" s="7" t="n"/>
      <c r="C236" s="7" t="n"/>
      <c r="D236" s="7" t="n"/>
      <c r="E236" s="7" t="n"/>
      <c r="F236" s="7" t="n"/>
      <c r="G236" s="7" t="n"/>
      <c r="H236" s="8" t="n"/>
      <c r="I236" s="9">
        <f>IF(H236="","",ROUND(H236/3.305785,3))</f>
        <v/>
      </c>
      <c r="J236" s="7" t="n"/>
      <c r="K236" s="7" t="n"/>
      <c r="L236" s="10">
        <f>IF(OR(J236="",K236="",K236=0),"",ROUND(J236/K236,6))</f>
        <v/>
      </c>
      <c r="M236" s="9">
        <f>IF(OR(H236="",J236="",K236="",K236=0),"",ROUND(H236*J236/K236/3.305785,3))</f>
        <v/>
      </c>
      <c r="N236" s="7" t="n"/>
      <c r="O236" s="11" t="n"/>
      <c r="P236" s="11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12">
        <f>IF(A236="","",IF(OR(B236="",C236="",D236="",E236="",G236="",H236="",J236="",K236=""),"必填欄位未完整",""))</f>
        <v/>
      </c>
      <c r="AB236" s="12">
        <f>IF(A236="","",A236&amp;"|"&amp;G236)</f>
        <v/>
      </c>
    </row>
    <row r="237" ht="24" customHeight="1">
      <c r="A237" s="7" t="n"/>
      <c r="B237" s="7" t="n"/>
      <c r="C237" s="7" t="n"/>
      <c r="D237" s="7" t="n"/>
      <c r="E237" s="7" t="n"/>
      <c r="F237" s="7" t="n"/>
      <c r="G237" s="7" t="n"/>
      <c r="H237" s="8" t="n"/>
      <c r="I237" s="9">
        <f>IF(H237="","",ROUND(H237/3.305785,3))</f>
        <v/>
      </c>
      <c r="J237" s="7" t="n"/>
      <c r="K237" s="7" t="n"/>
      <c r="L237" s="10">
        <f>IF(OR(J237="",K237="",K237=0),"",ROUND(J237/K237,6))</f>
        <v/>
      </c>
      <c r="M237" s="9">
        <f>IF(OR(H237="",J237="",K237="",K237=0),"",ROUND(H237*J237/K237/3.305785,3))</f>
        <v/>
      </c>
      <c r="N237" s="7" t="n"/>
      <c r="O237" s="11" t="n"/>
      <c r="P237" s="11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12">
        <f>IF(A237="","",IF(OR(B237="",C237="",D237="",E237="",G237="",H237="",J237="",K237=""),"必填欄位未完整",""))</f>
        <v/>
      </c>
      <c r="AB237" s="12">
        <f>IF(A237="","",A237&amp;"|"&amp;G237)</f>
        <v/>
      </c>
    </row>
    <row r="238" ht="24" customHeight="1">
      <c r="A238" s="7" t="n"/>
      <c r="B238" s="7" t="n"/>
      <c r="C238" s="7" t="n"/>
      <c r="D238" s="7" t="n"/>
      <c r="E238" s="7" t="n"/>
      <c r="F238" s="7" t="n"/>
      <c r="G238" s="7" t="n"/>
      <c r="H238" s="8" t="n"/>
      <c r="I238" s="9">
        <f>IF(H238="","",ROUND(H238/3.305785,3))</f>
        <v/>
      </c>
      <c r="J238" s="7" t="n"/>
      <c r="K238" s="7" t="n"/>
      <c r="L238" s="10">
        <f>IF(OR(J238="",K238="",K238=0),"",ROUND(J238/K238,6))</f>
        <v/>
      </c>
      <c r="M238" s="9">
        <f>IF(OR(H238="",J238="",K238="",K238=0),"",ROUND(H238*J238/K238/3.305785,3))</f>
        <v/>
      </c>
      <c r="N238" s="7" t="n"/>
      <c r="O238" s="11" t="n"/>
      <c r="P238" s="11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12">
        <f>IF(A238="","",IF(OR(B238="",C238="",D238="",E238="",G238="",H238="",J238="",K238=""),"必填欄位未完整",""))</f>
        <v/>
      </c>
      <c r="AB238" s="12">
        <f>IF(A238="","",A238&amp;"|"&amp;G238)</f>
        <v/>
      </c>
    </row>
    <row r="239" ht="24" customHeight="1">
      <c r="A239" s="7" t="n"/>
      <c r="B239" s="7" t="n"/>
      <c r="C239" s="7" t="n"/>
      <c r="D239" s="7" t="n"/>
      <c r="E239" s="7" t="n"/>
      <c r="F239" s="7" t="n"/>
      <c r="G239" s="7" t="n"/>
      <c r="H239" s="8" t="n"/>
      <c r="I239" s="9">
        <f>IF(H239="","",ROUND(H239/3.305785,3))</f>
        <v/>
      </c>
      <c r="J239" s="7" t="n"/>
      <c r="K239" s="7" t="n"/>
      <c r="L239" s="10">
        <f>IF(OR(J239="",K239="",K239=0),"",ROUND(J239/K239,6))</f>
        <v/>
      </c>
      <c r="M239" s="9">
        <f>IF(OR(H239="",J239="",K239="",K239=0),"",ROUND(H239*J239/K239/3.305785,3))</f>
        <v/>
      </c>
      <c r="N239" s="7" t="n"/>
      <c r="O239" s="11" t="n"/>
      <c r="P239" s="11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12">
        <f>IF(A239="","",IF(OR(B239="",C239="",D239="",E239="",G239="",H239="",J239="",K239=""),"必填欄位未完整",""))</f>
        <v/>
      </c>
      <c r="AB239" s="12">
        <f>IF(A239="","",A239&amp;"|"&amp;G239)</f>
        <v/>
      </c>
    </row>
    <row r="240" ht="24" customHeight="1">
      <c r="A240" s="7" t="n"/>
      <c r="B240" s="7" t="n"/>
      <c r="C240" s="7" t="n"/>
      <c r="D240" s="7" t="n"/>
      <c r="E240" s="7" t="n"/>
      <c r="F240" s="7" t="n"/>
      <c r="G240" s="7" t="n"/>
      <c r="H240" s="8" t="n"/>
      <c r="I240" s="9">
        <f>IF(H240="","",ROUND(H240/3.305785,3))</f>
        <v/>
      </c>
      <c r="J240" s="7" t="n"/>
      <c r="K240" s="7" t="n"/>
      <c r="L240" s="10">
        <f>IF(OR(J240="",K240="",K240=0),"",ROUND(J240/K240,6))</f>
        <v/>
      </c>
      <c r="M240" s="9">
        <f>IF(OR(H240="",J240="",K240="",K240=0),"",ROUND(H240*J240/K240/3.305785,3))</f>
        <v/>
      </c>
      <c r="N240" s="7" t="n"/>
      <c r="O240" s="11" t="n"/>
      <c r="P240" s="11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12">
        <f>IF(A240="","",IF(OR(B240="",C240="",D240="",E240="",G240="",H240="",J240="",K240=""),"必填欄位未完整",""))</f>
        <v/>
      </c>
      <c r="AB240" s="12">
        <f>IF(A240="","",A240&amp;"|"&amp;G240)</f>
        <v/>
      </c>
    </row>
    <row r="241" ht="24" customHeight="1">
      <c r="A241" s="7" t="n"/>
      <c r="B241" s="7" t="n"/>
      <c r="C241" s="7" t="n"/>
      <c r="D241" s="7" t="n"/>
      <c r="E241" s="7" t="n"/>
      <c r="F241" s="7" t="n"/>
      <c r="G241" s="7" t="n"/>
      <c r="H241" s="8" t="n"/>
      <c r="I241" s="9">
        <f>IF(H241="","",ROUND(H241/3.305785,3))</f>
        <v/>
      </c>
      <c r="J241" s="7" t="n"/>
      <c r="K241" s="7" t="n"/>
      <c r="L241" s="10">
        <f>IF(OR(J241="",K241="",K241=0),"",ROUND(J241/K241,6))</f>
        <v/>
      </c>
      <c r="M241" s="9">
        <f>IF(OR(H241="",J241="",K241="",K241=0),"",ROUND(H241*J241/K241/3.305785,3))</f>
        <v/>
      </c>
      <c r="N241" s="7" t="n"/>
      <c r="O241" s="11" t="n"/>
      <c r="P241" s="11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12">
        <f>IF(A241="","",IF(OR(B241="",C241="",D241="",E241="",G241="",H241="",J241="",K241=""),"必填欄位未完整",""))</f>
        <v/>
      </c>
      <c r="AB241" s="12">
        <f>IF(A241="","",A241&amp;"|"&amp;G241)</f>
        <v/>
      </c>
    </row>
    <row r="242" ht="24" customHeight="1">
      <c r="A242" s="7" t="n"/>
      <c r="B242" s="7" t="n"/>
      <c r="C242" s="7" t="n"/>
      <c r="D242" s="7" t="n"/>
      <c r="E242" s="7" t="n"/>
      <c r="F242" s="7" t="n"/>
      <c r="G242" s="7" t="n"/>
      <c r="H242" s="8" t="n"/>
      <c r="I242" s="9">
        <f>IF(H242="","",ROUND(H242/3.305785,3))</f>
        <v/>
      </c>
      <c r="J242" s="7" t="n"/>
      <c r="K242" s="7" t="n"/>
      <c r="L242" s="10">
        <f>IF(OR(J242="",K242="",K242=0),"",ROUND(J242/K242,6))</f>
        <v/>
      </c>
      <c r="M242" s="9">
        <f>IF(OR(H242="",J242="",K242="",K242=0),"",ROUND(H242*J242/K242/3.305785,3))</f>
        <v/>
      </c>
      <c r="N242" s="7" t="n"/>
      <c r="O242" s="11" t="n"/>
      <c r="P242" s="11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12">
        <f>IF(A242="","",IF(OR(B242="",C242="",D242="",E242="",G242="",H242="",J242="",K242=""),"必填欄位未完整",""))</f>
        <v/>
      </c>
      <c r="AB242" s="12">
        <f>IF(A242="","",A242&amp;"|"&amp;G242)</f>
        <v/>
      </c>
    </row>
    <row r="243" ht="24" customHeight="1">
      <c r="A243" s="7" t="n"/>
      <c r="B243" s="7" t="n"/>
      <c r="C243" s="7" t="n"/>
      <c r="D243" s="7" t="n"/>
      <c r="E243" s="7" t="n"/>
      <c r="F243" s="7" t="n"/>
      <c r="G243" s="7" t="n"/>
      <c r="H243" s="8" t="n"/>
      <c r="I243" s="9">
        <f>IF(H243="","",ROUND(H243/3.305785,3))</f>
        <v/>
      </c>
      <c r="J243" s="7" t="n"/>
      <c r="K243" s="7" t="n"/>
      <c r="L243" s="10">
        <f>IF(OR(J243="",K243="",K243=0),"",ROUND(J243/K243,6))</f>
        <v/>
      </c>
      <c r="M243" s="9">
        <f>IF(OR(H243="",J243="",K243="",K243=0),"",ROUND(H243*J243/K243/3.305785,3))</f>
        <v/>
      </c>
      <c r="N243" s="7" t="n"/>
      <c r="O243" s="11" t="n"/>
      <c r="P243" s="11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12">
        <f>IF(A243="","",IF(OR(B243="",C243="",D243="",E243="",G243="",H243="",J243="",K243=""),"必填欄位未完整",""))</f>
        <v/>
      </c>
      <c r="AB243" s="12">
        <f>IF(A243="","",A243&amp;"|"&amp;G243)</f>
        <v/>
      </c>
    </row>
    <row r="244" ht="24" customHeight="1">
      <c r="A244" s="7" t="n"/>
      <c r="B244" s="7" t="n"/>
      <c r="C244" s="7" t="n"/>
      <c r="D244" s="7" t="n"/>
      <c r="E244" s="7" t="n"/>
      <c r="F244" s="7" t="n"/>
      <c r="G244" s="7" t="n"/>
      <c r="H244" s="8" t="n"/>
      <c r="I244" s="9">
        <f>IF(H244="","",ROUND(H244/3.305785,3))</f>
        <v/>
      </c>
      <c r="J244" s="7" t="n"/>
      <c r="K244" s="7" t="n"/>
      <c r="L244" s="10">
        <f>IF(OR(J244="",K244="",K244=0),"",ROUND(J244/K244,6))</f>
        <v/>
      </c>
      <c r="M244" s="9">
        <f>IF(OR(H244="",J244="",K244="",K244=0),"",ROUND(H244*J244/K244/3.305785,3))</f>
        <v/>
      </c>
      <c r="N244" s="7" t="n"/>
      <c r="O244" s="11" t="n"/>
      <c r="P244" s="11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12">
        <f>IF(A244="","",IF(OR(B244="",C244="",D244="",E244="",G244="",H244="",J244="",K244=""),"必填欄位未完整",""))</f>
        <v/>
      </c>
      <c r="AB244" s="12">
        <f>IF(A244="","",A244&amp;"|"&amp;G244)</f>
        <v/>
      </c>
    </row>
    <row r="245" ht="24" customHeight="1">
      <c r="A245" s="7" t="n"/>
      <c r="B245" s="7" t="n"/>
      <c r="C245" s="7" t="n"/>
      <c r="D245" s="7" t="n"/>
      <c r="E245" s="7" t="n"/>
      <c r="F245" s="7" t="n"/>
      <c r="G245" s="7" t="n"/>
      <c r="H245" s="8" t="n"/>
      <c r="I245" s="9">
        <f>IF(H245="","",ROUND(H245/3.305785,3))</f>
        <v/>
      </c>
      <c r="J245" s="7" t="n"/>
      <c r="K245" s="7" t="n"/>
      <c r="L245" s="10">
        <f>IF(OR(J245="",K245="",K245=0),"",ROUND(J245/K245,6))</f>
        <v/>
      </c>
      <c r="M245" s="9">
        <f>IF(OR(H245="",J245="",K245="",K245=0),"",ROUND(H245*J245/K245/3.305785,3))</f>
        <v/>
      </c>
      <c r="N245" s="7" t="n"/>
      <c r="O245" s="11" t="n"/>
      <c r="P245" s="11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12">
        <f>IF(A245="","",IF(OR(B245="",C245="",D245="",E245="",G245="",H245="",J245="",K245=""),"必填欄位未完整",""))</f>
        <v/>
      </c>
      <c r="AB245" s="12">
        <f>IF(A245="","",A245&amp;"|"&amp;G245)</f>
        <v/>
      </c>
    </row>
    <row r="246" ht="24" customHeight="1">
      <c r="A246" s="7" t="n"/>
      <c r="B246" s="7" t="n"/>
      <c r="C246" s="7" t="n"/>
      <c r="D246" s="7" t="n"/>
      <c r="E246" s="7" t="n"/>
      <c r="F246" s="7" t="n"/>
      <c r="G246" s="7" t="n"/>
      <c r="H246" s="8" t="n"/>
      <c r="I246" s="9">
        <f>IF(H246="","",ROUND(H246/3.305785,3))</f>
        <v/>
      </c>
      <c r="J246" s="7" t="n"/>
      <c r="K246" s="7" t="n"/>
      <c r="L246" s="10">
        <f>IF(OR(J246="",K246="",K246=0),"",ROUND(J246/K246,6))</f>
        <v/>
      </c>
      <c r="M246" s="9">
        <f>IF(OR(H246="",J246="",K246="",K246=0),"",ROUND(H246*J246/K246/3.305785,3))</f>
        <v/>
      </c>
      <c r="N246" s="7" t="n"/>
      <c r="O246" s="11" t="n"/>
      <c r="P246" s="11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12">
        <f>IF(A246="","",IF(OR(B246="",C246="",D246="",E246="",G246="",H246="",J246="",K246=""),"必填欄位未完整",""))</f>
        <v/>
      </c>
      <c r="AB246" s="12">
        <f>IF(A246="","",A246&amp;"|"&amp;G246)</f>
        <v/>
      </c>
    </row>
    <row r="247" ht="24" customHeight="1">
      <c r="A247" s="7" t="n"/>
      <c r="B247" s="7" t="n"/>
      <c r="C247" s="7" t="n"/>
      <c r="D247" s="7" t="n"/>
      <c r="E247" s="7" t="n"/>
      <c r="F247" s="7" t="n"/>
      <c r="G247" s="7" t="n"/>
      <c r="H247" s="8" t="n"/>
      <c r="I247" s="9">
        <f>IF(H247="","",ROUND(H247/3.305785,3))</f>
        <v/>
      </c>
      <c r="J247" s="7" t="n"/>
      <c r="K247" s="7" t="n"/>
      <c r="L247" s="10">
        <f>IF(OR(J247="",K247="",K247=0),"",ROUND(J247/K247,6))</f>
        <v/>
      </c>
      <c r="M247" s="9">
        <f>IF(OR(H247="",J247="",K247="",K247=0),"",ROUND(H247*J247/K247/3.305785,3))</f>
        <v/>
      </c>
      <c r="N247" s="7" t="n"/>
      <c r="O247" s="11" t="n"/>
      <c r="P247" s="11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12">
        <f>IF(A247="","",IF(OR(B247="",C247="",D247="",E247="",G247="",H247="",J247="",K247=""),"必填欄位未完整",""))</f>
        <v/>
      </c>
      <c r="AB247" s="12">
        <f>IF(A247="","",A247&amp;"|"&amp;G247)</f>
        <v/>
      </c>
    </row>
    <row r="248" ht="24" customHeight="1">
      <c r="A248" s="7" t="n"/>
      <c r="B248" s="7" t="n"/>
      <c r="C248" s="7" t="n"/>
      <c r="D248" s="7" t="n"/>
      <c r="E248" s="7" t="n"/>
      <c r="F248" s="7" t="n"/>
      <c r="G248" s="7" t="n"/>
      <c r="H248" s="8" t="n"/>
      <c r="I248" s="9">
        <f>IF(H248="","",ROUND(H248/3.305785,3))</f>
        <v/>
      </c>
      <c r="J248" s="7" t="n"/>
      <c r="K248" s="7" t="n"/>
      <c r="L248" s="10">
        <f>IF(OR(J248="",K248="",K248=0),"",ROUND(J248/K248,6))</f>
        <v/>
      </c>
      <c r="M248" s="9">
        <f>IF(OR(H248="",J248="",K248="",K248=0),"",ROUND(H248*J248/K248/3.305785,3))</f>
        <v/>
      </c>
      <c r="N248" s="7" t="n"/>
      <c r="O248" s="11" t="n"/>
      <c r="P248" s="11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12">
        <f>IF(A248="","",IF(OR(B248="",C248="",D248="",E248="",G248="",H248="",J248="",K248=""),"必填欄位未完整",""))</f>
        <v/>
      </c>
      <c r="AB248" s="12">
        <f>IF(A248="","",A248&amp;"|"&amp;G248)</f>
        <v/>
      </c>
    </row>
    <row r="249" ht="24" customHeight="1">
      <c r="A249" s="7" t="n"/>
      <c r="B249" s="7" t="n"/>
      <c r="C249" s="7" t="n"/>
      <c r="D249" s="7" t="n"/>
      <c r="E249" s="7" t="n"/>
      <c r="F249" s="7" t="n"/>
      <c r="G249" s="7" t="n"/>
      <c r="H249" s="8" t="n"/>
      <c r="I249" s="9">
        <f>IF(H249="","",ROUND(H249/3.305785,3))</f>
        <v/>
      </c>
      <c r="J249" s="7" t="n"/>
      <c r="K249" s="7" t="n"/>
      <c r="L249" s="10">
        <f>IF(OR(J249="",K249="",K249=0),"",ROUND(J249/K249,6))</f>
        <v/>
      </c>
      <c r="M249" s="9">
        <f>IF(OR(H249="",J249="",K249="",K249=0),"",ROUND(H249*J249/K249/3.305785,3))</f>
        <v/>
      </c>
      <c r="N249" s="7" t="n"/>
      <c r="O249" s="11" t="n"/>
      <c r="P249" s="11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12">
        <f>IF(A249="","",IF(OR(B249="",C249="",D249="",E249="",G249="",H249="",J249="",K249=""),"必填欄位未完整",""))</f>
        <v/>
      </c>
      <c r="AB249" s="12">
        <f>IF(A249="","",A249&amp;"|"&amp;G249)</f>
        <v/>
      </c>
    </row>
    <row r="250" ht="24" customHeight="1">
      <c r="A250" s="7" t="n"/>
      <c r="B250" s="7" t="n"/>
      <c r="C250" s="7" t="n"/>
      <c r="D250" s="7" t="n"/>
      <c r="E250" s="7" t="n"/>
      <c r="F250" s="7" t="n"/>
      <c r="G250" s="7" t="n"/>
      <c r="H250" s="8" t="n"/>
      <c r="I250" s="9">
        <f>IF(H250="","",ROUND(H250/3.305785,3))</f>
        <v/>
      </c>
      <c r="J250" s="7" t="n"/>
      <c r="K250" s="7" t="n"/>
      <c r="L250" s="10">
        <f>IF(OR(J250="",K250="",K250=0),"",ROUND(J250/K250,6))</f>
        <v/>
      </c>
      <c r="M250" s="9">
        <f>IF(OR(H250="",J250="",K250="",K250=0),"",ROUND(H250*J250/K250/3.305785,3))</f>
        <v/>
      </c>
      <c r="N250" s="7" t="n"/>
      <c r="O250" s="11" t="n"/>
      <c r="P250" s="11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12">
        <f>IF(A250="","",IF(OR(B250="",C250="",D250="",E250="",G250="",H250="",J250="",K250=""),"必填欄位未完整",""))</f>
        <v/>
      </c>
      <c r="AB250" s="12">
        <f>IF(A250="","",A250&amp;"|"&amp;G250)</f>
        <v/>
      </c>
    </row>
    <row r="251" ht="24" customHeight="1">
      <c r="A251" s="7" t="n"/>
      <c r="B251" s="7" t="n"/>
      <c r="C251" s="7" t="n"/>
      <c r="D251" s="7" t="n"/>
      <c r="E251" s="7" t="n"/>
      <c r="F251" s="7" t="n"/>
      <c r="G251" s="7" t="n"/>
      <c r="H251" s="8" t="n"/>
      <c r="I251" s="9">
        <f>IF(H251="","",ROUND(H251/3.305785,3))</f>
        <v/>
      </c>
      <c r="J251" s="7" t="n"/>
      <c r="K251" s="7" t="n"/>
      <c r="L251" s="10">
        <f>IF(OR(J251="",K251="",K251=0),"",ROUND(J251/K251,6))</f>
        <v/>
      </c>
      <c r="M251" s="9">
        <f>IF(OR(H251="",J251="",K251="",K251=0),"",ROUND(H251*J251/K251/3.305785,3))</f>
        <v/>
      </c>
      <c r="N251" s="7" t="n"/>
      <c r="O251" s="11" t="n"/>
      <c r="P251" s="11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12">
        <f>IF(A251="","",IF(OR(B251="",C251="",D251="",E251="",G251="",H251="",J251="",K251=""),"必填欄位未完整",""))</f>
        <v/>
      </c>
      <c r="AB251" s="12">
        <f>IF(A251="","",A251&amp;"|"&amp;G251)</f>
        <v/>
      </c>
    </row>
    <row r="252" ht="24" customHeight="1">
      <c r="A252" s="7" t="n"/>
      <c r="B252" s="7" t="n"/>
      <c r="C252" s="7" t="n"/>
      <c r="D252" s="7" t="n"/>
      <c r="E252" s="7" t="n"/>
      <c r="F252" s="7" t="n"/>
      <c r="G252" s="7" t="n"/>
      <c r="H252" s="8" t="n"/>
      <c r="I252" s="9">
        <f>IF(H252="","",ROUND(H252/3.305785,3))</f>
        <v/>
      </c>
      <c r="J252" s="7" t="n"/>
      <c r="K252" s="7" t="n"/>
      <c r="L252" s="10">
        <f>IF(OR(J252="",K252="",K252=0),"",ROUND(J252/K252,6))</f>
        <v/>
      </c>
      <c r="M252" s="9">
        <f>IF(OR(H252="",J252="",K252="",K252=0),"",ROUND(H252*J252/K252/3.305785,3))</f>
        <v/>
      </c>
      <c r="N252" s="7" t="n"/>
      <c r="O252" s="11" t="n"/>
      <c r="P252" s="11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12">
        <f>IF(A252="","",IF(OR(B252="",C252="",D252="",E252="",G252="",H252="",J252="",K252=""),"必填欄位未完整",""))</f>
        <v/>
      </c>
      <c r="AB252" s="12">
        <f>IF(A252="","",A252&amp;"|"&amp;G252)</f>
        <v/>
      </c>
    </row>
    <row r="253" ht="24" customHeight="1">
      <c r="A253" s="7" t="n"/>
      <c r="B253" s="7" t="n"/>
      <c r="C253" s="7" t="n"/>
      <c r="D253" s="7" t="n"/>
      <c r="E253" s="7" t="n"/>
      <c r="F253" s="7" t="n"/>
      <c r="G253" s="7" t="n"/>
      <c r="H253" s="8" t="n"/>
      <c r="I253" s="9">
        <f>IF(H253="","",ROUND(H253/3.305785,3))</f>
        <v/>
      </c>
      <c r="J253" s="7" t="n"/>
      <c r="K253" s="7" t="n"/>
      <c r="L253" s="10">
        <f>IF(OR(J253="",K253="",K253=0),"",ROUND(J253/K253,6))</f>
        <v/>
      </c>
      <c r="M253" s="9">
        <f>IF(OR(H253="",J253="",K253="",K253=0),"",ROUND(H253*J253/K253/3.305785,3))</f>
        <v/>
      </c>
      <c r="N253" s="7" t="n"/>
      <c r="O253" s="11" t="n"/>
      <c r="P253" s="11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12">
        <f>IF(A253="","",IF(OR(B253="",C253="",D253="",E253="",G253="",H253="",J253="",K253=""),"必填欄位未完整",""))</f>
        <v/>
      </c>
      <c r="AB253" s="12">
        <f>IF(A253="","",A253&amp;"|"&amp;G253)</f>
        <v/>
      </c>
    </row>
    <row r="254" ht="24" customHeight="1">
      <c r="A254" s="7" t="n"/>
      <c r="B254" s="7" t="n"/>
      <c r="C254" s="7" t="n"/>
      <c r="D254" s="7" t="n"/>
      <c r="E254" s="7" t="n"/>
      <c r="F254" s="7" t="n"/>
      <c r="G254" s="7" t="n"/>
      <c r="H254" s="8" t="n"/>
      <c r="I254" s="9">
        <f>IF(H254="","",ROUND(H254/3.305785,3))</f>
        <v/>
      </c>
      <c r="J254" s="7" t="n"/>
      <c r="K254" s="7" t="n"/>
      <c r="L254" s="10">
        <f>IF(OR(J254="",K254="",K254=0),"",ROUND(J254/K254,6))</f>
        <v/>
      </c>
      <c r="M254" s="9">
        <f>IF(OR(H254="",J254="",K254="",K254=0),"",ROUND(H254*J254/K254/3.305785,3))</f>
        <v/>
      </c>
      <c r="N254" s="7" t="n"/>
      <c r="O254" s="11" t="n"/>
      <c r="P254" s="11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12">
        <f>IF(A254="","",IF(OR(B254="",C254="",D254="",E254="",G254="",H254="",J254="",K254=""),"必填欄位未完整",""))</f>
        <v/>
      </c>
      <c r="AB254" s="12">
        <f>IF(A254="","",A254&amp;"|"&amp;G254)</f>
        <v/>
      </c>
    </row>
    <row r="255" ht="24" customHeight="1">
      <c r="A255" s="7" t="n"/>
      <c r="B255" s="7" t="n"/>
      <c r="C255" s="7" t="n"/>
      <c r="D255" s="7" t="n"/>
      <c r="E255" s="7" t="n"/>
      <c r="F255" s="7" t="n"/>
      <c r="G255" s="7" t="n"/>
      <c r="H255" s="8" t="n"/>
      <c r="I255" s="9">
        <f>IF(H255="","",ROUND(H255/3.305785,3))</f>
        <v/>
      </c>
      <c r="J255" s="7" t="n"/>
      <c r="K255" s="7" t="n"/>
      <c r="L255" s="10">
        <f>IF(OR(J255="",K255="",K255=0),"",ROUND(J255/K255,6))</f>
        <v/>
      </c>
      <c r="M255" s="9">
        <f>IF(OR(H255="",J255="",K255="",K255=0),"",ROUND(H255*J255/K255/3.305785,3))</f>
        <v/>
      </c>
      <c r="N255" s="7" t="n"/>
      <c r="O255" s="11" t="n"/>
      <c r="P255" s="11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12">
        <f>IF(A255="","",IF(OR(B255="",C255="",D255="",E255="",G255="",H255="",J255="",K255=""),"必填欄位未完整",""))</f>
        <v/>
      </c>
      <c r="AB255" s="12">
        <f>IF(A255="","",A255&amp;"|"&amp;G255)</f>
        <v/>
      </c>
    </row>
    <row r="256" ht="24" customHeight="1">
      <c r="A256" s="7" t="n"/>
      <c r="B256" s="7" t="n"/>
      <c r="C256" s="7" t="n"/>
      <c r="D256" s="7" t="n"/>
      <c r="E256" s="7" t="n"/>
      <c r="F256" s="7" t="n"/>
      <c r="G256" s="7" t="n"/>
      <c r="H256" s="8" t="n"/>
      <c r="I256" s="9">
        <f>IF(H256="","",ROUND(H256/3.305785,3))</f>
        <v/>
      </c>
      <c r="J256" s="7" t="n"/>
      <c r="K256" s="7" t="n"/>
      <c r="L256" s="10">
        <f>IF(OR(J256="",K256="",K256=0),"",ROUND(J256/K256,6))</f>
        <v/>
      </c>
      <c r="M256" s="9">
        <f>IF(OR(H256="",J256="",K256="",K256=0),"",ROUND(H256*J256/K256/3.305785,3))</f>
        <v/>
      </c>
      <c r="N256" s="7" t="n"/>
      <c r="O256" s="11" t="n"/>
      <c r="P256" s="11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12">
        <f>IF(A256="","",IF(OR(B256="",C256="",D256="",E256="",G256="",H256="",J256="",K256=""),"必填欄位未完整",""))</f>
        <v/>
      </c>
      <c r="AB256" s="12">
        <f>IF(A256="","",A256&amp;"|"&amp;G256)</f>
        <v/>
      </c>
    </row>
    <row r="257" ht="24" customHeight="1">
      <c r="A257" s="7" t="n"/>
      <c r="B257" s="7" t="n"/>
      <c r="C257" s="7" t="n"/>
      <c r="D257" s="7" t="n"/>
      <c r="E257" s="7" t="n"/>
      <c r="F257" s="7" t="n"/>
      <c r="G257" s="7" t="n"/>
      <c r="H257" s="8" t="n"/>
      <c r="I257" s="9">
        <f>IF(H257="","",ROUND(H257/3.305785,3))</f>
        <v/>
      </c>
      <c r="J257" s="7" t="n"/>
      <c r="K257" s="7" t="n"/>
      <c r="L257" s="10">
        <f>IF(OR(J257="",K257="",K257=0),"",ROUND(J257/K257,6))</f>
        <v/>
      </c>
      <c r="M257" s="9">
        <f>IF(OR(H257="",J257="",K257="",K257=0),"",ROUND(H257*J257/K257/3.305785,3))</f>
        <v/>
      </c>
      <c r="N257" s="7" t="n"/>
      <c r="O257" s="11" t="n"/>
      <c r="P257" s="11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12">
        <f>IF(A257="","",IF(OR(B257="",C257="",D257="",E257="",G257="",H257="",J257="",K257=""),"必填欄位未完整",""))</f>
        <v/>
      </c>
      <c r="AB257" s="12">
        <f>IF(A257="","",A257&amp;"|"&amp;G257)</f>
        <v/>
      </c>
    </row>
    <row r="258" ht="24" customHeight="1">
      <c r="A258" s="7" t="n"/>
      <c r="B258" s="7" t="n"/>
      <c r="C258" s="7" t="n"/>
      <c r="D258" s="7" t="n"/>
      <c r="E258" s="7" t="n"/>
      <c r="F258" s="7" t="n"/>
      <c r="G258" s="7" t="n"/>
      <c r="H258" s="8" t="n"/>
      <c r="I258" s="9">
        <f>IF(H258="","",ROUND(H258/3.305785,3))</f>
        <v/>
      </c>
      <c r="J258" s="7" t="n"/>
      <c r="K258" s="7" t="n"/>
      <c r="L258" s="10">
        <f>IF(OR(J258="",K258="",K258=0),"",ROUND(J258/K258,6))</f>
        <v/>
      </c>
      <c r="M258" s="9">
        <f>IF(OR(H258="",J258="",K258="",K258=0),"",ROUND(H258*J258/K258/3.305785,3))</f>
        <v/>
      </c>
      <c r="N258" s="7" t="n"/>
      <c r="O258" s="11" t="n"/>
      <c r="P258" s="11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12">
        <f>IF(A258="","",IF(OR(B258="",C258="",D258="",E258="",G258="",H258="",J258="",K258=""),"必填欄位未完整",""))</f>
        <v/>
      </c>
      <c r="AB258" s="12">
        <f>IF(A258="","",A258&amp;"|"&amp;G258)</f>
        <v/>
      </c>
    </row>
    <row r="259" ht="24" customHeight="1">
      <c r="A259" s="7" t="n"/>
      <c r="B259" s="7" t="n"/>
      <c r="C259" s="7" t="n"/>
      <c r="D259" s="7" t="n"/>
      <c r="E259" s="7" t="n"/>
      <c r="F259" s="7" t="n"/>
      <c r="G259" s="7" t="n"/>
      <c r="H259" s="8" t="n"/>
      <c r="I259" s="9">
        <f>IF(H259="","",ROUND(H259/3.305785,3))</f>
        <v/>
      </c>
      <c r="J259" s="7" t="n"/>
      <c r="K259" s="7" t="n"/>
      <c r="L259" s="10">
        <f>IF(OR(J259="",K259="",K259=0),"",ROUND(J259/K259,6))</f>
        <v/>
      </c>
      <c r="M259" s="9">
        <f>IF(OR(H259="",J259="",K259="",K259=0),"",ROUND(H259*J259/K259/3.305785,3))</f>
        <v/>
      </c>
      <c r="N259" s="7" t="n"/>
      <c r="O259" s="11" t="n"/>
      <c r="P259" s="11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12">
        <f>IF(A259="","",IF(OR(B259="",C259="",D259="",E259="",G259="",H259="",J259="",K259=""),"必填欄位未完整",""))</f>
        <v/>
      </c>
      <c r="AB259" s="12">
        <f>IF(A259="","",A259&amp;"|"&amp;G259)</f>
        <v/>
      </c>
    </row>
    <row r="260" ht="24" customHeight="1">
      <c r="A260" s="7" t="n"/>
      <c r="B260" s="7" t="n"/>
      <c r="C260" s="7" t="n"/>
      <c r="D260" s="7" t="n"/>
      <c r="E260" s="7" t="n"/>
      <c r="F260" s="7" t="n"/>
      <c r="G260" s="7" t="n"/>
      <c r="H260" s="8" t="n"/>
      <c r="I260" s="9">
        <f>IF(H260="","",ROUND(H260/3.305785,3))</f>
        <v/>
      </c>
      <c r="J260" s="7" t="n"/>
      <c r="K260" s="7" t="n"/>
      <c r="L260" s="10">
        <f>IF(OR(J260="",K260="",K260=0),"",ROUND(J260/K260,6))</f>
        <v/>
      </c>
      <c r="M260" s="9">
        <f>IF(OR(H260="",J260="",K260="",K260=0),"",ROUND(H260*J260/K260/3.305785,3))</f>
        <v/>
      </c>
      <c r="N260" s="7" t="n"/>
      <c r="O260" s="11" t="n"/>
      <c r="P260" s="11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12">
        <f>IF(A260="","",IF(OR(B260="",C260="",D260="",E260="",G260="",H260="",J260="",K260=""),"必填欄位未完整",""))</f>
        <v/>
      </c>
      <c r="AB260" s="12">
        <f>IF(A260="","",A260&amp;"|"&amp;G260)</f>
        <v/>
      </c>
    </row>
    <row r="261" ht="24" customHeight="1">
      <c r="A261" s="7" t="n"/>
      <c r="B261" s="7" t="n"/>
      <c r="C261" s="7" t="n"/>
      <c r="D261" s="7" t="n"/>
      <c r="E261" s="7" t="n"/>
      <c r="F261" s="7" t="n"/>
      <c r="G261" s="7" t="n"/>
      <c r="H261" s="8" t="n"/>
      <c r="I261" s="9">
        <f>IF(H261="","",ROUND(H261/3.305785,3))</f>
        <v/>
      </c>
      <c r="J261" s="7" t="n"/>
      <c r="K261" s="7" t="n"/>
      <c r="L261" s="10">
        <f>IF(OR(J261="",K261="",K261=0),"",ROUND(J261/K261,6))</f>
        <v/>
      </c>
      <c r="M261" s="9">
        <f>IF(OR(H261="",J261="",K261="",K261=0),"",ROUND(H261*J261/K261/3.305785,3))</f>
        <v/>
      </c>
      <c r="N261" s="7" t="n"/>
      <c r="O261" s="11" t="n"/>
      <c r="P261" s="11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12">
        <f>IF(A261="","",IF(OR(B261="",C261="",D261="",E261="",G261="",H261="",J261="",K261=""),"必填欄位未完整",""))</f>
        <v/>
      </c>
      <c r="AB261" s="12">
        <f>IF(A261="","",A261&amp;"|"&amp;G261)</f>
        <v/>
      </c>
    </row>
    <row r="262" ht="24" customHeight="1">
      <c r="A262" s="7" t="n"/>
      <c r="B262" s="7" t="n"/>
      <c r="C262" s="7" t="n"/>
      <c r="D262" s="7" t="n"/>
      <c r="E262" s="7" t="n"/>
      <c r="F262" s="7" t="n"/>
      <c r="G262" s="7" t="n"/>
      <c r="H262" s="8" t="n"/>
      <c r="I262" s="9">
        <f>IF(H262="","",ROUND(H262/3.305785,3))</f>
        <v/>
      </c>
      <c r="J262" s="7" t="n"/>
      <c r="K262" s="7" t="n"/>
      <c r="L262" s="10">
        <f>IF(OR(J262="",K262="",K262=0),"",ROUND(J262/K262,6))</f>
        <v/>
      </c>
      <c r="M262" s="9">
        <f>IF(OR(H262="",J262="",K262="",K262=0),"",ROUND(H262*J262/K262/3.305785,3))</f>
        <v/>
      </c>
      <c r="N262" s="7" t="n"/>
      <c r="O262" s="11" t="n"/>
      <c r="P262" s="11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12">
        <f>IF(A262="","",IF(OR(B262="",C262="",D262="",E262="",G262="",H262="",J262="",K262=""),"必填欄位未完整",""))</f>
        <v/>
      </c>
      <c r="AB262" s="12">
        <f>IF(A262="","",A262&amp;"|"&amp;G262)</f>
        <v/>
      </c>
    </row>
    <row r="263" ht="24" customHeight="1">
      <c r="A263" s="7" t="n"/>
      <c r="B263" s="7" t="n"/>
      <c r="C263" s="7" t="n"/>
      <c r="D263" s="7" t="n"/>
      <c r="E263" s="7" t="n"/>
      <c r="F263" s="7" t="n"/>
      <c r="G263" s="7" t="n"/>
      <c r="H263" s="8" t="n"/>
      <c r="I263" s="9">
        <f>IF(H263="","",ROUND(H263/3.305785,3))</f>
        <v/>
      </c>
      <c r="J263" s="7" t="n"/>
      <c r="K263" s="7" t="n"/>
      <c r="L263" s="10">
        <f>IF(OR(J263="",K263="",K263=0),"",ROUND(J263/K263,6))</f>
        <v/>
      </c>
      <c r="M263" s="9">
        <f>IF(OR(H263="",J263="",K263="",K263=0),"",ROUND(H263*J263/K263/3.305785,3))</f>
        <v/>
      </c>
      <c r="N263" s="7" t="n"/>
      <c r="O263" s="11" t="n"/>
      <c r="P263" s="11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12">
        <f>IF(A263="","",IF(OR(B263="",C263="",D263="",E263="",G263="",H263="",J263="",K263=""),"必填欄位未完整",""))</f>
        <v/>
      </c>
      <c r="AB263" s="12">
        <f>IF(A263="","",A263&amp;"|"&amp;G263)</f>
        <v/>
      </c>
    </row>
    <row r="264" ht="24" customHeight="1">
      <c r="A264" s="7" t="n"/>
      <c r="B264" s="7" t="n"/>
      <c r="C264" s="7" t="n"/>
      <c r="D264" s="7" t="n"/>
      <c r="E264" s="7" t="n"/>
      <c r="F264" s="7" t="n"/>
      <c r="G264" s="7" t="n"/>
      <c r="H264" s="8" t="n"/>
      <c r="I264" s="9">
        <f>IF(H264="","",ROUND(H264/3.305785,3))</f>
        <v/>
      </c>
      <c r="J264" s="7" t="n"/>
      <c r="K264" s="7" t="n"/>
      <c r="L264" s="10">
        <f>IF(OR(J264="",K264="",K264=0),"",ROUND(J264/K264,6))</f>
        <v/>
      </c>
      <c r="M264" s="9">
        <f>IF(OR(H264="",J264="",K264="",K264=0),"",ROUND(H264*J264/K264/3.305785,3))</f>
        <v/>
      </c>
      <c r="N264" s="7" t="n"/>
      <c r="O264" s="11" t="n"/>
      <c r="P264" s="11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12">
        <f>IF(A264="","",IF(OR(B264="",C264="",D264="",E264="",G264="",H264="",J264="",K264=""),"必填欄位未完整",""))</f>
        <v/>
      </c>
      <c r="AB264" s="12">
        <f>IF(A264="","",A264&amp;"|"&amp;G264)</f>
        <v/>
      </c>
    </row>
    <row r="265" ht="24" customHeight="1">
      <c r="A265" s="7" t="n"/>
      <c r="B265" s="7" t="n"/>
      <c r="C265" s="7" t="n"/>
      <c r="D265" s="7" t="n"/>
      <c r="E265" s="7" t="n"/>
      <c r="F265" s="7" t="n"/>
      <c r="G265" s="7" t="n"/>
      <c r="H265" s="8" t="n"/>
      <c r="I265" s="9">
        <f>IF(H265="","",ROUND(H265/3.305785,3))</f>
        <v/>
      </c>
      <c r="J265" s="7" t="n"/>
      <c r="K265" s="7" t="n"/>
      <c r="L265" s="10">
        <f>IF(OR(J265="",K265="",K265=0),"",ROUND(J265/K265,6))</f>
        <v/>
      </c>
      <c r="M265" s="9">
        <f>IF(OR(H265="",J265="",K265="",K265=0),"",ROUND(H265*J265/K265/3.305785,3))</f>
        <v/>
      </c>
      <c r="N265" s="7" t="n"/>
      <c r="O265" s="11" t="n"/>
      <c r="P265" s="11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12">
        <f>IF(A265="","",IF(OR(B265="",C265="",D265="",E265="",G265="",H265="",J265="",K265=""),"必填欄位未完整",""))</f>
        <v/>
      </c>
      <c r="AB265" s="12">
        <f>IF(A265="","",A265&amp;"|"&amp;G265)</f>
        <v/>
      </c>
    </row>
    <row r="266" ht="24" customHeight="1">
      <c r="A266" s="7" t="n"/>
      <c r="B266" s="7" t="n"/>
      <c r="C266" s="7" t="n"/>
      <c r="D266" s="7" t="n"/>
      <c r="E266" s="7" t="n"/>
      <c r="F266" s="7" t="n"/>
      <c r="G266" s="7" t="n"/>
      <c r="H266" s="8" t="n"/>
      <c r="I266" s="9">
        <f>IF(H266="","",ROUND(H266/3.305785,3))</f>
        <v/>
      </c>
      <c r="J266" s="7" t="n"/>
      <c r="K266" s="7" t="n"/>
      <c r="L266" s="10">
        <f>IF(OR(J266="",K266="",K266=0),"",ROUND(J266/K266,6))</f>
        <v/>
      </c>
      <c r="M266" s="9">
        <f>IF(OR(H266="",J266="",K266="",K266=0),"",ROUND(H266*J266/K266/3.305785,3))</f>
        <v/>
      </c>
      <c r="N266" s="7" t="n"/>
      <c r="O266" s="11" t="n"/>
      <c r="P266" s="11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12">
        <f>IF(A266="","",IF(OR(B266="",C266="",D266="",E266="",G266="",H266="",J266="",K266=""),"必填欄位未完整",""))</f>
        <v/>
      </c>
      <c r="AB266" s="12">
        <f>IF(A266="","",A266&amp;"|"&amp;G266)</f>
        <v/>
      </c>
    </row>
    <row r="267" ht="24" customHeight="1">
      <c r="A267" s="7" t="n"/>
      <c r="B267" s="7" t="n"/>
      <c r="C267" s="7" t="n"/>
      <c r="D267" s="7" t="n"/>
      <c r="E267" s="7" t="n"/>
      <c r="F267" s="7" t="n"/>
      <c r="G267" s="7" t="n"/>
      <c r="H267" s="8" t="n"/>
      <c r="I267" s="9">
        <f>IF(H267="","",ROUND(H267/3.305785,3))</f>
        <v/>
      </c>
      <c r="J267" s="7" t="n"/>
      <c r="K267" s="7" t="n"/>
      <c r="L267" s="10">
        <f>IF(OR(J267="",K267="",K267=0),"",ROUND(J267/K267,6))</f>
        <v/>
      </c>
      <c r="M267" s="9">
        <f>IF(OR(H267="",J267="",K267="",K267=0),"",ROUND(H267*J267/K267/3.305785,3))</f>
        <v/>
      </c>
      <c r="N267" s="7" t="n"/>
      <c r="O267" s="11" t="n"/>
      <c r="P267" s="11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12">
        <f>IF(A267="","",IF(OR(B267="",C267="",D267="",E267="",G267="",H267="",J267="",K267=""),"必填欄位未完整",""))</f>
        <v/>
      </c>
      <c r="AB267" s="12">
        <f>IF(A267="","",A267&amp;"|"&amp;G267)</f>
        <v/>
      </c>
    </row>
    <row r="268" ht="24" customHeight="1">
      <c r="A268" s="7" t="n"/>
      <c r="B268" s="7" t="n"/>
      <c r="C268" s="7" t="n"/>
      <c r="D268" s="7" t="n"/>
      <c r="E268" s="7" t="n"/>
      <c r="F268" s="7" t="n"/>
      <c r="G268" s="7" t="n"/>
      <c r="H268" s="8" t="n"/>
      <c r="I268" s="9">
        <f>IF(H268="","",ROUND(H268/3.305785,3))</f>
        <v/>
      </c>
      <c r="J268" s="7" t="n"/>
      <c r="K268" s="7" t="n"/>
      <c r="L268" s="10">
        <f>IF(OR(J268="",K268="",K268=0),"",ROUND(J268/K268,6))</f>
        <v/>
      </c>
      <c r="M268" s="9">
        <f>IF(OR(H268="",J268="",K268="",K268=0),"",ROUND(H268*J268/K268/3.305785,3))</f>
        <v/>
      </c>
      <c r="N268" s="7" t="n"/>
      <c r="O268" s="11" t="n"/>
      <c r="P268" s="11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12">
        <f>IF(A268="","",IF(OR(B268="",C268="",D268="",E268="",G268="",H268="",J268="",K268=""),"必填欄位未完整",""))</f>
        <v/>
      </c>
      <c r="AB268" s="12">
        <f>IF(A268="","",A268&amp;"|"&amp;G268)</f>
        <v/>
      </c>
    </row>
    <row r="269" ht="24" customHeight="1">
      <c r="A269" s="7" t="n"/>
      <c r="B269" s="7" t="n"/>
      <c r="C269" s="7" t="n"/>
      <c r="D269" s="7" t="n"/>
      <c r="E269" s="7" t="n"/>
      <c r="F269" s="7" t="n"/>
      <c r="G269" s="7" t="n"/>
      <c r="H269" s="8" t="n"/>
      <c r="I269" s="9">
        <f>IF(H269="","",ROUND(H269/3.305785,3))</f>
        <v/>
      </c>
      <c r="J269" s="7" t="n"/>
      <c r="K269" s="7" t="n"/>
      <c r="L269" s="10">
        <f>IF(OR(J269="",K269="",K269=0),"",ROUND(J269/K269,6))</f>
        <v/>
      </c>
      <c r="M269" s="9">
        <f>IF(OR(H269="",J269="",K269="",K269=0),"",ROUND(H269*J269/K269/3.305785,3))</f>
        <v/>
      </c>
      <c r="N269" s="7" t="n"/>
      <c r="O269" s="11" t="n"/>
      <c r="P269" s="11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12">
        <f>IF(A269="","",IF(OR(B269="",C269="",D269="",E269="",G269="",H269="",J269="",K269=""),"必填欄位未完整",""))</f>
        <v/>
      </c>
      <c r="AB269" s="12">
        <f>IF(A269="","",A269&amp;"|"&amp;G269)</f>
        <v/>
      </c>
    </row>
    <row r="270" ht="24" customHeight="1">
      <c r="A270" s="7" t="n"/>
      <c r="B270" s="7" t="n"/>
      <c r="C270" s="7" t="n"/>
      <c r="D270" s="7" t="n"/>
      <c r="E270" s="7" t="n"/>
      <c r="F270" s="7" t="n"/>
      <c r="G270" s="7" t="n"/>
      <c r="H270" s="8" t="n"/>
      <c r="I270" s="9">
        <f>IF(H270="","",ROUND(H270/3.305785,3))</f>
        <v/>
      </c>
      <c r="J270" s="7" t="n"/>
      <c r="K270" s="7" t="n"/>
      <c r="L270" s="10">
        <f>IF(OR(J270="",K270="",K270=0),"",ROUND(J270/K270,6))</f>
        <v/>
      </c>
      <c r="M270" s="9">
        <f>IF(OR(H270="",J270="",K270="",K270=0),"",ROUND(H270*J270/K270/3.305785,3))</f>
        <v/>
      </c>
      <c r="N270" s="7" t="n"/>
      <c r="O270" s="11" t="n"/>
      <c r="P270" s="11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12">
        <f>IF(A270="","",IF(OR(B270="",C270="",D270="",E270="",G270="",H270="",J270="",K270=""),"必填欄位未完整",""))</f>
        <v/>
      </c>
      <c r="AB270" s="12">
        <f>IF(A270="","",A270&amp;"|"&amp;G270)</f>
        <v/>
      </c>
    </row>
    <row r="271" ht="24" customHeight="1">
      <c r="A271" s="7" t="n"/>
      <c r="B271" s="7" t="n"/>
      <c r="C271" s="7" t="n"/>
      <c r="D271" s="7" t="n"/>
      <c r="E271" s="7" t="n"/>
      <c r="F271" s="7" t="n"/>
      <c r="G271" s="7" t="n"/>
      <c r="H271" s="8" t="n"/>
      <c r="I271" s="9">
        <f>IF(H271="","",ROUND(H271/3.305785,3))</f>
        <v/>
      </c>
      <c r="J271" s="7" t="n"/>
      <c r="K271" s="7" t="n"/>
      <c r="L271" s="10">
        <f>IF(OR(J271="",K271="",K271=0),"",ROUND(J271/K271,6))</f>
        <v/>
      </c>
      <c r="M271" s="9">
        <f>IF(OR(H271="",J271="",K271="",K271=0),"",ROUND(H271*J271/K271/3.305785,3))</f>
        <v/>
      </c>
      <c r="N271" s="7" t="n"/>
      <c r="O271" s="11" t="n"/>
      <c r="P271" s="11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12">
        <f>IF(A271="","",IF(OR(B271="",C271="",D271="",E271="",G271="",H271="",J271="",K271=""),"必填欄位未完整",""))</f>
        <v/>
      </c>
      <c r="AB271" s="12">
        <f>IF(A271="","",A271&amp;"|"&amp;G271)</f>
        <v/>
      </c>
    </row>
    <row r="272" ht="24" customHeight="1">
      <c r="A272" s="7" t="n"/>
      <c r="B272" s="7" t="n"/>
      <c r="C272" s="7" t="n"/>
      <c r="D272" s="7" t="n"/>
      <c r="E272" s="7" t="n"/>
      <c r="F272" s="7" t="n"/>
      <c r="G272" s="7" t="n"/>
      <c r="H272" s="8" t="n"/>
      <c r="I272" s="9">
        <f>IF(H272="","",ROUND(H272/3.305785,3))</f>
        <v/>
      </c>
      <c r="J272" s="7" t="n"/>
      <c r="K272" s="7" t="n"/>
      <c r="L272" s="10">
        <f>IF(OR(J272="",K272="",K272=0),"",ROUND(J272/K272,6))</f>
        <v/>
      </c>
      <c r="M272" s="9">
        <f>IF(OR(H272="",J272="",K272="",K272=0),"",ROUND(H272*J272/K272/3.305785,3))</f>
        <v/>
      </c>
      <c r="N272" s="7" t="n"/>
      <c r="O272" s="11" t="n"/>
      <c r="P272" s="11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12">
        <f>IF(A272="","",IF(OR(B272="",C272="",D272="",E272="",G272="",H272="",J272="",K272=""),"必填欄位未完整",""))</f>
        <v/>
      </c>
      <c r="AB272" s="12">
        <f>IF(A272="","",A272&amp;"|"&amp;G272)</f>
        <v/>
      </c>
    </row>
    <row r="273" ht="24" customHeight="1">
      <c r="A273" s="7" t="n"/>
      <c r="B273" s="7" t="n"/>
      <c r="C273" s="7" t="n"/>
      <c r="D273" s="7" t="n"/>
      <c r="E273" s="7" t="n"/>
      <c r="F273" s="7" t="n"/>
      <c r="G273" s="7" t="n"/>
      <c r="H273" s="8" t="n"/>
      <c r="I273" s="9">
        <f>IF(H273="","",ROUND(H273/3.305785,3))</f>
        <v/>
      </c>
      <c r="J273" s="7" t="n"/>
      <c r="K273" s="7" t="n"/>
      <c r="L273" s="10">
        <f>IF(OR(J273="",K273="",K273=0),"",ROUND(J273/K273,6))</f>
        <v/>
      </c>
      <c r="M273" s="9">
        <f>IF(OR(H273="",J273="",K273="",K273=0),"",ROUND(H273*J273/K273/3.305785,3))</f>
        <v/>
      </c>
      <c r="N273" s="7" t="n"/>
      <c r="O273" s="11" t="n"/>
      <c r="P273" s="11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12">
        <f>IF(A273="","",IF(OR(B273="",C273="",D273="",E273="",G273="",H273="",J273="",K273=""),"必填欄位未完整",""))</f>
        <v/>
      </c>
      <c r="AB273" s="12">
        <f>IF(A273="","",A273&amp;"|"&amp;G273)</f>
        <v/>
      </c>
    </row>
    <row r="274" ht="24" customHeight="1">
      <c r="A274" s="7" t="n"/>
      <c r="B274" s="7" t="n"/>
      <c r="C274" s="7" t="n"/>
      <c r="D274" s="7" t="n"/>
      <c r="E274" s="7" t="n"/>
      <c r="F274" s="7" t="n"/>
      <c r="G274" s="7" t="n"/>
      <c r="H274" s="8" t="n"/>
      <c r="I274" s="9">
        <f>IF(H274="","",ROUND(H274/3.305785,3))</f>
        <v/>
      </c>
      <c r="J274" s="7" t="n"/>
      <c r="K274" s="7" t="n"/>
      <c r="L274" s="10">
        <f>IF(OR(J274="",K274="",K274=0),"",ROUND(J274/K274,6))</f>
        <v/>
      </c>
      <c r="M274" s="9">
        <f>IF(OR(H274="",J274="",K274="",K274=0),"",ROUND(H274*J274/K274/3.305785,3))</f>
        <v/>
      </c>
      <c r="N274" s="7" t="n"/>
      <c r="O274" s="11" t="n"/>
      <c r="P274" s="11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12">
        <f>IF(A274="","",IF(OR(B274="",C274="",D274="",E274="",G274="",H274="",J274="",K274=""),"必填欄位未完整",""))</f>
        <v/>
      </c>
      <c r="AB274" s="12">
        <f>IF(A274="","",A274&amp;"|"&amp;G274)</f>
        <v/>
      </c>
    </row>
    <row r="275" ht="24" customHeight="1">
      <c r="A275" s="7" t="n"/>
      <c r="B275" s="7" t="n"/>
      <c r="C275" s="7" t="n"/>
      <c r="D275" s="7" t="n"/>
      <c r="E275" s="7" t="n"/>
      <c r="F275" s="7" t="n"/>
      <c r="G275" s="7" t="n"/>
      <c r="H275" s="8" t="n"/>
      <c r="I275" s="9">
        <f>IF(H275="","",ROUND(H275/3.305785,3))</f>
        <v/>
      </c>
      <c r="J275" s="7" t="n"/>
      <c r="K275" s="7" t="n"/>
      <c r="L275" s="10">
        <f>IF(OR(J275="",K275="",K275=0),"",ROUND(J275/K275,6))</f>
        <v/>
      </c>
      <c r="M275" s="9">
        <f>IF(OR(H275="",J275="",K275="",K275=0),"",ROUND(H275*J275/K275/3.305785,3))</f>
        <v/>
      </c>
      <c r="N275" s="7" t="n"/>
      <c r="O275" s="11" t="n"/>
      <c r="P275" s="11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12">
        <f>IF(A275="","",IF(OR(B275="",C275="",D275="",E275="",G275="",H275="",J275="",K275=""),"必填欄位未完整",""))</f>
        <v/>
      </c>
      <c r="AB275" s="12">
        <f>IF(A275="","",A275&amp;"|"&amp;G275)</f>
        <v/>
      </c>
    </row>
    <row r="276" ht="24" customHeight="1">
      <c r="A276" s="7" t="n"/>
      <c r="B276" s="7" t="n"/>
      <c r="C276" s="7" t="n"/>
      <c r="D276" s="7" t="n"/>
      <c r="E276" s="7" t="n"/>
      <c r="F276" s="7" t="n"/>
      <c r="G276" s="7" t="n"/>
      <c r="H276" s="8" t="n"/>
      <c r="I276" s="9">
        <f>IF(H276="","",ROUND(H276/3.305785,3))</f>
        <v/>
      </c>
      <c r="J276" s="7" t="n"/>
      <c r="K276" s="7" t="n"/>
      <c r="L276" s="10">
        <f>IF(OR(J276="",K276="",K276=0),"",ROUND(J276/K276,6))</f>
        <v/>
      </c>
      <c r="M276" s="9">
        <f>IF(OR(H276="",J276="",K276="",K276=0),"",ROUND(H276*J276/K276/3.305785,3))</f>
        <v/>
      </c>
      <c r="N276" s="7" t="n"/>
      <c r="O276" s="11" t="n"/>
      <c r="P276" s="11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12">
        <f>IF(A276="","",IF(OR(B276="",C276="",D276="",E276="",G276="",H276="",J276="",K276=""),"必填欄位未完整",""))</f>
        <v/>
      </c>
      <c r="AB276" s="12">
        <f>IF(A276="","",A276&amp;"|"&amp;G276)</f>
        <v/>
      </c>
    </row>
    <row r="277" ht="24" customHeight="1">
      <c r="A277" s="7" t="n"/>
      <c r="B277" s="7" t="n"/>
      <c r="C277" s="7" t="n"/>
      <c r="D277" s="7" t="n"/>
      <c r="E277" s="7" t="n"/>
      <c r="F277" s="7" t="n"/>
      <c r="G277" s="7" t="n"/>
      <c r="H277" s="8" t="n"/>
      <c r="I277" s="9">
        <f>IF(H277="","",ROUND(H277/3.305785,3))</f>
        <v/>
      </c>
      <c r="J277" s="7" t="n"/>
      <c r="K277" s="7" t="n"/>
      <c r="L277" s="10">
        <f>IF(OR(J277="",K277="",K277=0),"",ROUND(J277/K277,6))</f>
        <v/>
      </c>
      <c r="M277" s="9">
        <f>IF(OR(H277="",J277="",K277="",K277=0),"",ROUND(H277*J277/K277/3.305785,3))</f>
        <v/>
      </c>
      <c r="N277" s="7" t="n"/>
      <c r="O277" s="11" t="n"/>
      <c r="P277" s="11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12">
        <f>IF(A277="","",IF(OR(B277="",C277="",D277="",E277="",G277="",H277="",J277="",K277=""),"必填欄位未完整",""))</f>
        <v/>
      </c>
      <c r="AB277" s="12">
        <f>IF(A277="","",A277&amp;"|"&amp;G277)</f>
        <v/>
      </c>
    </row>
    <row r="278" ht="24" customHeight="1">
      <c r="A278" s="7" t="n"/>
      <c r="B278" s="7" t="n"/>
      <c r="C278" s="7" t="n"/>
      <c r="D278" s="7" t="n"/>
      <c r="E278" s="7" t="n"/>
      <c r="F278" s="7" t="n"/>
      <c r="G278" s="7" t="n"/>
      <c r="H278" s="8" t="n"/>
      <c r="I278" s="9">
        <f>IF(H278="","",ROUND(H278/3.305785,3))</f>
        <v/>
      </c>
      <c r="J278" s="7" t="n"/>
      <c r="K278" s="7" t="n"/>
      <c r="L278" s="10">
        <f>IF(OR(J278="",K278="",K278=0),"",ROUND(J278/K278,6))</f>
        <v/>
      </c>
      <c r="M278" s="9">
        <f>IF(OR(H278="",J278="",K278="",K278=0),"",ROUND(H278*J278/K278/3.305785,3))</f>
        <v/>
      </c>
      <c r="N278" s="7" t="n"/>
      <c r="O278" s="11" t="n"/>
      <c r="P278" s="11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12">
        <f>IF(A278="","",IF(OR(B278="",C278="",D278="",E278="",G278="",H278="",J278="",K278=""),"必填欄位未完整",""))</f>
        <v/>
      </c>
      <c r="AB278" s="12">
        <f>IF(A278="","",A278&amp;"|"&amp;G278)</f>
        <v/>
      </c>
    </row>
    <row r="279" ht="24" customHeight="1">
      <c r="A279" s="7" t="n"/>
      <c r="B279" s="7" t="n"/>
      <c r="C279" s="7" t="n"/>
      <c r="D279" s="7" t="n"/>
      <c r="E279" s="7" t="n"/>
      <c r="F279" s="7" t="n"/>
      <c r="G279" s="7" t="n"/>
      <c r="H279" s="8" t="n"/>
      <c r="I279" s="9">
        <f>IF(H279="","",ROUND(H279/3.305785,3))</f>
        <v/>
      </c>
      <c r="J279" s="7" t="n"/>
      <c r="K279" s="7" t="n"/>
      <c r="L279" s="10">
        <f>IF(OR(J279="",K279="",K279=0),"",ROUND(J279/K279,6))</f>
        <v/>
      </c>
      <c r="M279" s="9">
        <f>IF(OR(H279="",J279="",K279="",K279=0),"",ROUND(H279*J279/K279/3.305785,3))</f>
        <v/>
      </c>
      <c r="N279" s="7" t="n"/>
      <c r="O279" s="11" t="n"/>
      <c r="P279" s="11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12">
        <f>IF(A279="","",IF(OR(B279="",C279="",D279="",E279="",G279="",H279="",J279="",K279=""),"必填欄位未完整",""))</f>
        <v/>
      </c>
      <c r="AB279" s="12">
        <f>IF(A279="","",A279&amp;"|"&amp;G279)</f>
        <v/>
      </c>
    </row>
    <row r="280" ht="24" customHeight="1">
      <c r="A280" s="7" t="n"/>
      <c r="B280" s="7" t="n"/>
      <c r="C280" s="7" t="n"/>
      <c r="D280" s="7" t="n"/>
      <c r="E280" s="7" t="n"/>
      <c r="F280" s="7" t="n"/>
      <c r="G280" s="7" t="n"/>
      <c r="H280" s="8" t="n"/>
      <c r="I280" s="9">
        <f>IF(H280="","",ROUND(H280/3.305785,3))</f>
        <v/>
      </c>
      <c r="J280" s="7" t="n"/>
      <c r="K280" s="7" t="n"/>
      <c r="L280" s="10">
        <f>IF(OR(J280="",K280="",K280=0),"",ROUND(J280/K280,6))</f>
        <v/>
      </c>
      <c r="M280" s="9">
        <f>IF(OR(H280="",J280="",K280="",K280=0),"",ROUND(H280*J280/K280/3.305785,3))</f>
        <v/>
      </c>
      <c r="N280" s="7" t="n"/>
      <c r="O280" s="11" t="n"/>
      <c r="P280" s="11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12">
        <f>IF(A280="","",IF(OR(B280="",C280="",D280="",E280="",G280="",H280="",J280="",K280=""),"必填欄位未完整",""))</f>
        <v/>
      </c>
      <c r="AB280" s="12">
        <f>IF(A280="","",A280&amp;"|"&amp;G280)</f>
        <v/>
      </c>
    </row>
    <row r="281" ht="24" customHeight="1">
      <c r="A281" s="7" t="n"/>
      <c r="B281" s="7" t="n"/>
      <c r="C281" s="7" t="n"/>
      <c r="D281" s="7" t="n"/>
      <c r="E281" s="7" t="n"/>
      <c r="F281" s="7" t="n"/>
      <c r="G281" s="7" t="n"/>
      <c r="H281" s="8" t="n"/>
      <c r="I281" s="9">
        <f>IF(H281="","",ROUND(H281/3.305785,3))</f>
        <v/>
      </c>
      <c r="J281" s="7" t="n"/>
      <c r="K281" s="7" t="n"/>
      <c r="L281" s="10">
        <f>IF(OR(J281="",K281="",K281=0),"",ROUND(J281/K281,6))</f>
        <v/>
      </c>
      <c r="M281" s="9">
        <f>IF(OR(H281="",J281="",K281="",K281=0),"",ROUND(H281*J281/K281/3.305785,3))</f>
        <v/>
      </c>
      <c r="N281" s="7" t="n"/>
      <c r="O281" s="11" t="n"/>
      <c r="P281" s="11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12">
        <f>IF(A281="","",IF(OR(B281="",C281="",D281="",E281="",G281="",H281="",J281="",K281=""),"必填欄位未完整",""))</f>
        <v/>
      </c>
      <c r="AB281" s="12">
        <f>IF(A281="","",A281&amp;"|"&amp;G281)</f>
        <v/>
      </c>
    </row>
    <row r="282" ht="24" customHeight="1">
      <c r="A282" s="7" t="n"/>
      <c r="B282" s="7" t="n"/>
      <c r="C282" s="7" t="n"/>
      <c r="D282" s="7" t="n"/>
      <c r="E282" s="7" t="n"/>
      <c r="F282" s="7" t="n"/>
      <c r="G282" s="7" t="n"/>
      <c r="H282" s="8" t="n"/>
      <c r="I282" s="9">
        <f>IF(H282="","",ROUND(H282/3.305785,3))</f>
        <v/>
      </c>
      <c r="J282" s="7" t="n"/>
      <c r="K282" s="7" t="n"/>
      <c r="L282" s="10">
        <f>IF(OR(J282="",K282="",K282=0),"",ROUND(J282/K282,6))</f>
        <v/>
      </c>
      <c r="M282" s="9">
        <f>IF(OR(H282="",J282="",K282="",K282=0),"",ROUND(H282*J282/K282/3.305785,3))</f>
        <v/>
      </c>
      <c r="N282" s="7" t="n"/>
      <c r="O282" s="11" t="n"/>
      <c r="P282" s="11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12">
        <f>IF(A282="","",IF(OR(B282="",C282="",D282="",E282="",G282="",H282="",J282="",K282=""),"必填欄位未完整",""))</f>
        <v/>
      </c>
      <c r="AB282" s="12">
        <f>IF(A282="","",A282&amp;"|"&amp;G282)</f>
        <v/>
      </c>
    </row>
    <row r="283" ht="24" customHeight="1">
      <c r="A283" s="7" t="n"/>
      <c r="B283" s="7" t="n"/>
      <c r="C283" s="7" t="n"/>
      <c r="D283" s="7" t="n"/>
      <c r="E283" s="7" t="n"/>
      <c r="F283" s="7" t="n"/>
      <c r="G283" s="7" t="n"/>
      <c r="H283" s="8" t="n"/>
      <c r="I283" s="9">
        <f>IF(H283="","",ROUND(H283/3.305785,3))</f>
        <v/>
      </c>
      <c r="J283" s="7" t="n"/>
      <c r="K283" s="7" t="n"/>
      <c r="L283" s="10">
        <f>IF(OR(J283="",K283="",K283=0),"",ROUND(J283/K283,6))</f>
        <v/>
      </c>
      <c r="M283" s="9">
        <f>IF(OR(H283="",J283="",K283="",K283=0),"",ROUND(H283*J283/K283/3.305785,3))</f>
        <v/>
      </c>
      <c r="N283" s="7" t="n"/>
      <c r="O283" s="11" t="n"/>
      <c r="P283" s="11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12">
        <f>IF(A283="","",IF(OR(B283="",C283="",D283="",E283="",G283="",H283="",J283="",K283=""),"必填欄位未完整",""))</f>
        <v/>
      </c>
      <c r="AB283" s="12">
        <f>IF(A283="","",A283&amp;"|"&amp;G283)</f>
        <v/>
      </c>
    </row>
    <row r="284" ht="24" customHeight="1">
      <c r="A284" s="7" t="n"/>
      <c r="B284" s="7" t="n"/>
      <c r="C284" s="7" t="n"/>
      <c r="D284" s="7" t="n"/>
      <c r="E284" s="7" t="n"/>
      <c r="F284" s="7" t="n"/>
      <c r="G284" s="7" t="n"/>
      <c r="H284" s="8" t="n"/>
      <c r="I284" s="9">
        <f>IF(H284="","",ROUND(H284/3.305785,3))</f>
        <v/>
      </c>
      <c r="J284" s="7" t="n"/>
      <c r="K284" s="7" t="n"/>
      <c r="L284" s="10">
        <f>IF(OR(J284="",K284="",K284=0),"",ROUND(J284/K284,6))</f>
        <v/>
      </c>
      <c r="M284" s="9">
        <f>IF(OR(H284="",J284="",K284="",K284=0),"",ROUND(H284*J284/K284/3.305785,3))</f>
        <v/>
      </c>
      <c r="N284" s="7" t="n"/>
      <c r="O284" s="11" t="n"/>
      <c r="P284" s="11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12">
        <f>IF(A284="","",IF(OR(B284="",C284="",D284="",E284="",G284="",H284="",J284="",K284=""),"必填欄位未完整",""))</f>
        <v/>
      </c>
      <c r="AB284" s="12">
        <f>IF(A284="","",A284&amp;"|"&amp;G284)</f>
        <v/>
      </c>
    </row>
    <row r="285" ht="24" customHeight="1">
      <c r="A285" s="7" t="n"/>
      <c r="B285" s="7" t="n"/>
      <c r="C285" s="7" t="n"/>
      <c r="D285" s="7" t="n"/>
      <c r="E285" s="7" t="n"/>
      <c r="F285" s="7" t="n"/>
      <c r="G285" s="7" t="n"/>
      <c r="H285" s="8" t="n"/>
      <c r="I285" s="9">
        <f>IF(H285="","",ROUND(H285/3.305785,3))</f>
        <v/>
      </c>
      <c r="J285" s="7" t="n"/>
      <c r="K285" s="7" t="n"/>
      <c r="L285" s="10">
        <f>IF(OR(J285="",K285="",K285=0),"",ROUND(J285/K285,6))</f>
        <v/>
      </c>
      <c r="M285" s="9">
        <f>IF(OR(H285="",J285="",K285="",K285=0),"",ROUND(H285*J285/K285/3.305785,3))</f>
        <v/>
      </c>
      <c r="N285" s="7" t="n"/>
      <c r="O285" s="11" t="n"/>
      <c r="P285" s="11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12">
        <f>IF(A285="","",IF(OR(B285="",C285="",D285="",E285="",G285="",H285="",J285="",K285=""),"必填欄位未完整",""))</f>
        <v/>
      </c>
      <c r="AB285" s="12">
        <f>IF(A285="","",A285&amp;"|"&amp;G285)</f>
        <v/>
      </c>
    </row>
    <row r="286" ht="24" customHeight="1">
      <c r="A286" s="7" t="n"/>
      <c r="B286" s="7" t="n"/>
      <c r="C286" s="7" t="n"/>
      <c r="D286" s="7" t="n"/>
      <c r="E286" s="7" t="n"/>
      <c r="F286" s="7" t="n"/>
      <c r="G286" s="7" t="n"/>
      <c r="H286" s="8" t="n"/>
      <c r="I286" s="9">
        <f>IF(H286="","",ROUND(H286/3.305785,3))</f>
        <v/>
      </c>
      <c r="J286" s="7" t="n"/>
      <c r="K286" s="7" t="n"/>
      <c r="L286" s="10">
        <f>IF(OR(J286="",K286="",K286=0),"",ROUND(J286/K286,6))</f>
        <v/>
      </c>
      <c r="M286" s="9">
        <f>IF(OR(H286="",J286="",K286="",K286=0),"",ROUND(H286*J286/K286/3.305785,3))</f>
        <v/>
      </c>
      <c r="N286" s="7" t="n"/>
      <c r="O286" s="11" t="n"/>
      <c r="P286" s="11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12">
        <f>IF(A286="","",IF(OR(B286="",C286="",D286="",E286="",G286="",H286="",J286="",K286=""),"必填欄位未完整",""))</f>
        <v/>
      </c>
      <c r="AB286" s="12">
        <f>IF(A286="","",A286&amp;"|"&amp;G286)</f>
        <v/>
      </c>
    </row>
    <row r="287" ht="24" customHeight="1">
      <c r="A287" s="7" t="n"/>
      <c r="B287" s="7" t="n"/>
      <c r="C287" s="7" t="n"/>
      <c r="D287" s="7" t="n"/>
      <c r="E287" s="7" t="n"/>
      <c r="F287" s="7" t="n"/>
      <c r="G287" s="7" t="n"/>
      <c r="H287" s="8" t="n"/>
      <c r="I287" s="9">
        <f>IF(H287="","",ROUND(H287/3.305785,3))</f>
        <v/>
      </c>
      <c r="J287" s="7" t="n"/>
      <c r="K287" s="7" t="n"/>
      <c r="L287" s="10">
        <f>IF(OR(J287="",K287="",K287=0),"",ROUND(J287/K287,6))</f>
        <v/>
      </c>
      <c r="M287" s="9">
        <f>IF(OR(H287="",J287="",K287="",K287=0),"",ROUND(H287*J287/K287/3.305785,3))</f>
        <v/>
      </c>
      <c r="N287" s="7" t="n"/>
      <c r="O287" s="11" t="n"/>
      <c r="P287" s="11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12">
        <f>IF(A287="","",IF(OR(B287="",C287="",D287="",E287="",G287="",H287="",J287="",K287=""),"必填欄位未完整",""))</f>
        <v/>
      </c>
      <c r="AB287" s="12">
        <f>IF(A287="","",A287&amp;"|"&amp;G287)</f>
        <v/>
      </c>
    </row>
    <row r="288" ht="24" customHeight="1">
      <c r="A288" s="7" t="n"/>
      <c r="B288" s="7" t="n"/>
      <c r="C288" s="7" t="n"/>
      <c r="D288" s="7" t="n"/>
      <c r="E288" s="7" t="n"/>
      <c r="F288" s="7" t="n"/>
      <c r="G288" s="7" t="n"/>
      <c r="H288" s="8" t="n"/>
      <c r="I288" s="9">
        <f>IF(H288="","",ROUND(H288/3.305785,3))</f>
        <v/>
      </c>
      <c r="J288" s="7" t="n"/>
      <c r="K288" s="7" t="n"/>
      <c r="L288" s="10">
        <f>IF(OR(J288="",K288="",K288=0),"",ROUND(J288/K288,6))</f>
        <v/>
      </c>
      <c r="M288" s="9">
        <f>IF(OR(H288="",J288="",K288="",K288=0),"",ROUND(H288*J288/K288/3.305785,3))</f>
        <v/>
      </c>
      <c r="N288" s="7" t="n"/>
      <c r="O288" s="11" t="n"/>
      <c r="P288" s="11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12">
        <f>IF(A288="","",IF(OR(B288="",C288="",D288="",E288="",G288="",H288="",J288="",K288=""),"必填欄位未完整",""))</f>
        <v/>
      </c>
      <c r="AB288" s="12">
        <f>IF(A288="","",A288&amp;"|"&amp;G288)</f>
        <v/>
      </c>
    </row>
    <row r="289" ht="24" customHeight="1">
      <c r="A289" s="7" t="n"/>
      <c r="B289" s="7" t="n"/>
      <c r="C289" s="7" t="n"/>
      <c r="D289" s="7" t="n"/>
      <c r="E289" s="7" t="n"/>
      <c r="F289" s="7" t="n"/>
      <c r="G289" s="7" t="n"/>
      <c r="H289" s="8" t="n"/>
      <c r="I289" s="9">
        <f>IF(H289="","",ROUND(H289/3.305785,3))</f>
        <v/>
      </c>
      <c r="J289" s="7" t="n"/>
      <c r="K289" s="7" t="n"/>
      <c r="L289" s="10">
        <f>IF(OR(J289="",K289="",K289=0),"",ROUND(J289/K289,6))</f>
        <v/>
      </c>
      <c r="M289" s="9">
        <f>IF(OR(H289="",J289="",K289="",K289=0),"",ROUND(H289*J289/K289/3.305785,3))</f>
        <v/>
      </c>
      <c r="N289" s="7" t="n"/>
      <c r="O289" s="11" t="n"/>
      <c r="P289" s="11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12">
        <f>IF(A289="","",IF(OR(B289="",C289="",D289="",E289="",G289="",H289="",J289="",K289=""),"必填欄位未完整",""))</f>
        <v/>
      </c>
      <c r="AB289" s="12">
        <f>IF(A289="","",A289&amp;"|"&amp;G289)</f>
        <v/>
      </c>
    </row>
    <row r="290" ht="24" customHeight="1">
      <c r="A290" s="7" t="n"/>
      <c r="B290" s="7" t="n"/>
      <c r="C290" s="7" t="n"/>
      <c r="D290" s="7" t="n"/>
      <c r="E290" s="7" t="n"/>
      <c r="F290" s="7" t="n"/>
      <c r="G290" s="7" t="n"/>
      <c r="H290" s="8" t="n"/>
      <c r="I290" s="9">
        <f>IF(H290="","",ROUND(H290/3.305785,3))</f>
        <v/>
      </c>
      <c r="J290" s="7" t="n"/>
      <c r="K290" s="7" t="n"/>
      <c r="L290" s="10">
        <f>IF(OR(J290="",K290="",K290=0),"",ROUND(J290/K290,6))</f>
        <v/>
      </c>
      <c r="M290" s="9">
        <f>IF(OR(H290="",J290="",K290="",K290=0),"",ROUND(H290*J290/K290/3.305785,3))</f>
        <v/>
      </c>
      <c r="N290" s="7" t="n"/>
      <c r="O290" s="11" t="n"/>
      <c r="P290" s="11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12">
        <f>IF(A290="","",IF(OR(B290="",C290="",D290="",E290="",G290="",H290="",J290="",K290=""),"必填欄位未完整",""))</f>
        <v/>
      </c>
      <c r="AB290" s="12">
        <f>IF(A290="","",A290&amp;"|"&amp;G290)</f>
        <v/>
      </c>
    </row>
    <row r="291" ht="24" customHeight="1">
      <c r="A291" s="7" t="n"/>
      <c r="B291" s="7" t="n"/>
      <c r="C291" s="7" t="n"/>
      <c r="D291" s="7" t="n"/>
      <c r="E291" s="7" t="n"/>
      <c r="F291" s="7" t="n"/>
      <c r="G291" s="7" t="n"/>
      <c r="H291" s="8" t="n"/>
      <c r="I291" s="9">
        <f>IF(H291="","",ROUND(H291/3.305785,3))</f>
        <v/>
      </c>
      <c r="J291" s="7" t="n"/>
      <c r="K291" s="7" t="n"/>
      <c r="L291" s="10">
        <f>IF(OR(J291="",K291="",K291=0),"",ROUND(J291/K291,6))</f>
        <v/>
      </c>
      <c r="M291" s="9">
        <f>IF(OR(H291="",J291="",K291="",K291=0),"",ROUND(H291*J291/K291/3.305785,3))</f>
        <v/>
      </c>
      <c r="N291" s="7" t="n"/>
      <c r="O291" s="11" t="n"/>
      <c r="P291" s="11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12">
        <f>IF(A291="","",IF(OR(B291="",C291="",D291="",E291="",G291="",H291="",J291="",K291=""),"必填欄位未完整",""))</f>
        <v/>
      </c>
      <c r="AB291" s="12">
        <f>IF(A291="","",A291&amp;"|"&amp;G291)</f>
        <v/>
      </c>
    </row>
    <row r="292" ht="24" customHeight="1">
      <c r="A292" s="7" t="n"/>
      <c r="B292" s="7" t="n"/>
      <c r="C292" s="7" t="n"/>
      <c r="D292" s="7" t="n"/>
      <c r="E292" s="7" t="n"/>
      <c r="F292" s="7" t="n"/>
      <c r="G292" s="7" t="n"/>
      <c r="H292" s="8" t="n"/>
      <c r="I292" s="9">
        <f>IF(H292="","",ROUND(H292/3.305785,3))</f>
        <v/>
      </c>
      <c r="J292" s="7" t="n"/>
      <c r="K292" s="7" t="n"/>
      <c r="L292" s="10">
        <f>IF(OR(J292="",K292="",K292=0),"",ROUND(J292/K292,6))</f>
        <v/>
      </c>
      <c r="M292" s="9">
        <f>IF(OR(H292="",J292="",K292="",K292=0),"",ROUND(H292*J292/K292/3.305785,3))</f>
        <v/>
      </c>
      <c r="N292" s="7" t="n"/>
      <c r="O292" s="11" t="n"/>
      <c r="P292" s="11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12">
        <f>IF(A292="","",IF(OR(B292="",C292="",D292="",E292="",G292="",H292="",J292="",K292=""),"必填欄位未完整",""))</f>
        <v/>
      </c>
      <c r="AB292" s="12">
        <f>IF(A292="","",A292&amp;"|"&amp;G292)</f>
        <v/>
      </c>
    </row>
    <row r="293" ht="24" customHeight="1">
      <c r="A293" s="7" t="n"/>
      <c r="B293" s="7" t="n"/>
      <c r="C293" s="7" t="n"/>
      <c r="D293" s="7" t="n"/>
      <c r="E293" s="7" t="n"/>
      <c r="F293" s="7" t="n"/>
      <c r="G293" s="7" t="n"/>
      <c r="H293" s="8" t="n"/>
      <c r="I293" s="9">
        <f>IF(H293="","",ROUND(H293/3.305785,3))</f>
        <v/>
      </c>
      <c r="J293" s="7" t="n"/>
      <c r="K293" s="7" t="n"/>
      <c r="L293" s="10">
        <f>IF(OR(J293="",K293="",K293=0),"",ROUND(J293/K293,6))</f>
        <v/>
      </c>
      <c r="M293" s="9">
        <f>IF(OR(H293="",J293="",K293="",K293=0),"",ROUND(H293*J293/K293/3.305785,3))</f>
        <v/>
      </c>
      <c r="N293" s="7" t="n"/>
      <c r="O293" s="11" t="n"/>
      <c r="P293" s="11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12">
        <f>IF(A293="","",IF(OR(B293="",C293="",D293="",E293="",G293="",H293="",J293="",K293=""),"必填欄位未完整",""))</f>
        <v/>
      </c>
      <c r="AB293" s="12">
        <f>IF(A293="","",A293&amp;"|"&amp;G293)</f>
        <v/>
      </c>
    </row>
    <row r="294" ht="24" customHeight="1">
      <c r="A294" s="7" t="n"/>
      <c r="B294" s="7" t="n"/>
      <c r="C294" s="7" t="n"/>
      <c r="D294" s="7" t="n"/>
      <c r="E294" s="7" t="n"/>
      <c r="F294" s="7" t="n"/>
      <c r="G294" s="7" t="n"/>
      <c r="H294" s="8" t="n"/>
      <c r="I294" s="9">
        <f>IF(H294="","",ROUND(H294/3.305785,3))</f>
        <v/>
      </c>
      <c r="J294" s="7" t="n"/>
      <c r="K294" s="7" t="n"/>
      <c r="L294" s="10">
        <f>IF(OR(J294="",K294="",K294=0),"",ROUND(J294/K294,6))</f>
        <v/>
      </c>
      <c r="M294" s="9">
        <f>IF(OR(H294="",J294="",K294="",K294=0),"",ROUND(H294*J294/K294/3.305785,3))</f>
        <v/>
      </c>
      <c r="N294" s="7" t="n"/>
      <c r="O294" s="11" t="n"/>
      <c r="P294" s="11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12">
        <f>IF(A294="","",IF(OR(B294="",C294="",D294="",E294="",G294="",H294="",J294="",K294=""),"必填欄位未完整",""))</f>
        <v/>
      </c>
      <c r="AB294" s="12">
        <f>IF(A294="","",A294&amp;"|"&amp;G294)</f>
        <v/>
      </c>
    </row>
    <row r="295" ht="24" customHeight="1">
      <c r="A295" s="7" t="n"/>
      <c r="B295" s="7" t="n"/>
      <c r="C295" s="7" t="n"/>
      <c r="D295" s="7" t="n"/>
      <c r="E295" s="7" t="n"/>
      <c r="F295" s="7" t="n"/>
      <c r="G295" s="7" t="n"/>
      <c r="H295" s="8" t="n"/>
      <c r="I295" s="9">
        <f>IF(H295="","",ROUND(H295/3.305785,3))</f>
        <v/>
      </c>
      <c r="J295" s="7" t="n"/>
      <c r="K295" s="7" t="n"/>
      <c r="L295" s="10">
        <f>IF(OR(J295="",K295="",K295=0),"",ROUND(J295/K295,6))</f>
        <v/>
      </c>
      <c r="M295" s="9">
        <f>IF(OR(H295="",J295="",K295="",K295=0),"",ROUND(H295*J295/K295/3.305785,3))</f>
        <v/>
      </c>
      <c r="N295" s="7" t="n"/>
      <c r="O295" s="11" t="n"/>
      <c r="P295" s="11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12">
        <f>IF(A295="","",IF(OR(B295="",C295="",D295="",E295="",G295="",H295="",J295="",K295=""),"必填欄位未完整",""))</f>
        <v/>
      </c>
      <c r="AB295" s="12">
        <f>IF(A295="","",A295&amp;"|"&amp;G295)</f>
        <v/>
      </c>
    </row>
    <row r="296" ht="24" customHeight="1">
      <c r="A296" s="7" t="n"/>
      <c r="B296" s="7" t="n"/>
      <c r="C296" s="7" t="n"/>
      <c r="D296" s="7" t="n"/>
      <c r="E296" s="7" t="n"/>
      <c r="F296" s="7" t="n"/>
      <c r="G296" s="7" t="n"/>
      <c r="H296" s="8" t="n"/>
      <c r="I296" s="9">
        <f>IF(H296="","",ROUND(H296/3.305785,3))</f>
        <v/>
      </c>
      <c r="J296" s="7" t="n"/>
      <c r="K296" s="7" t="n"/>
      <c r="L296" s="10">
        <f>IF(OR(J296="",K296="",K296=0),"",ROUND(J296/K296,6))</f>
        <v/>
      </c>
      <c r="M296" s="9">
        <f>IF(OR(H296="",J296="",K296="",K296=0),"",ROUND(H296*J296/K296/3.305785,3))</f>
        <v/>
      </c>
      <c r="N296" s="7" t="n"/>
      <c r="O296" s="11" t="n"/>
      <c r="P296" s="11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12">
        <f>IF(A296="","",IF(OR(B296="",C296="",D296="",E296="",G296="",H296="",J296="",K296=""),"必填欄位未完整",""))</f>
        <v/>
      </c>
      <c r="AB296" s="12">
        <f>IF(A296="","",A296&amp;"|"&amp;G296)</f>
        <v/>
      </c>
    </row>
    <row r="297" ht="24" customHeight="1">
      <c r="A297" s="7" t="n"/>
      <c r="B297" s="7" t="n"/>
      <c r="C297" s="7" t="n"/>
      <c r="D297" s="7" t="n"/>
      <c r="E297" s="7" t="n"/>
      <c r="F297" s="7" t="n"/>
      <c r="G297" s="7" t="n"/>
      <c r="H297" s="8" t="n"/>
      <c r="I297" s="9">
        <f>IF(H297="","",ROUND(H297/3.305785,3))</f>
        <v/>
      </c>
      <c r="J297" s="7" t="n"/>
      <c r="K297" s="7" t="n"/>
      <c r="L297" s="10">
        <f>IF(OR(J297="",K297="",K297=0),"",ROUND(J297/K297,6))</f>
        <v/>
      </c>
      <c r="M297" s="9">
        <f>IF(OR(H297="",J297="",K297="",K297=0),"",ROUND(H297*J297/K297/3.305785,3))</f>
        <v/>
      </c>
      <c r="N297" s="7" t="n"/>
      <c r="O297" s="11" t="n"/>
      <c r="P297" s="11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12">
        <f>IF(A297="","",IF(OR(B297="",C297="",D297="",E297="",G297="",H297="",J297="",K297=""),"必填欄位未完整",""))</f>
        <v/>
      </c>
      <c r="AB297" s="12">
        <f>IF(A297="","",A297&amp;"|"&amp;G297)</f>
        <v/>
      </c>
    </row>
    <row r="298" ht="24" customHeight="1">
      <c r="A298" s="7" t="n"/>
      <c r="B298" s="7" t="n"/>
      <c r="C298" s="7" t="n"/>
      <c r="D298" s="7" t="n"/>
      <c r="E298" s="7" t="n"/>
      <c r="F298" s="7" t="n"/>
      <c r="G298" s="7" t="n"/>
      <c r="H298" s="8" t="n"/>
      <c r="I298" s="9">
        <f>IF(H298="","",ROUND(H298/3.305785,3))</f>
        <v/>
      </c>
      <c r="J298" s="7" t="n"/>
      <c r="K298" s="7" t="n"/>
      <c r="L298" s="10">
        <f>IF(OR(J298="",K298="",K298=0),"",ROUND(J298/K298,6))</f>
        <v/>
      </c>
      <c r="M298" s="9">
        <f>IF(OR(H298="",J298="",K298="",K298=0),"",ROUND(H298*J298/K298/3.305785,3))</f>
        <v/>
      </c>
      <c r="N298" s="7" t="n"/>
      <c r="O298" s="11" t="n"/>
      <c r="P298" s="11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12">
        <f>IF(A298="","",IF(OR(B298="",C298="",D298="",E298="",G298="",H298="",J298="",K298=""),"必填欄位未完整",""))</f>
        <v/>
      </c>
      <c r="AB298" s="12">
        <f>IF(A298="","",A298&amp;"|"&amp;G298)</f>
        <v/>
      </c>
    </row>
    <row r="299" ht="24" customHeight="1">
      <c r="A299" s="7" t="n"/>
      <c r="B299" s="7" t="n"/>
      <c r="C299" s="7" t="n"/>
      <c r="D299" s="7" t="n"/>
      <c r="E299" s="7" t="n"/>
      <c r="F299" s="7" t="n"/>
      <c r="G299" s="7" t="n"/>
      <c r="H299" s="8" t="n"/>
      <c r="I299" s="9">
        <f>IF(H299="","",ROUND(H299/3.305785,3))</f>
        <v/>
      </c>
      <c r="J299" s="7" t="n"/>
      <c r="K299" s="7" t="n"/>
      <c r="L299" s="10">
        <f>IF(OR(J299="",K299="",K299=0),"",ROUND(J299/K299,6))</f>
        <v/>
      </c>
      <c r="M299" s="9">
        <f>IF(OR(H299="",J299="",K299="",K299=0),"",ROUND(H299*J299/K299/3.305785,3))</f>
        <v/>
      </c>
      <c r="N299" s="7" t="n"/>
      <c r="O299" s="11" t="n"/>
      <c r="P299" s="11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12">
        <f>IF(A299="","",IF(OR(B299="",C299="",D299="",E299="",G299="",H299="",J299="",K299=""),"必填欄位未完整",""))</f>
        <v/>
      </c>
      <c r="AB299" s="12">
        <f>IF(A299="","",A299&amp;"|"&amp;G299)</f>
        <v/>
      </c>
    </row>
    <row r="300" ht="24" customHeight="1">
      <c r="A300" s="7" t="n"/>
      <c r="B300" s="7" t="n"/>
      <c r="C300" s="7" t="n"/>
      <c r="D300" s="7" t="n"/>
      <c r="E300" s="7" t="n"/>
      <c r="F300" s="7" t="n"/>
      <c r="G300" s="7" t="n"/>
      <c r="H300" s="8" t="n"/>
      <c r="I300" s="9">
        <f>IF(H300="","",ROUND(H300/3.305785,3))</f>
        <v/>
      </c>
      <c r="J300" s="7" t="n"/>
      <c r="K300" s="7" t="n"/>
      <c r="L300" s="10">
        <f>IF(OR(J300="",K300="",K300=0),"",ROUND(J300/K300,6))</f>
        <v/>
      </c>
      <c r="M300" s="9">
        <f>IF(OR(H300="",J300="",K300="",K300=0),"",ROUND(H300*J300/K300/3.305785,3))</f>
        <v/>
      </c>
      <c r="N300" s="7" t="n"/>
      <c r="O300" s="11" t="n"/>
      <c r="P300" s="11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12">
        <f>IF(A300="","",IF(OR(B300="",C300="",D300="",E300="",G300="",H300="",J300="",K300=""),"必填欄位未完整",""))</f>
        <v/>
      </c>
      <c r="AB300" s="12">
        <f>IF(A300="","",A300&amp;"|"&amp;G300)</f>
        <v/>
      </c>
    </row>
    <row r="301" ht="24" customHeight="1">
      <c r="A301" s="7" t="n"/>
      <c r="B301" s="7" t="n"/>
      <c r="C301" s="7" t="n"/>
      <c r="D301" s="7" t="n"/>
      <c r="E301" s="7" t="n"/>
      <c r="F301" s="7" t="n"/>
      <c r="G301" s="7" t="n"/>
      <c r="H301" s="8" t="n"/>
      <c r="I301" s="9">
        <f>IF(H301="","",ROUND(H301/3.305785,3))</f>
        <v/>
      </c>
      <c r="J301" s="7" t="n"/>
      <c r="K301" s="7" t="n"/>
      <c r="L301" s="10">
        <f>IF(OR(J301="",K301="",K301=0),"",ROUND(J301/K301,6))</f>
        <v/>
      </c>
      <c r="M301" s="9">
        <f>IF(OR(H301="",J301="",K301="",K301=0),"",ROUND(H301*J301/K301/3.305785,3))</f>
        <v/>
      </c>
      <c r="N301" s="7" t="n"/>
      <c r="O301" s="11" t="n"/>
      <c r="P301" s="11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12">
        <f>IF(A301="","",IF(OR(B301="",C301="",D301="",E301="",G301="",H301="",J301="",K301=""),"必填欄位未完整",""))</f>
        <v/>
      </c>
      <c r="AB301" s="12">
        <f>IF(A301="","",A301&amp;"|"&amp;G301)</f>
        <v/>
      </c>
    </row>
    <row r="302" ht="24" customHeight="1">
      <c r="A302" s="7" t="n"/>
      <c r="B302" s="7" t="n"/>
      <c r="C302" s="7" t="n"/>
      <c r="D302" s="7" t="n"/>
      <c r="E302" s="7" t="n"/>
      <c r="F302" s="7" t="n"/>
      <c r="G302" s="7" t="n"/>
      <c r="H302" s="8" t="n"/>
      <c r="I302" s="9">
        <f>IF(H302="","",ROUND(H302/3.305785,3))</f>
        <v/>
      </c>
      <c r="J302" s="7" t="n"/>
      <c r="K302" s="7" t="n"/>
      <c r="L302" s="10">
        <f>IF(OR(J302="",K302="",K302=0),"",ROUND(J302/K302,6))</f>
        <v/>
      </c>
      <c r="M302" s="9">
        <f>IF(OR(H302="",J302="",K302="",K302=0),"",ROUND(H302*J302/K302/3.305785,3))</f>
        <v/>
      </c>
      <c r="N302" s="7" t="n"/>
      <c r="O302" s="11" t="n"/>
      <c r="P302" s="11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12">
        <f>IF(A302="","",IF(OR(B302="",C302="",D302="",E302="",G302="",H302="",J302="",K302=""),"必填欄位未完整",""))</f>
        <v/>
      </c>
      <c r="AB302" s="12">
        <f>IF(A302="","",A302&amp;"|"&amp;G302)</f>
        <v/>
      </c>
    </row>
    <row r="303" ht="24" customHeight="1">
      <c r="A303" s="7" t="n"/>
      <c r="B303" s="7" t="n"/>
      <c r="C303" s="7" t="n"/>
      <c r="D303" s="7" t="n"/>
      <c r="E303" s="7" t="n"/>
      <c r="F303" s="7" t="n"/>
      <c r="G303" s="7" t="n"/>
      <c r="H303" s="8" t="n"/>
      <c r="I303" s="9">
        <f>IF(H303="","",ROUND(H303/3.305785,3))</f>
        <v/>
      </c>
      <c r="J303" s="7" t="n"/>
      <c r="K303" s="7" t="n"/>
      <c r="L303" s="10">
        <f>IF(OR(J303="",K303="",K303=0),"",ROUND(J303/K303,6))</f>
        <v/>
      </c>
      <c r="M303" s="9">
        <f>IF(OR(H303="",J303="",K303="",K303=0),"",ROUND(H303*J303/K303/3.305785,3))</f>
        <v/>
      </c>
      <c r="N303" s="7" t="n"/>
      <c r="O303" s="11" t="n"/>
      <c r="P303" s="11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12">
        <f>IF(A303="","",IF(OR(B303="",C303="",D303="",E303="",G303="",H303="",J303="",K303=""),"必填欄位未完整",""))</f>
        <v/>
      </c>
      <c r="AB303" s="12">
        <f>IF(A303="","",A303&amp;"|"&amp;G303)</f>
        <v/>
      </c>
    </row>
    <row r="304" ht="24" customHeight="1">
      <c r="A304" s="7" t="n"/>
      <c r="B304" s="7" t="n"/>
      <c r="C304" s="7" t="n"/>
      <c r="D304" s="7" t="n"/>
      <c r="E304" s="7" t="n"/>
      <c r="F304" s="7" t="n"/>
      <c r="G304" s="7" t="n"/>
      <c r="H304" s="8" t="n"/>
      <c r="I304" s="9">
        <f>IF(H304="","",ROUND(H304/3.305785,3))</f>
        <v/>
      </c>
      <c r="J304" s="7" t="n"/>
      <c r="K304" s="7" t="n"/>
      <c r="L304" s="10">
        <f>IF(OR(J304="",K304="",K304=0),"",ROUND(J304/K304,6))</f>
        <v/>
      </c>
      <c r="M304" s="9">
        <f>IF(OR(H304="",J304="",K304="",K304=0),"",ROUND(H304*J304/K304/3.305785,3))</f>
        <v/>
      </c>
      <c r="N304" s="7" t="n"/>
      <c r="O304" s="11" t="n"/>
      <c r="P304" s="11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12">
        <f>IF(A304="","",IF(OR(B304="",C304="",D304="",E304="",G304="",H304="",J304="",K304=""),"必填欄位未完整",""))</f>
        <v/>
      </c>
      <c r="AB304" s="12">
        <f>IF(A304="","",A304&amp;"|"&amp;G304)</f>
        <v/>
      </c>
    </row>
    <row r="305" ht="24" customHeight="1">
      <c r="A305" s="7" t="n"/>
      <c r="B305" s="7" t="n"/>
      <c r="C305" s="7" t="n"/>
      <c r="D305" s="7" t="n"/>
      <c r="E305" s="7" t="n"/>
      <c r="F305" s="7" t="n"/>
      <c r="G305" s="7" t="n"/>
      <c r="H305" s="8" t="n"/>
      <c r="I305" s="9">
        <f>IF(H305="","",ROUND(H305/3.305785,3))</f>
        <v/>
      </c>
      <c r="J305" s="7" t="n"/>
      <c r="K305" s="7" t="n"/>
      <c r="L305" s="10">
        <f>IF(OR(J305="",K305="",K305=0),"",ROUND(J305/K305,6))</f>
        <v/>
      </c>
      <c r="M305" s="9">
        <f>IF(OR(H305="",J305="",K305="",K305=0),"",ROUND(H305*J305/K305/3.305785,3))</f>
        <v/>
      </c>
      <c r="N305" s="7" t="n"/>
      <c r="O305" s="11" t="n"/>
      <c r="P305" s="11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12">
        <f>IF(A305="","",IF(OR(B305="",C305="",D305="",E305="",G305="",H305="",J305="",K305=""),"必填欄位未完整",""))</f>
        <v/>
      </c>
      <c r="AB305" s="12">
        <f>IF(A305="","",A305&amp;"|"&amp;G305)</f>
        <v/>
      </c>
    </row>
    <row r="306" ht="24" customHeight="1">
      <c r="A306" s="7" t="n"/>
      <c r="B306" s="7" t="n"/>
      <c r="C306" s="7" t="n"/>
      <c r="D306" s="7" t="n"/>
      <c r="E306" s="7" t="n"/>
      <c r="F306" s="7" t="n"/>
      <c r="G306" s="7" t="n"/>
      <c r="H306" s="8" t="n"/>
      <c r="I306" s="9">
        <f>IF(H306="","",ROUND(H306/3.305785,3))</f>
        <v/>
      </c>
      <c r="J306" s="7" t="n"/>
      <c r="K306" s="7" t="n"/>
      <c r="L306" s="10">
        <f>IF(OR(J306="",K306="",K306=0),"",ROUND(J306/K306,6))</f>
        <v/>
      </c>
      <c r="M306" s="9">
        <f>IF(OR(H306="",J306="",K306="",K306=0),"",ROUND(H306*J306/K306/3.305785,3))</f>
        <v/>
      </c>
      <c r="N306" s="7" t="n"/>
      <c r="O306" s="11" t="n"/>
      <c r="P306" s="11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12">
        <f>IF(A306="","",IF(OR(B306="",C306="",D306="",E306="",G306="",H306="",J306="",K306=""),"必填欄位未完整",""))</f>
        <v/>
      </c>
      <c r="AB306" s="12">
        <f>IF(A306="","",A306&amp;"|"&amp;G306)</f>
        <v/>
      </c>
    </row>
    <row r="307" ht="24" customHeight="1">
      <c r="A307" s="7" t="n"/>
      <c r="B307" s="7" t="n"/>
      <c r="C307" s="7" t="n"/>
      <c r="D307" s="7" t="n"/>
      <c r="E307" s="7" t="n"/>
      <c r="F307" s="7" t="n"/>
      <c r="G307" s="7" t="n"/>
      <c r="H307" s="8" t="n"/>
      <c r="I307" s="9">
        <f>IF(H307="","",ROUND(H307/3.305785,3))</f>
        <v/>
      </c>
      <c r="J307" s="7" t="n"/>
      <c r="K307" s="7" t="n"/>
      <c r="L307" s="10">
        <f>IF(OR(J307="",K307="",K307=0),"",ROUND(J307/K307,6))</f>
        <v/>
      </c>
      <c r="M307" s="9">
        <f>IF(OR(H307="",J307="",K307="",K307=0),"",ROUND(H307*J307/K307/3.305785,3))</f>
        <v/>
      </c>
      <c r="N307" s="7" t="n"/>
      <c r="O307" s="11" t="n"/>
      <c r="P307" s="11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12">
        <f>IF(A307="","",IF(OR(B307="",C307="",D307="",E307="",G307="",H307="",J307="",K307=""),"必填欄位未完整",""))</f>
        <v/>
      </c>
      <c r="AB307" s="12">
        <f>IF(A307="","",A307&amp;"|"&amp;G307)</f>
        <v/>
      </c>
    </row>
    <row r="308" ht="24" customHeight="1">
      <c r="A308" s="7" t="n"/>
      <c r="B308" s="7" t="n"/>
      <c r="C308" s="7" t="n"/>
      <c r="D308" s="7" t="n"/>
      <c r="E308" s="7" t="n"/>
      <c r="F308" s="7" t="n"/>
      <c r="G308" s="7" t="n"/>
      <c r="H308" s="8" t="n"/>
      <c r="I308" s="9">
        <f>IF(H308="","",ROUND(H308/3.305785,3))</f>
        <v/>
      </c>
      <c r="J308" s="7" t="n"/>
      <c r="K308" s="7" t="n"/>
      <c r="L308" s="10">
        <f>IF(OR(J308="",K308="",K308=0),"",ROUND(J308/K308,6))</f>
        <v/>
      </c>
      <c r="M308" s="9">
        <f>IF(OR(H308="",J308="",K308="",K308=0),"",ROUND(H308*J308/K308/3.305785,3))</f>
        <v/>
      </c>
      <c r="N308" s="7" t="n"/>
      <c r="O308" s="11" t="n"/>
      <c r="P308" s="11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12">
        <f>IF(A308="","",IF(OR(B308="",C308="",D308="",E308="",G308="",H308="",J308="",K308=""),"必填欄位未完整",""))</f>
        <v/>
      </c>
      <c r="AB308" s="12">
        <f>IF(A308="","",A308&amp;"|"&amp;G308)</f>
        <v/>
      </c>
    </row>
    <row r="309" ht="24" customHeight="1">
      <c r="A309" s="7" t="n"/>
      <c r="B309" s="7" t="n"/>
      <c r="C309" s="7" t="n"/>
      <c r="D309" s="7" t="n"/>
      <c r="E309" s="7" t="n"/>
      <c r="F309" s="7" t="n"/>
      <c r="G309" s="7" t="n"/>
      <c r="H309" s="8" t="n"/>
      <c r="I309" s="9">
        <f>IF(H309="","",ROUND(H309/3.305785,3))</f>
        <v/>
      </c>
      <c r="J309" s="7" t="n"/>
      <c r="K309" s="7" t="n"/>
      <c r="L309" s="10">
        <f>IF(OR(J309="",K309="",K309=0),"",ROUND(J309/K309,6))</f>
        <v/>
      </c>
      <c r="M309" s="9">
        <f>IF(OR(H309="",J309="",K309="",K309=0),"",ROUND(H309*J309/K309/3.305785,3))</f>
        <v/>
      </c>
      <c r="N309" s="7" t="n"/>
      <c r="O309" s="11" t="n"/>
      <c r="P309" s="11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12">
        <f>IF(A309="","",IF(OR(B309="",C309="",D309="",E309="",G309="",H309="",J309="",K309=""),"必填欄位未完整",""))</f>
        <v/>
      </c>
      <c r="AB309" s="12">
        <f>IF(A309="","",A309&amp;"|"&amp;G309)</f>
        <v/>
      </c>
    </row>
    <row r="310" ht="24" customHeight="1">
      <c r="A310" s="7" t="n"/>
      <c r="B310" s="7" t="n"/>
      <c r="C310" s="7" t="n"/>
      <c r="D310" s="7" t="n"/>
      <c r="E310" s="7" t="n"/>
      <c r="F310" s="7" t="n"/>
      <c r="G310" s="7" t="n"/>
      <c r="H310" s="8" t="n"/>
      <c r="I310" s="9">
        <f>IF(H310="","",ROUND(H310/3.305785,3))</f>
        <v/>
      </c>
      <c r="J310" s="7" t="n"/>
      <c r="K310" s="7" t="n"/>
      <c r="L310" s="10">
        <f>IF(OR(J310="",K310="",K310=0),"",ROUND(J310/K310,6))</f>
        <v/>
      </c>
      <c r="M310" s="9">
        <f>IF(OR(H310="",J310="",K310="",K310=0),"",ROUND(H310*J310/K310/3.305785,3))</f>
        <v/>
      </c>
      <c r="N310" s="7" t="n"/>
      <c r="O310" s="11" t="n"/>
      <c r="P310" s="11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12">
        <f>IF(A310="","",IF(OR(B310="",C310="",D310="",E310="",G310="",H310="",J310="",K310=""),"必填欄位未完整",""))</f>
        <v/>
      </c>
      <c r="AB310" s="12">
        <f>IF(A310="","",A310&amp;"|"&amp;G310)</f>
        <v/>
      </c>
    </row>
    <row r="311" ht="24" customHeight="1">
      <c r="A311" s="7" t="n"/>
      <c r="B311" s="7" t="n"/>
      <c r="C311" s="7" t="n"/>
      <c r="D311" s="7" t="n"/>
      <c r="E311" s="7" t="n"/>
      <c r="F311" s="7" t="n"/>
      <c r="G311" s="7" t="n"/>
      <c r="H311" s="8" t="n"/>
      <c r="I311" s="9">
        <f>IF(H311="","",ROUND(H311/3.305785,3))</f>
        <v/>
      </c>
      <c r="J311" s="7" t="n"/>
      <c r="K311" s="7" t="n"/>
      <c r="L311" s="10">
        <f>IF(OR(J311="",K311="",K311=0),"",ROUND(J311/K311,6))</f>
        <v/>
      </c>
      <c r="M311" s="9">
        <f>IF(OR(H311="",J311="",K311="",K311=0),"",ROUND(H311*J311/K311/3.305785,3))</f>
        <v/>
      </c>
      <c r="N311" s="7" t="n"/>
      <c r="O311" s="11" t="n"/>
      <c r="P311" s="11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12">
        <f>IF(A311="","",IF(OR(B311="",C311="",D311="",E311="",G311="",H311="",J311="",K311=""),"必填欄位未完整",""))</f>
        <v/>
      </c>
      <c r="AB311" s="12">
        <f>IF(A311="","",A311&amp;"|"&amp;G311)</f>
        <v/>
      </c>
    </row>
    <row r="312" ht="24" customHeight="1">
      <c r="A312" s="7" t="n"/>
      <c r="B312" s="7" t="n"/>
      <c r="C312" s="7" t="n"/>
      <c r="D312" s="7" t="n"/>
      <c r="E312" s="7" t="n"/>
      <c r="F312" s="7" t="n"/>
      <c r="G312" s="7" t="n"/>
      <c r="H312" s="8" t="n"/>
      <c r="I312" s="9">
        <f>IF(H312="","",ROUND(H312/3.305785,3))</f>
        <v/>
      </c>
      <c r="J312" s="7" t="n"/>
      <c r="K312" s="7" t="n"/>
      <c r="L312" s="10">
        <f>IF(OR(J312="",K312="",K312=0),"",ROUND(J312/K312,6))</f>
        <v/>
      </c>
      <c r="M312" s="9">
        <f>IF(OR(H312="",J312="",K312="",K312=0),"",ROUND(H312*J312/K312/3.305785,3))</f>
        <v/>
      </c>
      <c r="N312" s="7" t="n"/>
      <c r="O312" s="11" t="n"/>
      <c r="P312" s="11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12">
        <f>IF(A312="","",IF(OR(B312="",C312="",D312="",E312="",G312="",H312="",J312="",K312=""),"必填欄位未完整",""))</f>
        <v/>
      </c>
      <c r="AB312" s="12">
        <f>IF(A312="","",A312&amp;"|"&amp;G312)</f>
        <v/>
      </c>
    </row>
    <row r="313" ht="24" customHeight="1">
      <c r="A313" s="7" t="n"/>
      <c r="B313" s="7" t="n"/>
      <c r="C313" s="7" t="n"/>
      <c r="D313" s="7" t="n"/>
      <c r="E313" s="7" t="n"/>
      <c r="F313" s="7" t="n"/>
      <c r="G313" s="7" t="n"/>
      <c r="H313" s="8" t="n"/>
      <c r="I313" s="9">
        <f>IF(H313="","",ROUND(H313/3.305785,3))</f>
        <v/>
      </c>
      <c r="J313" s="7" t="n"/>
      <c r="K313" s="7" t="n"/>
      <c r="L313" s="10">
        <f>IF(OR(J313="",K313="",K313=0),"",ROUND(J313/K313,6))</f>
        <v/>
      </c>
      <c r="M313" s="9">
        <f>IF(OR(H313="",J313="",K313="",K313=0),"",ROUND(H313*J313/K313/3.305785,3))</f>
        <v/>
      </c>
      <c r="N313" s="7" t="n"/>
      <c r="O313" s="11" t="n"/>
      <c r="P313" s="11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12">
        <f>IF(A313="","",IF(OR(B313="",C313="",D313="",E313="",G313="",H313="",J313="",K313=""),"必填欄位未完整",""))</f>
        <v/>
      </c>
      <c r="AB313" s="12">
        <f>IF(A313="","",A313&amp;"|"&amp;G313)</f>
        <v/>
      </c>
    </row>
    <row r="314" ht="24" customHeight="1">
      <c r="A314" s="7" t="n"/>
      <c r="B314" s="7" t="n"/>
      <c r="C314" s="7" t="n"/>
      <c r="D314" s="7" t="n"/>
      <c r="E314" s="7" t="n"/>
      <c r="F314" s="7" t="n"/>
      <c r="G314" s="7" t="n"/>
      <c r="H314" s="8" t="n"/>
      <c r="I314" s="9">
        <f>IF(H314="","",ROUND(H314/3.305785,3))</f>
        <v/>
      </c>
      <c r="J314" s="7" t="n"/>
      <c r="K314" s="7" t="n"/>
      <c r="L314" s="10">
        <f>IF(OR(J314="",K314="",K314=0),"",ROUND(J314/K314,6))</f>
        <v/>
      </c>
      <c r="M314" s="9">
        <f>IF(OR(H314="",J314="",K314="",K314=0),"",ROUND(H314*J314/K314/3.305785,3))</f>
        <v/>
      </c>
      <c r="N314" s="7" t="n"/>
      <c r="O314" s="11" t="n"/>
      <c r="P314" s="11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12">
        <f>IF(A314="","",IF(OR(B314="",C314="",D314="",E314="",G314="",H314="",J314="",K314=""),"必填欄位未完整",""))</f>
        <v/>
      </c>
      <c r="AB314" s="12">
        <f>IF(A314="","",A314&amp;"|"&amp;G314)</f>
        <v/>
      </c>
    </row>
    <row r="315" ht="24" customHeight="1">
      <c r="A315" s="7" t="n"/>
      <c r="B315" s="7" t="n"/>
      <c r="C315" s="7" t="n"/>
      <c r="D315" s="7" t="n"/>
      <c r="E315" s="7" t="n"/>
      <c r="F315" s="7" t="n"/>
      <c r="G315" s="7" t="n"/>
      <c r="H315" s="8" t="n"/>
      <c r="I315" s="9">
        <f>IF(H315="","",ROUND(H315/3.305785,3))</f>
        <v/>
      </c>
      <c r="J315" s="7" t="n"/>
      <c r="K315" s="7" t="n"/>
      <c r="L315" s="10">
        <f>IF(OR(J315="",K315="",K315=0),"",ROUND(J315/K315,6))</f>
        <v/>
      </c>
      <c r="M315" s="9">
        <f>IF(OR(H315="",J315="",K315="",K315=0),"",ROUND(H315*J315/K315/3.305785,3))</f>
        <v/>
      </c>
      <c r="N315" s="7" t="n"/>
      <c r="O315" s="11" t="n"/>
      <c r="P315" s="11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12">
        <f>IF(A315="","",IF(OR(B315="",C315="",D315="",E315="",G315="",H315="",J315="",K315=""),"必填欄位未完整",""))</f>
        <v/>
      </c>
      <c r="AB315" s="12">
        <f>IF(A315="","",A315&amp;"|"&amp;G315)</f>
        <v/>
      </c>
    </row>
    <row r="316" ht="24" customHeight="1">
      <c r="A316" s="7" t="n"/>
      <c r="B316" s="7" t="n"/>
      <c r="C316" s="7" t="n"/>
      <c r="D316" s="7" t="n"/>
      <c r="E316" s="7" t="n"/>
      <c r="F316" s="7" t="n"/>
      <c r="G316" s="7" t="n"/>
      <c r="H316" s="8" t="n"/>
      <c r="I316" s="9">
        <f>IF(H316="","",ROUND(H316/3.305785,3))</f>
        <v/>
      </c>
      <c r="J316" s="7" t="n"/>
      <c r="K316" s="7" t="n"/>
      <c r="L316" s="10">
        <f>IF(OR(J316="",K316="",K316=0),"",ROUND(J316/K316,6))</f>
        <v/>
      </c>
      <c r="M316" s="9">
        <f>IF(OR(H316="",J316="",K316="",K316=0),"",ROUND(H316*J316/K316/3.305785,3))</f>
        <v/>
      </c>
      <c r="N316" s="7" t="n"/>
      <c r="O316" s="11" t="n"/>
      <c r="P316" s="11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12">
        <f>IF(A316="","",IF(OR(B316="",C316="",D316="",E316="",G316="",H316="",J316="",K316=""),"必填欄位未完整",""))</f>
        <v/>
      </c>
      <c r="AB316" s="12">
        <f>IF(A316="","",A316&amp;"|"&amp;G316)</f>
        <v/>
      </c>
    </row>
    <row r="317" ht="24" customHeight="1">
      <c r="A317" s="7" t="n"/>
      <c r="B317" s="7" t="n"/>
      <c r="C317" s="7" t="n"/>
      <c r="D317" s="7" t="n"/>
      <c r="E317" s="7" t="n"/>
      <c r="F317" s="7" t="n"/>
      <c r="G317" s="7" t="n"/>
      <c r="H317" s="8" t="n"/>
      <c r="I317" s="9">
        <f>IF(H317="","",ROUND(H317/3.305785,3))</f>
        <v/>
      </c>
      <c r="J317" s="7" t="n"/>
      <c r="K317" s="7" t="n"/>
      <c r="L317" s="10">
        <f>IF(OR(J317="",K317="",K317=0),"",ROUND(J317/K317,6))</f>
        <v/>
      </c>
      <c r="M317" s="9">
        <f>IF(OR(H317="",J317="",K317="",K317=0),"",ROUND(H317*J317/K317/3.305785,3))</f>
        <v/>
      </c>
      <c r="N317" s="7" t="n"/>
      <c r="O317" s="11" t="n"/>
      <c r="P317" s="11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12">
        <f>IF(A317="","",IF(OR(B317="",C317="",D317="",E317="",G317="",H317="",J317="",K317=""),"必填欄位未完整",""))</f>
        <v/>
      </c>
      <c r="AB317" s="12">
        <f>IF(A317="","",A317&amp;"|"&amp;G317)</f>
        <v/>
      </c>
    </row>
    <row r="318" ht="24" customHeight="1">
      <c r="A318" s="7" t="n"/>
      <c r="B318" s="7" t="n"/>
      <c r="C318" s="7" t="n"/>
      <c r="D318" s="7" t="n"/>
      <c r="E318" s="7" t="n"/>
      <c r="F318" s="7" t="n"/>
      <c r="G318" s="7" t="n"/>
      <c r="H318" s="8" t="n"/>
      <c r="I318" s="9">
        <f>IF(H318="","",ROUND(H318/3.305785,3))</f>
        <v/>
      </c>
      <c r="J318" s="7" t="n"/>
      <c r="K318" s="7" t="n"/>
      <c r="L318" s="10">
        <f>IF(OR(J318="",K318="",K318=0),"",ROUND(J318/K318,6))</f>
        <v/>
      </c>
      <c r="M318" s="9">
        <f>IF(OR(H318="",J318="",K318="",K318=0),"",ROUND(H318*J318/K318/3.305785,3))</f>
        <v/>
      </c>
      <c r="N318" s="7" t="n"/>
      <c r="O318" s="11" t="n"/>
      <c r="P318" s="11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12">
        <f>IF(A318="","",IF(OR(B318="",C318="",D318="",E318="",G318="",H318="",J318="",K318=""),"必填欄位未完整",""))</f>
        <v/>
      </c>
      <c r="AB318" s="12">
        <f>IF(A318="","",A318&amp;"|"&amp;G318)</f>
        <v/>
      </c>
    </row>
    <row r="319" ht="24" customHeight="1">
      <c r="A319" s="7" t="n"/>
      <c r="B319" s="7" t="n"/>
      <c r="C319" s="7" t="n"/>
      <c r="D319" s="7" t="n"/>
      <c r="E319" s="7" t="n"/>
      <c r="F319" s="7" t="n"/>
      <c r="G319" s="7" t="n"/>
      <c r="H319" s="8" t="n"/>
      <c r="I319" s="9">
        <f>IF(H319="","",ROUND(H319/3.305785,3))</f>
        <v/>
      </c>
      <c r="J319" s="7" t="n"/>
      <c r="K319" s="7" t="n"/>
      <c r="L319" s="10">
        <f>IF(OR(J319="",K319="",K319=0),"",ROUND(J319/K319,6))</f>
        <v/>
      </c>
      <c r="M319" s="9">
        <f>IF(OR(H319="",J319="",K319="",K319=0),"",ROUND(H319*J319/K319/3.305785,3))</f>
        <v/>
      </c>
      <c r="N319" s="7" t="n"/>
      <c r="O319" s="11" t="n"/>
      <c r="P319" s="11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12">
        <f>IF(A319="","",IF(OR(B319="",C319="",D319="",E319="",G319="",H319="",J319="",K319=""),"必填欄位未完整",""))</f>
        <v/>
      </c>
      <c r="AB319" s="12">
        <f>IF(A319="","",A319&amp;"|"&amp;G319)</f>
        <v/>
      </c>
    </row>
    <row r="320" ht="24" customHeight="1">
      <c r="A320" s="7" t="n"/>
      <c r="B320" s="7" t="n"/>
      <c r="C320" s="7" t="n"/>
      <c r="D320" s="7" t="n"/>
      <c r="E320" s="7" t="n"/>
      <c r="F320" s="7" t="n"/>
      <c r="G320" s="7" t="n"/>
      <c r="H320" s="8" t="n"/>
      <c r="I320" s="9">
        <f>IF(H320="","",ROUND(H320/3.305785,3))</f>
        <v/>
      </c>
      <c r="J320" s="7" t="n"/>
      <c r="K320" s="7" t="n"/>
      <c r="L320" s="10">
        <f>IF(OR(J320="",K320="",K320=0),"",ROUND(J320/K320,6))</f>
        <v/>
      </c>
      <c r="M320" s="9">
        <f>IF(OR(H320="",J320="",K320="",K320=0),"",ROUND(H320*J320/K320/3.305785,3))</f>
        <v/>
      </c>
      <c r="N320" s="7" t="n"/>
      <c r="O320" s="11" t="n"/>
      <c r="P320" s="11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12">
        <f>IF(A320="","",IF(OR(B320="",C320="",D320="",E320="",G320="",H320="",J320="",K320=""),"必填欄位未完整",""))</f>
        <v/>
      </c>
      <c r="AB320" s="12">
        <f>IF(A320="","",A320&amp;"|"&amp;G320)</f>
        <v/>
      </c>
    </row>
    <row r="321" ht="24" customHeight="1">
      <c r="A321" s="7" t="n"/>
      <c r="B321" s="7" t="n"/>
      <c r="C321" s="7" t="n"/>
      <c r="D321" s="7" t="n"/>
      <c r="E321" s="7" t="n"/>
      <c r="F321" s="7" t="n"/>
      <c r="G321" s="7" t="n"/>
      <c r="H321" s="8" t="n"/>
      <c r="I321" s="9">
        <f>IF(H321="","",ROUND(H321/3.305785,3))</f>
        <v/>
      </c>
      <c r="J321" s="7" t="n"/>
      <c r="K321" s="7" t="n"/>
      <c r="L321" s="10">
        <f>IF(OR(J321="",K321="",K321=0),"",ROUND(J321/K321,6))</f>
        <v/>
      </c>
      <c r="M321" s="9">
        <f>IF(OR(H321="",J321="",K321="",K321=0),"",ROUND(H321*J321/K321/3.305785,3))</f>
        <v/>
      </c>
      <c r="N321" s="7" t="n"/>
      <c r="O321" s="11" t="n"/>
      <c r="P321" s="11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12">
        <f>IF(A321="","",IF(OR(B321="",C321="",D321="",E321="",G321="",H321="",J321="",K321=""),"必填欄位未完整",""))</f>
        <v/>
      </c>
      <c r="AB321" s="12">
        <f>IF(A321="","",A321&amp;"|"&amp;G321)</f>
        <v/>
      </c>
    </row>
    <row r="322" ht="24" customHeight="1">
      <c r="A322" s="7" t="n"/>
      <c r="B322" s="7" t="n"/>
      <c r="C322" s="7" t="n"/>
      <c r="D322" s="7" t="n"/>
      <c r="E322" s="7" t="n"/>
      <c r="F322" s="7" t="n"/>
      <c r="G322" s="7" t="n"/>
      <c r="H322" s="8" t="n"/>
      <c r="I322" s="9">
        <f>IF(H322="","",ROUND(H322/3.305785,3))</f>
        <v/>
      </c>
      <c r="J322" s="7" t="n"/>
      <c r="K322" s="7" t="n"/>
      <c r="L322" s="10">
        <f>IF(OR(J322="",K322="",K322=0),"",ROUND(J322/K322,6))</f>
        <v/>
      </c>
      <c r="M322" s="9">
        <f>IF(OR(H322="",J322="",K322="",K322=0),"",ROUND(H322*J322/K322/3.305785,3))</f>
        <v/>
      </c>
      <c r="N322" s="7" t="n"/>
      <c r="O322" s="11" t="n"/>
      <c r="P322" s="11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12">
        <f>IF(A322="","",IF(OR(B322="",C322="",D322="",E322="",G322="",H322="",J322="",K322=""),"必填欄位未完整",""))</f>
        <v/>
      </c>
      <c r="AB322" s="12">
        <f>IF(A322="","",A322&amp;"|"&amp;G322)</f>
        <v/>
      </c>
    </row>
    <row r="323" ht="24" customHeight="1">
      <c r="A323" s="7" t="n"/>
      <c r="B323" s="7" t="n"/>
      <c r="C323" s="7" t="n"/>
      <c r="D323" s="7" t="n"/>
      <c r="E323" s="7" t="n"/>
      <c r="F323" s="7" t="n"/>
      <c r="G323" s="7" t="n"/>
      <c r="H323" s="8" t="n"/>
      <c r="I323" s="9">
        <f>IF(H323="","",ROUND(H323/3.305785,3))</f>
        <v/>
      </c>
      <c r="J323" s="7" t="n"/>
      <c r="K323" s="7" t="n"/>
      <c r="L323" s="10">
        <f>IF(OR(J323="",K323="",K323=0),"",ROUND(J323/K323,6))</f>
        <v/>
      </c>
      <c r="M323" s="9">
        <f>IF(OR(H323="",J323="",K323="",K323=0),"",ROUND(H323*J323/K323/3.305785,3))</f>
        <v/>
      </c>
      <c r="N323" s="7" t="n"/>
      <c r="O323" s="11" t="n"/>
      <c r="P323" s="11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12">
        <f>IF(A323="","",IF(OR(B323="",C323="",D323="",E323="",G323="",H323="",J323="",K323=""),"必填欄位未完整",""))</f>
        <v/>
      </c>
      <c r="AB323" s="12">
        <f>IF(A323="","",A323&amp;"|"&amp;G323)</f>
        <v/>
      </c>
    </row>
    <row r="324" ht="24" customHeight="1">
      <c r="A324" s="7" t="n"/>
      <c r="B324" s="7" t="n"/>
      <c r="C324" s="7" t="n"/>
      <c r="D324" s="7" t="n"/>
      <c r="E324" s="7" t="n"/>
      <c r="F324" s="7" t="n"/>
      <c r="G324" s="7" t="n"/>
      <c r="H324" s="8" t="n"/>
      <c r="I324" s="9">
        <f>IF(H324="","",ROUND(H324/3.305785,3))</f>
        <v/>
      </c>
      <c r="J324" s="7" t="n"/>
      <c r="K324" s="7" t="n"/>
      <c r="L324" s="10">
        <f>IF(OR(J324="",K324="",K324=0),"",ROUND(J324/K324,6))</f>
        <v/>
      </c>
      <c r="M324" s="9">
        <f>IF(OR(H324="",J324="",K324="",K324=0),"",ROUND(H324*J324/K324/3.305785,3))</f>
        <v/>
      </c>
      <c r="N324" s="7" t="n"/>
      <c r="O324" s="11" t="n"/>
      <c r="P324" s="11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12">
        <f>IF(A324="","",IF(OR(B324="",C324="",D324="",E324="",G324="",H324="",J324="",K324=""),"必填欄位未完整",""))</f>
        <v/>
      </c>
      <c r="AB324" s="12">
        <f>IF(A324="","",A324&amp;"|"&amp;G324)</f>
        <v/>
      </c>
    </row>
    <row r="325" ht="24" customHeight="1">
      <c r="A325" s="7" t="n"/>
      <c r="B325" s="7" t="n"/>
      <c r="C325" s="7" t="n"/>
      <c r="D325" s="7" t="n"/>
      <c r="E325" s="7" t="n"/>
      <c r="F325" s="7" t="n"/>
      <c r="G325" s="7" t="n"/>
      <c r="H325" s="8" t="n"/>
      <c r="I325" s="9">
        <f>IF(H325="","",ROUND(H325/3.305785,3))</f>
        <v/>
      </c>
      <c r="J325" s="7" t="n"/>
      <c r="K325" s="7" t="n"/>
      <c r="L325" s="10">
        <f>IF(OR(J325="",K325="",K325=0),"",ROUND(J325/K325,6))</f>
        <v/>
      </c>
      <c r="M325" s="9">
        <f>IF(OR(H325="",J325="",K325="",K325=0),"",ROUND(H325*J325/K325/3.305785,3))</f>
        <v/>
      </c>
      <c r="N325" s="7" t="n"/>
      <c r="O325" s="11" t="n"/>
      <c r="P325" s="11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12">
        <f>IF(A325="","",IF(OR(B325="",C325="",D325="",E325="",G325="",H325="",J325="",K325=""),"必填欄位未完整",""))</f>
        <v/>
      </c>
      <c r="AB325" s="12">
        <f>IF(A325="","",A325&amp;"|"&amp;G325)</f>
        <v/>
      </c>
    </row>
    <row r="326" ht="24" customHeight="1">
      <c r="A326" s="7" t="n"/>
      <c r="B326" s="7" t="n"/>
      <c r="C326" s="7" t="n"/>
      <c r="D326" s="7" t="n"/>
      <c r="E326" s="7" t="n"/>
      <c r="F326" s="7" t="n"/>
      <c r="G326" s="7" t="n"/>
      <c r="H326" s="8" t="n"/>
      <c r="I326" s="9">
        <f>IF(H326="","",ROUND(H326/3.305785,3))</f>
        <v/>
      </c>
      <c r="J326" s="7" t="n"/>
      <c r="K326" s="7" t="n"/>
      <c r="L326" s="10">
        <f>IF(OR(J326="",K326="",K326=0),"",ROUND(J326/K326,6))</f>
        <v/>
      </c>
      <c r="M326" s="9">
        <f>IF(OR(H326="",J326="",K326="",K326=0),"",ROUND(H326*J326/K326/3.305785,3))</f>
        <v/>
      </c>
      <c r="N326" s="7" t="n"/>
      <c r="O326" s="11" t="n"/>
      <c r="P326" s="11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12">
        <f>IF(A326="","",IF(OR(B326="",C326="",D326="",E326="",G326="",H326="",J326="",K326=""),"必填欄位未完整",""))</f>
        <v/>
      </c>
      <c r="AB326" s="12">
        <f>IF(A326="","",A326&amp;"|"&amp;G326)</f>
        <v/>
      </c>
    </row>
    <row r="327" ht="24" customHeight="1">
      <c r="A327" s="7" t="n"/>
      <c r="B327" s="7" t="n"/>
      <c r="C327" s="7" t="n"/>
      <c r="D327" s="7" t="n"/>
      <c r="E327" s="7" t="n"/>
      <c r="F327" s="7" t="n"/>
      <c r="G327" s="7" t="n"/>
      <c r="H327" s="8" t="n"/>
      <c r="I327" s="9">
        <f>IF(H327="","",ROUND(H327/3.305785,3))</f>
        <v/>
      </c>
      <c r="J327" s="7" t="n"/>
      <c r="K327" s="7" t="n"/>
      <c r="L327" s="10">
        <f>IF(OR(J327="",K327="",K327=0),"",ROUND(J327/K327,6))</f>
        <v/>
      </c>
      <c r="M327" s="9">
        <f>IF(OR(H327="",J327="",K327="",K327=0),"",ROUND(H327*J327/K327/3.305785,3))</f>
        <v/>
      </c>
      <c r="N327" s="7" t="n"/>
      <c r="O327" s="11" t="n"/>
      <c r="P327" s="11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12">
        <f>IF(A327="","",IF(OR(B327="",C327="",D327="",E327="",G327="",H327="",J327="",K327=""),"必填欄位未完整",""))</f>
        <v/>
      </c>
      <c r="AB327" s="12">
        <f>IF(A327="","",A327&amp;"|"&amp;G327)</f>
        <v/>
      </c>
    </row>
    <row r="328" ht="24" customHeight="1">
      <c r="A328" s="7" t="n"/>
      <c r="B328" s="7" t="n"/>
      <c r="C328" s="7" t="n"/>
      <c r="D328" s="7" t="n"/>
      <c r="E328" s="7" t="n"/>
      <c r="F328" s="7" t="n"/>
      <c r="G328" s="7" t="n"/>
      <c r="H328" s="8" t="n"/>
      <c r="I328" s="9">
        <f>IF(H328="","",ROUND(H328/3.305785,3))</f>
        <v/>
      </c>
      <c r="J328" s="7" t="n"/>
      <c r="K328" s="7" t="n"/>
      <c r="L328" s="10">
        <f>IF(OR(J328="",K328="",K328=0),"",ROUND(J328/K328,6))</f>
        <v/>
      </c>
      <c r="M328" s="9">
        <f>IF(OR(H328="",J328="",K328="",K328=0),"",ROUND(H328*J328/K328/3.305785,3))</f>
        <v/>
      </c>
      <c r="N328" s="7" t="n"/>
      <c r="O328" s="11" t="n"/>
      <c r="P328" s="11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12">
        <f>IF(A328="","",IF(OR(B328="",C328="",D328="",E328="",G328="",H328="",J328="",K328=""),"必填欄位未完整",""))</f>
        <v/>
      </c>
      <c r="AB328" s="12">
        <f>IF(A328="","",A328&amp;"|"&amp;G328)</f>
        <v/>
      </c>
    </row>
    <row r="329" ht="24" customHeight="1">
      <c r="A329" s="7" t="n"/>
      <c r="B329" s="7" t="n"/>
      <c r="C329" s="7" t="n"/>
      <c r="D329" s="7" t="n"/>
      <c r="E329" s="7" t="n"/>
      <c r="F329" s="7" t="n"/>
      <c r="G329" s="7" t="n"/>
      <c r="H329" s="8" t="n"/>
      <c r="I329" s="9">
        <f>IF(H329="","",ROUND(H329/3.305785,3))</f>
        <v/>
      </c>
      <c r="J329" s="7" t="n"/>
      <c r="K329" s="7" t="n"/>
      <c r="L329" s="10">
        <f>IF(OR(J329="",K329="",K329=0),"",ROUND(J329/K329,6))</f>
        <v/>
      </c>
      <c r="M329" s="9">
        <f>IF(OR(H329="",J329="",K329="",K329=0),"",ROUND(H329*J329/K329/3.305785,3))</f>
        <v/>
      </c>
      <c r="N329" s="7" t="n"/>
      <c r="O329" s="11" t="n"/>
      <c r="P329" s="11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12">
        <f>IF(A329="","",IF(OR(B329="",C329="",D329="",E329="",G329="",H329="",J329="",K329=""),"必填欄位未完整",""))</f>
        <v/>
      </c>
      <c r="AB329" s="12">
        <f>IF(A329="","",A329&amp;"|"&amp;G329)</f>
        <v/>
      </c>
    </row>
    <row r="330" ht="24" customHeight="1">
      <c r="A330" s="7" t="n"/>
      <c r="B330" s="7" t="n"/>
      <c r="C330" s="7" t="n"/>
      <c r="D330" s="7" t="n"/>
      <c r="E330" s="7" t="n"/>
      <c r="F330" s="7" t="n"/>
      <c r="G330" s="7" t="n"/>
      <c r="H330" s="8" t="n"/>
      <c r="I330" s="9">
        <f>IF(H330="","",ROUND(H330/3.305785,3))</f>
        <v/>
      </c>
      <c r="J330" s="7" t="n"/>
      <c r="K330" s="7" t="n"/>
      <c r="L330" s="10">
        <f>IF(OR(J330="",K330="",K330=0),"",ROUND(J330/K330,6))</f>
        <v/>
      </c>
      <c r="M330" s="9">
        <f>IF(OR(H330="",J330="",K330="",K330=0),"",ROUND(H330*J330/K330/3.305785,3))</f>
        <v/>
      </c>
      <c r="N330" s="7" t="n"/>
      <c r="O330" s="11" t="n"/>
      <c r="P330" s="11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12">
        <f>IF(A330="","",IF(OR(B330="",C330="",D330="",E330="",G330="",H330="",J330="",K330=""),"必填欄位未完整",""))</f>
        <v/>
      </c>
      <c r="AB330" s="12">
        <f>IF(A330="","",A330&amp;"|"&amp;G330)</f>
        <v/>
      </c>
    </row>
    <row r="331" ht="24" customHeight="1">
      <c r="A331" s="7" t="n"/>
      <c r="B331" s="7" t="n"/>
      <c r="C331" s="7" t="n"/>
      <c r="D331" s="7" t="n"/>
      <c r="E331" s="7" t="n"/>
      <c r="F331" s="7" t="n"/>
      <c r="G331" s="7" t="n"/>
      <c r="H331" s="8" t="n"/>
      <c r="I331" s="9">
        <f>IF(H331="","",ROUND(H331/3.305785,3))</f>
        <v/>
      </c>
      <c r="J331" s="7" t="n"/>
      <c r="K331" s="7" t="n"/>
      <c r="L331" s="10">
        <f>IF(OR(J331="",K331="",K331=0),"",ROUND(J331/K331,6))</f>
        <v/>
      </c>
      <c r="M331" s="9">
        <f>IF(OR(H331="",J331="",K331="",K331=0),"",ROUND(H331*J331/K331/3.305785,3))</f>
        <v/>
      </c>
      <c r="N331" s="7" t="n"/>
      <c r="O331" s="11" t="n"/>
      <c r="P331" s="11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12">
        <f>IF(A331="","",IF(OR(B331="",C331="",D331="",E331="",G331="",H331="",J331="",K331=""),"必填欄位未完整",""))</f>
        <v/>
      </c>
      <c r="AB331" s="12">
        <f>IF(A331="","",A331&amp;"|"&amp;G331)</f>
        <v/>
      </c>
    </row>
    <row r="332" ht="24" customHeight="1">
      <c r="A332" s="7" t="n"/>
      <c r="B332" s="7" t="n"/>
      <c r="C332" s="7" t="n"/>
      <c r="D332" s="7" t="n"/>
      <c r="E332" s="7" t="n"/>
      <c r="F332" s="7" t="n"/>
      <c r="G332" s="7" t="n"/>
      <c r="H332" s="8" t="n"/>
      <c r="I332" s="9">
        <f>IF(H332="","",ROUND(H332/3.305785,3))</f>
        <v/>
      </c>
      <c r="J332" s="7" t="n"/>
      <c r="K332" s="7" t="n"/>
      <c r="L332" s="10">
        <f>IF(OR(J332="",K332="",K332=0),"",ROUND(J332/K332,6))</f>
        <v/>
      </c>
      <c r="M332" s="9">
        <f>IF(OR(H332="",J332="",K332="",K332=0),"",ROUND(H332*J332/K332/3.305785,3))</f>
        <v/>
      </c>
      <c r="N332" s="7" t="n"/>
      <c r="O332" s="11" t="n"/>
      <c r="P332" s="11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12">
        <f>IF(A332="","",IF(OR(B332="",C332="",D332="",E332="",G332="",H332="",J332="",K332=""),"必填欄位未完整",""))</f>
        <v/>
      </c>
      <c r="AB332" s="12">
        <f>IF(A332="","",A332&amp;"|"&amp;G332)</f>
        <v/>
      </c>
    </row>
    <row r="333" ht="24" customHeight="1">
      <c r="A333" s="7" t="n"/>
      <c r="B333" s="7" t="n"/>
      <c r="C333" s="7" t="n"/>
      <c r="D333" s="7" t="n"/>
      <c r="E333" s="7" t="n"/>
      <c r="F333" s="7" t="n"/>
      <c r="G333" s="7" t="n"/>
      <c r="H333" s="8" t="n"/>
      <c r="I333" s="9">
        <f>IF(H333="","",ROUND(H333/3.305785,3))</f>
        <v/>
      </c>
      <c r="J333" s="7" t="n"/>
      <c r="K333" s="7" t="n"/>
      <c r="L333" s="10">
        <f>IF(OR(J333="",K333="",K333=0),"",ROUND(J333/K333,6))</f>
        <v/>
      </c>
      <c r="M333" s="9">
        <f>IF(OR(H333="",J333="",K333="",K333=0),"",ROUND(H333*J333/K333/3.305785,3))</f>
        <v/>
      </c>
      <c r="N333" s="7" t="n"/>
      <c r="O333" s="11" t="n"/>
      <c r="P333" s="11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12">
        <f>IF(A333="","",IF(OR(B333="",C333="",D333="",E333="",G333="",H333="",J333="",K333=""),"必填欄位未完整",""))</f>
        <v/>
      </c>
      <c r="AB333" s="12">
        <f>IF(A333="","",A333&amp;"|"&amp;G333)</f>
        <v/>
      </c>
    </row>
    <row r="334" ht="24" customHeight="1">
      <c r="A334" s="7" t="n"/>
      <c r="B334" s="7" t="n"/>
      <c r="C334" s="7" t="n"/>
      <c r="D334" s="7" t="n"/>
      <c r="E334" s="7" t="n"/>
      <c r="F334" s="7" t="n"/>
      <c r="G334" s="7" t="n"/>
      <c r="H334" s="8" t="n"/>
      <c r="I334" s="9">
        <f>IF(H334="","",ROUND(H334/3.305785,3))</f>
        <v/>
      </c>
      <c r="J334" s="7" t="n"/>
      <c r="K334" s="7" t="n"/>
      <c r="L334" s="10">
        <f>IF(OR(J334="",K334="",K334=0),"",ROUND(J334/K334,6))</f>
        <v/>
      </c>
      <c r="M334" s="9">
        <f>IF(OR(H334="",J334="",K334="",K334=0),"",ROUND(H334*J334/K334/3.305785,3))</f>
        <v/>
      </c>
      <c r="N334" s="7" t="n"/>
      <c r="O334" s="11" t="n"/>
      <c r="P334" s="11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12">
        <f>IF(A334="","",IF(OR(B334="",C334="",D334="",E334="",G334="",H334="",J334="",K334=""),"必填欄位未完整",""))</f>
        <v/>
      </c>
      <c r="AB334" s="12">
        <f>IF(A334="","",A334&amp;"|"&amp;G334)</f>
        <v/>
      </c>
    </row>
    <row r="335" ht="24" customHeight="1">
      <c r="A335" s="7" t="n"/>
      <c r="B335" s="7" t="n"/>
      <c r="C335" s="7" t="n"/>
      <c r="D335" s="7" t="n"/>
      <c r="E335" s="7" t="n"/>
      <c r="F335" s="7" t="n"/>
      <c r="G335" s="7" t="n"/>
      <c r="H335" s="8" t="n"/>
      <c r="I335" s="9">
        <f>IF(H335="","",ROUND(H335/3.305785,3))</f>
        <v/>
      </c>
      <c r="J335" s="7" t="n"/>
      <c r="K335" s="7" t="n"/>
      <c r="L335" s="10">
        <f>IF(OR(J335="",K335="",K335=0),"",ROUND(J335/K335,6))</f>
        <v/>
      </c>
      <c r="M335" s="9">
        <f>IF(OR(H335="",J335="",K335="",K335=0),"",ROUND(H335*J335/K335/3.305785,3))</f>
        <v/>
      </c>
      <c r="N335" s="7" t="n"/>
      <c r="O335" s="11" t="n"/>
      <c r="P335" s="11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12">
        <f>IF(A335="","",IF(OR(B335="",C335="",D335="",E335="",G335="",H335="",J335="",K335=""),"必填欄位未完整",""))</f>
        <v/>
      </c>
      <c r="AB335" s="12">
        <f>IF(A335="","",A335&amp;"|"&amp;G335)</f>
        <v/>
      </c>
    </row>
    <row r="336" ht="24" customHeight="1">
      <c r="A336" s="7" t="n"/>
      <c r="B336" s="7" t="n"/>
      <c r="C336" s="7" t="n"/>
      <c r="D336" s="7" t="n"/>
      <c r="E336" s="7" t="n"/>
      <c r="F336" s="7" t="n"/>
      <c r="G336" s="7" t="n"/>
      <c r="H336" s="8" t="n"/>
      <c r="I336" s="9">
        <f>IF(H336="","",ROUND(H336/3.305785,3))</f>
        <v/>
      </c>
      <c r="J336" s="7" t="n"/>
      <c r="K336" s="7" t="n"/>
      <c r="L336" s="10">
        <f>IF(OR(J336="",K336="",K336=0),"",ROUND(J336/K336,6))</f>
        <v/>
      </c>
      <c r="M336" s="9">
        <f>IF(OR(H336="",J336="",K336="",K336=0),"",ROUND(H336*J336/K336/3.305785,3))</f>
        <v/>
      </c>
      <c r="N336" s="7" t="n"/>
      <c r="O336" s="11" t="n"/>
      <c r="P336" s="11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12">
        <f>IF(A336="","",IF(OR(B336="",C336="",D336="",E336="",G336="",H336="",J336="",K336=""),"必填欄位未完整",""))</f>
        <v/>
      </c>
      <c r="AB336" s="12">
        <f>IF(A336="","",A336&amp;"|"&amp;G336)</f>
        <v/>
      </c>
    </row>
    <row r="337" ht="24" customHeight="1">
      <c r="A337" s="7" t="n"/>
      <c r="B337" s="7" t="n"/>
      <c r="C337" s="7" t="n"/>
      <c r="D337" s="7" t="n"/>
      <c r="E337" s="7" t="n"/>
      <c r="F337" s="7" t="n"/>
      <c r="G337" s="7" t="n"/>
      <c r="H337" s="8" t="n"/>
      <c r="I337" s="9">
        <f>IF(H337="","",ROUND(H337/3.305785,3))</f>
        <v/>
      </c>
      <c r="J337" s="7" t="n"/>
      <c r="K337" s="7" t="n"/>
      <c r="L337" s="10">
        <f>IF(OR(J337="",K337="",K337=0),"",ROUND(J337/K337,6))</f>
        <v/>
      </c>
      <c r="M337" s="9">
        <f>IF(OR(H337="",J337="",K337="",K337=0),"",ROUND(H337*J337/K337/3.305785,3))</f>
        <v/>
      </c>
      <c r="N337" s="7" t="n"/>
      <c r="O337" s="11" t="n"/>
      <c r="P337" s="11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12">
        <f>IF(A337="","",IF(OR(B337="",C337="",D337="",E337="",G337="",H337="",J337="",K337=""),"必填欄位未完整",""))</f>
        <v/>
      </c>
      <c r="AB337" s="12">
        <f>IF(A337="","",A337&amp;"|"&amp;G337)</f>
        <v/>
      </c>
    </row>
    <row r="338" ht="24" customHeight="1">
      <c r="A338" s="7" t="n"/>
      <c r="B338" s="7" t="n"/>
      <c r="C338" s="7" t="n"/>
      <c r="D338" s="7" t="n"/>
      <c r="E338" s="7" t="n"/>
      <c r="F338" s="7" t="n"/>
      <c r="G338" s="7" t="n"/>
      <c r="H338" s="8" t="n"/>
      <c r="I338" s="9">
        <f>IF(H338="","",ROUND(H338/3.305785,3))</f>
        <v/>
      </c>
      <c r="J338" s="7" t="n"/>
      <c r="K338" s="7" t="n"/>
      <c r="L338" s="10">
        <f>IF(OR(J338="",K338="",K338=0),"",ROUND(J338/K338,6))</f>
        <v/>
      </c>
      <c r="M338" s="9">
        <f>IF(OR(H338="",J338="",K338="",K338=0),"",ROUND(H338*J338/K338/3.305785,3))</f>
        <v/>
      </c>
      <c r="N338" s="7" t="n"/>
      <c r="O338" s="11" t="n"/>
      <c r="P338" s="11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12">
        <f>IF(A338="","",IF(OR(B338="",C338="",D338="",E338="",G338="",H338="",J338="",K338=""),"必填欄位未完整",""))</f>
        <v/>
      </c>
      <c r="AB338" s="12">
        <f>IF(A338="","",A338&amp;"|"&amp;G338)</f>
        <v/>
      </c>
    </row>
    <row r="339" ht="24" customHeight="1">
      <c r="A339" s="7" t="n"/>
      <c r="B339" s="7" t="n"/>
      <c r="C339" s="7" t="n"/>
      <c r="D339" s="7" t="n"/>
      <c r="E339" s="7" t="n"/>
      <c r="F339" s="7" t="n"/>
      <c r="G339" s="7" t="n"/>
      <c r="H339" s="8" t="n"/>
      <c r="I339" s="9">
        <f>IF(H339="","",ROUND(H339/3.305785,3))</f>
        <v/>
      </c>
      <c r="J339" s="7" t="n"/>
      <c r="K339" s="7" t="n"/>
      <c r="L339" s="10">
        <f>IF(OR(J339="",K339="",K339=0),"",ROUND(J339/K339,6))</f>
        <v/>
      </c>
      <c r="M339" s="9">
        <f>IF(OR(H339="",J339="",K339="",K339=0),"",ROUND(H339*J339/K339/3.305785,3))</f>
        <v/>
      </c>
      <c r="N339" s="7" t="n"/>
      <c r="O339" s="11" t="n"/>
      <c r="P339" s="11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12">
        <f>IF(A339="","",IF(OR(B339="",C339="",D339="",E339="",G339="",H339="",J339="",K339=""),"必填欄位未完整",""))</f>
        <v/>
      </c>
      <c r="AB339" s="12">
        <f>IF(A339="","",A339&amp;"|"&amp;G339)</f>
        <v/>
      </c>
    </row>
    <row r="340" ht="24" customHeight="1">
      <c r="A340" s="7" t="n"/>
      <c r="B340" s="7" t="n"/>
      <c r="C340" s="7" t="n"/>
      <c r="D340" s="7" t="n"/>
      <c r="E340" s="7" t="n"/>
      <c r="F340" s="7" t="n"/>
      <c r="G340" s="7" t="n"/>
      <c r="H340" s="8" t="n"/>
      <c r="I340" s="9">
        <f>IF(H340="","",ROUND(H340/3.305785,3))</f>
        <v/>
      </c>
      <c r="J340" s="7" t="n"/>
      <c r="K340" s="7" t="n"/>
      <c r="L340" s="10">
        <f>IF(OR(J340="",K340="",K340=0),"",ROUND(J340/K340,6))</f>
        <v/>
      </c>
      <c r="M340" s="9">
        <f>IF(OR(H340="",J340="",K340="",K340=0),"",ROUND(H340*J340/K340/3.305785,3))</f>
        <v/>
      </c>
      <c r="N340" s="7" t="n"/>
      <c r="O340" s="11" t="n"/>
      <c r="P340" s="11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12">
        <f>IF(A340="","",IF(OR(B340="",C340="",D340="",E340="",G340="",H340="",J340="",K340=""),"必填欄位未完整",""))</f>
        <v/>
      </c>
      <c r="AB340" s="12">
        <f>IF(A340="","",A340&amp;"|"&amp;G340)</f>
        <v/>
      </c>
    </row>
    <row r="341" ht="24" customHeight="1">
      <c r="A341" s="7" t="n"/>
      <c r="B341" s="7" t="n"/>
      <c r="C341" s="7" t="n"/>
      <c r="D341" s="7" t="n"/>
      <c r="E341" s="7" t="n"/>
      <c r="F341" s="7" t="n"/>
      <c r="G341" s="7" t="n"/>
      <c r="H341" s="8" t="n"/>
      <c r="I341" s="9">
        <f>IF(H341="","",ROUND(H341/3.305785,3))</f>
        <v/>
      </c>
      <c r="J341" s="7" t="n"/>
      <c r="K341" s="7" t="n"/>
      <c r="L341" s="10">
        <f>IF(OR(J341="",K341="",K341=0),"",ROUND(J341/K341,6))</f>
        <v/>
      </c>
      <c r="M341" s="9">
        <f>IF(OR(H341="",J341="",K341="",K341=0),"",ROUND(H341*J341/K341/3.305785,3))</f>
        <v/>
      </c>
      <c r="N341" s="7" t="n"/>
      <c r="O341" s="11" t="n"/>
      <c r="P341" s="11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12">
        <f>IF(A341="","",IF(OR(B341="",C341="",D341="",E341="",G341="",H341="",J341="",K341=""),"必填欄位未完整",""))</f>
        <v/>
      </c>
      <c r="AB341" s="12">
        <f>IF(A341="","",A341&amp;"|"&amp;G341)</f>
        <v/>
      </c>
    </row>
    <row r="342" ht="24" customHeight="1">
      <c r="A342" s="7" t="n"/>
      <c r="B342" s="7" t="n"/>
      <c r="C342" s="7" t="n"/>
      <c r="D342" s="7" t="n"/>
      <c r="E342" s="7" t="n"/>
      <c r="F342" s="7" t="n"/>
      <c r="G342" s="7" t="n"/>
      <c r="H342" s="8" t="n"/>
      <c r="I342" s="9">
        <f>IF(H342="","",ROUND(H342/3.305785,3))</f>
        <v/>
      </c>
      <c r="J342" s="7" t="n"/>
      <c r="K342" s="7" t="n"/>
      <c r="L342" s="10">
        <f>IF(OR(J342="",K342="",K342=0),"",ROUND(J342/K342,6))</f>
        <v/>
      </c>
      <c r="M342" s="9">
        <f>IF(OR(H342="",J342="",K342="",K342=0),"",ROUND(H342*J342/K342/3.305785,3))</f>
        <v/>
      </c>
      <c r="N342" s="7" t="n"/>
      <c r="O342" s="11" t="n"/>
      <c r="P342" s="11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12">
        <f>IF(A342="","",IF(OR(B342="",C342="",D342="",E342="",G342="",H342="",J342="",K342=""),"必填欄位未完整",""))</f>
        <v/>
      </c>
      <c r="AB342" s="12">
        <f>IF(A342="","",A342&amp;"|"&amp;G342)</f>
        <v/>
      </c>
    </row>
    <row r="343" ht="24" customHeight="1">
      <c r="A343" s="7" t="n"/>
      <c r="B343" s="7" t="n"/>
      <c r="C343" s="7" t="n"/>
      <c r="D343" s="7" t="n"/>
      <c r="E343" s="7" t="n"/>
      <c r="F343" s="7" t="n"/>
      <c r="G343" s="7" t="n"/>
      <c r="H343" s="8" t="n"/>
      <c r="I343" s="9">
        <f>IF(H343="","",ROUND(H343/3.305785,3))</f>
        <v/>
      </c>
      <c r="J343" s="7" t="n"/>
      <c r="K343" s="7" t="n"/>
      <c r="L343" s="10">
        <f>IF(OR(J343="",K343="",K343=0),"",ROUND(J343/K343,6))</f>
        <v/>
      </c>
      <c r="M343" s="9">
        <f>IF(OR(H343="",J343="",K343="",K343=0),"",ROUND(H343*J343/K343/3.305785,3))</f>
        <v/>
      </c>
      <c r="N343" s="7" t="n"/>
      <c r="O343" s="11" t="n"/>
      <c r="P343" s="11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12">
        <f>IF(A343="","",IF(OR(B343="",C343="",D343="",E343="",G343="",H343="",J343="",K343=""),"必填欄位未完整",""))</f>
        <v/>
      </c>
      <c r="AB343" s="12">
        <f>IF(A343="","",A343&amp;"|"&amp;G343)</f>
        <v/>
      </c>
    </row>
    <row r="344" ht="24" customHeight="1">
      <c r="A344" s="7" t="n"/>
      <c r="B344" s="7" t="n"/>
      <c r="C344" s="7" t="n"/>
      <c r="D344" s="7" t="n"/>
      <c r="E344" s="7" t="n"/>
      <c r="F344" s="7" t="n"/>
      <c r="G344" s="7" t="n"/>
      <c r="H344" s="8" t="n"/>
      <c r="I344" s="9">
        <f>IF(H344="","",ROUND(H344/3.305785,3))</f>
        <v/>
      </c>
      <c r="J344" s="7" t="n"/>
      <c r="K344" s="7" t="n"/>
      <c r="L344" s="10">
        <f>IF(OR(J344="",K344="",K344=0),"",ROUND(J344/K344,6))</f>
        <v/>
      </c>
      <c r="M344" s="9">
        <f>IF(OR(H344="",J344="",K344="",K344=0),"",ROUND(H344*J344/K344/3.305785,3))</f>
        <v/>
      </c>
      <c r="N344" s="7" t="n"/>
      <c r="O344" s="11" t="n"/>
      <c r="P344" s="11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12">
        <f>IF(A344="","",IF(OR(B344="",C344="",D344="",E344="",G344="",H344="",J344="",K344=""),"必填欄位未完整",""))</f>
        <v/>
      </c>
      <c r="AB344" s="12">
        <f>IF(A344="","",A344&amp;"|"&amp;G344)</f>
        <v/>
      </c>
    </row>
    <row r="345" ht="24" customHeight="1">
      <c r="A345" s="7" t="n"/>
      <c r="B345" s="7" t="n"/>
      <c r="C345" s="7" t="n"/>
      <c r="D345" s="7" t="n"/>
      <c r="E345" s="7" t="n"/>
      <c r="F345" s="7" t="n"/>
      <c r="G345" s="7" t="n"/>
      <c r="H345" s="8" t="n"/>
      <c r="I345" s="9">
        <f>IF(H345="","",ROUND(H345/3.305785,3))</f>
        <v/>
      </c>
      <c r="J345" s="7" t="n"/>
      <c r="K345" s="7" t="n"/>
      <c r="L345" s="10">
        <f>IF(OR(J345="",K345="",K345=0),"",ROUND(J345/K345,6))</f>
        <v/>
      </c>
      <c r="M345" s="9">
        <f>IF(OR(H345="",J345="",K345="",K345=0),"",ROUND(H345*J345/K345/3.305785,3))</f>
        <v/>
      </c>
      <c r="N345" s="7" t="n"/>
      <c r="O345" s="11" t="n"/>
      <c r="P345" s="11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12">
        <f>IF(A345="","",IF(OR(B345="",C345="",D345="",E345="",G345="",H345="",J345="",K345=""),"必填欄位未完整",""))</f>
        <v/>
      </c>
      <c r="AB345" s="12">
        <f>IF(A345="","",A345&amp;"|"&amp;G345)</f>
        <v/>
      </c>
    </row>
    <row r="346" ht="24" customHeight="1">
      <c r="A346" s="7" t="n"/>
      <c r="B346" s="7" t="n"/>
      <c r="C346" s="7" t="n"/>
      <c r="D346" s="7" t="n"/>
      <c r="E346" s="7" t="n"/>
      <c r="F346" s="7" t="n"/>
      <c r="G346" s="7" t="n"/>
      <c r="H346" s="8" t="n"/>
      <c r="I346" s="9">
        <f>IF(H346="","",ROUND(H346/3.305785,3))</f>
        <v/>
      </c>
      <c r="J346" s="7" t="n"/>
      <c r="K346" s="7" t="n"/>
      <c r="L346" s="10">
        <f>IF(OR(J346="",K346="",K346=0),"",ROUND(J346/K346,6))</f>
        <v/>
      </c>
      <c r="M346" s="9">
        <f>IF(OR(H346="",J346="",K346="",K346=0),"",ROUND(H346*J346/K346/3.305785,3))</f>
        <v/>
      </c>
      <c r="N346" s="7" t="n"/>
      <c r="O346" s="11" t="n"/>
      <c r="P346" s="11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12">
        <f>IF(A346="","",IF(OR(B346="",C346="",D346="",E346="",G346="",H346="",J346="",K346=""),"必填欄位未完整",""))</f>
        <v/>
      </c>
      <c r="AB346" s="12">
        <f>IF(A346="","",A346&amp;"|"&amp;G346)</f>
        <v/>
      </c>
    </row>
    <row r="347" ht="24" customHeight="1">
      <c r="A347" s="7" t="n"/>
      <c r="B347" s="7" t="n"/>
      <c r="C347" s="7" t="n"/>
      <c r="D347" s="7" t="n"/>
      <c r="E347" s="7" t="n"/>
      <c r="F347" s="7" t="n"/>
      <c r="G347" s="7" t="n"/>
      <c r="H347" s="8" t="n"/>
      <c r="I347" s="9">
        <f>IF(H347="","",ROUND(H347/3.305785,3))</f>
        <v/>
      </c>
      <c r="J347" s="7" t="n"/>
      <c r="K347" s="7" t="n"/>
      <c r="L347" s="10">
        <f>IF(OR(J347="",K347="",K347=0),"",ROUND(J347/K347,6))</f>
        <v/>
      </c>
      <c r="M347" s="9">
        <f>IF(OR(H347="",J347="",K347="",K347=0),"",ROUND(H347*J347/K347/3.305785,3))</f>
        <v/>
      </c>
      <c r="N347" s="7" t="n"/>
      <c r="O347" s="11" t="n"/>
      <c r="P347" s="11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12">
        <f>IF(A347="","",IF(OR(B347="",C347="",D347="",E347="",G347="",H347="",J347="",K347=""),"必填欄位未完整",""))</f>
        <v/>
      </c>
      <c r="AB347" s="12">
        <f>IF(A347="","",A347&amp;"|"&amp;G347)</f>
        <v/>
      </c>
    </row>
    <row r="348" ht="24" customHeight="1">
      <c r="A348" s="7" t="n"/>
      <c r="B348" s="7" t="n"/>
      <c r="C348" s="7" t="n"/>
      <c r="D348" s="7" t="n"/>
      <c r="E348" s="7" t="n"/>
      <c r="F348" s="7" t="n"/>
      <c r="G348" s="7" t="n"/>
      <c r="H348" s="8" t="n"/>
      <c r="I348" s="9">
        <f>IF(H348="","",ROUND(H348/3.305785,3))</f>
        <v/>
      </c>
      <c r="J348" s="7" t="n"/>
      <c r="K348" s="7" t="n"/>
      <c r="L348" s="10">
        <f>IF(OR(J348="",K348="",K348=0),"",ROUND(J348/K348,6))</f>
        <v/>
      </c>
      <c r="M348" s="9">
        <f>IF(OR(H348="",J348="",K348="",K348=0),"",ROUND(H348*J348/K348/3.305785,3))</f>
        <v/>
      </c>
      <c r="N348" s="7" t="n"/>
      <c r="O348" s="11" t="n"/>
      <c r="P348" s="11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12">
        <f>IF(A348="","",IF(OR(B348="",C348="",D348="",E348="",G348="",H348="",J348="",K348=""),"必填欄位未完整",""))</f>
        <v/>
      </c>
      <c r="AB348" s="12">
        <f>IF(A348="","",A348&amp;"|"&amp;G348)</f>
        <v/>
      </c>
    </row>
    <row r="349" ht="24" customHeight="1">
      <c r="A349" s="7" t="n"/>
      <c r="B349" s="7" t="n"/>
      <c r="C349" s="7" t="n"/>
      <c r="D349" s="7" t="n"/>
      <c r="E349" s="7" t="n"/>
      <c r="F349" s="7" t="n"/>
      <c r="G349" s="7" t="n"/>
      <c r="H349" s="8" t="n"/>
      <c r="I349" s="9">
        <f>IF(H349="","",ROUND(H349/3.305785,3))</f>
        <v/>
      </c>
      <c r="J349" s="7" t="n"/>
      <c r="K349" s="7" t="n"/>
      <c r="L349" s="10">
        <f>IF(OR(J349="",K349="",K349=0),"",ROUND(J349/K349,6))</f>
        <v/>
      </c>
      <c r="M349" s="9">
        <f>IF(OR(H349="",J349="",K349="",K349=0),"",ROUND(H349*J349/K349/3.305785,3))</f>
        <v/>
      </c>
      <c r="N349" s="7" t="n"/>
      <c r="O349" s="11" t="n"/>
      <c r="P349" s="11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12">
        <f>IF(A349="","",IF(OR(B349="",C349="",D349="",E349="",G349="",H349="",J349="",K349=""),"必填欄位未完整",""))</f>
        <v/>
      </c>
      <c r="AB349" s="12">
        <f>IF(A349="","",A349&amp;"|"&amp;G349)</f>
        <v/>
      </c>
    </row>
    <row r="350" ht="24" customHeight="1">
      <c r="A350" s="7" t="n"/>
      <c r="B350" s="7" t="n"/>
      <c r="C350" s="7" t="n"/>
      <c r="D350" s="7" t="n"/>
      <c r="E350" s="7" t="n"/>
      <c r="F350" s="7" t="n"/>
      <c r="G350" s="7" t="n"/>
      <c r="H350" s="8" t="n"/>
      <c r="I350" s="9">
        <f>IF(H350="","",ROUND(H350/3.305785,3))</f>
        <v/>
      </c>
      <c r="J350" s="7" t="n"/>
      <c r="K350" s="7" t="n"/>
      <c r="L350" s="10">
        <f>IF(OR(J350="",K350="",K350=0),"",ROUND(J350/K350,6))</f>
        <v/>
      </c>
      <c r="M350" s="9">
        <f>IF(OR(H350="",J350="",K350="",K350=0),"",ROUND(H350*J350/K350/3.305785,3))</f>
        <v/>
      </c>
      <c r="N350" s="7" t="n"/>
      <c r="O350" s="11" t="n"/>
      <c r="P350" s="11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12">
        <f>IF(A350="","",IF(OR(B350="",C350="",D350="",E350="",G350="",H350="",J350="",K350=""),"必填欄位未完整",""))</f>
        <v/>
      </c>
      <c r="AB350" s="12">
        <f>IF(A350="","",A350&amp;"|"&amp;G350)</f>
        <v/>
      </c>
    </row>
    <row r="351" ht="24" customHeight="1">
      <c r="A351" s="7" t="n"/>
      <c r="B351" s="7" t="n"/>
      <c r="C351" s="7" t="n"/>
      <c r="D351" s="7" t="n"/>
      <c r="E351" s="7" t="n"/>
      <c r="F351" s="7" t="n"/>
      <c r="G351" s="7" t="n"/>
      <c r="H351" s="8" t="n"/>
      <c r="I351" s="9">
        <f>IF(H351="","",ROUND(H351/3.305785,3))</f>
        <v/>
      </c>
      <c r="J351" s="7" t="n"/>
      <c r="K351" s="7" t="n"/>
      <c r="L351" s="10">
        <f>IF(OR(J351="",K351="",K351=0),"",ROUND(J351/K351,6))</f>
        <v/>
      </c>
      <c r="M351" s="9">
        <f>IF(OR(H351="",J351="",K351="",K351=0),"",ROUND(H351*J351/K351/3.305785,3))</f>
        <v/>
      </c>
      <c r="N351" s="7" t="n"/>
      <c r="O351" s="11" t="n"/>
      <c r="P351" s="11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12">
        <f>IF(A351="","",IF(OR(B351="",C351="",D351="",E351="",G351="",H351="",J351="",K351=""),"必填欄位未完整",""))</f>
        <v/>
      </c>
      <c r="AB351" s="12">
        <f>IF(A351="","",A351&amp;"|"&amp;G351)</f>
        <v/>
      </c>
    </row>
    <row r="352" ht="24" customHeight="1">
      <c r="A352" s="7" t="n"/>
      <c r="B352" s="7" t="n"/>
      <c r="C352" s="7" t="n"/>
      <c r="D352" s="7" t="n"/>
      <c r="E352" s="7" t="n"/>
      <c r="F352" s="7" t="n"/>
      <c r="G352" s="7" t="n"/>
      <c r="H352" s="8" t="n"/>
      <c r="I352" s="9">
        <f>IF(H352="","",ROUND(H352/3.305785,3))</f>
        <v/>
      </c>
      <c r="J352" s="7" t="n"/>
      <c r="K352" s="7" t="n"/>
      <c r="L352" s="10">
        <f>IF(OR(J352="",K352="",K352=0),"",ROUND(J352/K352,6))</f>
        <v/>
      </c>
      <c r="M352" s="9">
        <f>IF(OR(H352="",J352="",K352="",K352=0),"",ROUND(H352*J352/K352/3.305785,3))</f>
        <v/>
      </c>
      <c r="N352" s="7" t="n"/>
      <c r="O352" s="11" t="n"/>
      <c r="P352" s="11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12">
        <f>IF(A352="","",IF(OR(B352="",C352="",D352="",E352="",G352="",H352="",J352="",K352=""),"必填欄位未完整",""))</f>
        <v/>
      </c>
      <c r="AB352" s="12">
        <f>IF(A352="","",A352&amp;"|"&amp;G352)</f>
        <v/>
      </c>
    </row>
    <row r="353" ht="24" customHeight="1">
      <c r="A353" s="7" t="n"/>
      <c r="B353" s="7" t="n"/>
      <c r="C353" s="7" t="n"/>
      <c r="D353" s="7" t="n"/>
      <c r="E353" s="7" t="n"/>
      <c r="F353" s="7" t="n"/>
      <c r="G353" s="7" t="n"/>
      <c r="H353" s="8" t="n"/>
      <c r="I353" s="9">
        <f>IF(H353="","",ROUND(H353/3.305785,3))</f>
        <v/>
      </c>
      <c r="J353" s="7" t="n"/>
      <c r="K353" s="7" t="n"/>
      <c r="L353" s="10">
        <f>IF(OR(J353="",K353="",K353=0),"",ROUND(J353/K353,6))</f>
        <v/>
      </c>
      <c r="M353" s="9">
        <f>IF(OR(H353="",J353="",K353="",K353=0),"",ROUND(H353*J353/K353/3.305785,3))</f>
        <v/>
      </c>
      <c r="N353" s="7" t="n"/>
      <c r="O353" s="11" t="n"/>
      <c r="P353" s="11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12">
        <f>IF(A353="","",IF(OR(B353="",C353="",D353="",E353="",G353="",H353="",J353="",K353=""),"必填欄位未完整",""))</f>
        <v/>
      </c>
      <c r="AB353" s="12">
        <f>IF(A353="","",A353&amp;"|"&amp;G353)</f>
        <v/>
      </c>
    </row>
    <row r="354" ht="24" customHeight="1">
      <c r="A354" s="7" t="n"/>
      <c r="B354" s="7" t="n"/>
      <c r="C354" s="7" t="n"/>
      <c r="D354" s="7" t="n"/>
      <c r="E354" s="7" t="n"/>
      <c r="F354" s="7" t="n"/>
      <c r="G354" s="7" t="n"/>
      <c r="H354" s="8" t="n"/>
      <c r="I354" s="9">
        <f>IF(H354="","",ROUND(H354/3.305785,3))</f>
        <v/>
      </c>
      <c r="J354" s="7" t="n"/>
      <c r="K354" s="7" t="n"/>
      <c r="L354" s="10">
        <f>IF(OR(J354="",K354="",K354=0),"",ROUND(J354/K354,6))</f>
        <v/>
      </c>
      <c r="M354" s="9">
        <f>IF(OR(H354="",J354="",K354="",K354=0),"",ROUND(H354*J354/K354/3.305785,3))</f>
        <v/>
      </c>
      <c r="N354" s="7" t="n"/>
      <c r="O354" s="11" t="n"/>
      <c r="P354" s="11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12">
        <f>IF(A354="","",IF(OR(B354="",C354="",D354="",E354="",G354="",H354="",J354="",K354=""),"必填欄位未完整",""))</f>
        <v/>
      </c>
      <c r="AB354" s="12">
        <f>IF(A354="","",A354&amp;"|"&amp;G354)</f>
        <v/>
      </c>
    </row>
    <row r="355" ht="24" customHeight="1">
      <c r="A355" s="7" t="n"/>
      <c r="B355" s="7" t="n"/>
      <c r="C355" s="7" t="n"/>
      <c r="D355" s="7" t="n"/>
      <c r="E355" s="7" t="n"/>
      <c r="F355" s="7" t="n"/>
      <c r="G355" s="7" t="n"/>
      <c r="H355" s="8" t="n"/>
      <c r="I355" s="9">
        <f>IF(H355="","",ROUND(H355/3.305785,3))</f>
        <v/>
      </c>
      <c r="J355" s="7" t="n"/>
      <c r="K355" s="7" t="n"/>
      <c r="L355" s="10">
        <f>IF(OR(J355="",K355="",K355=0),"",ROUND(J355/K355,6))</f>
        <v/>
      </c>
      <c r="M355" s="9">
        <f>IF(OR(H355="",J355="",K355="",K355=0),"",ROUND(H355*J355/K355/3.305785,3))</f>
        <v/>
      </c>
      <c r="N355" s="7" t="n"/>
      <c r="O355" s="11" t="n"/>
      <c r="P355" s="11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12">
        <f>IF(A355="","",IF(OR(B355="",C355="",D355="",E355="",G355="",H355="",J355="",K355=""),"必填欄位未完整",""))</f>
        <v/>
      </c>
      <c r="AB355" s="12">
        <f>IF(A355="","",A355&amp;"|"&amp;G355)</f>
        <v/>
      </c>
    </row>
    <row r="356" ht="24" customHeight="1">
      <c r="A356" s="7" t="n"/>
      <c r="B356" s="7" t="n"/>
      <c r="C356" s="7" t="n"/>
      <c r="D356" s="7" t="n"/>
      <c r="E356" s="7" t="n"/>
      <c r="F356" s="7" t="n"/>
      <c r="G356" s="7" t="n"/>
      <c r="H356" s="8" t="n"/>
      <c r="I356" s="9">
        <f>IF(H356="","",ROUND(H356/3.305785,3))</f>
        <v/>
      </c>
      <c r="J356" s="7" t="n"/>
      <c r="K356" s="7" t="n"/>
      <c r="L356" s="10">
        <f>IF(OR(J356="",K356="",K356=0),"",ROUND(J356/K356,6))</f>
        <v/>
      </c>
      <c r="M356" s="9">
        <f>IF(OR(H356="",J356="",K356="",K356=0),"",ROUND(H356*J356/K356/3.305785,3))</f>
        <v/>
      </c>
      <c r="N356" s="7" t="n"/>
      <c r="O356" s="11" t="n"/>
      <c r="P356" s="11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12">
        <f>IF(A356="","",IF(OR(B356="",C356="",D356="",E356="",G356="",H356="",J356="",K356=""),"必填欄位未完整",""))</f>
        <v/>
      </c>
      <c r="AB356" s="12">
        <f>IF(A356="","",A356&amp;"|"&amp;G356)</f>
        <v/>
      </c>
    </row>
    <row r="357" ht="24" customHeight="1">
      <c r="A357" s="7" t="n"/>
      <c r="B357" s="7" t="n"/>
      <c r="C357" s="7" t="n"/>
      <c r="D357" s="7" t="n"/>
      <c r="E357" s="7" t="n"/>
      <c r="F357" s="7" t="n"/>
      <c r="G357" s="7" t="n"/>
      <c r="H357" s="8" t="n"/>
      <c r="I357" s="9">
        <f>IF(H357="","",ROUND(H357/3.305785,3))</f>
        <v/>
      </c>
      <c r="J357" s="7" t="n"/>
      <c r="K357" s="7" t="n"/>
      <c r="L357" s="10">
        <f>IF(OR(J357="",K357="",K357=0),"",ROUND(J357/K357,6))</f>
        <v/>
      </c>
      <c r="M357" s="9">
        <f>IF(OR(H357="",J357="",K357="",K357=0),"",ROUND(H357*J357/K357/3.305785,3))</f>
        <v/>
      </c>
      <c r="N357" s="7" t="n"/>
      <c r="O357" s="11" t="n"/>
      <c r="P357" s="11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12">
        <f>IF(A357="","",IF(OR(B357="",C357="",D357="",E357="",G357="",H357="",J357="",K357=""),"必填欄位未完整",""))</f>
        <v/>
      </c>
      <c r="AB357" s="12">
        <f>IF(A357="","",A357&amp;"|"&amp;G357)</f>
        <v/>
      </c>
    </row>
    <row r="358" ht="24" customHeight="1">
      <c r="A358" s="7" t="n"/>
      <c r="B358" s="7" t="n"/>
      <c r="C358" s="7" t="n"/>
      <c r="D358" s="7" t="n"/>
      <c r="E358" s="7" t="n"/>
      <c r="F358" s="7" t="n"/>
      <c r="G358" s="7" t="n"/>
      <c r="H358" s="8" t="n"/>
      <c r="I358" s="9">
        <f>IF(H358="","",ROUND(H358/3.305785,3))</f>
        <v/>
      </c>
      <c r="J358" s="7" t="n"/>
      <c r="K358" s="7" t="n"/>
      <c r="L358" s="10">
        <f>IF(OR(J358="",K358="",K358=0),"",ROUND(J358/K358,6))</f>
        <v/>
      </c>
      <c r="M358" s="9">
        <f>IF(OR(H358="",J358="",K358="",K358=0),"",ROUND(H358*J358/K358/3.305785,3))</f>
        <v/>
      </c>
      <c r="N358" s="7" t="n"/>
      <c r="O358" s="11" t="n"/>
      <c r="P358" s="11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12">
        <f>IF(A358="","",IF(OR(B358="",C358="",D358="",E358="",G358="",H358="",J358="",K358=""),"必填欄位未完整",""))</f>
        <v/>
      </c>
      <c r="AB358" s="12">
        <f>IF(A358="","",A358&amp;"|"&amp;G358)</f>
        <v/>
      </c>
    </row>
    <row r="359" ht="24" customHeight="1">
      <c r="A359" s="7" t="n"/>
      <c r="B359" s="7" t="n"/>
      <c r="C359" s="7" t="n"/>
      <c r="D359" s="7" t="n"/>
      <c r="E359" s="7" t="n"/>
      <c r="F359" s="7" t="n"/>
      <c r="G359" s="7" t="n"/>
      <c r="H359" s="8" t="n"/>
      <c r="I359" s="9">
        <f>IF(H359="","",ROUND(H359/3.305785,3))</f>
        <v/>
      </c>
      <c r="J359" s="7" t="n"/>
      <c r="K359" s="7" t="n"/>
      <c r="L359" s="10">
        <f>IF(OR(J359="",K359="",K359=0),"",ROUND(J359/K359,6))</f>
        <v/>
      </c>
      <c r="M359" s="9">
        <f>IF(OR(H359="",J359="",K359="",K359=0),"",ROUND(H359*J359/K359/3.305785,3))</f>
        <v/>
      </c>
      <c r="N359" s="7" t="n"/>
      <c r="O359" s="11" t="n"/>
      <c r="P359" s="11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12">
        <f>IF(A359="","",IF(OR(B359="",C359="",D359="",E359="",G359="",H359="",J359="",K359=""),"必填欄位未完整",""))</f>
        <v/>
      </c>
      <c r="AB359" s="12">
        <f>IF(A359="","",A359&amp;"|"&amp;G359)</f>
        <v/>
      </c>
    </row>
    <row r="360" ht="24" customHeight="1">
      <c r="A360" s="7" t="n"/>
      <c r="B360" s="7" t="n"/>
      <c r="C360" s="7" t="n"/>
      <c r="D360" s="7" t="n"/>
      <c r="E360" s="7" t="n"/>
      <c r="F360" s="7" t="n"/>
      <c r="G360" s="7" t="n"/>
      <c r="H360" s="8" t="n"/>
      <c r="I360" s="9">
        <f>IF(H360="","",ROUND(H360/3.305785,3))</f>
        <v/>
      </c>
      <c r="J360" s="7" t="n"/>
      <c r="K360" s="7" t="n"/>
      <c r="L360" s="10">
        <f>IF(OR(J360="",K360="",K360=0),"",ROUND(J360/K360,6))</f>
        <v/>
      </c>
      <c r="M360" s="9">
        <f>IF(OR(H360="",J360="",K360="",K360=0),"",ROUND(H360*J360/K360/3.305785,3))</f>
        <v/>
      </c>
      <c r="N360" s="7" t="n"/>
      <c r="O360" s="11" t="n"/>
      <c r="P360" s="11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12">
        <f>IF(A360="","",IF(OR(B360="",C360="",D360="",E360="",G360="",H360="",J360="",K360=""),"必填欄位未完整",""))</f>
        <v/>
      </c>
      <c r="AB360" s="12">
        <f>IF(A360="","",A360&amp;"|"&amp;G360)</f>
        <v/>
      </c>
    </row>
    <row r="361" ht="24" customHeight="1">
      <c r="A361" s="7" t="n"/>
      <c r="B361" s="7" t="n"/>
      <c r="C361" s="7" t="n"/>
      <c r="D361" s="7" t="n"/>
      <c r="E361" s="7" t="n"/>
      <c r="F361" s="7" t="n"/>
      <c r="G361" s="7" t="n"/>
      <c r="H361" s="8" t="n"/>
      <c r="I361" s="9">
        <f>IF(H361="","",ROUND(H361/3.305785,3))</f>
        <v/>
      </c>
      <c r="J361" s="7" t="n"/>
      <c r="K361" s="7" t="n"/>
      <c r="L361" s="10">
        <f>IF(OR(J361="",K361="",K361=0),"",ROUND(J361/K361,6))</f>
        <v/>
      </c>
      <c r="M361" s="9">
        <f>IF(OR(H361="",J361="",K361="",K361=0),"",ROUND(H361*J361/K361/3.305785,3))</f>
        <v/>
      </c>
      <c r="N361" s="7" t="n"/>
      <c r="O361" s="11" t="n"/>
      <c r="P361" s="11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12">
        <f>IF(A361="","",IF(OR(B361="",C361="",D361="",E361="",G361="",H361="",J361="",K361=""),"必填欄位未完整",""))</f>
        <v/>
      </c>
      <c r="AB361" s="12">
        <f>IF(A361="","",A361&amp;"|"&amp;G361)</f>
        <v/>
      </c>
    </row>
    <row r="362" ht="24" customHeight="1">
      <c r="A362" s="7" t="n"/>
      <c r="B362" s="7" t="n"/>
      <c r="C362" s="7" t="n"/>
      <c r="D362" s="7" t="n"/>
      <c r="E362" s="7" t="n"/>
      <c r="F362" s="7" t="n"/>
      <c r="G362" s="7" t="n"/>
      <c r="H362" s="8" t="n"/>
      <c r="I362" s="9">
        <f>IF(H362="","",ROUND(H362/3.305785,3))</f>
        <v/>
      </c>
      <c r="J362" s="7" t="n"/>
      <c r="K362" s="7" t="n"/>
      <c r="L362" s="10">
        <f>IF(OR(J362="",K362="",K362=0),"",ROUND(J362/K362,6))</f>
        <v/>
      </c>
      <c r="M362" s="9">
        <f>IF(OR(H362="",J362="",K362="",K362=0),"",ROUND(H362*J362/K362/3.305785,3))</f>
        <v/>
      </c>
      <c r="N362" s="7" t="n"/>
      <c r="O362" s="11" t="n"/>
      <c r="P362" s="11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12">
        <f>IF(A362="","",IF(OR(B362="",C362="",D362="",E362="",G362="",H362="",J362="",K362=""),"必填欄位未完整",""))</f>
        <v/>
      </c>
      <c r="AB362" s="12">
        <f>IF(A362="","",A362&amp;"|"&amp;G362)</f>
        <v/>
      </c>
    </row>
    <row r="363" ht="24" customHeight="1">
      <c r="A363" s="7" t="n"/>
      <c r="B363" s="7" t="n"/>
      <c r="C363" s="7" t="n"/>
      <c r="D363" s="7" t="n"/>
      <c r="E363" s="7" t="n"/>
      <c r="F363" s="7" t="n"/>
      <c r="G363" s="7" t="n"/>
      <c r="H363" s="8" t="n"/>
      <c r="I363" s="9">
        <f>IF(H363="","",ROUND(H363/3.305785,3))</f>
        <v/>
      </c>
      <c r="J363" s="7" t="n"/>
      <c r="K363" s="7" t="n"/>
      <c r="L363" s="10">
        <f>IF(OR(J363="",K363="",K363=0),"",ROUND(J363/K363,6))</f>
        <v/>
      </c>
      <c r="M363" s="9">
        <f>IF(OR(H363="",J363="",K363="",K363=0),"",ROUND(H363*J363/K363/3.305785,3))</f>
        <v/>
      </c>
      <c r="N363" s="7" t="n"/>
      <c r="O363" s="11" t="n"/>
      <c r="P363" s="11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12">
        <f>IF(A363="","",IF(OR(B363="",C363="",D363="",E363="",G363="",H363="",J363="",K363=""),"必填欄位未完整",""))</f>
        <v/>
      </c>
      <c r="AB363" s="12">
        <f>IF(A363="","",A363&amp;"|"&amp;G363)</f>
        <v/>
      </c>
    </row>
    <row r="364" ht="24" customHeight="1">
      <c r="A364" s="7" t="n"/>
      <c r="B364" s="7" t="n"/>
      <c r="C364" s="7" t="n"/>
      <c r="D364" s="7" t="n"/>
      <c r="E364" s="7" t="n"/>
      <c r="F364" s="7" t="n"/>
      <c r="G364" s="7" t="n"/>
      <c r="H364" s="8" t="n"/>
      <c r="I364" s="9">
        <f>IF(H364="","",ROUND(H364/3.305785,3))</f>
        <v/>
      </c>
      <c r="J364" s="7" t="n"/>
      <c r="K364" s="7" t="n"/>
      <c r="L364" s="10">
        <f>IF(OR(J364="",K364="",K364=0),"",ROUND(J364/K364,6))</f>
        <v/>
      </c>
      <c r="M364" s="9">
        <f>IF(OR(H364="",J364="",K364="",K364=0),"",ROUND(H364*J364/K364/3.305785,3))</f>
        <v/>
      </c>
      <c r="N364" s="7" t="n"/>
      <c r="O364" s="11" t="n"/>
      <c r="P364" s="11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12">
        <f>IF(A364="","",IF(OR(B364="",C364="",D364="",E364="",G364="",H364="",J364="",K364=""),"必填欄位未完整",""))</f>
        <v/>
      </c>
      <c r="AB364" s="12">
        <f>IF(A364="","",A364&amp;"|"&amp;G364)</f>
        <v/>
      </c>
    </row>
    <row r="365" ht="24" customHeight="1">
      <c r="A365" s="7" t="n"/>
      <c r="B365" s="7" t="n"/>
      <c r="C365" s="7" t="n"/>
      <c r="D365" s="7" t="n"/>
      <c r="E365" s="7" t="n"/>
      <c r="F365" s="7" t="n"/>
      <c r="G365" s="7" t="n"/>
      <c r="H365" s="8" t="n"/>
      <c r="I365" s="9">
        <f>IF(H365="","",ROUND(H365/3.305785,3))</f>
        <v/>
      </c>
      <c r="J365" s="7" t="n"/>
      <c r="K365" s="7" t="n"/>
      <c r="L365" s="10">
        <f>IF(OR(J365="",K365="",K365=0),"",ROUND(J365/K365,6))</f>
        <v/>
      </c>
      <c r="M365" s="9">
        <f>IF(OR(H365="",J365="",K365="",K365=0),"",ROUND(H365*J365/K365/3.305785,3))</f>
        <v/>
      </c>
      <c r="N365" s="7" t="n"/>
      <c r="O365" s="11" t="n"/>
      <c r="P365" s="11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12">
        <f>IF(A365="","",IF(OR(B365="",C365="",D365="",E365="",G365="",H365="",J365="",K365=""),"必填欄位未完整",""))</f>
        <v/>
      </c>
      <c r="AB365" s="12">
        <f>IF(A365="","",A365&amp;"|"&amp;G365)</f>
        <v/>
      </c>
    </row>
    <row r="366" ht="24" customHeight="1">
      <c r="A366" s="7" t="n"/>
      <c r="B366" s="7" t="n"/>
      <c r="C366" s="7" t="n"/>
      <c r="D366" s="7" t="n"/>
      <c r="E366" s="7" t="n"/>
      <c r="F366" s="7" t="n"/>
      <c r="G366" s="7" t="n"/>
      <c r="H366" s="8" t="n"/>
      <c r="I366" s="9">
        <f>IF(H366="","",ROUND(H366/3.305785,3))</f>
        <v/>
      </c>
      <c r="J366" s="7" t="n"/>
      <c r="K366" s="7" t="n"/>
      <c r="L366" s="10">
        <f>IF(OR(J366="",K366="",K366=0),"",ROUND(J366/K366,6))</f>
        <v/>
      </c>
      <c r="M366" s="9">
        <f>IF(OR(H366="",J366="",K366="",K366=0),"",ROUND(H366*J366/K366/3.305785,3))</f>
        <v/>
      </c>
      <c r="N366" s="7" t="n"/>
      <c r="O366" s="11" t="n"/>
      <c r="P366" s="11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12">
        <f>IF(A366="","",IF(OR(B366="",C366="",D366="",E366="",G366="",H366="",J366="",K366=""),"必填欄位未完整",""))</f>
        <v/>
      </c>
      <c r="AB366" s="12">
        <f>IF(A366="","",A366&amp;"|"&amp;G366)</f>
        <v/>
      </c>
    </row>
    <row r="367" ht="24" customHeight="1">
      <c r="A367" s="7" t="n"/>
      <c r="B367" s="7" t="n"/>
      <c r="C367" s="7" t="n"/>
      <c r="D367" s="7" t="n"/>
      <c r="E367" s="7" t="n"/>
      <c r="F367" s="7" t="n"/>
      <c r="G367" s="7" t="n"/>
      <c r="H367" s="8" t="n"/>
      <c r="I367" s="9">
        <f>IF(H367="","",ROUND(H367/3.305785,3))</f>
        <v/>
      </c>
      <c r="J367" s="7" t="n"/>
      <c r="K367" s="7" t="n"/>
      <c r="L367" s="10">
        <f>IF(OR(J367="",K367="",K367=0),"",ROUND(J367/K367,6))</f>
        <v/>
      </c>
      <c r="M367" s="9">
        <f>IF(OR(H367="",J367="",K367="",K367=0),"",ROUND(H367*J367/K367/3.305785,3))</f>
        <v/>
      </c>
      <c r="N367" s="7" t="n"/>
      <c r="O367" s="11" t="n"/>
      <c r="P367" s="11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12">
        <f>IF(A367="","",IF(OR(B367="",C367="",D367="",E367="",G367="",H367="",J367="",K367=""),"必填欄位未完整",""))</f>
        <v/>
      </c>
      <c r="AB367" s="12">
        <f>IF(A367="","",A367&amp;"|"&amp;G367)</f>
        <v/>
      </c>
    </row>
    <row r="368" ht="24" customHeight="1">
      <c r="A368" s="7" t="n"/>
      <c r="B368" s="7" t="n"/>
      <c r="C368" s="7" t="n"/>
      <c r="D368" s="7" t="n"/>
      <c r="E368" s="7" t="n"/>
      <c r="F368" s="7" t="n"/>
      <c r="G368" s="7" t="n"/>
      <c r="H368" s="8" t="n"/>
      <c r="I368" s="9">
        <f>IF(H368="","",ROUND(H368/3.305785,3))</f>
        <v/>
      </c>
      <c r="J368" s="7" t="n"/>
      <c r="K368" s="7" t="n"/>
      <c r="L368" s="10">
        <f>IF(OR(J368="",K368="",K368=0),"",ROUND(J368/K368,6))</f>
        <v/>
      </c>
      <c r="M368" s="9">
        <f>IF(OR(H368="",J368="",K368="",K368=0),"",ROUND(H368*J368/K368/3.305785,3))</f>
        <v/>
      </c>
      <c r="N368" s="7" t="n"/>
      <c r="O368" s="11" t="n"/>
      <c r="P368" s="11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12">
        <f>IF(A368="","",IF(OR(B368="",C368="",D368="",E368="",G368="",H368="",J368="",K368=""),"必填欄位未完整",""))</f>
        <v/>
      </c>
      <c r="AB368" s="12">
        <f>IF(A368="","",A368&amp;"|"&amp;G368)</f>
        <v/>
      </c>
    </row>
    <row r="369" ht="24" customHeight="1">
      <c r="A369" s="7" t="n"/>
      <c r="B369" s="7" t="n"/>
      <c r="C369" s="7" t="n"/>
      <c r="D369" s="7" t="n"/>
      <c r="E369" s="7" t="n"/>
      <c r="F369" s="7" t="n"/>
      <c r="G369" s="7" t="n"/>
      <c r="H369" s="8" t="n"/>
      <c r="I369" s="9">
        <f>IF(H369="","",ROUND(H369/3.305785,3))</f>
        <v/>
      </c>
      <c r="J369" s="7" t="n"/>
      <c r="K369" s="7" t="n"/>
      <c r="L369" s="10">
        <f>IF(OR(J369="",K369="",K369=0),"",ROUND(J369/K369,6))</f>
        <v/>
      </c>
      <c r="M369" s="9">
        <f>IF(OR(H369="",J369="",K369="",K369=0),"",ROUND(H369*J369/K369/3.305785,3))</f>
        <v/>
      </c>
      <c r="N369" s="7" t="n"/>
      <c r="O369" s="11" t="n"/>
      <c r="P369" s="11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12">
        <f>IF(A369="","",IF(OR(B369="",C369="",D369="",E369="",G369="",H369="",J369="",K369=""),"必填欄位未完整",""))</f>
        <v/>
      </c>
      <c r="AB369" s="12">
        <f>IF(A369="","",A369&amp;"|"&amp;G369)</f>
        <v/>
      </c>
    </row>
    <row r="370" ht="24" customHeight="1">
      <c r="A370" s="7" t="n"/>
      <c r="B370" s="7" t="n"/>
      <c r="C370" s="7" t="n"/>
      <c r="D370" s="7" t="n"/>
      <c r="E370" s="7" t="n"/>
      <c r="F370" s="7" t="n"/>
      <c r="G370" s="7" t="n"/>
      <c r="H370" s="8" t="n"/>
      <c r="I370" s="9">
        <f>IF(H370="","",ROUND(H370/3.305785,3))</f>
        <v/>
      </c>
      <c r="J370" s="7" t="n"/>
      <c r="K370" s="7" t="n"/>
      <c r="L370" s="10">
        <f>IF(OR(J370="",K370="",K370=0),"",ROUND(J370/K370,6))</f>
        <v/>
      </c>
      <c r="M370" s="9">
        <f>IF(OR(H370="",J370="",K370="",K370=0),"",ROUND(H370*J370/K370/3.305785,3))</f>
        <v/>
      </c>
      <c r="N370" s="7" t="n"/>
      <c r="O370" s="11" t="n"/>
      <c r="P370" s="11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12">
        <f>IF(A370="","",IF(OR(B370="",C370="",D370="",E370="",G370="",H370="",J370="",K370=""),"必填欄位未完整",""))</f>
        <v/>
      </c>
      <c r="AB370" s="12">
        <f>IF(A370="","",A370&amp;"|"&amp;G370)</f>
        <v/>
      </c>
    </row>
    <row r="371" ht="24" customHeight="1">
      <c r="A371" s="7" t="n"/>
      <c r="B371" s="7" t="n"/>
      <c r="C371" s="7" t="n"/>
      <c r="D371" s="7" t="n"/>
      <c r="E371" s="7" t="n"/>
      <c r="F371" s="7" t="n"/>
      <c r="G371" s="7" t="n"/>
      <c r="H371" s="8" t="n"/>
      <c r="I371" s="9">
        <f>IF(H371="","",ROUND(H371/3.305785,3))</f>
        <v/>
      </c>
      <c r="J371" s="7" t="n"/>
      <c r="K371" s="7" t="n"/>
      <c r="L371" s="10">
        <f>IF(OR(J371="",K371="",K371=0),"",ROUND(J371/K371,6))</f>
        <v/>
      </c>
      <c r="M371" s="9">
        <f>IF(OR(H371="",J371="",K371="",K371=0),"",ROUND(H371*J371/K371/3.305785,3))</f>
        <v/>
      </c>
      <c r="N371" s="7" t="n"/>
      <c r="O371" s="11" t="n"/>
      <c r="P371" s="11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12">
        <f>IF(A371="","",IF(OR(B371="",C371="",D371="",E371="",G371="",H371="",J371="",K371=""),"必填欄位未完整",""))</f>
        <v/>
      </c>
      <c r="AB371" s="12">
        <f>IF(A371="","",A371&amp;"|"&amp;G371)</f>
        <v/>
      </c>
    </row>
    <row r="372" ht="24" customHeight="1">
      <c r="A372" s="7" t="n"/>
      <c r="B372" s="7" t="n"/>
      <c r="C372" s="7" t="n"/>
      <c r="D372" s="7" t="n"/>
      <c r="E372" s="7" t="n"/>
      <c r="F372" s="7" t="n"/>
      <c r="G372" s="7" t="n"/>
      <c r="H372" s="8" t="n"/>
      <c r="I372" s="9">
        <f>IF(H372="","",ROUND(H372/3.305785,3))</f>
        <v/>
      </c>
      <c r="J372" s="7" t="n"/>
      <c r="K372" s="7" t="n"/>
      <c r="L372" s="10">
        <f>IF(OR(J372="",K372="",K372=0),"",ROUND(J372/K372,6))</f>
        <v/>
      </c>
      <c r="M372" s="9">
        <f>IF(OR(H372="",J372="",K372="",K372=0),"",ROUND(H372*J372/K372/3.305785,3))</f>
        <v/>
      </c>
      <c r="N372" s="7" t="n"/>
      <c r="O372" s="11" t="n"/>
      <c r="P372" s="11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12">
        <f>IF(A372="","",IF(OR(B372="",C372="",D372="",E372="",G372="",H372="",J372="",K372=""),"必填欄位未完整",""))</f>
        <v/>
      </c>
      <c r="AB372" s="12">
        <f>IF(A372="","",A372&amp;"|"&amp;G372)</f>
        <v/>
      </c>
    </row>
    <row r="373" ht="24" customHeight="1">
      <c r="A373" s="7" t="n"/>
      <c r="B373" s="7" t="n"/>
      <c r="C373" s="7" t="n"/>
      <c r="D373" s="7" t="n"/>
      <c r="E373" s="7" t="n"/>
      <c r="F373" s="7" t="n"/>
      <c r="G373" s="7" t="n"/>
      <c r="H373" s="8" t="n"/>
      <c r="I373" s="9">
        <f>IF(H373="","",ROUND(H373/3.305785,3))</f>
        <v/>
      </c>
      <c r="J373" s="7" t="n"/>
      <c r="K373" s="7" t="n"/>
      <c r="L373" s="10">
        <f>IF(OR(J373="",K373="",K373=0),"",ROUND(J373/K373,6))</f>
        <v/>
      </c>
      <c r="M373" s="9">
        <f>IF(OR(H373="",J373="",K373="",K373=0),"",ROUND(H373*J373/K373/3.305785,3))</f>
        <v/>
      </c>
      <c r="N373" s="7" t="n"/>
      <c r="O373" s="11" t="n"/>
      <c r="P373" s="11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12">
        <f>IF(A373="","",IF(OR(B373="",C373="",D373="",E373="",G373="",H373="",J373="",K373=""),"必填欄位未完整",""))</f>
        <v/>
      </c>
      <c r="AB373" s="12">
        <f>IF(A373="","",A373&amp;"|"&amp;G373)</f>
        <v/>
      </c>
    </row>
    <row r="374" ht="24" customHeight="1">
      <c r="A374" s="7" t="n"/>
      <c r="B374" s="7" t="n"/>
      <c r="C374" s="7" t="n"/>
      <c r="D374" s="7" t="n"/>
      <c r="E374" s="7" t="n"/>
      <c r="F374" s="7" t="n"/>
      <c r="G374" s="7" t="n"/>
      <c r="H374" s="8" t="n"/>
      <c r="I374" s="9">
        <f>IF(H374="","",ROUND(H374/3.305785,3))</f>
        <v/>
      </c>
      <c r="J374" s="7" t="n"/>
      <c r="K374" s="7" t="n"/>
      <c r="L374" s="10">
        <f>IF(OR(J374="",K374="",K374=0),"",ROUND(J374/K374,6))</f>
        <v/>
      </c>
      <c r="M374" s="9">
        <f>IF(OR(H374="",J374="",K374="",K374=0),"",ROUND(H374*J374/K374/3.305785,3))</f>
        <v/>
      </c>
      <c r="N374" s="7" t="n"/>
      <c r="O374" s="11" t="n"/>
      <c r="P374" s="11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12">
        <f>IF(A374="","",IF(OR(B374="",C374="",D374="",E374="",G374="",H374="",J374="",K374=""),"必填欄位未完整",""))</f>
        <v/>
      </c>
      <c r="AB374" s="12">
        <f>IF(A374="","",A374&amp;"|"&amp;G374)</f>
        <v/>
      </c>
    </row>
    <row r="375" ht="24" customHeight="1">
      <c r="A375" s="7" t="n"/>
      <c r="B375" s="7" t="n"/>
      <c r="C375" s="7" t="n"/>
      <c r="D375" s="7" t="n"/>
      <c r="E375" s="7" t="n"/>
      <c r="F375" s="7" t="n"/>
      <c r="G375" s="7" t="n"/>
      <c r="H375" s="8" t="n"/>
      <c r="I375" s="9">
        <f>IF(H375="","",ROUND(H375/3.305785,3))</f>
        <v/>
      </c>
      <c r="J375" s="7" t="n"/>
      <c r="K375" s="7" t="n"/>
      <c r="L375" s="10">
        <f>IF(OR(J375="",K375="",K375=0),"",ROUND(J375/K375,6))</f>
        <v/>
      </c>
      <c r="M375" s="9">
        <f>IF(OR(H375="",J375="",K375="",K375=0),"",ROUND(H375*J375/K375/3.305785,3))</f>
        <v/>
      </c>
      <c r="N375" s="7" t="n"/>
      <c r="O375" s="11" t="n"/>
      <c r="P375" s="11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12">
        <f>IF(A375="","",IF(OR(B375="",C375="",D375="",E375="",G375="",H375="",J375="",K375=""),"必填欄位未完整",""))</f>
        <v/>
      </c>
      <c r="AB375" s="12">
        <f>IF(A375="","",A375&amp;"|"&amp;G375)</f>
        <v/>
      </c>
    </row>
    <row r="376" ht="24" customHeight="1">
      <c r="A376" s="7" t="n"/>
      <c r="B376" s="7" t="n"/>
      <c r="C376" s="7" t="n"/>
      <c r="D376" s="7" t="n"/>
      <c r="E376" s="7" t="n"/>
      <c r="F376" s="7" t="n"/>
      <c r="G376" s="7" t="n"/>
      <c r="H376" s="8" t="n"/>
      <c r="I376" s="9">
        <f>IF(H376="","",ROUND(H376/3.305785,3))</f>
        <v/>
      </c>
      <c r="J376" s="7" t="n"/>
      <c r="K376" s="7" t="n"/>
      <c r="L376" s="10">
        <f>IF(OR(J376="",K376="",K376=0),"",ROUND(J376/K376,6))</f>
        <v/>
      </c>
      <c r="M376" s="9">
        <f>IF(OR(H376="",J376="",K376="",K376=0),"",ROUND(H376*J376/K376/3.305785,3))</f>
        <v/>
      </c>
      <c r="N376" s="7" t="n"/>
      <c r="O376" s="11" t="n"/>
      <c r="P376" s="11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12">
        <f>IF(A376="","",IF(OR(B376="",C376="",D376="",E376="",G376="",H376="",J376="",K376=""),"必填欄位未完整",""))</f>
        <v/>
      </c>
      <c r="AB376" s="12">
        <f>IF(A376="","",A376&amp;"|"&amp;G376)</f>
        <v/>
      </c>
    </row>
    <row r="377" ht="24" customHeight="1">
      <c r="A377" s="7" t="n"/>
      <c r="B377" s="7" t="n"/>
      <c r="C377" s="7" t="n"/>
      <c r="D377" s="7" t="n"/>
      <c r="E377" s="7" t="n"/>
      <c r="F377" s="7" t="n"/>
      <c r="G377" s="7" t="n"/>
      <c r="H377" s="8" t="n"/>
      <c r="I377" s="9">
        <f>IF(H377="","",ROUND(H377/3.305785,3))</f>
        <v/>
      </c>
      <c r="J377" s="7" t="n"/>
      <c r="K377" s="7" t="n"/>
      <c r="L377" s="10">
        <f>IF(OR(J377="",K377="",K377=0),"",ROUND(J377/K377,6))</f>
        <v/>
      </c>
      <c r="M377" s="9">
        <f>IF(OR(H377="",J377="",K377="",K377=0),"",ROUND(H377*J377/K377/3.305785,3))</f>
        <v/>
      </c>
      <c r="N377" s="7" t="n"/>
      <c r="O377" s="11" t="n"/>
      <c r="P377" s="11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12">
        <f>IF(A377="","",IF(OR(B377="",C377="",D377="",E377="",G377="",H377="",J377="",K377=""),"必填欄位未完整",""))</f>
        <v/>
      </c>
      <c r="AB377" s="12">
        <f>IF(A377="","",A377&amp;"|"&amp;G377)</f>
        <v/>
      </c>
    </row>
    <row r="378" ht="24" customHeight="1">
      <c r="A378" s="7" t="n"/>
      <c r="B378" s="7" t="n"/>
      <c r="C378" s="7" t="n"/>
      <c r="D378" s="7" t="n"/>
      <c r="E378" s="7" t="n"/>
      <c r="F378" s="7" t="n"/>
      <c r="G378" s="7" t="n"/>
      <c r="H378" s="8" t="n"/>
      <c r="I378" s="9">
        <f>IF(H378="","",ROUND(H378/3.305785,3))</f>
        <v/>
      </c>
      <c r="J378" s="7" t="n"/>
      <c r="K378" s="7" t="n"/>
      <c r="L378" s="10">
        <f>IF(OR(J378="",K378="",K378=0),"",ROUND(J378/K378,6))</f>
        <v/>
      </c>
      <c r="M378" s="9">
        <f>IF(OR(H378="",J378="",K378="",K378=0),"",ROUND(H378*J378/K378/3.305785,3))</f>
        <v/>
      </c>
      <c r="N378" s="7" t="n"/>
      <c r="O378" s="11" t="n"/>
      <c r="P378" s="11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12">
        <f>IF(A378="","",IF(OR(B378="",C378="",D378="",E378="",G378="",H378="",J378="",K378=""),"必填欄位未完整",""))</f>
        <v/>
      </c>
      <c r="AB378" s="12">
        <f>IF(A378="","",A378&amp;"|"&amp;G378)</f>
        <v/>
      </c>
    </row>
    <row r="379" ht="24" customHeight="1">
      <c r="A379" s="7" t="n"/>
      <c r="B379" s="7" t="n"/>
      <c r="C379" s="7" t="n"/>
      <c r="D379" s="7" t="n"/>
      <c r="E379" s="7" t="n"/>
      <c r="F379" s="7" t="n"/>
      <c r="G379" s="7" t="n"/>
      <c r="H379" s="8" t="n"/>
      <c r="I379" s="9">
        <f>IF(H379="","",ROUND(H379/3.305785,3))</f>
        <v/>
      </c>
      <c r="J379" s="7" t="n"/>
      <c r="K379" s="7" t="n"/>
      <c r="L379" s="10">
        <f>IF(OR(J379="",K379="",K379=0),"",ROUND(J379/K379,6))</f>
        <v/>
      </c>
      <c r="M379" s="9">
        <f>IF(OR(H379="",J379="",K379="",K379=0),"",ROUND(H379*J379/K379/3.305785,3))</f>
        <v/>
      </c>
      <c r="N379" s="7" t="n"/>
      <c r="O379" s="11" t="n"/>
      <c r="P379" s="11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12">
        <f>IF(A379="","",IF(OR(B379="",C379="",D379="",E379="",G379="",H379="",J379="",K379=""),"必填欄位未完整",""))</f>
        <v/>
      </c>
      <c r="AB379" s="12">
        <f>IF(A379="","",A379&amp;"|"&amp;G379)</f>
        <v/>
      </c>
    </row>
    <row r="380" ht="24" customHeight="1">
      <c r="A380" s="7" t="n"/>
      <c r="B380" s="7" t="n"/>
      <c r="C380" s="7" t="n"/>
      <c r="D380" s="7" t="n"/>
      <c r="E380" s="7" t="n"/>
      <c r="F380" s="7" t="n"/>
      <c r="G380" s="7" t="n"/>
      <c r="H380" s="8" t="n"/>
      <c r="I380" s="9">
        <f>IF(H380="","",ROUND(H380/3.305785,3))</f>
        <v/>
      </c>
      <c r="J380" s="7" t="n"/>
      <c r="K380" s="7" t="n"/>
      <c r="L380" s="10">
        <f>IF(OR(J380="",K380="",K380=0),"",ROUND(J380/K380,6))</f>
        <v/>
      </c>
      <c r="M380" s="9">
        <f>IF(OR(H380="",J380="",K380="",K380=0),"",ROUND(H380*J380/K380/3.305785,3))</f>
        <v/>
      </c>
      <c r="N380" s="7" t="n"/>
      <c r="O380" s="11" t="n"/>
      <c r="P380" s="11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12">
        <f>IF(A380="","",IF(OR(B380="",C380="",D380="",E380="",G380="",H380="",J380="",K380=""),"必填欄位未完整",""))</f>
        <v/>
      </c>
      <c r="AB380" s="12">
        <f>IF(A380="","",A380&amp;"|"&amp;G380)</f>
        <v/>
      </c>
    </row>
    <row r="381" ht="24" customHeight="1">
      <c r="A381" s="7" t="n"/>
      <c r="B381" s="7" t="n"/>
      <c r="C381" s="7" t="n"/>
      <c r="D381" s="7" t="n"/>
      <c r="E381" s="7" t="n"/>
      <c r="F381" s="7" t="n"/>
      <c r="G381" s="7" t="n"/>
      <c r="H381" s="8" t="n"/>
      <c r="I381" s="9">
        <f>IF(H381="","",ROUND(H381/3.305785,3))</f>
        <v/>
      </c>
      <c r="J381" s="7" t="n"/>
      <c r="K381" s="7" t="n"/>
      <c r="L381" s="10">
        <f>IF(OR(J381="",K381="",K381=0),"",ROUND(J381/K381,6))</f>
        <v/>
      </c>
      <c r="M381" s="9">
        <f>IF(OR(H381="",J381="",K381="",K381=0),"",ROUND(H381*J381/K381/3.305785,3))</f>
        <v/>
      </c>
      <c r="N381" s="7" t="n"/>
      <c r="O381" s="11" t="n"/>
      <c r="P381" s="11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12">
        <f>IF(A381="","",IF(OR(B381="",C381="",D381="",E381="",G381="",H381="",J381="",K381=""),"必填欄位未完整",""))</f>
        <v/>
      </c>
      <c r="AB381" s="12">
        <f>IF(A381="","",A381&amp;"|"&amp;G381)</f>
        <v/>
      </c>
    </row>
    <row r="382" ht="24" customHeight="1">
      <c r="A382" s="7" t="n"/>
      <c r="B382" s="7" t="n"/>
      <c r="C382" s="7" t="n"/>
      <c r="D382" s="7" t="n"/>
      <c r="E382" s="7" t="n"/>
      <c r="F382" s="7" t="n"/>
      <c r="G382" s="7" t="n"/>
      <c r="H382" s="8" t="n"/>
      <c r="I382" s="9">
        <f>IF(H382="","",ROUND(H382/3.305785,3))</f>
        <v/>
      </c>
      <c r="J382" s="7" t="n"/>
      <c r="K382" s="7" t="n"/>
      <c r="L382" s="10">
        <f>IF(OR(J382="",K382="",K382=0),"",ROUND(J382/K382,6))</f>
        <v/>
      </c>
      <c r="M382" s="9">
        <f>IF(OR(H382="",J382="",K382="",K382=0),"",ROUND(H382*J382/K382/3.305785,3))</f>
        <v/>
      </c>
      <c r="N382" s="7" t="n"/>
      <c r="O382" s="11" t="n"/>
      <c r="P382" s="11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12">
        <f>IF(A382="","",IF(OR(B382="",C382="",D382="",E382="",G382="",H382="",J382="",K382=""),"必填欄位未完整",""))</f>
        <v/>
      </c>
      <c r="AB382" s="12">
        <f>IF(A382="","",A382&amp;"|"&amp;G382)</f>
        <v/>
      </c>
    </row>
    <row r="383" ht="24" customHeight="1">
      <c r="A383" s="7" t="n"/>
      <c r="B383" s="7" t="n"/>
      <c r="C383" s="7" t="n"/>
      <c r="D383" s="7" t="n"/>
      <c r="E383" s="7" t="n"/>
      <c r="F383" s="7" t="n"/>
      <c r="G383" s="7" t="n"/>
      <c r="H383" s="8" t="n"/>
      <c r="I383" s="9">
        <f>IF(H383="","",ROUND(H383/3.305785,3))</f>
        <v/>
      </c>
      <c r="J383" s="7" t="n"/>
      <c r="K383" s="7" t="n"/>
      <c r="L383" s="10">
        <f>IF(OR(J383="",K383="",K383=0),"",ROUND(J383/K383,6))</f>
        <v/>
      </c>
      <c r="M383" s="9">
        <f>IF(OR(H383="",J383="",K383="",K383=0),"",ROUND(H383*J383/K383/3.305785,3))</f>
        <v/>
      </c>
      <c r="N383" s="7" t="n"/>
      <c r="O383" s="11" t="n"/>
      <c r="P383" s="11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12">
        <f>IF(A383="","",IF(OR(B383="",C383="",D383="",E383="",G383="",H383="",J383="",K383=""),"必填欄位未完整",""))</f>
        <v/>
      </c>
      <c r="AB383" s="12">
        <f>IF(A383="","",A383&amp;"|"&amp;G383)</f>
        <v/>
      </c>
    </row>
    <row r="384" ht="24" customHeight="1">
      <c r="A384" s="7" t="n"/>
      <c r="B384" s="7" t="n"/>
      <c r="C384" s="7" t="n"/>
      <c r="D384" s="7" t="n"/>
      <c r="E384" s="7" t="n"/>
      <c r="F384" s="7" t="n"/>
      <c r="G384" s="7" t="n"/>
      <c r="H384" s="8" t="n"/>
      <c r="I384" s="9">
        <f>IF(H384="","",ROUND(H384/3.305785,3))</f>
        <v/>
      </c>
      <c r="J384" s="7" t="n"/>
      <c r="K384" s="7" t="n"/>
      <c r="L384" s="10">
        <f>IF(OR(J384="",K384="",K384=0),"",ROUND(J384/K384,6))</f>
        <v/>
      </c>
      <c r="M384" s="9">
        <f>IF(OR(H384="",J384="",K384="",K384=0),"",ROUND(H384*J384/K384/3.305785,3))</f>
        <v/>
      </c>
      <c r="N384" s="7" t="n"/>
      <c r="O384" s="11" t="n"/>
      <c r="P384" s="11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12">
        <f>IF(A384="","",IF(OR(B384="",C384="",D384="",E384="",G384="",H384="",J384="",K384=""),"必填欄位未完整",""))</f>
        <v/>
      </c>
      <c r="AB384" s="12">
        <f>IF(A384="","",A384&amp;"|"&amp;G384)</f>
        <v/>
      </c>
    </row>
    <row r="385" ht="24" customHeight="1">
      <c r="A385" s="7" t="n"/>
      <c r="B385" s="7" t="n"/>
      <c r="C385" s="7" t="n"/>
      <c r="D385" s="7" t="n"/>
      <c r="E385" s="7" t="n"/>
      <c r="F385" s="7" t="n"/>
      <c r="G385" s="7" t="n"/>
      <c r="H385" s="8" t="n"/>
      <c r="I385" s="9">
        <f>IF(H385="","",ROUND(H385/3.305785,3))</f>
        <v/>
      </c>
      <c r="J385" s="7" t="n"/>
      <c r="K385" s="7" t="n"/>
      <c r="L385" s="10">
        <f>IF(OR(J385="",K385="",K385=0),"",ROUND(J385/K385,6))</f>
        <v/>
      </c>
      <c r="M385" s="9">
        <f>IF(OR(H385="",J385="",K385="",K385=0),"",ROUND(H385*J385/K385/3.305785,3))</f>
        <v/>
      </c>
      <c r="N385" s="7" t="n"/>
      <c r="O385" s="11" t="n"/>
      <c r="P385" s="11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12">
        <f>IF(A385="","",IF(OR(B385="",C385="",D385="",E385="",G385="",H385="",J385="",K385=""),"必填欄位未完整",""))</f>
        <v/>
      </c>
      <c r="AB385" s="12">
        <f>IF(A385="","",A385&amp;"|"&amp;G385)</f>
        <v/>
      </c>
    </row>
    <row r="386" ht="24" customHeight="1">
      <c r="A386" s="7" t="n"/>
      <c r="B386" s="7" t="n"/>
      <c r="C386" s="7" t="n"/>
      <c r="D386" s="7" t="n"/>
      <c r="E386" s="7" t="n"/>
      <c r="F386" s="7" t="n"/>
      <c r="G386" s="7" t="n"/>
      <c r="H386" s="8" t="n"/>
      <c r="I386" s="9">
        <f>IF(H386="","",ROUND(H386/3.305785,3))</f>
        <v/>
      </c>
      <c r="J386" s="7" t="n"/>
      <c r="K386" s="7" t="n"/>
      <c r="L386" s="10">
        <f>IF(OR(J386="",K386="",K386=0),"",ROUND(J386/K386,6))</f>
        <v/>
      </c>
      <c r="M386" s="9">
        <f>IF(OR(H386="",J386="",K386="",K386=0),"",ROUND(H386*J386/K386/3.305785,3))</f>
        <v/>
      </c>
      <c r="N386" s="7" t="n"/>
      <c r="O386" s="11" t="n"/>
      <c r="P386" s="11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12">
        <f>IF(A386="","",IF(OR(B386="",C386="",D386="",E386="",G386="",H386="",J386="",K386=""),"必填欄位未完整",""))</f>
        <v/>
      </c>
      <c r="AB386" s="12">
        <f>IF(A386="","",A386&amp;"|"&amp;G386)</f>
        <v/>
      </c>
    </row>
    <row r="387" ht="24" customHeight="1">
      <c r="A387" s="7" t="n"/>
      <c r="B387" s="7" t="n"/>
      <c r="C387" s="7" t="n"/>
      <c r="D387" s="7" t="n"/>
      <c r="E387" s="7" t="n"/>
      <c r="F387" s="7" t="n"/>
      <c r="G387" s="7" t="n"/>
      <c r="H387" s="8" t="n"/>
      <c r="I387" s="9">
        <f>IF(H387="","",ROUND(H387/3.305785,3))</f>
        <v/>
      </c>
      <c r="J387" s="7" t="n"/>
      <c r="K387" s="7" t="n"/>
      <c r="L387" s="10">
        <f>IF(OR(J387="",K387="",K387=0),"",ROUND(J387/K387,6))</f>
        <v/>
      </c>
      <c r="M387" s="9">
        <f>IF(OR(H387="",J387="",K387="",K387=0),"",ROUND(H387*J387/K387/3.305785,3))</f>
        <v/>
      </c>
      <c r="N387" s="7" t="n"/>
      <c r="O387" s="11" t="n"/>
      <c r="P387" s="11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12">
        <f>IF(A387="","",IF(OR(B387="",C387="",D387="",E387="",G387="",H387="",J387="",K387=""),"必填欄位未完整",""))</f>
        <v/>
      </c>
      <c r="AB387" s="12">
        <f>IF(A387="","",A387&amp;"|"&amp;G387)</f>
        <v/>
      </c>
    </row>
    <row r="388" ht="24" customHeight="1">
      <c r="A388" s="7" t="n"/>
      <c r="B388" s="7" t="n"/>
      <c r="C388" s="7" t="n"/>
      <c r="D388" s="7" t="n"/>
      <c r="E388" s="7" t="n"/>
      <c r="F388" s="7" t="n"/>
      <c r="G388" s="7" t="n"/>
      <c r="H388" s="8" t="n"/>
      <c r="I388" s="9">
        <f>IF(H388="","",ROUND(H388/3.305785,3))</f>
        <v/>
      </c>
      <c r="J388" s="7" t="n"/>
      <c r="K388" s="7" t="n"/>
      <c r="L388" s="10">
        <f>IF(OR(J388="",K388="",K388=0),"",ROUND(J388/K388,6))</f>
        <v/>
      </c>
      <c r="M388" s="9">
        <f>IF(OR(H388="",J388="",K388="",K388=0),"",ROUND(H388*J388/K388/3.305785,3))</f>
        <v/>
      </c>
      <c r="N388" s="7" t="n"/>
      <c r="O388" s="11" t="n"/>
      <c r="P388" s="11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12">
        <f>IF(A388="","",IF(OR(B388="",C388="",D388="",E388="",G388="",H388="",J388="",K388=""),"必填欄位未完整",""))</f>
        <v/>
      </c>
      <c r="AB388" s="12">
        <f>IF(A388="","",A388&amp;"|"&amp;G388)</f>
        <v/>
      </c>
    </row>
    <row r="389" ht="24" customHeight="1">
      <c r="A389" s="7" t="n"/>
      <c r="B389" s="7" t="n"/>
      <c r="C389" s="7" t="n"/>
      <c r="D389" s="7" t="n"/>
      <c r="E389" s="7" t="n"/>
      <c r="F389" s="7" t="n"/>
      <c r="G389" s="7" t="n"/>
      <c r="H389" s="8" t="n"/>
      <c r="I389" s="9">
        <f>IF(H389="","",ROUND(H389/3.305785,3))</f>
        <v/>
      </c>
      <c r="J389" s="7" t="n"/>
      <c r="K389" s="7" t="n"/>
      <c r="L389" s="10">
        <f>IF(OR(J389="",K389="",K389=0),"",ROUND(J389/K389,6))</f>
        <v/>
      </c>
      <c r="M389" s="9">
        <f>IF(OR(H389="",J389="",K389="",K389=0),"",ROUND(H389*J389/K389/3.305785,3))</f>
        <v/>
      </c>
      <c r="N389" s="7" t="n"/>
      <c r="O389" s="11" t="n"/>
      <c r="P389" s="11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12">
        <f>IF(A389="","",IF(OR(B389="",C389="",D389="",E389="",G389="",H389="",J389="",K389=""),"必填欄位未完整",""))</f>
        <v/>
      </c>
      <c r="AB389" s="12">
        <f>IF(A389="","",A389&amp;"|"&amp;G389)</f>
        <v/>
      </c>
    </row>
    <row r="390" ht="24" customHeight="1">
      <c r="A390" s="7" t="n"/>
      <c r="B390" s="7" t="n"/>
      <c r="C390" s="7" t="n"/>
      <c r="D390" s="7" t="n"/>
      <c r="E390" s="7" t="n"/>
      <c r="F390" s="7" t="n"/>
      <c r="G390" s="7" t="n"/>
      <c r="H390" s="8" t="n"/>
      <c r="I390" s="9">
        <f>IF(H390="","",ROUND(H390/3.305785,3))</f>
        <v/>
      </c>
      <c r="J390" s="7" t="n"/>
      <c r="K390" s="7" t="n"/>
      <c r="L390" s="10">
        <f>IF(OR(J390="",K390="",K390=0),"",ROUND(J390/K390,6))</f>
        <v/>
      </c>
      <c r="M390" s="9">
        <f>IF(OR(H390="",J390="",K390="",K390=0),"",ROUND(H390*J390/K390/3.305785,3))</f>
        <v/>
      </c>
      <c r="N390" s="7" t="n"/>
      <c r="O390" s="11" t="n"/>
      <c r="P390" s="11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12">
        <f>IF(A390="","",IF(OR(B390="",C390="",D390="",E390="",G390="",H390="",J390="",K390=""),"必填欄位未完整",""))</f>
        <v/>
      </c>
      <c r="AB390" s="12">
        <f>IF(A390="","",A390&amp;"|"&amp;G390)</f>
        <v/>
      </c>
    </row>
    <row r="391" ht="24" customHeight="1">
      <c r="A391" s="7" t="n"/>
      <c r="B391" s="7" t="n"/>
      <c r="C391" s="7" t="n"/>
      <c r="D391" s="7" t="n"/>
      <c r="E391" s="7" t="n"/>
      <c r="F391" s="7" t="n"/>
      <c r="G391" s="7" t="n"/>
      <c r="H391" s="8" t="n"/>
      <c r="I391" s="9">
        <f>IF(H391="","",ROUND(H391/3.305785,3))</f>
        <v/>
      </c>
      <c r="J391" s="7" t="n"/>
      <c r="K391" s="7" t="n"/>
      <c r="L391" s="10">
        <f>IF(OR(J391="",K391="",K391=0),"",ROUND(J391/K391,6))</f>
        <v/>
      </c>
      <c r="M391" s="9">
        <f>IF(OR(H391="",J391="",K391="",K391=0),"",ROUND(H391*J391/K391/3.305785,3))</f>
        <v/>
      </c>
      <c r="N391" s="7" t="n"/>
      <c r="O391" s="11" t="n"/>
      <c r="P391" s="11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12">
        <f>IF(A391="","",IF(OR(B391="",C391="",D391="",E391="",G391="",H391="",J391="",K391=""),"必填欄位未完整",""))</f>
        <v/>
      </c>
      <c r="AB391" s="12">
        <f>IF(A391="","",A391&amp;"|"&amp;G391)</f>
        <v/>
      </c>
    </row>
    <row r="392" ht="24" customHeight="1">
      <c r="A392" s="7" t="n"/>
      <c r="B392" s="7" t="n"/>
      <c r="C392" s="7" t="n"/>
      <c r="D392" s="7" t="n"/>
      <c r="E392" s="7" t="n"/>
      <c r="F392" s="7" t="n"/>
      <c r="G392" s="7" t="n"/>
      <c r="H392" s="8" t="n"/>
      <c r="I392" s="9">
        <f>IF(H392="","",ROUND(H392/3.305785,3))</f>
        <v/>
      </c>
      <c r="J392" s="7" t="n"/>
      <c r="K392" s="7" t="n"/>
      <c r="L392" s="10">
        <f>IF(OR(J392="",K392="",K392=0),"",ROUND(J392/K392,6))</f>
        <v/>
      </c>
      <c r="M392" s="9">
        <f>IF(OR(H392="",J392="",K392="",K392=0),"",ROUND(H392*J392/K392/3.305785,3))</f>
        <v/>
      </c>
      <c r="N392" s="7" t="n"/>
      <c r="O392" s="11" t="n"/>
      <c r="P392" s="11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12">
        <f>IF(A392="","",IF(OR(B392="",C392="",D392="",E392="",G392="",H392="",J392="",K392=""),"必填欄位未完整",""))</f>
        <v/>
      </c>
      <c r="AB392" s="12">
        <f>IF(A392="","",A392&amp;"|"&amp;G392)</f>
        <v/>
      </c>
    </row>
    <row r="393" ht="24" customHeight="1">
      <c r="A393" s="7" t="n"/>
      <c r="B393" s="7" t="n"/>
      <c r="C393" s="7" t="n"/>
      <c r="D393" s="7" t="n"/>
      <c r="E393" s="7" t="n"/>
      <c r="F393" s="7" t="n"/>
      <c r="G393" s="7" t="n"/>
      <c r="H393" s="8" t="n"/>
      <c r="I393" s="9">
        <f>IF(H393="","",ROUND(H393/3.305785,3))</f>
        <v/>
      </c>
      <c r="J393" s="7" t="n"/>
      <c r="K393" s="7" t="n"/>
      <c r="L393" s="10">
        <f>IF(OR(J393="",K393="",K393=0),"",ROUND(J393/K393,6))</f>
        <v/>
      </c>
      <c r="M393" s="9">
        <f>IF(OR(H393="",J393="",K393="",K393=0),"",ROUND(H393*J393/K393/3.305785,3))</f>
        <v/>
      </c>
      <c r="N393" s="7" t="n"/>
      <c r="O393" s="11" t="n"/>
      <c r="P393" s="11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12">
        <f>IF(A393="","",IF(OR(B393="",C393="",D393="",E393="",G393="",H393="",J393="",K393=""),"必填欄位未完整",""))</f>
        <v/>
      </c>
      <c r="AB393" s="12">
        <f>IF(A393="","",A393&amp;"|"&amp;G393)</f>
        <v/>
      </c>
    </row>
    <row r="394" ht="24" customHeight="1">
      <c r="A394" s="7" t="n"/>
      <c r="B394" s="7" t="n"/>
      <c r="C394" s="7" t="n"/>
      <c r="D394" s="7" t="n"/>
      <c r="E394" s="7" t="n"/>
      <c r="F394" s="7" t="n"/>
      <c r="G394" s="7" t="n"/>
      <c r="H394" s="8" t="n"/>
      <c r="I394" s="9">
        <f>IF(H394="","",ROUND(H394/3.305785,3))</f>
        <v/>
      </c>
      <c r="J394" s="7" t="n"/>
      <c r="K394" s="7" t="n"/>
      <c r="L394" s="10">
        <f>IF(OR(J394="",K394="",K394=0),"",ROUND(J394/K394,6))</f>
        <v/>
      </c>
      <c r="M394" s="9">
        <f>IF(OR(H394="",J394="",K394="",K394=0),"",ROUND(H394*J394/K394/3.305785,3))</f>
        <v/>
      </c>
      <c r="N394" s="7" t="n"/>
      <c r="O394" s="11" t="n"/>
      <c r="P394" s="11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12">
        <f>IF(A394="","",IF(OR(B394="",C394="",D394="",E394="",G394="",H394="",J394="",K394=""),"必填欄位未完整",""))</f>
        <v/>
      </c>
      <c r="AB394" s="12">
        <f>IF(A394="","",A394&amp;"|"&amp;G394)</f>
        <v/>
      </c>
    </row>
    <row r="395" ht="24" customHeight="1">
      <c r="A395" s="7" t="n"/>
      <c r="B395" s="7" t="n"/>
      <c r="C395" s="7" t="n"/>
      <c r="D395" s="7" t="n"/>
      <c r="E395" s="7" t="n"/>
      <c r="F395" s="7" t="n"/>
      <c r="G395" s="7" t="n"/>
      <c r="H395" s="8" t="n"/>
      <c r="I395" s="9">
        <f>IF(H395="","",ROUND(H395/3.305785,3))</f>
        <v/>
      </c>
      <c r="J395" s="7" t="n"/>
      <c r="K395" s="7" t="n"/>
      <c r="L395" s="10">
        <f>IF(OR(J395="",K395="",K395=0),"",ROUND(J395/K395,6))</f>
        <v/>
      </c>
      <c r="M395" s="9">
        <f>IF(OR(H395="",J395="",K395="",K395=0),"",ROUND(H395*J395/K395/3.305785,3))</f>
        <v/>
      </c>
      <c r="N395" s="7" t="n"/>
      <c r="O395" s="11" t="n"/>
      <c r="P395" s="11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12">
        <f>IF(A395="","",IF(OR(B395="",C395="",D395="",E395="",G395="",H395="",J395="",K395=""),"必填欄位未完整",""))</f>
        <v/>
      </c>
      <c r="AB395" s="12">
        <f>IF(A395="","",A395&amp;"|"&amp;G395)</f>
        <v/>
      </c>
    </row>
    <row r="396" ht="24" customHeight="1">
      <c r="A396" s="7" t="n"/>
      <c r="B396" s="7" t="n"/>
      <c r="C396" s="7" t="n"/>
      <c r="D396" s="7" t="n"/>
      <c r="E396" s="7" t="n"/>
      <c r="F396" s="7" t="n"/>
      <c r="G396" s="7" t="n"/>
      <c r="H396" s="8" t="n"/>
      <c r="I396" s="9">
        <f>IF(H396="","",ROUND(H396/3.305785,3))</f>
        <v/>
      </c>
      <c r="J396" s="7" t="n"/>
      <c r="K396" s="7" t="n"/>
      <c r="L396" s="10">
        <f>IF(OR(J396="",K396="",K396=0),"",ROUND(J396/K396,6))</f>
        <v/>
      </c>
      <c r="M396" s="9">
        <f>IF(OR(H396="",J396="",K396="",K396=0),"",ROUND(H396*J396/K396/3.305785,3))</f>
        <v/>
      </c>
      <c r="N396" s="7" t="n"/>
      <c r="O396" s="11" t="n"/>
      <c r="P396" s="11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12">
        <f>IF(A396="","",IF(OR(B396="",C396="",D396="",E396="",G396="",H396="",J396="",K396=""),"必填欄位未完整",""))</f>
        <v/>
      </c>
      <c r="AB396" s="12">
        <f>IF(A396="","",A396&amp;"|"&amp;G396)</f>
        <v/>
      </c>
    </row>
    <row r="397" ht="24" customHeight="1">
      <c r="A397" s="7" t="n"/>
      <c r="B397" s="7" t="n"/>
      <c r="C397" s="7" t="n"/>
      <c r="D397" s="7" t="n"/>
      <c r="E397" s="7" t="n"/>
      <c r="F397" s="7" t="n"/>
      <c r="G397" s="7" t="n"/>
      <c r="H397" s="8" t="n"/>
      <c r="I397" s="9">
        <f>IF(H397="","",ROUND(H397/3.305785,3))</f>
        <v/>
      </c>
      <c r="J397" s="7" t="n"/>
      <c r="K397" s="7" t="n"/>
      <c r="L397" s="10">
        <f>IF(OR(J397="",K397="",K397=0),"",ROUND(J397/K397,6))</f>
        <v/>
      </c>
      <c r="M397" s="9">
        <f>IF(OR(H397="",J397="",K397="",K397=0),"",ROUND(H397*J397/K397/3.305785,3))</f>
        <v/>
      </c>
      <c r="N397" s="7" t="n"/>
      <c r="O397" s="11" t="n"/>
      <c r="P397" s="11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12">
        <f>IF(A397="","",IF(OR(B397="",C397="",D397="",E397="",G397="",H397="",J397="",K397=""),"必填欄位未完整",""))</f>
        <v/>
      </c>
      <c r="AB397" s="12">
        <f>IF(A397="","",A397&amp;"|"&amp;G397)</f>
        <v/>
      </c>
    </row>
    <row r="398" ht="24" customHeight="1">
      <c r="A398" s="7" t="n"/>
      <c r="B398" s="7" t="n"/>
      <c r="C398" s="7" t="n"/>
      <c r="D398" s="7" t="n"/>
      <c r="E398" s="7" t="n"/>
      <c r="F398" s="7" t="n"/>
      <c r="G398" s="7" t="n"/>
      <c r="H398" s="8" t="n"/>
      <c r="I398" s="9">
        <f>IF(H398="","",ROUND(H398/3.305785,3))</f>
        <v/>
      </c>
      <c r="J398" s="7" t="n"/>
      <c r="K398" s="7" t="n"/>
      <c r="L398" s="10">
        <f>IF(OR(J398="",K398="",K398=0),"",ROUND(J398/K398,6))</f>
        <v/>
      </c>
      <c r="M398" s="9">
        <f>IF(OR(H398="",J398="",K398="",K398=0),"",ROUND(H398*J398/K398/3.305785,3))</f>
        <v/>
      </c>
      <c r="N398" s="7" t="n"/>
      <c r="O398" s="11" t="n"/>
      <c r="P398" s="11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12">
        <f>IF(A398="","",IF(OR(B398="",C398="",D398="",E398="",G398="",H398="",J398="",K398=""),"必填欄位未完整",""))</f>
        <v/>
      </c>
      <c r="AB398" s="12">
        <f>IF(A398="","",A398&amp;"|"&amp;G398)</f>
        <v/>
      </c>
    </row>
    <row r="399" ht="24" customHeight="1">
      <c r="A399" s="7" t="n"/>
      <c r="B399" s="7" t="n"/>
      <c r="C399" s="7" t="n"/>
      <c r="D399" s="7" t="n"/>
      <c r="E399" s="7" t="n"/>
      <c r="F399" s="7" t="n"/>
      <c r="G399" s="7" t="n"/>
      <c r="H399" s="8" t="n"/>
      <c r="I399" s="9">
        <f>IF(H399="","",ROUND(H399/3.305785,3))</f>
        <v/>
      </c>
      <c r="J399" s="7" t="n"/>
      <c r="K399" s="7" t="n"/>
      <c r="L399" s="10">
        <f>IF(OR(J399="",K399="",K399=0),"",ROUND(J399/K399,6))</f>
        <v/>
      </c>
      <c r="M399" s="9">
        <f>IF(OR(H399="",J399="",K399="",K399=0),"",ROUND(H399*J399/K399/3.305785,3))</f>
        <v/>
      </c>
      <c r="N399" s="7" t="n"/>
      <c r="O399" s="11" t="n"/>
      <c r="P399" s="11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12">
        <f>IF(A399="","",IF(OR(B399="",C399="",D399="",E399="",G399="",H399="",J399="",K399=""),"必填欄位未完整",""))</f>
        <v/>
      </c>
      <c r="AB399" s="12">
        <f>IF(A399="","",A399&amp;"|"&amp;G399)</f>
        <v/>
      </c>
    </row>
    <row r="400" ht="24" customHeight="1">
      <c r="A400" s="7" t="n"/>
      <c r="B400" s="7" t="n"/>
      <c r="C400" s="7" t="n"/>
      <c r="D400" s="7" t="n"/>
      <c r="E400" s="7" t="n"/>
      <c r="F400" s="7" t="n"/>
      <c r="G400" s="7" t="n"/>
      <c r="H400" s="8" t="n"/>
      <c r="I400" s="9">
        <f>IF(H400="","",ROUND(H400/3.305785,3))</f>
        <v/>
      </c>
      <c r="J400" s="7" t="n"/>
      <c r="K400" s="7" t="n"/>
      <c r="L400" s="10">
        <f>IF(OR(J400="",K400="",K400=0),"",ROUND(J400/K400,6))</f>
        <v/>
      </c>
      <c r="M400" s="9">
        <f>IF(OR(H400="",J400="",K400="",K400=0),"",ROUND(H400*J400/K400/3.305785,3))</f>
        <v/>
      </c>
      <c r="N400" s="7" t="n"/>
      <c r="O400" s="11" t="n"/>
      <c r="P400" s="11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12">
        <f>IF(A400="","",IF(OR(B400="",C400="",D400="",E400="",G400="",H400="",J400="",K400=""),"必填欄位未完整",""))</f>
        <v/>
      </c>
      <c r="AB400" s="12">
        <f>IF(A400="","",A400&amp;"|"&amp;G400)</f>
        <v/>
      </c>
    </row>
    <row r="401" ht="24" customHeight="1">
      <c r="A401" s="7" t="n"/>
      <c r="B401" s="7" t="n"/>
      <c r="C401" s="7" t="n"/>
      <c r="D401" s="7" t="n"/>
      <c r="E401" s="7" t="n"/>
      <c r="F401" s="7" t="n"/>
      <c r="G401" s="7" t="n"/>
      <c r="H401" s="8" t="n"/>
      <c r="I401" s="9">
        <f>IF(H401="","",ROUND(H401/3.305785,3))</f>
        <v/>
      </c>
      <c r="J401" s="7" t="n"/>
      <c r="K401" s="7" t="n"/>
      <c r="L401" s="10">
        <f>IF(OR(J401="",K401="",K401=0),"",ROUND(J401/K401,6))</f>
        <v/>
      </c>
      <c r="M401" s="9">
        <f>IF(OR(H401="",J401="",K401="",K401=0),"",ROUND(H401*J401/K401/3.305785,3))</f>
        <v/>
      </c>
      <c r="N401" s="7" t="n"/>
      <c r="O401" s="11" t="n"/>
      <c r="P401" s="11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12">
        <f>IF(A401="","",IF(OR(B401="",C401="",D401="",E401="",G401="",H401="",J401="",K401=""),"必填欄位未完整",""))</f>
        <v/>
      </c>
      <c r="AB401" s="12">
        <f>IF(A401="","",A401&amp;"|"&amp;G401)</f>
        <v/>
      </c>
    </row>
    <row r="402" ht="24" customHeight="1">
      <c r="A402" s="7" t="n"/>
      <c r="B402" s="7" t="n"/>
      <c r="C402" s="7" t="n"/>
      <c r="D402" s="7" t="n"/>
      <c r="E402" s="7" t="n"/>
      <c r="F402" s="7" t="n"/>
      <c r="G402" s="7" t="n"/>
      <c r="H402" s="8" t="n"/>
      <c r="I402" s="9">
        <f>IF(H402="","",ROUND(H402/3.305785,3))</f>
        <v/>
      </c>
      <c r="J402" s="7" t="n"/>
      <c r="K402" s="7" t="n"/>
      <c r="L402" s="10">
        <f>IF(OR(J402="",K402="",K402=0),"",ROUND(J402/K402,6))</f>
        <v/>
      </c>
      <c r="M402" s="9">
        <f>IF(OR(H402="",J402="",K402="",K402=0),"",ROUND(H402*J402/K402/3.305785,3))</f>
        <v/>
      </c>
      <c r="N402" s="7" t="n"/>
      <c r="O402" s="11" t="n"/>
      <c r="P402" s="11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12">
        <f>IF(A402="","",IF(OR(B402="",C402="",D402="",E402="",G402="",H402="",J402="",K402=""),"必填欄位未完整",""))</f>
        <v/>
      </c>
      <c r="AB402" s="12">
        <f>IF(A402="","",A402&amp;"|"&amp;G402)</f>
        <v/>
      </c>
    </row>
    <row r="403" ht="24" customHeight="1">
      <c r="A403" s="7" t="n"/>
      <c r="B403" s="7" t="n"/>
      <c r="C403" s="7" t="n"/>
      <c r="D403" s="7" t="n"/>
      <c r="E403" s="7" t="n"/>
      <c r="F403" s="7" t="n"/>
      <c r="G403" s="7" t="n"/>
      <c r="H403" s="8" t="n"/>
      <c r="I403" s="9">
        <f>IF(H403="","",ROUND(H403/3.305785,3))</f>
        <v/>
      </c>
      <c r="J403" s="7" t="n"/>
      <c r="K403" s="7" t="n"/>
      <c r="L403" s="10">
        <f>IF(OR(J403="",K403="",K403=0),"",ROUND(J403/K403,6))</f>
        <v/>
      </c>
      <c r="M403" s="9">
        <f>IF(OR(H403="",J403="",K403="",K403=0),"",ROUND(H403*J403/K403/3.305785,3))</f>
        <v/>
      </c>
      <c r="N403" s="7" t="n"/>
      <c r="O403" s="11" t="n"/>
      <c r="P403" s="11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12">
        <f>IF(A403="","",IF(OR(B403="",C403="",D403="",E403="",G403="",H403="",J403="",K403=""),"必填欄位未完整",""))</f>
        <v/>
      </c>
      <c r="AB403" s="12">
        <f>IF(A403="","",A403&amp;"|"&amp;G403)</f>
        <v/>
      </c>
    </row>
    <row r="404" ht="24" customHeight="1">
      <c r="A404" s="7" t="n"/>
      <c r="B404" s="7" t="n"/>
      <c r="C404" s="7" t="n"/>
      <c r="D404" s="7" t="n"/>
      <c r="E404" s="7" t="n"/>
      <c r="F404" s="7" t="n"/>
      <c r="G404" s="7" t="n"/>
      <c r="H404" s="8" t="n"/>
      <c r="I404" s="9">
        <f>IF(H404="","",ROUND(H404/3.305785,3))</f>
        <v/>
      </c>
      <c r="J404" s="7" t="n"/>
      <c r="K404" s="7" t="n"/>
      <c r="L404" s="10">
        <f>IF(OR(J404="",K404="",K404=0),"",ROUND(J404/K404,6))</f>
        <v/>
      </c>
      <c r="M404" s="9">
        <f>IF(OR(H404="",J404="",K404="",K404=0),"",ROUND(H404*J404/K404/3.305785,3))</f>
        <v/>
      </c>
      <c r="N404" s="7" t="n"/>
      <c r="O404" s="11" t="n"/>
      <c r="P404" s="11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12">
        <f>IF(A404="","",IF(OR(B404="",C404="",D404="",E404="",G404="",H404="",J404="",K404=""),"必填欄位未完整",""))</f>
        <v/>
      </c>
      <c r="AB404" s="12">
        <f>IF(A404="","",A404&amp;"|"&amp;G404)</f>
        <v/>
      </c>
    </row>
    <row r="405" ht="24" customHeight="1">
      <c r="A405" s="7" t="n"/>
      <c r="B405" s="7" t="n"/>
      <c r="C405" s="7" t="n"/>
      <c r="D405" s="7" t="n"/>
      <c r="E405" s="7" t="n"/>
      <c r="F405" s="7" t="n"/>
      <c r="G405" s="7" t="n"/>
      <c r="H405" s="8" t="n"/>
      <c r="I405" s="9">
        <f>IF(H405="","",ROUND(H405/3.305785,3))</f>
        <v/>
      </c>
      <c r="J405" s="7" t="n"/>
      <c r="K405" s="7" t="n"/>
      <c r="L405" s="10">
        <f>IF(OR(J405="",K405="",K405=0),"",ROUND(J405/K405,6))</f>
        <v/>
      </c>
      <c r="M405" s="9">
        <f>IF(OR(H405="",J405="",K405="",K405=0),"",ROUND(H405*J405/K405/3.305785,3))</f>
        <v/>
      </c>
      <c r="N405" s="7" t="n"/>
      <c r="O405" s="11" t="n"/>
      <c r="P405" s="11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12">
        <f>IF(A405="","",IF(OR(B405="",C405="",D405="",E405="",G405="",H405="",J405="",K405=""),"必填欄位未完整",""))</f>
        <v/>
      </c>
      <c r="AB405" s="12">
        <f>IF(A405="","",A405&amp;"|"&amp;G405)</f>
        <v/>
      </c>
    </row>
    <row r="406" ht="24" customHeight="1">
      <c r="A406" s="7" t="n"/>
      <c r="B406" s="7" t="n"/>
      <c r="C406" s="7" t="n"/>
      <c r="D406" s="7" t="n"/>
      <c r="E406" s="7" t="n"/>
      <c r="F406" s="7" t="n"/>
      <c r="G406" s="7" t="n"/>
      <c r="H406" s="8" t="n"/>
      <c r="I406" s="9">
        <f>IF(H406="","",ROUND(H406/3.305785,3))</f>
        <v/>
      </c>
      <c r="J406" s="7" t="n"/>
      <c r="K406" s="7" t="n"/>
      <c r="L406" s="10">
        <f>IF(OR(J406="",K406="",K406=0),"",ROUND(J406/K406,6))</f>
        <v/>
      </c>
      <c r="M406" s="9">
        <f>IF(OR(H406="",J406="",K406="",K406=0),"",ROUND(H406*J406/K406/3.305785,3))</f>
        <v/>
      </c>
      <c r="N406" s="7" t="n"/>
      <c r="O406" s="11" t="n"/>
      <c r="P406" s="11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12">
        <f>IF(A406="","",IF(OR(B406="",C406="",D406="",E406="",G406="",H406="",J406="",K406=""),"必填欄位未完整",""))</f>
        <v/>
      </c>
      <c r="AB406" s="12">
        <f>IF(A406="","",A406&amp;"|"&amp;G406)</f>
        <v/>
      </c>
    </row>
    <row r="407" ht="24" customHeight="1">
      <c r="A407" s="7" t="n"/>
      <c r="B407" s="7" t="n"/>
      <c r="C407" s="7" t="n"/>
      <c r="D407" s="7" t="n"/>
      <c r="E407" s="7" t="n"/>
      <c r="F407" s="7" t="n"/>
      <c r="G407" s="7" t="n"/>
      <c r="H407" s="8" t="n"/>
      <c r="I407" s="9">
        <f>IF(H407="","",ROUND(H407/3.305785,3))</f>
        <v/>
      </c>
      <c r="J407" s="7" t="n"/>
      <c r="K407" s="7" t="n"/>
      <c r="L407" s="10">
        <f>IF(OR(J407="",K407="",K407=0),"",ROUND(J407/K407,6))</f>
        <v/>
      </c>
      <c r="M407" s="9">
        <f>IF(OR(H407="",J407="",K407="",K407=0),"",ROUND(H407*J407/K407/3.305785,3))</f>
        <v/>
      </c>
      <c r="N407" s="7" t="n"/>
      <c r="O407" s="11" t="n"/>
      <c r="P407" s="11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12">
        <f>IF(A407="","",IF(OR(B407="",C407="",D407="",E407="",G407="",H407="",J407="",K407=""),"必填欄位未完整",""))</f>
        <v/>
      </c>
      <c r="AB407" s="12">
        <f>IF(A407="","",A407&amp;"|"&amp;G407)</f>
        <v/>
      </c>
    </row>
    <row r="408" ht="24" customHeight="1">
      <c r="A408" s="7" t="n"/>
      <c r="B408" s="7" t="n"/>
      <c r="C408" s="7" t="n"/>
      <c r="D408" s="7" t="n"/>
      <c r="E408" s="7" t="n"/>
      <c r="F408" s="7" t="n"/>
      <c r="G408" s="7" t="n"/>
      <c r="H408" s="8" t="n"/>
      <c r="I408" s="9">
        <f>IF(H408="","",ROUND(H408/3.305785,3))</f>
        <v/>
      </c>
      <c r="J408" s="7" t="n"/>
      <c r="K408" s="7" t="n"/>
      <c r="L408" s="10">
        <f>IF(OR(J408="",K408="",K408=0),"",ROUND(J408/K408,6))</f>
        <v/>
      </c>
      <c r="M408" s="9">
        <f>IF(OR(H408="",J408="",K408="",K408=0),"",ROUND(H408*J408/K408/3.305785,3))</f>
        <v/>
      </c>
      <c r="N408" s="7" t="n"/>
      <c r="O408" s="11" t="n"/>
      <c r="P408" s="11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12">
        <f>IF(A408="","",IF(OR(B408="",C408="",D408="",E408="",G408="",H408="",J408="",K408=""),"必填欄位未完整",""))</f>
        <v/>
      </c>
      <c r="AB408" s="12">
        <f>IF(A408="","",A408&amp;"|"&amp;G408)</f>
        <v/>
      </c>
    </row>
    <row r="409" ht="24" customHeight="1">
      <c r="A409" s="7" t="n"/>
      <c r="B409" s="7" t="n"/>
      <c r="C409" s="7" t="n"/>
      <c r="D409" s="7" t="n"/>
      <c r="E409" s="7" t="n"/>
      <c r="F409" s="7" t="n"/>
      <c r="G409" s="7" t="n"/>
      <c r="H409" s="8" t="n"/>
      <c r="I409" s="9">
        <f>IF(H409="","",ROUND(H409/3.305785,3))</f>
        <v/>
      </c>
      <c r="J409" s="7" t="n"/>
      <c r="K409" s="7" t="n"/>
      <c r="L409" s="10">
        <f>IF(OR(J409="",K409="",K409=0),"",ROUND(J409/K409,6))</f>
        <v/>
      </c>
      <c r="M409" s="9">
        <f>IF(OR(H409="",J409="",K409="",K409=0),"",ROUND(H409*J409/K409/3.305785,3))</f>
        <v/>
      </c>
      <c r="N409" s="7" t="n"/>
      <c r="O409" s="11" t="n"/>
      <c r="P409" s="11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12">
        <f>IF(A409="","",IF(OR(B409="",C409="",D409="",E409="",G409="",H409="",J409="",K409=""),"必填欄位未完整",""))</f>
        <v/>
      </c>
      <c r="AB409" s="12">
        <f>IF(A409="","",A409&amp;"|"&amp;G409)</f>
        <v/>
      </c>
    </row>
    <row r="410" ht="24" customHeight="1">
      <c r="A410" s="7" t="n"/>
      <c r="B410" s="7" t="n"/>
      <c r="C410" s="7" t="n"/>
      <c r="D410" s="7" t="n"/>
      <c r="E410" s="7" t="n"/>
      <c r="F410" s="7" t="n"/>
      <c r="G410" s="7" t="n"/>
      <c r="H410" s="8" t="n"/>
      <c r="I410" s="9">
        <f>IF(H410="","",ROUND(H410/3.305785,3))</f>
        <v/>
      </c>
      <c r="J410" s="7" t="n"/>
      <c r="K410" s="7" t="n"/>
      <c r="L410" s="10">
        <f>IF(OR(J410="",K410="",K410=0),"",ROUND(J410/K410,6))</f>
        <v/>
      </c>
      <c r="M410" s="9">
        <f>IF(OR(H410="",J410="",K410="",K410=0),"",ROUND(H410*J410/K410/3.305785,3))</f>
        <v/>
      </c>
      <c r="N410" s="7" t="n"/>
      <c r="O410" s="11" t="n"/>
      <c r="P410" s="11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12">
        <f>IF(A410="","",IF(OR(B410="",C410="",D410="",E410="",G410="",H410="",J410="",K410=""),"必填欄位未完整",""))</f>
        <v/>
      </c>
      <c r="AB410" s="12">
        <f>IF(A410="","",A410&amp;"|"&amp;G410)</f>
        <v/>
      </c>
    </row>
    <row r="411" ht="24" customHeight="1">
      <c r="A411" s="7" t="n"/>
      <c r="B411" s="7" t="n"/>
      <c r="C411" s="7" t="n"/>
      <c r="D411" s="7" t="n"/>
      <c r="E411" s="7" t="n"/>
      <c r="F411" s="7" t="n"/>
      <c r="G411" s="7" t="n"/>
      <c r="H411" s="8" t="n"/>
      <c r="I411" s="9">
        <f>IF(H411="","",ROUND(H411/3.305785,3))</f>
        <v/>
      </c>
      <c r="J411" s="7" t="n"/>
      <c r="K411" s="7" t="n"/>
      <c r="L411" s="10">
        <f>IF(OR(J411="",K411="",K411=0),"",ROUND(J411/K411,6))</f>
        <v/>
      </c>
      <c r="M411" s="9">
        <f>IF(OR(H411="",J411="",K411="",K411=0),"",ROUND(H411*J411/K411/3.305785,3))</f>
        <v/>
      </c>
      <c r="N411" s="7" t="n"/>
      <c r="O411" s="11" t="n"/>
      <c r="P411" s="11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12">
        <f>IF(A411="","",IF(OR(B411="",C411="",D411="",E411="",G411="",H411="",J411="",K411=""),"必填欄位未完整",""))</f>
        <v/>
      </c>
      <c r="AB411" s="12">
        <f>IF(A411="","",A411&amp;"|"&amp;G411)</f>
        <v/>
      </c>
    </row>
    <row r="412" ht="24" customHeight="1">
      <c r="A412" s="7" t="n"/>
      <c r="B412" s="7" t="n"/>
      <c r="C412" s="7" t="n"/>
      <c r="D412" s="7" t="n"/>
      <c r="E412" s="7" t="n"/>
      <c r="F412" s="7" t="n"/>
      <c r="G412" s="7" t="n"/>
      <c r="H412" s="8" t="n"/>
      <c r="I412" s="9">
        <f>IF(H412="","",ROUND(H412/3.305785,3))</f>
        <v/>
      </c>
      <c r="J412" s="7" t="n"/>
      <c r="K412" s="7" t="n"/>
      <c r="L412" s="10">
        <f>IF(OR(J412="",K412="",K412=0),"",ROUND(J412/K412,6))</f>
        <v/>
      </c>
      <c r="M412" s="9">
        <f>IF(OR(H412="",J412="",K412="",K412=0),"",ROUND(H412*J412/K412/3.305785,3))</f>
        <v/>
      </c>
      <c r="N412" s="7" t="n"/>
      <c r="O412" s="11" t="n"/>
      <c r="P412" s="11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12">
        <f>IF(A412="","",IF(OR(B412="",C412="",D412="",E412="",G412="",H412="",J412="",K412=""),"必填欄位未完整",""))</f>
        <v/>
      </c>
      <c r="AB412" s="12">
        <f>IF(A412="","",A412&amp;"|"&amp;G412)</f>
        <v/>
      </c>
    </row>
    <row r="413" ht="24" customHeight="1">
      <c r="A413" s="7" t="n"/>
      <c r="B413" s="7" t="n"/>
      <c r="C413" s="7" t="n"/>
      <c r="D413" s="7" t="n"/>
      <c r="E413" s="7" t="n"/>
      <c r="F413" s="7" t="n"/>
      <c r="G413" s="7" t="n"/>
      <c r="H413" s="8" t="n"/>
      <c r="I413" s="9">
        <f>IF(H413="","",ROUND(H413/3.305785,3))</f>
        <v/>
      </c>
      <c r="J413" s="7" t="n"/>
      <c r="K413" s="7" t="n"/>
      <c r="L413" s="10">
        <f>IF(OR(J413="",K413="",K413=0),"",ROUND(J413/K413,6))</f>
        <v/>
      </c>
      <c r="M413" s="9">
        <f>IF(OR(H413="",J413="",K413="",K413=0),"",ROUND(H413*J413/K413/3.305785,3))</f>
        <v/>
      </c>
      <c r="N413" s="7" t="n"/>
      <c r="O413" s="11" t="n"/>
      <c r="P413" s="11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12">
        <f>IF(A413="","",IF(OR(B413="",C413="",D413="",E413="",G413="",H413="",J413="",K413=""),"必填欄位未完整",""))</f>
        <v/>
      </c>
      <c r="AB413" s="12">
        <f>IF(A413="","",A413&amp;"|"&amp;G413)</f>
        <v/>
      </c>
    </row>
    <row r="414" ht="24" customHeight="1">
      <c r="A414" s="7" t="n"/>
      <c r="B414" s="7" t="n"/>
      <c r="C414" s="7" t="n"/>
      <c r="D414" s="7" t="n"/>
      <c r="E414" s="7" t="n"/>
      <c r="F414" s="7" t="n"/>
      <c r="G414" s="7" t="n"/>
      <c r="H414" s="8" t="n"/>
      <c r="I414" s="9">
        <f>IF(H414="","",ROUND(H414/3.305785,3))</f>
        <v/>
      </c>
      <c r="J414" s="7" t="n"/>
      <c r="K414" s="7" t="n"/>
      <c r="L414" s="10">
        <f>IF(OR(J414="",K414="",K414=0),"",ROUND(J414/K414,6))</f>
        <v/>
      </c>
      <c r="M414" s="9">
        <f>IF(OR(H414="",J414="",K414="",K414=0),"",ROUND(H414*J414/K414/3.305785,3))</f>
        <v/>
      </c>
      <c r="N414" s="7" t="n"/>
      <c r="O414" s="11" t="n"/>
      <c r="P414" s="11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12">
        <f>IF(A414="","",IF(OR(B414="",C414="",D414="",E414="",G414="",H414="",J414="",K414=""),"必填欄位未完整",""))</f>
        <v/>
      </c>
      <c r="AB414" s="12">
        <f>IF(A414="","",A414&amp;"|"&amp;G414)</f>
        <v/>
      </c>
    </row>
    <row r="415" ht="24" customHeight="1">
      <c r="A415" s="7" t="n"/>
      <c r="B415" s="7" t="n"/>
      <c r="C415" s="7" t="n"/>
      <c r="D415" s="7" t="n"/>
      <c r="E415" s="7" t="n"/>
      <c r="F415" s="7" t="n"/>
      <c r="G415" s="7" t="n"/>
      <c r="H415" s="8" t="n"/>
      <c r="I415" s="9">
        <f>IF(H415="","",ROUND(H415/3.305785,3))</f>
        <v/>
      </c>
      <c r="J415" s="7" t="n"/>
      <c r="K415" s="7" t="n"/>
      <c r="L415" s="10">
        <f>IF(OR(J415="",K415="",K415=0),"",ROUND(J415/K415,6))</f>
        <v/>
      </c>
      <c r="M415" s="9">
        <f>IF(OR(H415="",J415="",K415="",K415=0),"",ROUND(H415*J415/K415/3.305785,3))</f>
        <v/>
      </c>
      <c r="N415" s="7" t="n"/>
      <c r="O415" s="11" t="n"/>
      <c r="P415" s="11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12">
        <f>IF(A415="","",IF(OR(B415="",C415="",D415="",E415="",G415="",H415="",J415="",K415=""),"必填欄位未完整",""))</f>
        <v/>
      </c>
      <c r="AB415" s="12">
        <f>IF(A415="","",A415&amp;"|"&amp;G415)</f>
        <v/>
      </c>
    </row>
    <row r="416" ht="24" customHeight="1">
      <c r="A416" s="7" t="n"/>
      <c r="B416" s="7" t="n"/>
      <c r="C416" s="7" t="n"/>
      <c r="D416" s="7" t="n"/>
      <c r="E416" s="7" t="n"/>
      <c r="F416" s="7" t="n"/>
      <c r="G416" s="7" t="n"/>
      <c r="H416" s="8" t="n"/>
      <c r="I416" s="9">
        <f>IF(H416="","",ROUND(H416/3.305785,3))</f>
        <v/>
      </c>
      <c r="J416" s="7" t="n"/>
      <c r="K416" s="7" t="n"/>
      <c r="L416" s="10">
        <f>IF(OR(J416="",K416="",K416=0),"",ROUND(J416/K416,6))</f>
        <v/>
      </c>
      <c r="M416" s="9">
        <f>IF(OR(H416="",J416="",K416="",K416=0),"",ROUND(H416*J416/K416/3.305785,3))</f>
        <v/>
      </c>
      <c r="N416" s="7" t="n"/>
      <c r="O416" s="11" t="n"/>
      <c r="P416" s="11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12">
        <f>IF(A416="","",IF(OR(B416="",C416="",D416="",E416="",G416="",H416="",J416="",K416=""),"必填欄位未完整",""))</f>
        <v/>
      </c>
      <c r="AB416" s="12">
        <f>IF(A416="","",A416&amp;"|"&amp;G416)</f>
        <v/>
      </c>
    </row>
    <row r="417" ht="24" customHeight="1">
      <c r="A417" s="7" t="n"/>
      <c r="B417" s="7" t="n"/>
      <c r="C417" s="7" t="n"/>
      <c r="D417" s="7" t="n"/>
      <c r="E417" s="7" t="n"/>
      <c r="F417" s="7" t="n"/>
      <c r="G417" s="7" t="n"/>
      <c r="H417" s="8" t="n"/>
      <c r="I417" s="9">
        <f>IF(H417="","",ROUND(H417/3.305785,3))</f>
        <v/>
      </c>
      <c r="J417" s="7" t="n"/>
      <c r="K417" s="7" t="n"/>
      <c r="L417" s="10">
        <f>IF(OR(J417="",K417="",K417=0),"",ROUND(J417/K417,6))</f>
        <v/>
      </c>
      <c r="M417" s="9">
        <f>IF(OR(H417="",J417="",K417="",K417=0),"",ROUND(H417*J417/K417/3.305785,3))</f>
        <v/>
      </c>
      <c r="N417" s="7" t="n"/>
      <c r="O417" s="11" t="n"/>
      <c r="P417" s="11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12">
        <f>IF(A417="","",IF(OR(B417="",C417="",D417="",E417="",G417="",H417="",J417="",K417=""),"必填欄位未完整",""))</f>
        <v/>
      </c>
      <c r="AB417" s="12">
        <f>IF(A417="","",A417&amp;"|"&amp;G417)</f>
        <v/>
      </c>
    </row>
    <row r="418" ht="24" customHeight="1">
      <c r="A418" s="7" t="n"/>
      <c r="B418" s="7" t="n"/>
      <c r="C418" s="7" t="n"/>
      <c r="D418" s="7" t="n"/>
      <c r="E418" s="7" t="n"/>
      <c r="F418" s="7" t="n"/>
      <c r="G418" s="7" t="n"/>
      <c r="H418" s="8" t="n"/>
      <c r="I418" s="9">
        <f>IF(H418="","",ROUND(H418/3.305785,3))</f>
        <v/>
      </c>
      <c r="J418" s="7" t="n"/>
      <c r="K418" s="7" t="n"/>
      <c r="L418" s="10">
        <f>IF(OR(J418="",K418="",K418=0),"",ROUND(J418/K418,6))</f>
        <v/>
      </c>
      <c r="M418" s="9">
        <f>IF(OR(H418="",J418="",K418="",K418=0),"",ROUND(H418*J418/K418/3.305785,3))</f>
        <v/>
      </c>
      <c r="N418" s="7" t="n"/>
      <c r="O418" s="11" t="n"/>
      <c r="P418" s="11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12">
        <f>IF(A418="","",IF(OR(B418="",C418="",D418="",E418="",G418="",H418="",J418="",K418=""),"必填欄位未完整",""))</f>
        <v/>
      </c>
      <c r="AB418" s="12">
        <f>IF(A418="","",A418&amp;"|"&amp;G418)</f>
        <v/>
      </c>
    </row>
    <row r="419" ht="24" customHeight="1">
      <c r="A419" s="7" t="n"/>
      <c r="B419" s="7" t="n"/>
      <c r="C419" s="7" t="n"/>
      <c r="D419" s="7" t="n"/>
      <c r="E419" s="7" t="n"/>
      <c r="F419" s="7" t="n"/>
      <c r="G419" s="7" t="n"/>
      <c r="H419" s="8" t="n"/>
      <c r="I419" s="9">
        <f>IF(H419="","",ROUND(H419/3.305785,3))</f>
        <v/>
      </c>
      <c r="J419" s="7" t="n"/>
      <c r="K419" s="7" t="n"/>
      <c r="L419" s="10">
        <f>IF(OR(J419="",K419="",K419=0),"",ROUND(J419/K419,6))</f>
        <v/>
      </c>
      <c r="M419" s="9">
        <f>IF(OR(H419="",J419="",K419="",K419=0),"",ROUND(H419*J419/K419/3.305785,3))</f>
        <v/>
      </c>
      <c r="N419" s="7" t="n"/>
      <c r="O419" s="11" t="n"/>
      <c r="P419" s="11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12">
        <f>IF(A419="","",IF(OR(B419="",C419="",D419="",E419="",G419="",H419="",J419="",K419=""),"必填欄位未完整",""))</f>
        <v/>
      </c>
      <c r="AB419" s="12">
        <f>IF(A419="","",A419&amp;"|"&amp;G419)</f>
        <v/>
      </c>
    </row>
    <row r="420" ht="24" customHeight="1">
      <c r="A420" s="7" t="n"/>
      <c r="B420" s="7" t="n"/>
      <c r="C420" s="7" t="n"/>
      <c r="D420" s="7" t="n"/>
      <c r="E420" s="7" t="n"/>
      <c r="F420" s="7" t="n"/>
      <c r="G420" s="7" t="n"/>
      <c r="H420" s="8" t="n"/>
      <c r="I420" s="9">
        <f>IF(H420="","",ROUND(H420/3.305785,3))</f>
        <v/>
      </c>
      <c r="J420" s="7" t="n"/>
      <c r="K420" s="7" t="n"/>
      <c r="L420" s="10">
        <f>IF(OR(J420="",K420="",K420=0),"",ROUND(J420/K420,6))</f>
        <v/>
      </c>
      <c r="M420" s="9">
        <f>IF(OR(H420="",J420="",K420="",K420=0),"",ROUND(H420*J420/K420/3.305785,3))</f>
        <v/>
      </c>
      <c r="N420" s="7" t="n"/>
      <c r="O420" s="11" t="n"/>
      <c r="P420" s="11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12">
        <f>IF(A420="","",IF(OR(B420="",C420="",D420="",E420="",G420="",H420="",J420="",K420=""),"必填欄位未完整",""))</f>
        <v/>
      </c>
      <c r="AB420" s="12">
        <f>IF(A420="","",A420&amp;"|"&amp;G420)</f>
        <v/>
      </c>
    </row>
    <row r="421" ht="24" customHeight="1">
      <c r="A421" s="7" t="n"/>
      <c r="B421" s="7" t="n"/>
      <c r="C421" s="7" t="n"/>
      <c r="D421" s="7" t="n"/>
      <c r="E421" s="7" t="n"/>
      <c r="F421" s="7" t="n"/>
      <c r="G421" s="7" t="n"/>
      <c r="H421" s="8" t="n"/>
      <c r="I421" s="9">
        <f>IF(H421="","",ROUND(H421/3.305785,3))</f>
        <v/>
      </c>
      <c r="J421" s="7" t="n"/>
      <c r="K421" s="7" t="n"/>
      <c r="L421" s="10">
        <f>IF(OR(J421="",K421="",K421=0),"",ROUND(J421/K421,6))</f>
        <v/>
      </c>
      <c r="M421" s="9">
        <f>IF(OR(H421="",J421="",K421="",K421=0),"",ROUND(H421*J421/K421/3.305785,3))</f>
        <v/>
      </c>
      <c r="N421" s="7" t="n"/>
      <c r="O421" s="11" t="n"/>
      <c r="P421" s="11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12">
        <f>IF(A421="","",IF(OR(B421="",C421="",D421="",E421="",G421="",H421="",J421="",K421=""),"必填欄位未完整",""))</f>
        <v/>
      </c>
      <c r="AB421" s="12">
        <f>IF(A421="","",A421&amp;"|"&amp;G421)</f>
        <v/>
      </c>
    </row>
    <row r="422" ht="24" customHeight="1">
      <c r="A422" s="7" t="n"/>
      <c r="B422" s="7" t="n"/>
      <c r="C422" s="7" t="n"/>
      <c r="D422" s="7" t="n"/>
      <c r="E422" s="7" t="n"/>
      <c r="F422" s="7" t="n"/>
      <c r="G422" s="7" t="n"/>
      <c r="H422" s="8" t="n"/>
      <c r="I422" s="9">
        <f>IF(H422="","",ROUND(H422/3.305785,3))</f>
        <v/>
      </c>
      <c r="J422" s="7" t="n"/>
      <c r="K422" s="7" t="n"/>
      <c r="L422" s="10">
        <f>IF(OR(J422="",K422="",K422=0),"",ROUND(J422/K422,6))</f>
        <v/>
      </c>
      <c r="M422" s="9">
        <f>IF(OR(H422="",J422="",K422="",K422=0),"",ROUND(H422*J422/K422/3.305785,3))</f>
        <v/>
      </c>
      <c r="N422" s="7" t="n"/>
      <c r="O422" s="11" t="n"/>
      <c r="P422" s="11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12">
        <f>IF(A422="","",IF(OR(B422="",C422="",D422="",E422="",G422="",H422="",J422="",K422=""),"必填欄位未完整",""))</f>
        <v/>
      </c>
      <c r="AB422" s="12">
        <f>IF(A422="","",A422&amp;"|"&amp;G422)</f>
        <v/>
      </c>
    </row>
    <row r="423" ht="24" customHeight="1">
      <c r="A423" s="7" t="n"/>
      <c r="B423" s="7" t="n"/>
      <c r="C423" s="7" t="n"/>
      <c r="D423" s="7" t="n"/>
      <c r="E423" s="7" t="n"/>
      <c r="F423" s="7" t="n"/>
      <c r="G423" s="7" t="n"/>
      <c r="H423" s="8" t="n"/>
      <c r="I423" s="9">
        <f>IF(H423="","",ROUND(H423/3.305785,3))</f>
        <v/>
      </c>
      <c r="J423" s="7" t="n"/>
      <c r="K423" s="7" t="n"/>
      <c r="L423" s="10">
        <f>IF(OR(J423="",K423="",K423=0),"",ROUND(J423/K423,6))</f>
        <v/>
      </c>
      <c r="M423" s="9">
        <f>IF(OR(H423="",J423="",K423="",K423=0),"",ROUND(H423*J423/K423/3.305785,3))</f>
        <v/>
      </c>
      <c r="N423" s="7" t="n"/>
      <c r="O423" s="11" t="n"/>
      <c r="P423" s="11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12">
        <f>IF(A423="","",IF(OR(B423="",C423="",D423="",E423="",G423="",H423="",J423="",K423=""),"必填欄位未完整",""))</f>
        <v/>
      </c>
      <c r="AB423" s="12">
        <f>IF(A423="","",A423&amp;"|"&amp;G423)</f>
        <v/>
      </c>
    </row>
    <row r="424" ht="24" customHeight="1">
      <c r="A424" s="7" t="n"/>
      <c r="B424" s="7" t="n"/>
      <c r="C424" s="7" t="n"/>
      <c r="D424" s="7" t="n"/>
      <c r="E424" s="7" t="n"/>
      <c r="F424" s="7" t="n"/>
      <c r="G424" s="7" t="n"/>
      <c r="H424" s="8" t="n"/>
      <c r="I424" s="9">
        <f>IF(H424="","",ROUND(H424/3.305785,3))</f>
        <v/>
      </c>
      <c r="J424" s="7" t="n"/>
      <c r="K424" s="7" t="n"/>
      <c r="L424" s="10">
        <f>IF(OR(J424="",K424="",K424=0),"",ROUND(J424/K424,6))</f>
        <v/>
      </c>
      <c r="M424" s="9">
        <f>IF(OR(H424="",J424="",K424="",K424=0),"",ROUND(H424*J424/K424/3.305785,3))</f>
        <v/>
      </c>
      <c r="N424" s="7" t="n"/>
      <c r="O424" s="11" t="n"/>
      <c r="P424" s="11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12">
        <f>IF(A424="","",IF(OR(B424="",C424="",D424="",E424="",G424="",H424="",J424="",K424=""),"必填欄位未完整",""))</f>
        <v/>
      </c>
      <c r="AB424" s="12">
        <f>IF(A424="","",A424&amp;"|"&amp;G424)</f>
        <v/>
      </c>
    </row>
    <row r="425" ht="24" customHeight="1">
      <c r="A425" s="7" t="n"/>
      <c r="B425" s="7" t="n"/>
      <c r="C425" s="7" t="n"/>
      <c r="D425" s="7" t="n"/>
      <c r="E425" s="7" t="n"/>
      <c r="F425" s="7" t="n"/>
      <c r="G425" s="7" t="n"/>
      <c r="H425" s="8" t="n"/>
      <c r="I425" s="9">
        <f>IF(H425="","",ROUND(H425/3.305785,3))</f>
        <v/>
      </c>
      <c r="J425" s="7" t="n"/>
      <c r="K425" s="7" t="n"/>
      <c r="L425" s="10">
        <f>IF(OR(J425="",K425="",K425=0),"",ROUND(J425/K425,6))</f>
        <v/>
      </c>
      <c r="M425" s="9">
        <f>IF(OR(H425="",J425="",K425="",K425=0),"",ROUND(H425*J425/K425/3.305785,3))</f>
        <v/>
      </c>
      <c r="N425" s="7" t="n"/>
      <c r="O425" s="11" t="n"/>
      <c r="P425" s="11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12">
        <f>IF(A425="","",IF(OR(B425="",C425="",D425="",E425="",G425="",H425="",J425="",K425=""),"必填欄位未完整",""))</f>
        <v/>
      </c>
      <c r="AB425" s="12">
        <f>IF(A425="","",A425&amp;"|"&amp;G425)</f>
        <v/>
      </c>
    </row>
    <row r="426" ht="24" customHeight="1">
      <c r="A426" s="7" t="n"/>
      <c r="B426" s="7" t="n"/>
      <c r="C426" s="7" t="n"/>
      <c r="D426" s="7" t="n"/>
      <c r="E426" s="7" t="n"/>
      <c r="F426" s="7" t="n"/>
      <c r="G426" s="7" t="n"/>
      <c r="H426" s="8" t="n"/>
      <c r="I426" s="9">
        <f>IF(H426="","",ROUND(H426/3.305785,3))</f>
        <v/>
      </c>
      <c r="J426" s="7" t="n"/>
      <c r="K426" s="7" t="n"/>
      <c r="L426" s="10">
        <f>IF(OR(J426="",K426="",K426=0),"",ROUND(J426/K426,6))</f>
        <v/>
      </c>
      <c r="M426" s="9">
        <f>IF(OR(H426="",J426="",K426="",K426=0),"",ROUND(H426*J426/K426/3.305785,3))</f>
        <v/>
      </c>
      <c r="N426" s="7" t="n"/>
      <c r="O426" s="11" t="n"/>
      <c r="P426" s="11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12">
        <f>IF(A426="","",IF(OR(B426="",C426="",D426="",E426="",G426="",H426="",J426="",K426=""),"必填欄位未完整",""))</f>
        <v/>
      </c>
      <c r="AB426" s="12">
        <f>IF(A426="","",A426&amp;"|"&amp;G426)</f>
        <v/>
      </c>
    </row>
    <row r="427" ht="24" customHeight="1">
      <c r="A427" s="7" t="n"/>
      <c r="B427" s="7" t="n"/>
      <c r="C427" s="7" t="n"/>
      <c r="D427" s="7" t="n"/>
      <c r="E427" s="7" t="n"/>
      <c r="F427" s="7" t="n"/>
      <c r="G427" s="7" t="n"/>
      <c r="H427" s="8" t="n"/>
      <c r="I427" s="9">
        <f>IF(H427="","",ROUND(H427/3.305785,3))</f>
        <v/>
      </c>
      <c r="J427" s="7" t="n"/>
      <c r="K427" s="7" t="n"/>
      <c r="L427" s="10">
        <f>IF(OR(J427="",K427="",K427=0),"",ROUND(J427/K427,6))</f>
        <v/>
      </c>
      <c r="M427" s="9">
        <f>IF(OR(H427="",J427="",K427="",K427=0),"",ROUND(H427*J427/K427/3.305785,3))</f>
        <v/>
      </c>
      <c r="N427" s="7" t="n"/>
      <c r="O427" s="11" t="n"/>
      <c r="P427" s="11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12">
        <f>IF(A427="","",IF(OR(B427="",C427="",D427="",E427="",G427="",H427="",J427="",K427=""),"必填欄位未完整",""))</f>
        <v/>
      </c>
      <c r="AB427" s="12">
        <f>IF(A427="","",A427&amp;"|"&amp;G427)</f>
        <v/>
      </c>
    </row>
    <row r="428" ht="24" customHeight="1">
      <c r="A428" s="7" t="n"/>
      <c r="B428" s="7" t="n"/>
      <c r="C428" s="7" t="n"/>
      <c r="D428" s="7" t="n"/>
      <c r="E428" s="7" t="n"/>
      <c r="F428" s="7" t="n"/>
      <c r="G428" s="7" t="n"/>
      <c r="H428" s="8" t="n"/>
      <c r="I428" s="9">
        <f>IF(H428="","",ROUND(H428/3.305785,3))</f>
        <v/>
      </c>
      <c r="J428" s="7" t="n"/>
      <c r="K428" s="7" t="n"/>
      <c r="L428" s="10">
        <f>IF(OR(J428="",K428="",K428=0),"",ROUND(J428/K428,6))</f>
        <v/>
      </c>
      <c r="M428" s="9">
        <f>IF(OR(H428="",J428="",K428="",K428=0),"",ROUND(H428*J428/K428/3.305785,3))</f>
        <v/>
      </c>
      <c r="N428" s="7" t="n"/>
      <c r="O428" s="11" t="n"/>
      <c r="P428" s="11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12">
        <f>IF(A428="","",IF(OR(B428="",C428="",D428="",E428="",G428="",H428="",J428="",K428=""),"必填欄位未完整",""))</f>
        <v/>
      </c>
      <c r="AB428" s="12">
        <f>IF(A428="","",A428&amp;"|"&amp;G428)</f>
        <v/>
      </c>
    </row>
    <row r="429" ht="24" customHeight="1">
      <c r="A429" s="7" t="n"/>
      <c r="B429" s="7" t="n"/>
      <c r="C429" s="7" t="n"/>
      <c r="D429" s="7" t="n"/>
      <c r="E429" s="7" t="n"/>
      <c r="F429" s="7" t="n"/>
      <c r="G429" s="7" t="n"/>
      <c r="H429" s="8" t="n"/>
      <c r="I429" s="9">
        <f>IF(H429="","",ROUND(H429/3.305785,3))</f>
        <v/>
      </c>
      <c r="J429" s="7" t="n"/>
      <c r="K429" s="7" t="n"/>
      <c r="L429" s="10">
        <f>IF(OR(J429="",K429="",K429=0),"",ROUND(J429/K429,6))</f>
        <v/>
      </c>
      <c r="M429" s="9">
        <f>IF(OR(H429="",J429="",K429="",K429=0),"",ROUND(H429*J429/K429/3.305785,3))</f>
        <v/>
      </c>
      <c r="N429" s="7" t="n"/>
      <c r="O429" s="11" t="n"/>
      <c r="P429" s="11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12">
        <f>IF(A429="","",IF(OR(B429="",C429="",D429="",E429="",G429="",H429="",J429="",K429=""),"必填欄位未完整",""))</f>
        <v/>
      </c>
      <c r="AB429" s="12">
        <f>IF(A429="","",A429&amp;"|"&amp;G429)</f>
        <v/>
      </c>
    </row>
    <row r="430" ht="24" customHeight="1">
      <c r="A430" s="7" t="n"/>
      <c r="B430" s="7" t="n"/>
      <c r="C430" s="7" t="n"/>
      <c r="D430" s="7" t="n"/>
      <c r="E430" s="7" t="n"/>
      <c r="F430" s="7" t="n"/>
      <c r="G430" s="7" t="n"/>
      <c r="H430" s="8" t="n"/>
      <c r="I430" s="9">
        <f>IF(H430="","",ROUND(H430/3.305785,3))</f>
        <v/>
      </c>
      <c r="J430" s="7" t="n"/>
      <c r="K430" s="7" t="n"/>
      <c r="L430" s="10">
        <f>IF(OR(J430="",K430="",K430=0),"",ROUND(J430/K430,6))</f>
        <v/>
      </c>
      <c r="M430" s="9">
        <f>IF(OR(H430="",J430="",K430="",K430=0),"",ROUND(H430*J430/K430/3.305785,3))</f>
        <v/>
      </c>
      <c r="N430" s="7" t="n"/>
      <c r="O430" s="11" t="n"/>
      <c r="P430" s="11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12">
        <f>IF(A430="","",IF(OR(B430="",C430="",D430="",E430="",G430="",H430="",J430="",K430=""),"必填欄位未完整",""))</f>
        <v/>
      </c>
      <c r="AB430" s="12">
        <f>IF(A430="","",A430&amp;"|"&amp;G430)</f>
        <v/>
      </c>
    </row>
    <row r="431" ht="24" customHeight="1">
      <c r="A431" s="7" t="n"/>
      <c r="B431" s="7" t="n"/>
      <c r="C431" s="7" t="n"/>
      <c r="D431" s="7" t="n"/>
      <c r="E431" s="7" t="n"/>
      <c r="F431" s="7" t="n"/>
      <c r="G431" s="7" t="n"/>
      <c r="H431" s="8" t="n"/>
      <c r="I431" s="9">
        <f>IF(H431="","",ROUND(H431/3.305785,3))</f>
        <v/>
      </c>
      <c r="J431" s="7" t="n"/>
      <c r="K431" s="7" t="n"/>
      <c r="L431" s="10">
        <f>IF(OR(J431="",K431="",K431=0),"",ROUND(J431/K431,6))</f>
        <v/>
      </c>
      <c r="M431" s="9">
        <f>IF(OR(H431="",J431="",K431="",K431=0),"",ROUND(H431*J431/K431/3.305785,3))</f>
        <v/>
      </c>
      <c r="N431" s="7" t="n"/>
      <c r="O431" s="11" t="n"/>
      <c r="P431" s="11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12">
        <f>IF(A431="","",IF(OR(B431="",C431="",D431="",E431="",G431="",H431="",J431="",K431=""),"必填欄位未完整",""))</f>
        <v/>
      </c>
      <c r="AB431" s="12">
        <f>IF(A431="","",A431&amp;"|"&amp;G431)</f>
        <v/>
      </c>
    </row>
    <row r="432" ht="24" customHeight="1">
      <c r="A432" s="7" t="n"/>
      <c r="B432" s="7" t="n"/>
      <c r="C432" s="7" t="n"/>
      <c r="D432" s="7" t="n"/>
      <c r="E432" s="7" t="n"/>
      <c r="F432" s="7" t="n"/>
      <c r="G432" s="7" t="n"/>
      <c r="H432" s="8" t="n"/>
      <c r="I432" s="9">
        <f>IF(H432="","",ROUND(H432/3.305785,3))</f>
        <v/>
      </c>
      <c r="J432" s="7" t="n"/>
      <c r="K432" s="7" t="n"/>
      <c r="L432" s="10">
        <f>IF(OR(J432="",K432="",K432=0),"",ROUND(J432/K432,6))</f>
        <v/>
      </c>
      <c r="M432" s="9">
        <f>IF(OR(H432="",J432="",K432="",K432=0),"",ROUND(H432*J432/K432/3.305785,3))</f>
        <v/>
      </c>
      <c r="N432" s="7" t="n"/>
      <c r="O432" s="11" t="n"/>
      <c r="P432" s="11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12">
        <f>IF(A432="","",IF(OR(B432="",C432="",D432="",E432="",G432="",H432="",J432="",K432=""),"必填欄位未完整",""))</f>
        <v/>
      </c>
      <c r="AB432" s="12">
        <f>IF(A432="","",A432&amp;"|"&amp;G432)</f>
        <v/>
      </c>
    </row>
    <row r="433" ht="24" customHeight="1">
      <c r="A433" s="7" t="n"/>
      <c r="B433" s="7" t="n"/>
      <c r="C433" s="7" t="n"/>
      <c r="D433" s="7" t="n"/>
      <c r="E433" s="7" t="n"/>
      <c r="F433" s="7" t="n"/>
      <c r="G433" s="7" t="n"/>
      <c r="H433" s="8" t="n"/>
      <c r="I433" s="9">
        <f>IF(H433="","",ROUND(H433/3.305785,3))</f>
        <v/>
      </c>
      <c r="J433" s="7" t="n"/>
      <c r="K433" s="7" t="n"/>
      <c r="L433" s="10">
        <f>IF(OR(J433="",K433="",K433=0),"",ROUND(J433/K433,6))</f>
        <v/>
      </c>
      <c r="M433" s="9">
        <f>IF(OR(H433="",J433="",K433="",K433=0),"",ROUND(H433*J433/K433/3.305785,3))</f>
        <v/>
      </c>
      <c r="N433" s="7" t="n"/>
      <c r="O433" s="11" t="n"/>
      <c r="P433" s="11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12">
        <f>IF(A433="","",IF(OR(B433="",C433="",D433="",E433="",G433="",H433="",J433="",K433=""),"必填欄位未完整",""))</f>
        <v/>
      </c>
      <c r="AB433" s="12">
        <f>IF(A433="","",A433&amp;"|"&amp;G433)</f>
        <v/>
      </c>
    </row>
    <row r="434" ht="24" customHeight="1">
      <c r="A434" s="7" t="n"/>
      <c r="B434" s="7" t="n"/>
      <c r="C434" s="7" t="n"/>
      <c r="D434" s="7" t="n"/>
      <c r="E434" s="7" t="n"/>
      <c r="F434" s="7" t="n"/>
      <c r="G434" s="7" t="n"/>
      <c r="H434" s="8" t="n"/>
      <c r="I434" s="9">
        <f>IF(H434="","",ROUND(H434/3.305785,3))</f>
        <v/>
      </c>
      <c r="J434" s="7" t="n"/>
      <c r="K434" s="7" t="n"/>
      <c r="L434" s="10">
        <f>IF(OR(J434="",K434="",K434=0),"",ROUND(J434/K434,6))</f>
        <v/>
      </c>
      <c r="M434" s="9">
        <f>IF(OR(H434="",J434="",K434="",K434=0),"",ROUND(H434*J434/K434/3.305785,3))</f>
        <v/>
      </c>
      <c r="N434" s="7" t="n"/>
      <c r="O434" s="11" t="n"/>
      <c r="P434" s="11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12">
        <f>IF(A434="","",IF(OR(B434="",C434="",D434="",E434="",G434="",H434="",J434="",K434=""),"必填欄位未完整",""))</f>
        <v/>
      </c>
      <c r="AB434" s="12">
        <f>IF(A434="","",A434&amp;"|"&amp;G434)</f>
        <v/>
      </c>
    </row>
    <row r="435" ht="24" customHeight="1">
      <c r="A435" s="7" t="n"/>
      <c r="B435" s="7" t="n"/>
      <c r="C435" s="7" t="n"/>
      <c r="D435" s="7" t="n"/>
      <c r="E435" s="7" t="n"/>
      <c r="F435" s="7" t="n"/>
      <c r="G435" s="7" t="n"/>
      <c r="H435" s="8" t="n"/>
      <c r="I435" s="9">
        <f>IF(H435="","",ROUND(H435/3.305785,3))</f>
        <v/>
      </c>
      <c r="J435" s="7" t="n"/>
      <c r="K435" s="7" t="n"/>
      <c r="L435" s="10">
        <f>IF(OR(J435="",K435="",K435=0),"",ROUND(J435/K435,6))</f>
        <v/>
      </c>
      <c r="M435" s="9">
        <f>IF(OR(H435="",J435="",K435="",K435=0),"",ROUND(H435*J435/K435/3.305785,3))</f>
        <v/>
      </c>
      <c r="N435" s="7" t="n"/>
      <c r="O435" s="11" t="n"/>
      <c r="P435" s="11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12">
        <f>IF(A435="","",IF(OR(B435="",C435="",D435="",E435="",G435="",H435="",J435="",K435=""),"必填欄位未完整",""))</f>
        <v/>
      </c>
      <c r="AB435" s="12">
        <f>IF(A435="","",A435&amp;"|"&amp;G435)</f>
        <v/>
      </c>
    </row>
    <row r="436" ht="24" customHeight="1">
      <c r="A436" s="7" t="n"/>
      <c r="B436" s="7" t="n"/>
      <c r="C436" s="7" t="n"/>
      <c r="D436" s="7" t="n"/>
      <c r="E436" s="7" t="n"/>
      <c r="F436" s="7" t="n"/>
      <c r="G436" s="7" t="n"/>
      <c r="H436" s="8" t="n"/>
      <c r="I436" s="9">
        <f>IF(H436="","",ROUND(H436/3.305785,3))</f>
        <v/>
      </c>
      <c r="J436" s="7" t="n"/>
      <c r="K436" s="7" t="n"/>
      <c r="L436" s="10">
        <f>IF(OR(J436="",K436="",K436=0),"",ROUND(J436/K436,6))</f>
        <v/>
      </c>
      <c r="M436" s="9">
        <f>IF(OR(H436="",J436="",K436="",K436=0),"",ROUND(H436*J436/K436/3.305785,3))</f>
        <v/>
      </c>
      <c r="N436" s="7" t="n"/>
      <c r="O436" s="11" t="n"/>
      <c r="P436" s="11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12">
        <f>IF(A436="","",IF(OR(B436="",C436="",D436="",E436="",G436="",H436="",J436="",K436=""),"必填欄位未完整",""))</f>
        <v/>
      </c>
      <c r="AB436" s="12">
        <f>IF(A436="","",A436&amp;"|"&amp;G436)</f>
        <v/>
      </c>
    </row>
    <row r="437" ht="24" customHeight="1">
      <c r="A437" s="7" t="n"/>
      <c r="B437" s="7" t="n"/>
      <c r="C437" s="7" t="n"/>
      <c r="D437" s="7" t="n"/>
      <c r="E437" s="7" t="n"/>
      <c r="F437" s="7" t="n"/>
      <c r="G437" s="7" t="n"/>
      <c r="H437" s="8" t="n"/>
      <c r="I437" s="9">
        <f>IF(H437="","",ROUND(H437/3.305785,3))</f>
        <v/>
      </c>
      <c r="J437" s="7" t="n"/>
      <c r="K437" s="7" t="n"/>
      <c r="L437" s="10">
        <f>IF(OR(J437="",K437="",K437=0),"",ROUND(J437/K437,6))</f>
        <v/>
      </c>
      <c r="M437" s="9">
        <f>IF(OR(H437="",J437="",K437="",K437=0),"",ROUND(H437*J437/K437/3.305785,3))</f>
        <v/>
      </c>
      <c r="N437" s="7" t="n"/>
      <c r="O437" s="11" t="n"/>
      <c r="P437" s="11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12">
        <f>IF(A437="","",IF(OR(B437="",C437="",D437="",E437="",G437="",H437="",J437="",K437=""),"必填欄位未完整",""))</f>
        <v/>
      </c>
      <c r="AB437" s="12">
        <f>IF(A437="","",A437&amp;"|"&amp;G437)</f>
        <v/>
      </c>
    </row>
    <row r="438" ht="24" customHeight="1">
      <c r="A438" s="7" t="n"/>
      <c r="B438" s="7" t="n"/>
      <c r="C438" s="7" t="n"/>
      <c r="D438" s="7" t="n"/>
      <c r="E438" s="7" t="n"/>
      <c r="F438" s="7" t="n"/>
      <c r="G438" s="7" t="n"/>
      <c r="H438" s="8" t="n"/>
      <c r="I438" s="9">
        <f>IF(H438="","",ROUND(H438/3.305785,3))</f>
        <v/>
      </c>
      <c r="J438" s="7" t="n"/>
      <c r="K438" s="7" t="n"/>
      <c r="L438" s="10">
        <f>IF(OR(J438="",K438="",K438=0),"",ROUND(J438/K438,6))</f>
        <v/>
      </c>
      <c r="M438" s="9">
        <f>IF(OR(H438="",J438="",K438="",K438=0),"",ROUND(H438*J438/K438/3.305785,3))</f>
        <v/>
      </c>
      <c r="N438" s="7" t="n"/>
      <c r="O438" s="11" t="n"/>
      <c r="P438" s="11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12">
        <f>IF(A438="","",IF(OR(B438="",C438="",D438="",E438="",G438="",H438="",J438="",K438=""),"必填欄位未完整",""))</f>
        <v/>
      </c>
      <c r="AB438" s="12">
        <f>IF(A438="","",A438&amp;"|"&amp;G438)</f>
        <v/>
      </c>
    </row>
    <row r="439" ht="24" customHeight="1">
      <c r="A439" s="7" t="n"/>
      <c r="B439" s="7" t="n"/>
      <c r="C439" s="7" t="n"/>
      <c r="D439" s="7" t="n"/>
      <c r="E439" s="7" t="n"/>
      <c r="F439" s="7" t="n"/>
      <c r="G439" s="7" t="n"/>
      <c r="H439" s="8" t="n"/>
      <c r="I439" s="9">
        <f>IF(H439="","",ROUND(H439/3.305785,3))</f>
        <v/>
      </c>
      <c r="J439" s="7" t="n"/>
      <c r="K439" s="7" t="n"/>
      <c r="L439" s="10">
        <f>IF(OR(J439="",K439="",K439=0),"",ROUND(J439/K439,6))</f>
        <v/>
      </c>
      <c r="M439" s="9">
        <f>IF(OR(H439="",J439="",K439="",K439=0),"",ROUND(H439*J439/K439/3.305785,3))</f>
        <v/>
      </c>
      <c r="N439" s="7" t="n"/>
      <c r="O439" s="11" t="n"/>
      <c r="P439" s="11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12">
        <f>IF(A439="","",IF(OR(B439="",C439="",D439="",E439="",G439="",H439="",J439="",K439=""),"必填欄位未完整",""))</f>
        <v/>
      </c>
      <c r="AB439" s="12">
        <f>IF(A439="","",A439&amp;"|"&amp;G439)</f>
        <v/>
      </c>
    </row>
    <row r="440" ht="24" customHeight="1">
      <c r="A440" s="7" t="n"/>
      <c r="B440" s="7" t="n"/>
      <c r="C440" s="7" t="n"/>
      <c r="D440" s="7" t="n"/>
      <c r="E440" s="7" t="n"/>
      <c r="F440" s="7" t="n"/>
      <c r="G440" s="7" t="n"/>
      <c r="H440" s="8" t="n"/>
      <c r="I440" s="9">
        <f>IF(H440="","",ROUND(H440/3.305785,3))</f>
        <v/>
      </c>
      <c r="J440" s="7" t="n"/>
      <c r="K440" s="7" t="n"/>
      <c r="L440" s="10">
        <f>IF(OR(J440="",K440="",K440=0),"",ROUND(J440/K440,6))</f>
        <v/>
      </c>
      <c r="M440" s="9">
        <f>IF(OR(H440="",J440="",K440="",K440=0),"",ROUND(H440*J440/K440/3.305785,3))</f>
        <v/>
      </c>
      <c r="N440" s="7" t="n"/>
      <c r="O440" s="11" t="n"/>
      <c r="P440" s="11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12">
        <f>IF(A440="","",IF(OR(B440="",C440="",D440="",E440="",G440="",H440="",J440="",K440=""),"必填欄位未完整",""))</f>
        <v/>
      </c>
      <c r="AB440" s="12">
        <f>IF(A440="","",A440&amp;"|"&amp;G440)</f>
        <v/>
      </c>
    </row>
    <row r="441" ht="24" customHeight="1">
      <c r="A441" s="7" t="n"/>
      <c r="B441" s="7" t="n"/>
      <c r="C441" s="7" t="n"/>
      <c r="D441" s="7" t="n"/>
      <c r="E441" s="7" t="n"/>
      <c r="F441" s="7" t="n"/>
      <c r="G441" s="7" t="n"/>
      <c r="H441" s="8" t="n"/>
      <c r="I441" s="9">
        <f>IF(H441="","",ROUND(H441/3.305785,3))</f>
        <v/>
      </c>
      <c r="J441" s="7" t="n"/>
      <c r="K441" s="7" t="n"/>
      <c r="L441" s="10">
        <f>IF(OR(J441="",K441="",K441=0),"",ROUND(J441/K441,6))</f>
        <v/>
      </c>
      <c r="M441" s="9">
        <f>IF(OR(H441="",J441="",K441="",K441=0),"",ROUND(H441*J441/K441/3.305785,3))</f>
        <v/>
      </c>
      <c r="N441" s="7" t="n"/>
      <c r="O441" s="11" t="n"/>
      <c r="P441" s="11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12">
        <f>IF(A441="","",IF(OR(B441="",C441="",D441="",E441="",G441="",H441="",J441="",K441=""),"必填欄位未完整",""))</f>
        <v/>
      </c>
      <c r="AB441" s="12">
        <f>IF(A441="","",A441&amp;"|"&amp;G441)</f>
        <v/>
      </c>
    </row>
    <row r="442" ht="24" customHeight="1">
      <c r="A442" s="7" t="n"/>
      <c r="B442" s="7" t="n"/>
      <c r="C442" s="7" t="n"/>
      <c r="D442" s="7" t="n"/>
      <c r="E442" s="7" t="n"/>
      <c r="F442" s="7" t="n"/>
      <c r="G442" s="7" t="n"/>
      <c r="H442" s="8" t="n"/>
      <c r="I442" s="9">
        <f>IF(H442="","",ROUND(H442/3.305785,3))</f>
        <v/>
      </c>
      <c r="J442" s="7" t="n"/>
      <c r="K442" s="7" t="n"/>
      <c r="L442" s="10">
        <f>IF(OR(J442="",K442="",K442=0),"",ROUND(J442/K442,6))</f>
        <v/>
      </c>
      <c r="M442" s="9">
        <f>IF(OR(H442="",J442="",K442="",K442=0),"",ROUND(H442*J442/K442/3.305785,3))</f>
        <v/>
      </c>
      <c r="N442" s="7" t="n"/>
      <c r="O442" s="11" t="n"/>
      <c r="P442" s="11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12">
        <f>IF(A442="","",IF(OR(B442="",C442="",D442="",E442="",G442="",H442="",J442="",K442=""),"必填欄位未完整",""))</f>
        <v/>
      </c>
      <c r="AB442" s="12">
        <f>IF(A442="","",A442&amp;"|"&amp;G442)</f>
        <v/>
      </c>
    </row>
    <row r="443" ht="24" customHeight="1">
      <c r="A443" s="7" t="n"/>
      <c r="B443" s="7" t="n"/>
      <c r="C443" s="7" t="n"/>
      <c r="D443" s="7" t="n"/>
      <c r="E443" s="7" t="n"/>
      <c r="F443" s="7" t="n"/>
      <c r="G443" s="7" t="n"/>
      <c r="H443" s="8" t="n"/>
      <c r="I443" s="9">
        <f>IF(H443="","",ROUND(H443/3.305785,3))</f>
        <v/>
      </c>
      <c r="J443" s="7" t="n"/>
      <c r="K443" s="7" t="n"/>
      <c r="L443" s="10">
        <f>IF(OR(J443="",K443="",K443=0),"",ROUND(J443/K443,6))</f>
        <v/>
      </c>
      <c r="M443" s="9">
        <f>IF(OR(H443="",J443="",K443="",K443=0),"",ROUND(H443*J443/K443/3.305785,3))</f>
        <v/>
      </c>
      <c r="N443" s="7" t="n"/>
      <c r="O443" s="11" t="n"/>
      <c r="P443" s="11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12">
        <f>IF(A443="","",IF(OR(B443="",C443="",D443="",E443="",G443="",H443="",J443="",K443=""),"必填欄位未完整",""))</f>
        <v/>
      </c>
      <c r="AB443" s="12">
        <f>IF(A443="","",A443&amp;"|"&amp;G443)</f>
        <v/>
      </c>
    </row>
    <row r="444" ht="24" customHeight="1">
      <c r="A444" s="7" t="n"/>
      <c r="B444" s="7" t="n"/>
      <c r="C444" s="7" t="n"/>
      <c r="D444" s="7" t="n"/>
      <c r="E444" s="7" t="n"/>
      <c r="F444" s="7" t="n"/>
      <c r="G444" s="7" t="n"/>
      <c r="H444" s="8" t="n"/>
      <c r="I444" s="9">
        <f>IF(H444="","",ROUND(H444/3.305785,3))</f>
        <v/>
      </c>
      <c r="J444" s="7" t="n"/>
      <c r="K444" s="7" t="n"/>
      <c r="L444" s="10">
        <f>IF(OR(J444="",K444="",K444=0),"",ROUND(J444/K444,6))</f>
        <v/>
      </c>
      <c r="M444" s="9">
        <f>IF(OR(H444="",J444="",K444="",K444=0),"",ROUND(H444*J444/K444/3.305785,3))</f>
        <v/>
      </c>
      <c r="N444" s="7" t="n"/>
      <c r="O444" s="11" t="n"/>
      <c r="P444" s="11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12">
        <f>IF(A444="","",IF(OR(B444="",C444="",D444="",E444="",G444="",H444="",J444="",K444=""),"必填欄位未完整",""))</f>
        <v/>
      </c>
      <c r="AB444" s="12">
        <f>IF(A444="","",A444&amp;"|"&amp;G444)</f>
        <v/>
      </c>
    </row>
    <row r="445" ht="24" customHeight="1">
      <c r="A445" s="7" t="n"/>
      <c r="B445" s="7" t="n"/>
      <c r="C445" s="7" t="n"/>
      <c r="D445" s="7" t="n"/>
      <c r="E445" s="7" t="n"/>
      <c r="F445" s="7" t="n"/>
      <c r="G445" s="7" t="n"/>
      <c r="H445" s="8" t="n"/>
      <c r="I445" s="9">
        <f>IF(H445="","",ROUND(H445/3.305785,3))</f>
        <v/>
      </c>
      <c r="J445" s="7" t="n"/>
      <c r="K445" s="7" t="n"/>
      <c r="L445" s="10">
        <f>IF(OR(J445="",K445="",K445=0),"",ROUND(J445/K445,6))</f>
        <v/>
      </c>
      <c r="M445" s="9">
        <f>IF(OR(H445="",J445="",K445="",K445=0),"",ROUND(H445*J445/K445/3.305785,3))</f>
        <v/>
      </c>
      <c r="N445" s="7" t="n"/>
      <c r="O445" s="11" t="n"/>
      <c r="P445" s="11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12">
        <f>IF(A445="","",IF(OR(B445="",C445="",D445="",E445="",G445="",H445="",J445="",K445=""),"必填欄位未完整",""))</f>
        <v/>
      </c>
      <c r="AB445" s="12">
        <f>IF(A445="","",A445&amp;"|"&amp;G445)</f>
        <v/>
      </c>
    </row>
    <row r="446" ht="24" customHeight="1">
      <c r="A446" s="7" t="n"/>
      <c r="B446" s="7" t="n"/>
      <c r="C446" s="7" t="n"/>
      <c r="D446" s="7" t="n"/>
      <c r="E446" s="7" t="n"/>
      <c r="F446" s="7" t="n"/>
      <c r="G446" s="7" t="n"/>
      <c r="H446" s="8" t="n"/>
      <c r="I446" s="9">
        <f>IF(H446="","",ROUND(H446/3.305785,3))</f>
        <v/>
      </c>
      <c r="J446" s="7" t="n"/>
      <c r="K446" s="7" t="n"/>
      <c r="L446" s="10">
        <f>IF(OR(J446="",K446="",K446=0),"",ROUND(J446/K446,6))</f>
        <v/>
      </c>
      <c r="M446" s="9">
        <f>IF(OR(H446="",J446="",K446="",K446=0),"",ROUND(H446*J446/K446/3.305785,3))</f>
        <v/>
      </c>
      <c r="N446" s="7" t="n"/>
      <c r="O446" s="11" t="n"/>
      <c r="P446" s="11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12">
        <f>IF(A446="","",IF(OR(B446="",C446="",D446="",E446="",G446="",H446="",J446="",K446=""),"必填欄位未完整",""))</f>
        <v/>
      </c>
      <c r="AB446" s="12">
        <f>IF(A446="","",A446&amp;"|"&amp;G446)</f>
        <v/>
      </c>
    </row>
    <row r="447" ht="24" customHeight="1">
      <c r="A447" s="7" t="n"/>
      <c r="B447" s="7" t="n"/>
      <c r="C447" s="7" t="n"/>
      <c r="D447" s="7" t="n"/>
      <c r="E447" s="7" t="n"/>
      <c r="F447" s="7" t="n"/>
      <c r="G447" s="7" t="n"/>
      <c r="H447" s="8" t="n"/>
      <c r="I447" s="9">
        <f>IF(H447="","",ROUND(H447/3.305785,3))</f>
        <v/>
      </c>
      <c r="J447" s="7" t="n"/>
      <c r="K447" s="7" t="n"/>
      <c r="L447" s="10">
        <f>IF(OR(J447="",K447="",K447=0),"",ROUND(J447/K447,6))</f>
        <v/>
      </c>
      <c r="M447" s="9">
        <f>IF(OR(H447="",J447="",K447="",K447=0),"",ROUND(H447*J447/K447/3.305785,3))</f>
        <v/>
      </c>
      <c r="N447" s="7" t="n"/>
      <c r="O447" s="11" t="n"/>
      <c r="P447" s="11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12">
        <f>IF(A447="","",IF(OR(B447="",C447="",D447="",E447="",G447="",H447="",J447="",K447=""),"必填欄位未完整",""))</f>
        <v/>
      </c>
      <c r="AB447" s="12">
        <f>IF(A447="","",A447&amp;"|"&amp;G447)</f>
        <v/>
      </c>
    </row>
    <row r="448" ht="24" customHeight="1">
      <c r="A448" s="7" t="n"/>
      <c r="B448" s="7" t="n"/>
      <c r="C448" s="7" t="n"/>
      <c r="D448" s="7" t="n"/>
      <c r="E448" s="7" t="n"/>
      <c r="F448" s="7" t="n"/>
      <c r="G448" s="7" t="n"/>
      <c r="H448" s="8" t="n"/>
      <c r="I448" s="9">
        <f>IF(H448="","",ROUND(H448/3.305785,3))</f>
        <v/>
      </c>
      <c r="J448" s="7" t="n"/>
      <c r="K448" s="7" t="n"/>
      <c r="L448" s="10">
        <f>IF(OR(J448="",K448="",K448=0),"",ROUND(J448/K448,6))</f>
        <v/>
      </c>
      <c r="M448" s="9">
        <f>IF(OR(H448="",J448="",K448="",K448=0),"",ROUND(H448*J448/K448/3.305785,3))</f>
        <v/>
      </c>
      <c r="N448" s="7" t="n"/>
      <c r="O448" s="11" t="n"/>
      <c r="P448" s="11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12">
        <f>IF(A448="","",IF(OR(B448="",C448="",D448="",E448="",G448="",H448="",J448="",K448=""),"必填欄位未完整",""))</f>
        <v/>
      </c>
      <c r="AB448" s="12">
        <f>IF(A448="","",A448&amp;"|"&amp;G448)</f>
        <v/>
      </c>
    </row>
    <row r="449" ht="24" customHeight="1">
      <c r="A449" s="7" t="n"/>
      <c r="B449" s="7" t="n"/>
      <c r="C449" s="7" t="n"/>
      <c r="D449" s="7" t="n"/>
      <c r="E449" s="7" t="n"/>
      <c r="F449" s="7" t="n"/>
      <c r="G449" s="7" t="n"/>
      <c r="H449" s="8" t="n"/>
      <c r="I449" s="9">
        <f>IF(H449="","",ROUND(H449/3.305785,3))</f>
        <v/>
      </c>
      <c r="J449" s="7" t="n"/>
      <c r="K449" s="7" t="n"/>
      <c r="L449" s="10">
        <f>IF(OR(J449="",K449="",K449=0),"",ROUND(J449/K449,6))</f>
        <v/>
      </c>
      <c r="M449" s="9">
        <f>IF(OR(H449="",J449="",K449="",K449=0),"",ROUND(H449*J449/K449/3.305785,3))</f>
        <v/>
      </c>
      <c r="N449" s="7" t="n"/>
      <c r="O449" s="11" t="n"/>
      <c r="P449" s="11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12">
        <f>IF(A449="","",IF(OR(B449="",C449="",D449="",E449="",G449="",H449="",J449="",K449=""),"必填欄位未完整",""))</f>
        <v/>
      </c>
      <c r="AB449" s="12">
        <f>IF(A449="","",A449&amp;"|"&amp;G449)</f>
        <v/>
      </c>
    </row>
    <row r="450" ht="24" customHeight="1">
      <c r="A450" s="7" t="n"/>
      <c r="B450" s="7" t="n"/>
      <c r="C450" s="7" t="n"/>
      <c r="D450" s="7" t="n"/>
      <c r="E450" s="7" t="n"/>
      <c r="F450" s="7" t="n"/>
      <c r="G450" s="7" t="n"/>
      <c r="H450" s="8" t="n"/>
      <c r="I450" s="9">
        <f>IF(H450="","",ROUND(H450/3.305785,3))</f>
        <v/>
      </c>
      <c r="J450" s="7" t="n"/>
      <c r="K450" s="7" t="n"/>
      <c r="L450" s="10">
        <f>IF(OR(J450="",K450="",K450=0),"",ROUND(J450/K450,6))</f>
        <v/>
      </c>
      <c r="M450" s="9">
        <f>IF(OR(H450="",J450="",K450="",K450=0),"",ROUND(H450*J450/K450/3.305785,3))</f>
        <v/>
      </c>
      <c r="N450" s="7" t="n"/>
      <c r="O450" s="11" t="n"/>
      <c r="P450" s="11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12">
        <f>IF(A450="","",IF(OR(B450="",C450="",D450="",E450="",G450="",H450="",J450="",K450=""),"必填欄位未完整",""))</f>
        <v/>
      </c>
      <c r="AB450" s="12">
        <f>IF(A450="","",A450&amp;"|"&amp;G450)</f>
        <v/>
      </c>
    </row>
    <row r="451" ht="24" customHeight="1">
      <c r="A451" s="7" t="n"/>
      <c r="B451" s="7" t="n"/>
      <c r="C451" s="7" t="n"/>
      <c r="D451" s="7" t="n"/>
      <c r="E451" s="7" t="n"/>
      <c r="F451" s="7" t="n"/>
      <c r="G451" s="7" t="n"/>
      <c r="H451" s="8" t="n"/>
      <c r="I451" s="9">
        <f>IF(H451="","",ROUND(H451/3.305785,3))</f>
        <v/>
      </c>
      <c r="J451" s="7" t="n"/>
      <c r="K451" s="7" t="n"/>
      <c r="L451" s="10">
        <f>IF(OR(J451="",K451="",K451=0),"",ROUND(J451/K451,6))</f>
        <v/>
      </c>
      <c r="M451" s="9">
        <f>IF(OR(H451="",J451="",K451="",K451=0),"",ROUND(H451*J451/K451/3.305785,3))</f>
        <v/>
      </c>
      <c r="N451" s="7" t="n"/>
      <c r="O451" s="11" t="n"/>
      <c r="P451" s="11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12">
        <f>IF(A451="","",IF(OR(B451="",C451="",D451="",E451="",G451="",H451="",J451="",K451=""),"必填欄位未完整",""))</f>
        <v/>
      </c>
      <c r="AB451" s="12">
        <f>IF(A451="","",A451&amp;"|"&amp;G451)</f>
        <v/>
      </c>
    </row>
    <row r="452" ht="24" customHeight="1">
      <c r="A452" s="7" t="n"/>
      <c r="B452" s="7" t="n"/>
      <c r="C452" s="7" t="n"/>
      <c r="D452" s="7" t="n"/>
      <c r="E452" s="7" t="n"/>
      <c r="F452" s="7" t="n"/>
      <c r="G452" s="7" t="n"/>
      <c r="H452" s="8" t="n"/>
      <c r="I452" s="9">
        <f>IF(H452="","",ROUND(H452/3.305785,3))</f>
        <v/>
      </c>
      <c r="J452" s="7" t="n"/>
      <c r="K452" s="7" t="n"/>
      <c r="L452" s="10">
        <f>IF(OR(J452="",K452="",K452=0),"",ROUND(J452/K452,6))</f>
        <v/>
      </c>
      <c r="M452" s="9">
        <f>IF(OR(H452="",J452="",K452="",K452=0),"",ROUND(H452*J452/K452/3.305785,3))</f>
        <v/>
      </c>
      <c r="N452" s="7" t="n"/>
      <c r="O452" s="11" t="n"/>
      <c r="P452" s="11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12">
        <f>IF(A452="","",IF(OR(B452="",C452="",D452="",E452="",G452="",H452="",J452="",K452=""),"必填欄位未完整",""))</f>
        <v/>
      </c>
      <c r="AB452" s="12">
        <f>IF(A452="","",A452&amp;"|"&amp;G452)</f>
        <v/>
      </c>
    </row>
    <row r="453" ht="24" customHeight="1">
      <c r="A453" s="7" t="n"/>
      <c r="B453" s="7" t="n"/>
      <c r="C453" s="7" t="n"/>
      <c r="D453" s="7" t="n"/>
      <c r="E453" s="7" t="n"/>
      <c r="F453" s="7" t="n"/>
      <c r="G453" s="7" t="n"/>
      <c r="H453" s="8" t="n"/>
      <c r="I453" s="9">
        <f>IF(H453="","",ROUND(H453/3.305785,3))</f>
        <v/>
      </c>
      <c r="J453" s="7" t="n"/>
      <c r="K453" s="7" t="n"/>
      <c r="L453" s="10">
        <f>IF(OR(J453="",K453="",K453=0),"",ROUND(J453/K453,6))</f>
        <v/>
      </c>
      <c r="M453" s="9">
        <f>IF(OR(H453="",J453="",K453="",K453=0),"",ROUND(H453*J453/K453/3.305785,3))</f>
        <v/>
      </c>
      <c r="N453" s="7" t="n"/>
      <c r="O453" s="11" t="n"/>
      <c r="P453" s="11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12">
        <f>IF(A453="","",IF(OR(B453="",C453="",D453="",E453="",G453="",H453="",J453="",K453=""),"必填欄位未完整",""))</f>
        <v/>
      </c>
      <c r="AB453" s="12">
        <f>IF(A453="","",A453&amp;"|"&amp;G453)</f>
        <v/>
      </c>
    </row>
    <row r="454" ht="24" customHeight="1">
      <c r="A454" s="7" t="n"/>
      <c r="B454" s="7" t="n"/>
      <c r="C454" s="7" t="n"/>
      <c r="D454" s="7" t="n"/>
      <c r="E454" s="7" t="n"/>
      <c r="F454" s="7" t="n"/>
      <c r="G454" s="7" t="n"/>
      <c r="H454" s="8" t="n"/>
      <c r="I454" s="9">
        <f>IF(H454="","",ROUND(H454/3.305785,3))</f>
        <v/>
      </c>
      <c r="J454" s="7" t="n"/>
      <c r="K454" s="7" t="n"/>
      <c r="L454" s="10">
        <f>IF(OR(J454="",K454="",K454=0),"",ROUND(J454/K454,6))</f>
        <v/>
      </c>
      <c r="M454" s="9">
        <f>IF(OR(H454="",J454="",K454="",K454=0),"",ROUND(H454*J454/K454/3.305785,3))</f>
        <v/>
      </c>
      <c r="N454" s="7" t="n"/>
      <c r="O454" s="11" t="n"/>
      <c r="P454" s="11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12">
        <f>IF(A454="","",IF(OR(B454="",C454="",D454="",E454="",G454="",H454="",J454="",K454=""),"必填欄位未完整",""))</f>
        <v/>
      </c>
      <c r="AB454" s="12">
        <f>IF(A454="","",A454&amp;"|"&amp;G454)</f>
        <v/>
      </c>
    </row>
    <row r="455" ht="24" customHeight="1">
      <c r="A455" s="7" t="n"/>
      <c r="B455" s="7" t="n"/>
      <c r="C455" s="7" t="n"/>
      <c r="D455" s="7" t="n"/>
      <c r="E455" s="7" t="n"/>
      <c r="F455" s="7" t="n"/>
      <c r="G455" s="7" t="n"/>
      <c r="H455" s="8" t="n"/>
      <c r="I455" s="9">
        <f>IF(H455="","",ROUND(H455/3.305785,3))</f>
        <v/>
      </c>
      <c r="J455" s="7" t="n"/>
      <c r="K455" s="7" t="n"/>
      <c r="L455" s="10">
        <f>IF(OR(J455="",K455="",K455=0),"",ROUND(J455/K455,6))</f>
        <v/>
      </c>
      <c r="M455" s="9">
        <f>IF(OR(H455="",J455="",K455="",K455=0),"",ROUND(H455*J455/K455/3.305785,3))</f>
        <v/>
      </c>
      <c r="N455" s="7" t="n"/>
      <c r="O455" s="11" t="n"/>
      <c r="P455" s="11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12">
        <f>IF(A455="","",IF(OR(B455="",C455="",D455="",E455="",G455="",H455="",J455="",K455=""),"必填欄位未完整",""))</f>
        <v/>
      </c>
      <c r="AB455" s="12">
        <f>IF(A455="","",A455&amp;"|"&amp;G455)</f>
        <v/>
      </c>
    </row>
    <row r="456" ht="24" customHeight="1">
      <c r="A456" s="7" t="n"/>
      <c r="B456" s="7" t="n"/>
      <c r="C456" s="7" t="n"/>
      <c r="D456" s="7" t="n"/>
      <c r="E456" s="7" t="n"/>
      <c r="F456" s="7" t="n"/>
      <c r="G456" s="7" t="n"/>
      <c r="H456" s="8" t="n"/>
      <c r="I456" s="9">
        <f>IF(H456="","",ROUND(H456/3.305785,3))</f>
        <v/>
      </c>
      <c r="J456" s="7" t="n"/>
      <c r="K456" s="7" t="n"/>
      <c r="L456" s="10">
        <f>IF(OR(J456="",K456="",K456=0),"",ROUND(J456/K456,6))</f>
        <v/>
      </c>
      <c r="M456" s="9">
        <f>IF(OR(H456="",J456="",K456="",K456=0),"",ROUND(H456*J456/K456/3.305785,3))</f>
        <v/>
      </c>
      <c r="N456" s="7" t="n"/>
      <c r="O456" s="11" t="n"/>
      <c r="P456" s="11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12">
        <f>IF(A456="","",IF(OR(B456="",C456="",D456="",E456="",G456="",H456="",J456="",K456=""),"必填欄位未完整",""))</f>
        <v/>
      </c>
      <c r="AB456" s="12">
        <f>IF(A456="","",A456&amp;"|"&amp;G456)</f>
        <v/>
      </c>
    </row>
    <row r="457" ht="24" customHeight="1">
      <c r="A457" s="7" t="n"/>
      <c r="B457" s="7" t="n"/>
      <c r="C457" s="7" t="n"/>
      <c r="D457" s="7" t="n"/>
      <c r="E457" s="7" t="n"/>
      <c r="F457" s="7" t="n"/>
      <c r="G457" s="7" t="n"/>
      <c r="H457" s="8" t="n"/>
      <c r="I457" s="9">
        <f>IF(H457="","",ROUND(H457/3.305785,3))</f>
        <v/>
      </c>
      <c r="J457" s="7" t="n"/>
      <c r="K457" s="7" t="n"/>
      <c r="L457" s="10">
        <f>IF(OR(J457="",K457="",K457=0),"",ROUND(J457/K457,6))</f>
        <v/>
      </c>
      <c r="M457" s="9">
        <f>IF(OR(H457="",J457="",K457="",K457=0),"",ROUND(H457*J457/K457/3.305785,3))</f>
        <v/>
      </c>
      <c r="N457" s="7" t="n"/>
      <c r="O457" s="11" t="n"/>
      <c r="P457" s="11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12">
        <f>IF(A457="","",IF(OR(B457="",C457="",D457="",E457="",G457="",H457="",J457="",K457=""),"必填欄位未完整",""))</f>
        <v/>
      </c>
      <c r="AB457" s="12">
        <f>IF(A457="","",A457&amp;"|"&amp;G457)</f>
        <v/>
      </c>
    </row>
    <row r="458" ht="24" customHeight="1">
      <c r="A458" s="7" t="n"/>
      <c r="B458" s="7" t="n"/>
      <c r="C458" s="7" t="n"/>
      <c r="D458" s="7" t="n"/>
      <c r="E458" s="7" t="n"/>
      <c r="F458" s="7" t="n"/>
      <c r="G458" s="7" t="n"/>
      <c r="H458" s="8" t="n"/>
      <c r="I458" s="9">
        <f>IF(H458="","",ROUND(H458/3.305785,3))</f>
        <v/>
      </c>
      <c r="J458" s="7" t="n"/>
      <c r="K458" s="7" t="n"/>
      <c r="L458" s="10">
        <f>IF(OR(J458="",K458="",K458=0),"",ROUND(J458/K458,6))</f>
        <v/>
      </c>
      <c r="M458" s="9">
        <f>IF(OR(H458="",J458="",K458="",K458=0),"",ROUND(H458*J458/K458/3.305785,3))</f>
        <v/>
      </c>
      <c r="N458" s="7" t="n"/>
      <c r="O458" s="11" t="n"/>
      <c r="P458" s="11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12">
        <f>IF(A458="","",IF(OR(B458="",C458="",D458="",E458="",G458="",H458="",J458="",K458=""),"必填欄位未完整",""))</f>
        <v/>
      </c>
      <c r="AB458" s="12">
        <f>IF(A458="","",A458&amp;"|"&amp;G458)</f>
        <v/>
      </c>
    </row>
    <row r="459" ht="24" customHeight="1">
      <c r="A459" s="7" t="n"/>
      <c r="B459" s="7" t="n"/>
      <c r="C459" s="7" t="n"/>
      <c r="D459" s="7" t="n"/>
      <c r="E459" s="7" t="n"/>
      <c r="F459" s="7" t="n"/>
      <c r="G459" s="7" t="n"/>
      <c r="H459" s="8" t="n"/>
      <c r="I459" s="9">
        <f>IF(H459="","",ROUND(H459/3.305785,3))</f>
        <v/>
      </c>
      <c r="J459" s="7" t="n"/>
      <c r="K459" s="7" t="n"/>
      <c r="L459" s="10">
        <f>IF(OR(J459="",K459="",K459=0),"",ROUND(J459/K459,6))</f>
        <v/>
      </c>
      <c r="M459" s="9">
        <f>IF(OR(H459="",J459="",K459="",K459=0),"",ROUND(H459*J459/K459/3.305785,3))</f>
        <v/>
      </c>
      <c r="N459" s="7" t="n"/>
      <c r="O459" s="11" t="n"/>
      <c r="P459" s="11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12">
        <f>IF(A459="","",IF(OR(B459="",C459="",D459="",E459="",G459="",H459="",J459="",K459=""),"必填欄位未完整",""))</f>
        <v/>
      </c>
      <c r="AB459" s="12">
        <f>IF(A459="","",A459&amp;"|"&amp;G459)</f>
        <v/>
      </c>
    </row>
    <row r="460" ht="24" customHeight="1">
      <c r="A460" s="7" t="n"/>
      <c r="B460" s="7" t="n"/>
      <c r="C460" s="7" t="n"/>
      <c r="D460" s="7" t="n"/>
      <c r="E460" s="7" t="n"/>
      <c r="F460" s="7" t="n"/>
      <c r="G460" s="7" t="n"/>
      <c r="H460" s="8" t="n"/>
      <c r="I460" s="9">
        <f>IF(H460="","",ROUND(H460/3.305785,3))</f>
        <v/>
      </c>
      <c r="J460" s="7" t="n"/>
      <c r="K460" s="7" t="n"/>
      <c r="L460" s="10">
        <f>IF(OR(J460="",K460="",K460=0),"",ROUND(J460/K460,6))</f>
        <v/>
      </c>
      <c r="M460" s="9">
        <f>IF(OR(H460="",J460="",K460="",K460=0),"",ROUND(H460*J460/K460/3.305785,3))</f>
        <v/>
      </c>
      <c r="N460" s="7" t="n"/>
      <c r="O460" s="11" t="n"/>
      <c r="P460" s="11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12">
        <f>IF(A460="","",IF(OR(B460="",C460="",D460="",E460="",G460="",H460="",J460="",K460=""),"必填欄位未完整",""))</f>
        <v/>
      </c>
      <c r="AB460" s="12">
        <f>IF(A460="","",A460&amp;"|"&amp;G460)</f>
        <v/>
      </c>
    </row>
    <row r="461" ht="24" customHeight="1">
      <c r="A461" s="7" t="n"/>
      <c r="B461" s="7" t="n"/>
      <c r="C461" s="7" t="n"/>
      <c r="D461" s="7" t="n"/>
      <c r="E461" s="7" t="n"/>
      <c r="F461" s="7" t="n"/>
      <c r="G461" s="7" t="n"/>
      <c r="H461" s="8" t="n"/>
      <c r="I461" s="9">
        <f>IF(H461="","",ROUND(H461/3.305785,3))</f>
        <v/>
      </c>
      <c r="J461" s="7" t="n"/>
      <c r="K461" s="7" t="n"/>
      <c r="L461" s="10">
        <f>IF(OR(J461="",K461="",K461=0),"",ROUND(J461/K461,6))</f>
        <v/>
      </c>
      <c r="M461" s="9">
        <f>IF(OR(H461="",J461="",K461="",K461=0),"",ROUND(H461*J461/K461/3.305785,3))</f>
        <v/>
      </c>
      <c r="N461" s="7" t="n"/>
      <c r="O461" s="11" t="n"/>
      <c r="P461" s="11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12">
        <f>IF(A461="","",IF(OR(B461="",C461="",D461="",E461="",G461="",H461="",J461="",K461=""),"必填欄位未完整",""))</f>
        <v/>
      </c>
      <c r="AB461" s="12">
        <f>IF(A461="","",A461&amp;"|"&amp;G461)</f>
        <v/>
      </c>
    </row>
    <row r="462" ht="24" customHeight="1">
      <c r="A462" s="7" t="n"/>
      <c r="B462" s="7" t="n"/>
      <c r="C462" s="7" t="n"/>
      <c r="D462" s="7" t="n"/>
      <c r="E462" s="7" t="n"/>
      <c r="F462" s="7" t="n"/>
      <c r="G462" s="7" t="n"/>
      <c r="H462" s="8" t="n"/>
      <c r="I462" s="9">
        <f>IF(H462="","",ROUND(H462/3.305785,3))</f>
        <v/>
      </c>
      <c r="J462" s="7" t="n"/>
      <c r="K462" s="7" t="n"/>
      <c r="L462" s="10">
        <f>IF(OR(J462="",K462="",K462=0),"",ROUND(J462/K462,6))</f>
        <v/>
      </c>
      <c r="M462" s="9">
        <f>IF(OR(H462="",J462="",K462="",K462=0),"",ROUND(H462*J462/K462/3.305785,3))</f>
        <v/>
      </c>
      <c r="N462" s="7" t="n"/>
      <c r="O462" s="11" t="n"/>
      <c r="P462" s="11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12">
        <f>IF(A462="","",IF(OR(B462="",C462="",D462="",E462="",G462="",H462="",J462="",K462=""),"必填欄位未完整",""))</f>
        <v/>
      </c>
      <c r="AB462" s="12">
        <f>IF(A462="","",A462&amp;"|"&amp;G462)</f>
        <v/>
      </c>
    </row>
    <row r="463" ht="24" customHeight="1">
      <c r="A463" s="7" t="n"/>
      <c r="B463" s="7" t="n"/>
      <c r="C463" s="7" t="n"/>
      <c r="D463" s="7" t="n"/>
      <c r="E463" s="7" t="n"/>
      <c r="F463" s="7" t="n"/>
      <c r="G463" s="7" t="n"/>
      <c r="H463" s="8" t="n"/>
      <c r="I463" s="9">
        <f>IF(H463="","",ROUND(H463/3.305785,3))</f>
        <v/>
      </c>
      <c r="J463" s="7" t="n"/>
      <c r="K463" s="7" t="n"/>
      <c r="L463" s="10">
        <f>IF(OR(J463="",K463="",K463=0),"",ROUND(J463/K463,6))</f>
        <v/>
      </c>
      <c r="M463" s="9">
        <f>IF(OR(H463="",J463="",K463="",K463=0),"",ROUND(H463*J463/K463/3.305785,3))</f>
        <v/>
      </c>
      <c r="N463" s="7" t="n"/>
      <c r="O463" s="11" t="n"/>
      <c r="P463" s="11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12">
        <f>IF(A463="","",IF(OR(B463="",C463="",D463="",E463="",G463="",H463="",J463="",K463=""),"必填欄位未完整",""))</f>
        <v/>
      </c>
      <c r="AB463" s="12">
        <f>IF(A463="","",A463&amp;"|"&amp;G463)</f>
        <v/>
      </c>
    </row>
    <row r="464" ht="24" customHeight="1">
      <c r="A464" s="7" t="n"/>
      <c r="B464" s="7" t="n"/>
      <c r="C464" s="7" t="n"/>
      <c r="D464" s="7" t="n"/>
      <c r="E464" s="7" t="n"/>
      <c r="F464" s="7" t="n"/>
      <c r="G464" s="7" t="n"/>
      <c r="H464" s="8" t="n"/>
      <c r="I464" s="9">
        <f>IF(H464="","",ROUND(H464/3.305785,3))</f>
        <v/>
      </c>
      <c r="J464" s="7" t="n"/>
      <c r="K464" s="7" t="n"/>
      <c r="L464" s="10">
        <f>IF(OR(J464="",K464="",K464=0),"",ROUND(J464/K464,6))</f>
        <v/>
      </c>
      <c r="M464" s="9">
        <f>IF(OR(H464="",J464="",K464="",K464=0),"",ROUND(H464*J464/K464/3.305785,3))</f>
        <v/>
      </c>
      <c r="N464" s="7" t="n"/>
      <c r="O464" s="11" t="n"/>
      <c r="P464" s="11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12">
        <f>IF(A464="","",IF(OR(B464="",C464="",D464="",E464="",G464="",H464="",J464="",K464=""),"必填欄位未完整",""))</f>
        <v/>
      </c>
      <c r="AB464" s="12">
        <f>IF(A464="","",A464&amp;"|"&amp;G464)</f>
        <v/>
      </c>
    </row>
    <row r="465" ht="24" customHeight="1">
      <c r="A465" s="7" t="n"/>
      <c r="B465" s="7" t="n"/>
      <c r="C465" s="7" t="n"/>
      <c r="D465" s="7" t="n"/>
      <c r="E465" s="7" t="n"/>
      <c r="F465" s="7" t="n"/>
      <c r="G465" s="7" t="n"/>
      <c r="H465" s="8" t="n"/>
      <c r="I465" s="9">
        <f>IF(H465="","",ROUND(H465/3.305785,3))</f>
        <v/>
      </c>
      <c r="J465" s="7" t="n"/>
      <c r="K465" s="7" t="n"/>
      <c r="L465" s="10">
        <f>IF(OR(J465="",K465="",K465=0),"",ROUND(J465/K465,6))</f>
        <v/>
      </c>
      <c r="M465" s="9">
        <f>IF(OR(H465="",J465="",K465="",K465=0),"",ROUND(H465*J465/K465/3.305785,3))</f>
        <v/>
      </c>
      <c r="N465" s="7" t="n"/>
      <c r="O465" s="11" t="n"/>
      <c r="P465" s="11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12">
        <f>IF(A465="","",IF(OR(B465="",C465="",D465="",E465="",G465="",H465="",J465="",K465=""),"必填欄位未完整",""))</f>
        <v/>
      </c>
      <c r="AB465" s="12">
        <f>IF(A465="","",A465&amp;"|"&amp;G465)</f>
        <v/>
      </c>
    </row>
    <row r="466" ht="24" customHeight="1">
      <c r="A466" s="7" t="n"/>
      <c r="B466" s="7" t="n"/>
      <c r="C466" s="7" t="n"/>
      <c r="D466" s="7" t="n"/>
      <c r="E466" s="7" t="n"/>
      <c r="F466" s="7" t="n"/>
      <c r="G466" s="7" t="n"/>
      <c r="H466" s="8" t="n"/>
      <c r="I466" s="9">
        <f>IF(H466="","",ROUND(H466/3.305785,3))</f>
        <v/>
      </c>
      <c r="J466" s="7" t="n"/>
      <c r="K466" s="7" t="n"/>
      <c r="L466" s="10">
        <f>IF(OR(J466="",K466="",K466=0),"",ROUND(J466/K466,6))</f>
        <v/>
      </c>
      <c r="M466" s="9">
        <f>IF(OR(H466="",J466="",K466="",K466=0),"",ROUND(H466*J466/K466/3.305785,3))</f>
        <v/>
      </c>
      <c r="N466" s="7" t="n"/>
      <c r="O466" s="11" t="n"/>
      <c r="P466" s="11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12">
        <f>IF(A466="","",IF(OR(B466="",C466="",D466="",E466="",G466="",H466="",J466="",K466=""),"必填欄位未完整",""))</f>
        <v/>
      </c>
      <c r="AB466" s="12">
        <f>IF(A466="","",A466&amp;"|"&amp;G466)</f>
        <v/>
      </c>
    </row>
    <row r="467" ht="24" customHeight="1">
      <c r="A467" s="7" t="n"/>
      <c r="B467" s="7" t="n"/>
      <c r="C467" s="7" t="n"/>
      <c r="D467" s="7" t="n"/>
      <c r="E467" s="7" t="n"/>
      <c r="F467" s="7" t="n"/>
      <c r="G467" s="7" t="n"/>
      <c r="H467" s="8" t="n"/>
      <c r="I467" s="9">
        <f>IF(H467="","",ROUND(H467/3.305785,3))</f>
        <v/>
      </c>
      <c r="J467" s="7" t="n"/>
      <c r="K467" s="7" t="n"/>
      <c r="L467" s="10">
        <f>IF(OR(J467="",K467="",K467=0),"",ROUND(J467/K467,6))</f>
        <v/>
      </c>
      <c r="M467" s="9">
        <f>IF(OR(H467="",J467="",K467="",K467=0),"",ROUND(H467*J467/K467/3.305785,3))</f>
        <v/>
      </c>
      <c r="N467" s="7" t="n"/>
      <c r="O467" s="11" t="n"/>
      <c r="P467" s="11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12">
        <f>IF(A467="","",IF(OR(B467="",C467="",D467="",E467="",G467="",H467="",J467="",K467=""),"必填欄位未完整",""))</f>
        <v/>
      </c>
      <c r="AB467" s="12">
        <f>IF(A467="","",A467&amp;"|"&amp;G467)</f>
        <v/>
      </c>
    </row>
    <row r="468" ht="24" customHeight="1">
      <c r="A468" s="7" t="n"/>
      <c r="B468" s="7" t="n"/>
      <c r="C468" s="7" t="n"/>
      <c r="D468" s="7" t="n"/>
      <c r="E468" s="7" t="n"/>
      <c r="F468" s="7" t="n"/>
      <c r="G468" s="7" t="n"/>
      <c r="H468" s="8" t="n"/>
      <c r="I468" s="9">
        <f>IF(H468="","",ROUND(H468/3.305785,3))</f>
        <v/>
      </c>
      <c r="J468" s="7" t="n"/>
      <c r="K468" s="7" t="n"/>
      <c r="L468" s="10">
        <f>IF(OR(J468="",K468="",K468=0),"",ROUND(J468/K468,6))</f>
        <v/>
      </c>
      <c r="M468" s="9">
        <f>IF(OR(H468="",J468="",K468="",K468=0),"",ROUND(H468*J468/K468/3.305785,3))</f>
        <v/>
      </c>
      <c r="N468" s="7" t="n"/>
      <c r="O468" s="11" t="n"/>
      <c r="P468" s="11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12">
        <f>IF(A468="","",IF(OR(B468="",C468="",D468="",E468="",G468="",H468="",J468="",K468=""),"必填欄位未完整",""))</f>
        <v/>
      </c>
      <c r="AB468" s="12">
        <f>IF(A468="","",A468&amp;"|"&amp;G468)</f>
        <v/>
      </c>
    </row>
    <row r="469" ht="24" customHeight="1">
      <c r="A469" s="7" t="n"/>
      <c r="B469" s="7" t="n"/>
      <c r="C469" s="7" t="n"/>
      <c r="D469" s="7" t="n"/>
      <c r="E469" s="7" t="n"/>
      <c r="F469" s="7" t="n"/>
      <c r="G469" s="7" t="n"/>
      <c r="H469" s="8" t="n"/>
      <c r="I469" s="9">
        <f>IF(H469="","",ROUND(H469/3.305785,3))</f>
        <v/>
      </c>
      <c r="J469" s="7" t="n"/>
      <c r="K469" s="7" t="n"/>
      <c r="L469" s="10">
        <f>IF(OR(J469="",K469="",K469=0),"",ROUND(J469/K469,6))</f>
        <v/>
      </c>
      <c r="M469" s="9">
        <f>IF(OR(H469="",J469="",K469="",K469=0),"",ROUND(H469*J469/K469/3.305785,3))</f>
        <v/>
      </c>
      <c r="N469" s="7" t="n"/>
      <c r="O469" s="11" t="n"/>
      <c r="P469" s="11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12">
        <f>IF(A469="","",IF(OR(B469="",C469="",D469="",E469="",G469="",H469="",J469="",K469=""),"必填欄位未完整",""))</f>
        <v/>
      </c>
      <c r="AB469" s="12">
        <f>IF(A469="","",A469&amp;"|"&amp;G469)</f>
        <v/>
      </c>
    </row>
    <row r="470" ht="24" customHeight="1">
      <c r="A470" s="7" t="n"/>
      <c r="B470" s="7" t="n"/>
      <c r="C470" s="7" t="n"/>
      <c r="D470" s="7" t="n"/>
      <c r="E470" s="7" t="n"/>
      <c r="F470" s="7" t="n"/>
      <c r="G470" s="7" t="n"/>
      <c r="H470" s="8" t="n"/>
      <c r="I470" s="9">
        <f>IF(H470="","",ROUND(H470/3.305785,3))</f>
        <v/>
      </c>
      <c r="J470" s="7" t="n"/>
      <c r="K470" s="7" t="n"/>
      <c r="L470" s="10">
        <f>IF(OR(J470="",K470="",K470=0),"",ROUND(J470/K470,6))</f>
        <v/>
      </c>
      <c r="M470" s="9">
        <f>IF(OR(H470="",J470="",K470="",K470=0),"",ROUND(H470*J470/K470/3.305785,3))</f>
        <v/>
      </c>
      <c r="N470" s="7" t="n"/>
      <c r="O470" s="11" t="n"/>
      <c r="P470" s="11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12">
        <f>IF(A470="","",IF(OR(B470="",C470="",D470="",E470="",G470="",H470="",J470="",K470=""),"必填欄位未完整",""))</f>
        <v/>
      </c>
      <c r="AB470" s="12">
        <f>IF(A470="","",A470&amp;"|"&amp;G470)</f>
        <v/>
      </c>
    </row>
    <row r="471" ht="24" customHeight="1">
      <c r="A471" s="7" t="n"/>
      <c r="B471" s="7" t="n"/>
      <c r="C471" s="7" t="n"/>
      <c r="D471" s="7" t="n"/>
      <c r="E471" s="7" t="n"/>
      <c r="F471" s="7" t="n"/>
      <c r="G471" s="7" t="n"/>
      <c r="H471" s="8" t="n"/>
      <c r="I471" s="9">
        <f>IF(H471="","",ROUND(H471/3.305785,3))</f>
        <v/>
      </c>
      <c r="J471" s="7" t="n"/>
      <c r="K471" s="7" t="n"/>
      <c r="L471" s="10">
        <f>IF(OR(J471="",K471="",K471=0),"",ROUND(J471/K471,6))</f>
        <v/>
      </c>
      <c r="M471" s="9">
        <f>IF(OR(H471="",J471="",K471="",K471=0),"",ROUND(H471*J471/K471/3.305785,3))</f>
        <v/>
      </c>
      <c r="N471" s="7" t="n"/>
      <c r="O471" s="11" t="n"/>
      <c r="P471" s="11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12">
        <f>IF(A471="","",IF(OR(B471="",C471="",D471="",E471="",G471="",H471="",J471="",K471=""),"必填欄位未完整",""))</f>
        <v/>
      </c>
      <c r="AB471" s="12">
        <f>IF(A471="","",A471&amp;"|"&amp;G471)</f>
        <v/>
      </c>
    </row>
    <row r="472" ht="24" customHeight="1">
      <c r="A472" s="7" t="n"/>
      <c r="B472" s="7" t="n"/>
      <c r="C472" s="7" t="n"/>
      <c r="D472" s="7" t="n"/>
      <c r="E472" s="7" t="n"/>
      <c r="F472" s="7" t="n"/>
      <c r="G472" s="7" t="n"/>
      <c r="H472" s="8" t="n"/>
      <c r="I472" s="9">
        <f>IF(H472="","",ROUND(H472/3.305785,3))</f>
        <v/>
      </c>
      <c r="J472" s="7" t="n"/>
      <c r="K472" s="7" t="n"/>
      <c r="L472" s="10">
        <f>IF(OR(J472="",K472="",K472=0),"",ROUND(J472/K472,6))</f>
        <v/>
      </c>
      <c r="M472" s="9">
        <f>IF(OR(H472="",J472="",K472="",K472=0),"",ROUND(H472*J472/K472/3.305785,3))</f>
        <v/>
      </c>
      <c r="N472" s="7" t="n"/>
      <c r="O472" s="11" t="n"/>
      <c r="P472" s="11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12">
        <f>IF(A472="","",IF(OR(B472="",C472="",D472="",E472="",G472="",H472="",J472="",K472=""),"必填欄位未完整",""))</f>
        <v/>
      </c>
      <c r="AB472" s="12">
        <f>IF(A472="","",A472&amp;"|"&amp;G472)</f>
        <v/>
      </c>
    </row>
    <row r="473" ht="24" customHeight="1">
      <c r="A473" s="7" t="n"/>
      <c r="B473" s="7" t="n"/>
      <c r="C473" s="7" t="n"/>
      <c r="D473" s="7" t="n"/>
      <c r="E473" s="7" t="n"/>
      <c r="F473" s="7" t="n"/>
      <c r="G473" s="7" t="n"/>
      <c r="H473" s="8" t="n"/>
      <c r="I473" s="9">
        <f>IF(H473="","",ROUND(H473/3.305785,3))</f>
        <v/>
      </c>
      <c r="J473" s="7" t="n"/>
      <c r="K473" s="7" t="n"/>
      <c r="L473" s="10">
        <f>IF(OR(J473="",K473="",K473=0),"",ROUND(J473/K473,6))</f>
        <v/>
      </c>
      <c r="M473" s="9">
        <f>IF(OR(H473="",J473="",K473="",K473=0),"",ROUND(H473*J473/K473/3.305785,3))</f>
        <v/>
      </c>
      <c r="N473" s="7" t="n"/>
      <c r="O473" s="11" t="n"/>
      <c r="P473" s="11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12">
        <f>IF(A473="","",IF(OR(B473="",C473="",D473="",E473="",G473="",H473="",J473="",K473=""),"必填欄位未完整",""))</f>
        <v/>
      </c>
      <c r="AB473" s="12">
        <f>IF(A473="","",A473&amp;"|"&amp;G473)</f>
        <v/>
      </c>
    </row>
    <row r="474" ht="24" customHeight="1">
      <c r="A474" s="7" t="n"/>
      <c r="B474" s="7" t="n"/>
      <c r="C474" s="7" t="n"/>
      <c r="D474" s="7" t="n"/>
      <c r="E474" s="7" t="n"/>
      <c r="F474" s="7" t="n"/>
      <c r="G474" s="7" t="n"/>
      <c r="H474" s="8" t="n"/>
      <c r="I474" s="9">
        <f>IF(H474="","",ROUND(H474/3.305785,3))</f>
        <v/>
      </c>
      <c r="J474" s="7" t="n"/>
      <c r="K474" s="7" t="n"/>
      <c r="L474" s="10">
        <f>IF(OR(J474="",K474="",K474=0),"",ROUND(J474/K474,6))</f>
        <v/>
      </c>
      <c r="M474" s="9">
        <f>IF(OR(H474="",J474="",K474="",K474=0),"",ROUND(H474*J474/K474/3.305785,3))</f>
        <v/>
      </c>
      <c r="N474" s="7" t="n"/>
      <c r="O474" s="11" t="n"/>
      <c r="P474" s="11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12">
        <f>IF(A474="","",IF(OR(B474="",C474="",D474="",E474="",G474="",H474="",J474="",K474=""),"必填欄位未完整",""))</f>
        <v/>
      </c>
      <c r="AB474" s="12">
        <f>IF(A474="","",A474&amp;"|"&amp;G474)</f>
        <v/>
      </c>
    </row>
    <row r="475" ht="24" customHeight="1">
      <c r="A475" s="7" t="n"/>
      <c r="B475" s="7" t="n"/>
      <c r="C475" s="7" t="n"/>
      <c r="D475" s="7" t="n"/>
      <c r="E475" s="7" t="n"/>
      <c r="F475" s="7" t="n"/>
      <c r="G475" s="7" t="n"/>
      <c r="H475" s="8" t="n"/>
      <c r="I475" s="9">
        <f>IF(H475="","",ROUND(H475/3.305785,3))</f>
        <v/>
      </c>
      <c r="J475" s="7" t="n"/>
      <c r="K475" s="7" t="n"/>
      <c r="L475" s="10">
        <f>IF(OR(J475="",K475="",K475=0),"",ROUND(J475/K475,6))</f>
        <v/>
      </c>
      <c r="M475" s="9">
        <f>IF(OR(H475="",J475="",K475="",K475=0),"",ROUND(H475*J475/K475/3.305785,3))</f>
        <v/>
      </c>
      <c r="N475" s="7" t="n"/>
      <c r="O475" s="11" t="n"/>
      <c r="P475" s="11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12">
        <f>IF(A475="","",IF(OR(B475="",C475="",D475="",E475="",G475="",H475="",J475="",K475=""),"必填欄位未完整",""))</f>
        <v/>
      </c>
      <c r="AB475" s="12">
        <f>IF(A475="","",A475&amp;"|"&amp;G475)</f>
        <v/>
      </c>
    </row>
    <row r="476" ht="24" customHeight="1">
      <c r="A476" s="7" t="n"/>
      <c r="B476" s="7" t="n"/>
      <c r="C476" s="7" t="n"/>
      <c r="D476" s="7" t="n"/>
      <c r="E476" s="7" t="n"/>
      <c r="F476" s="7" t="n"/>
      <c r="G476" s="7" t="n"/>
      <c r="H476" s="8" t="n"/>
      <c r="I476" s="9">
        <f>IF(H476="","",ROUND(H476/3.305785,3))</f>
        <v/>
      </c>
      <c r="J476" s="7" t="n"/>
      <c r="K476" s="7" t="n"/>
      <c r="L476" s="10">
        <f>IF(OR(J476="",K476="",K476=0),"",ROUND(J476/K476,6))</f>
        <v/>
      </c>
      <c r="M476" s="9">
        <f>IF(OR(H476="",J476="",K476="",K476=0),"",ROUND(H476*J476/K476/3.305785,3))</f>
        <v/>
      </c>
      <c r="N476" s="7" t="n"/>
      <c r="O476" s="11" t="n"/>
      <c r="P476" s="11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12">
        <f>IF(A476="","",IF(OR(B476="",C476="",D476="",E476="",G476="",H476="",J476="",K476=""),"必填欄位未完整",""))</f>
        <v/>
      </c>
      <c r="AB476" s="12">
        <f>IF(A476="","",A476&amp;"|"&amp;G476)</f>
        <v/>
      </c>
    </row>
    <row r="477" ht="24" customHeight="1">
      <c r="A477" s="7" t="n"/>
      <c r="B477" s="7" t="n"/>
      <c r="C477" s="7" t="n"/>
      <c r="D477" s="7" t="n"/>
      <c r="E477" s="7" t="n"/>
      <c r="F477" s="7" t="n"/>
      <c r="G477" s="7" t="n"/>
      <c r="H477" s="8" t="n"/>
      <c r="I477" s="9">
        <f>IF(H477="","",ROUND(H477/3.305785,3))</f>
        <v/>
      </c>
      <c r="J477" s="7" t="n"/>
      <c r="K477" s="7" t="n"/>
      <c r="L477" s="10">
        <f>IF(OR(J477="",K477="",K477=0),"",ROUND(J477/K477,6))</f>
        <v/>
      </c>
      <c r="M477" s="9">
        <f>IF(OR(H477="",J477="",K477="",K477=0),"",ROUND(H477*J477/K477/3.305785,3))</f>
        <v/>
      </c>
      <c r="N477" s="7" t="n"/>
      <c r="O477" s="11" t="n"/>
      <c r="P477" s="11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12">
        <f>IF(A477="","",IF(OR(B477="",C477="",D477="",E477="",G477="",H477="",J477="",K477=""),"必填欄位未完整",""))</f>
        <v/>
      </c>
      <c r="AB477" s="12">
        <f>IF(A477="","",A477&amp;"|"&amp;G477)</f>
        <v/>
      </c>
    </row>
    <row r="478" ht="24" customHeight="1">
      <c r="A478" s="7" t="n"/>
      <c r="B478" s="7" t="n"/>
      <c r="C478" s="7" t="n"/>
      <c r="D478" s="7" t="n"/>
      <c r="E478" s="7" t="n"/>
      <c r="F478" s="7" t="n"/>
      <c r="G478" s="7" t="n"/>
      <c r="H478" s="8" t="n"/>
      <c r="I478" s="9">
        <f>IF(H478="","",ROUND(H478/3.305785,3))</f>
        <v/>
      </c>
      <c r="J478" s="7" t="n"/>
      <c r="K478" s="7" t="n"/>
      <c r="L478" s="10">
        <f>IF(OR(J478="",K478="",K478=0),"",ROUND(J478/K478,6))</f>
        <v/>
      </c>
      <c r="M478" s="9">
        <f>IF(OR(H478="",J478="",K478="",K478=0),"",ROUND(H478*J478/K478/3.305785,3))</f>
        <v/>
      </c>
      <c r="N478" s="7" t="n"/>
      <c r="O478" s="11" t="n"/>
      <c r="P478" s="11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12">
        <f>IF(A478="","",IF(OR(B478="",C478="",D478="",E478="",G478="",H478="",J478="",K478=""),"必填欄位未完整",""))</f>
        <v/>
      </c>
      <c r="AB478" s="12">
        <f>IF(A478="","",A478&amp;"|"&amp;G478)</f>
        <v/>
      </c>
    </row>
    <row r="479" ht="24" customHeight="1">
      <c r="A479" s="7" t="n"/>
      <c r="B479" s="7" t="n"/>
      <c r="C479" s="7" t="n"/>
      <c r="D479" s="7" t="n"/>
      <c r="E479" s="7" t="n"/>
      <c r="F479" s="7" t="n"/>
      <c r="G479" s="7" t="n"/>
      <c r="H479" s="8" t="n"/>
      <c r="I479" s="9">
        <f>IF(H479="","",ROUND(H479/3.305785,3))</f>
        <v/>
      </c>
      <c r="J479" s="7" t="n"/>
      <c r="K479" s="7" t="n"/>
      <c r="L479" s="10">
        <f>IF(OR(J479="",K479="",K479=0),"",ROUND(J479/K479,6))</f>
        <v/>
      </c>
      <c r="M479" s="9">
        <f>IF(OR(H479="",J479="",K479="",K479=0),"",ROUND(H479*J479/K479/3.305785,3))</f>
        <v/>
      </c>
      <c r="N479" s="7" t="n"/>
      <c r="O479" s="11" t="n"/>
      <c r="P479" s="11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12">
        <f>IF(A479="","",IF(OR(B479="",C479="",D479="",E479="",G479="",H479="",J479="",K479=""),"必填欄位未完整",""))</f>
        <v/>
      </c>
      <c r="AB479" s="12">
        <f>IF(A479="","",A479&amp;"|"&amp;G479)</f>
        <v/>
      </c>
    </row>
    <row r="480" ht="24" customHeight="1">
      <c r="A480" s="7" t="n"/>
      <c r="B480" s="7" t="n"/>
      <c r="C480" s="7" t="n"/>
      <c r="D480" s="7" t="n"/>
      <c r="E480" s="7" t="n"/>
      <c r="F480" s="7" t="n"/>
      <c r="G480" s="7" t="n"/>
      <c r="H480" s="8" t="n"/>
      <c r="I480" s="9">
        <f>IF(H480="","",ROUND(H480/3.305785,3))</f>
        <v/>
      </c>
      <c r="J480" s="7" t="n"/>
      <c r="K480" s="7" t="n"/>
      <c r="L480" s="10">
        <f>IF(OR(J480="",K480="",K480=0),"",ROUND(J480/K480,6))</f>
        <v/>
      </c>
      <c r="M480" s="9">
        <f>IF(OR(H480="",J480="",K480="",K480=0),"",ROUND(H480*J480/K480/3.305785,3))</f>
        <v/>
      </c>
      <c r="N480" s="7" t="n"/>
      <c r="O480" s="11" t="n"/>
      <c r="P480" s="11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12">
        <f>IF(A480="","",IF(OR(B480="",C480="",D480="",E480="",G480="",H480="",J480="",K480=""),"必填欄位未完整",""))</f>
        <v/>
      </c>
      <c r="AB480" s="12">
        <f>IF(A480="","",A480&amp;"|"&amp;G480)</f>
        <v/>
      </c>
    </row>
    <row r="481" ht="24" customHeight="1">
      <c r="A481" s="7" t="n"/>
      <c r="B481" s="7" t="n"/>
      <c r="C481" s="7" t="n"/>
      <c r="D481" s="7" t="n"/>
      <c r="E481" s="7" t="n"/>
      <c r="F481" s="7" t="n"/>
      <c r="G481" s="7" t="n"/>
      <c r="H481" s="8" t="n"/>
      <c r="I481" s="9">
        <f>IF(H481="","",ROUND(H481/3.305785,3))</f>
        <v/>
      </c>
      <c r="J481" s="7" t="n"/>
      <c r="K481" s="7" t="n"/>
      <c r="L481" s="10">
        <f>IF(OR(J481="",K481="",K481=0),"",ROUND(J481/K481,6))</f>
        <v/>
      </c>
      <c r="M481" s="9">
        <f>IF(OR(H481="",J481="",K481="",K481=0),"",ROUND(H481*J481/K481/3.305785,3))</f>
        <v/>
      </c>
      <c r="N481" s="7" t="n"/>
      <c r="O481" s="11" t="n"/>
      <c r="P481" s="11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12">
        <f>IF(A481="","",IF(OR(B481="",C481="",D481="",E481="",G481="",H481="",J481="",K481=""),"必填欄位未完整",""))</f>
        <v/>
      </c>
      <c r="AB481" s="12">
        <f>IF(A481="","",A481&amp;"|"&amp;G481)</f>
        <v/>
      </c>
    </row>
    <row r="482" ht="24" customHeight="1">
      <c r="A482" s="7" t="n"/>
      <c r="B482" s="7" t="n"/>
      <c r="C482" s="7" t="n"/>
      <c r="D482" s="7" t="n"/>
      <c r="E482" s="7" t="n"/>
      <c r="F482" s="7" t="n"/>
      <c r="G482" s="7" t="n"/>
      <c r="H482" s="8" t="n"/>
      <c r="I482" s="9">
        <f>IF(H482="","",ROUND(H482/3.305785,3))</f>
        <v/>
      </c>
      <c r="J482" s="7" t="n"/>
      <c r="K482" s="7" t="n"/>
      <c r="L482" s="10">
        <f>IF(OR(J482="",K482="",K482=0),"",ROUND(J482/K482,6))</f>
        <v/>
      </c>
      <c r="M482" s="9">
        <f>IF(OR(H482="",J482="",K482="",K482=0),"",ROUND(H482*J482/K482/3.305785,3))</f>
        <v/>
      </c>
      <c r="N482" s="7" t="n"/>
      <c r="O482" s="11" t="n"/>
      <c r="P482" s="11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12">
        <f>IF(A482="","",IF(OR(B482="",C482="",D482="",E482="",G482="",H482="",J482="",K482=""),"必填欄位未完整",""))</f>
        <v/>
      </c>
      <c r="AB482" s="12">
        <f>IF(A482="","",A482&amp;"|"&amp;G482)</f>
        <v/>
      </c>
    </row>
    <row r="483" ht="24" customHeight="1">
      <c r="A483" s="7" t="n"/>
      <c r="B483" s="7" t="n"/>
      <c r="C483" s="7" t="n"/>
      <c r="D483" s="7" t="n"/>
      <c r="E483" s="7" t="n"/>
      <c r="F483" s="7" t="n"/>
      <c r="G483" s="7" t="n"/>
      <c r="H483" s="8" t="n"/>
      <c r="I483" s="9">
        <f>IF(H483="","",ROUND(H483/3.305785,3))</f>
        <v/>
      </c>
      <c r="J483" s="7" t="n"/>
      <c r="K483" s="7" t="n"/>
      <c r="L483" s="10">
        <f>IF(OR(J483="",K483="",K483=0),"",ROUND(J483/K483,6))</f>
        <v/>
      </c>
      <c r="M483" s="9">
        <f>IF(OR(H483="",J483="",K483="",K483=0),"",ROUND(H483*J483/K483/3.305785,3))</f>
        <v/>
      </c>
      <c r="N483" s="7" t="n"/>
      <c r="O483" s="11" t="n"/>
      <c r="P483" s="11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12">
        <f>IF(A483="","",IF(OR(B483="",C483="",D483="",E483="",G483="",H483="",J483="",K483=""),"必填欄位未完整",""))</f>
        <v/>
      </c>
      <c r="AB483" s="12">
        <f>IF(A483="","",A483&amp;"|"&amp;G483)</f>
        <v/>
      </c>
    </row>
    <row r="484" ht="24" customHeight="1">
      <c r="A484" s="7" t="n"/>
      <c r="B484" s="7" t="n"/>
      <c r="C484" s="7" t="n"/>
      <c r="D484" s="7" t="n"/>
      <c r="E484" s="7" t="n"/>
      <c r="F484" s="7" t="n"/>
      <c r="G484" s="7" t="n"/>
      <c r="H484" s="8" t="n"/>
      <c r="I484" s="9">
        <f>IF(H484="","",ROUND(H484/3.305785,3))</f>
        <v/>
      </c>
      <c r="J484" s="7" t="n"/>
      <c r="K484" s="7" t="n"/>
      <c r="L484" s="10">
        <f>IF(OR(J484="",K484="",K484=0),"",ROUND(J484/K484,6))</f>
        <v/>
      </c>
      <c r="M484" s="9">
        <f>IF(OR(H484="",J484="",K484="",K484=0),"",ROUND(H484*J484/K484/3.305785,3))</f>
        <v/>
      </c>
      <c r="N484" s="7" t="n"/>
      <c r="O484" s="11" t="n"/>
      <c r="P484" s="11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12">
        <f>IF(A484="","",IF(OR(B484="",C484="",D484="",E484="",G484="",H484="",J484="",K484=""),"必填欄位未完整",""))</f>
        <v/>
      </c>
      <c r="AB484" s="12">
        <f>IF(A484="","",A484&amp;"|"&amp;G484)</f>
        <v/>
      </c>
    </row>
    <row r="485" ht="24" customHeight="1">
      <c r="A485" s="7" t="n"/>
      <c r="B485" s="7" t="n"/>
      <c r="C485" s="7" t="n"/>
      <c r="D485" s="7" t="n"/>
      <c r="E485" s="7" t="n"/>
      <c r="F485" s="7" t="n"/>
      <c r="G485" s="7" t="n"/>
      <c r="H485" s="8" t="n"/>
      <c r="I485" s="9">
        <f>IF(H485="","",ROUND(H485/3.305785,3))</f>
        <v/>
      </c>
      <c r="J485" s="7" t="n"/>
      <c r="K485" s="7" t="n"/>
      <c r="L485" s="10">
        <f>IF(OR(J485="",K485="",K485=0),"",ROUND(J485/K485,6))</f>
        <v/>
      </c>
      <c r="M485" s="9">
        <f>IF(OR(H485="",J485="",K485="",K485=0),"",ROUND(H485*J485/K485/3.305785,3))</f>
        <v/>
      </c>
      <c r="N485" s="7" t="n"/>
      <c r="O485" s="11" t="n"/>
      <c r="P485" s="11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12">
        <f>IF(A485="","",IF(OR(B485="",C485="",D485="",E485="",G485="",H485="",J485="",K485=""),"必填欄位未完整",""))</f>
        <v/>
      </c>
      <c r="AB485" s="12">
        <f>IF(A485="","",A485&amp;"|"&amp;G485)</f>
        <v/>
      </c>
    </row>
    <row r="486" ht="24" customHeight="1">
      <c r="A486" s="7" t="n"/>
      <c r="B486" s="7" t="n"/>
      <c r="C486" s="7" t="n"/>
      <c r="D486" s="7" t="n"/>
      <c r="E486" s="7" t="n"/>
      <c r="F486" s="7" t="n"/>
      <c r="G486" s="7" t="n"/>
      <c r="H486" s="8" t="n"/>
      <c r="I486" s="9">
        <f>IF(H486="","",ROUND(H486/3.305785,3))</f>
        <v/>
      </c>
      <c r="J486" s="7" t="n"/>
      <c r="K486" s="7" t="n"/>
      <c r="L486" s="10">
        <f>IF(OR(J486="",K486="",K486=0),"",ROUND(J486/K486,6))</f>
        <v/>
      </c>
      <c r="M486" s="9">
        <f>IF(OR(H486="",J486="",K486="",K486=0),"",ROUND(H486*J486/K486/3.305785,3))</f>
        <v/>
      </c>
      <c r="N486" s="7" t="n"/>
      <c r="O486" s="11" t="n"/>
      <c r="P486" s="11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12">
        <f>IF(A486="","",IF(OR(B486="",C486="",D486="",E486="",G486="",H486="",J486="",K486=""),"必填欄位未完整",""))</f>
        <v/>
      </c>
      <c r="AB486" s="12">
        <f>IF(A486="","",A486&amp;"|"&amp;G486)</f>
        <v/>
      </c>
    </row>
    <row r="487" ht="24" customHeight="1">
      <c r="A487" s="7" t="n"/>
      <c r="B487" s="7" t="n"/>
      <c r="C487" s="7" t="n"/>
      <c r="D487" s="7" t="n"/>
      <c r="E487" s="7" t="n"/>
      <c r="F487" s="7" t="n"/>
      <c r="G487" s="7" t="n"/>
      <c r="H487" s="8" t="n"/>
      <c r="I487" s="9">
        <f>IF(H487="","",ROUND(H487/3.305785,3))</f>
        <v/>
      </c>
      <c r="J487" s="7" t="n"/>
      <c r="K487" s="7" t="n"/>
      <c r="L487" s="10">
        <f>IF(OR(J487="",K487="",K487=0),"",ROUND(J487/K487,6))</f>
        <v/>
      </c>
      <c r="M487" s="9">
        <f>IF(OR(H487="",J487="",K487="",K487=0),"",ROUND(H487*J487/K487/3.305785,3))</f>
        <v/>
      </c>
      <c r="N487" s="7" t="n"/>
      <c r="O487" s="11" t="n"/>
      <c r="P487" s="11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12">
        <f>IF(A487="","",IF(OR(B487="",C487="",D487="",E487="",G487="",H487="",J487="",K487=""),"必填欄位未完整",""))</f>
        <v/>
      </c>
      <c r="AB487" s="12">
        <f>IF(A487="","",A487&amp;"|"&amp;G487)</f>
        <v/>
      </c>
    </row>
    <row r="488" ht="24" customHeight="1">
      <c r="A488" s="7" t="n"/>
      <c r="B488" s="7" t="n"/>
      <c r="C488" s="7" t="n"/>
      <c r="D488" s="7" t="n"/>
      <c r="E488" s="7" t="n"/>
      <c r="F488" s="7" t="n"/>
      <c r="G488" s="7" t="n"/>
      <c r="H488" s="8" t="n"/>
      <c r="I488" s="9">
        <f>IF(H488="","",ROUND(H488/3.305785,3))</f>
        <v/>
      </c>
      <c r="J488" s="7" t="n"/>
      <c r="K488" s="7" t="n"/>
      <c r="L488" s="10">
        <f>IF(OR(J488="",K488="",K488=0),"",ROUND(J488/K488,6))</f>
        <v/>
      </c>
      <c r="M488" s="9">
        <f>IF(OR(H488="",J488="",K488="",K488=0),"",ROUND(H488*J488/K488/3.305785,3))</f>
        <v/>
      </c>
      <c r="N488" s="7" t="n"/>
      <c r="O488" s="11" t="n"/>
      <c r="P488" s="11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12">
        <f>IF(A488="","",IF(OR(B488="",C488="",D488="",E488="",G488="",H488="",J488="",K488=""),"必填欄位未完整",""))</f>
        <v/>
      </c>
      <c r="AB488" s="12">
        <f>IF(A488="","",A488&amp;"|"&amp;G488)</f>
        <v/>
      </c>
    </row>
    <row r="489" ht="24" customHeight="1">
      <c r="A489" s="7" t="n"/>
      <c r="B489" s="7" t="n"/>
      <c r="C489" s="7" t="n"/>
      <c r="D489" s="7" t="n"/>
      <c r="E489" s="7" t="n"/>
      <c r="F489" s="7" t="n"/>
      <c r="G489" s="7" t="n"/>
      <c r="H489" s="8" t="n"/>
      <c r="I489" s="9">
        <f>IF(H489="","",ROUND(H489/3.305785,3))</f>
        <v/>
      </c>
      <c r="J489" s="7" t="n"/>
      <c r="K489" s="7" t="n"/>
      <c r="L489" s="10">
        <f>IF(OR(J489="",K489="",K489=0),"",ROUND(J489/K489,6))</f>
        <v/>
      </c>
      <c r="M489" s="9">
        <f>IF(OR(H489="",J489="",K489="",K489=0),"",ROUND(H489*J489/K489/3.305785,3))</f>
        <v/>
      </c>
      <c r="N489" s="7" t="n"/>
      <c r="O489" s="11" t="n"/>
      <c r="P489" s="11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12">
        <f>IF(A489="","",IF(OR(B489="",C489="",D489="",E489="",G489="",H489="",J489="",K489=""),"必填欄位未完整",""))</f>
        <v/>
      </c>
      <c r="AB489" s="12">
        <f>IF(A489="","",A489&amp;"|"&amp;G489)</f>
        <v/>
      </c>
    </row>
    <row r="490" ht="24" customHeight="1">
      <c r="A490" s="7" t="n"/>
      <c r="B490" s="7" t="n"/>
      <c r="C490" s="7" t="n"/>
      <c r="D490" s="7" t="n"/>
      <c r="E490" s="7" t="n"/>
      <c r="F490" s="7" t="n"/>
      <c r="G490" s="7" t="n"/>
      <c r="H490" s="8" t="n"/>
      <c r="I490" s="9">
        <f>IF(H490="","",ROUND(H490/3.305785,3))</f>
        <v/>
      </c>
      <c r="J490" s="7" t="n"/>
      <c r="K490" s="7" t="n"/>
      <c r="L490" s="10">
        <f>IF(OR(J490="",K490="",K490=0),"",ROUND(J490/K490,6))</f>
        <v/>
      </c>
      <c r="M490" s="9">
        <f>IF(OR(H490="",J490="",K490="",K490=0),"",ROUND(H490*J490/K490/3.305785,3))</f>
        <v/>
      </c>
      <c r="N490" s="7" t="n"/>
      <c r="O490" s="11" t="n"/>
      <c r="P490" s="11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12">
        <f>IF(A490="","",IF(OR(B490="",C490="",D490="",E490="",G490="",H490="",J490="",K490=""),"必填欄位未完整",""))</f>
        <v/>
      </c>
      <c r="AB490" s="12">
        <f>IF(A490="","",A490&amp;"|"&amp;G490)</f>
        <v/>
      </c>
    </row>
    <row r="491" ht="24" customHeight="1">
      <c r="A491" s="7" t="n"/>
      <c r="B491" s="7" t="n"/>
      <c r="C491" s="7" t="n"/>
      <c r="D491" s="7" t="n"/>
      <c r="E491" s="7" t="n"/>
      <c r="F491" s="7" t="n"/>
      <c r="G491" s="7" t="n"/>
      <c r="H491" s="8" t="n"/>
      <c r="I491" s="9">
        <f>IF(H491="","",ROUND(H491/3.305785,3))</f>
        <v/>
      </c>
      <c r="J491" s="7" t="n"/>
      <c r="K491" s="7" t="n"/>
      <c r="L491" s="10">
        <f>IF(OR(J491="",K491="",K491=0),"",ROUND(J491/K491,6))</f>
        <v/>
      </c>
      <c r="M491" s="9">
        <f>IF(OR(H491="",J491="",K491="",K491=0),"",ROUND(H491*J491/K491/3.305785,3))</f>
        <v/>
      </c>
      <c r="N491" s="7" t="n"/>
      <c r="O491" s="11" t="n"/>
      <c r="P491" s="11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12">
        <f>IF(A491="","",IF(OR(B491="",C491="",D491="",E491="",G491="",H491="",J491="",K491=""),"必填欄位未完整",""))</f>
        <v/>
      </c>
      <c r="AB491" s="12">
        <f>IF(A491="","",A491&amp;"|"&amp;G491)</f>
        <v/>
      </c>
    </row>
    <row r="492" ht="24" customHeight="1">
      <c r="A492" s="7" t="n"/>
      <c r="B492" s="7" t="n"/>
      <c r="C492" s="7" t="n"/>
      <c r="D492" s="7" t="n"/>
      <c r="E492" s="7" t="n"/>
      <c r="F492" s="7" t="n"/>
      <c r="G492" s="7" t="n"/>
      <c r="H492" s="8" t="n"/>
      <c r="I492" s="9">
        <f>IF(H492="","",ROUND(H492/3.305785,3))</f>
        <v/>
      </c>
      <c r="J492" s="7" t="n"/>
      <c r="K492" s="7" t="n"/>
      <c r="L492" s="10">
        <f>IF(OR(J492="",K492="",K492=0),"",ROUND(J492/K492,6))</f>
        <v/>
      </c>
      <c r="M492" s="9">
        <f>IF(OR(H492="",J492="",K492="",K492=0),"",ROUND(H492*J492/K492/3.305785,3))</f>
        <v/>
      </c>
      <c r="N492" s="7" t="n"/>
      <c r="O492" s="11" t="n"/>
      <c r="P492" s="11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12">
        <f>IF(A492="","",IF(OR(B492="",C492="",D492="",E492="",G492="",H492="",J492="",K492=""),"必填欄位未完整",""))</f>
        <v/>
      </c>
      <c r="AB492" s="12">
        <f>IF(A492="","",A492&amp;"|"&amp;G492)</f>
        <v/>
      </c>
    </row>
    <row r="493" ht="24" customHeight="1">
      <c r="A493" s="7" t="n"/>
      <c r="B493" s="7" t="n"/>
      <c r="C493" s="7" t="n"/>
      <c r="D493" s="7" t="n"/>
      <c r="E493" s="7" t="n"/>
      <c r="F493" s="7" t="n"/>
      <c r="G493" s="7" t="n"/>
      <c r="H493" s="8" t="n"/>
      <c r="I493" s="9">
        <f>IF(H493="","",ROUND(H493/3.305785,3))</f>
        <v/>
      </c>
      <c r="J493" s="7" t="n"/>
      <c r="K493" s="7" t="n"/>
      <c r="L493" s="10">
        <f>IF(OR(J493="",K493="",K493=0),"",ROUND(J493/K493,6))</f>
        <v/>
      </c>
      <c r="M493" s="9">
        <f>IF(OR(H493="",J493="",K493="",K493=0),"",ROUND(H493*J493/K493/3.305785,3))</f>
        <v/>
      </c>
      <c r="N493" s="7" t="n"/>
      <c r="O493" s="11" t="n"/>
      <c r="P493" s="11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12">
        <f>IF(A493="","",IF(OR(B493="",C493="",D493="",E493="",G493="",H493="",J493="",K493=""),"必填欄位未完整",""))</f>
        <v/>
      </c>
      <c r="AB493" s="12">
        <f>IF(A493="","",A493&amp;"|"&amp;G493)</f>
        <v/>
      </c>
    </row>
    <row r="494" ht="24" customHeight="1">
      <c r="A494" s="7" t="n"/>
      <c r="B494" s="7" t="n"/>
      <c r="C494" s="7" t="n"/>
      <c r="D494" s="7" t="n"/>
      <c r="E494" s="7" t="n"/>
      <c r="F494" s="7" t="n"/>
      <c r="G494" s="7" t="n"/>
      <c r="H494" s="8" t="n"/>
      <c r="I494" s="9">
        <f>IF(H494="","",ROUND(H494/3.305785,3))</f>
        <v/>
      </c>
      <c r="J494" s="7" t="n"/>
      <c r="K494" s="7" t="n"/>
      <c r="L494" s="10">
        <f>IF(OR(J494="",K494="",K494=0),"",ROUND(J494/K494,6))</f>
        <v/>
      </c>
      <c r="M494" s="9">
        <f>IF(OR(H494="",J494="",K494="",K494=0),"",ROUND(H494*J494/K494/3.305785,3))</f>
        <v/>
      </c>
      <c r="N494" s="7" t="n"/>
      <c r="O494" s="11" t="n"/>
      <c r="P494" s="11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12">
        <f>IF(A494="","",IF(OR(B494="",C494="",D494="",E494="",G494="",H494="",J494="",K494=""),"必填欄位未完整",""))</f>
        <v/>
      </c>
      <c r="AB494" s="12">
        <f>IF(A494="","",A494&amp;"|"&amp;G494)</f>
        <v/>
      </c>
    </row>
    <row r="495" ht="24" customHeight="1">
      <c r="A495" s="7" t="n"/>
      <c r="B495" s="7" t="n"/>
      <c r="C495" s="7" t="n"/>
      <c r="D495" s="7" t="n"/>
      <c r="E495" s="7" t="n"/>
      <c r="F495" s="7" t="n"/>
      <c r="G495" s="7" t="n"/>
      <c r="H495" s="8" t="n"/>
      <c r="I495" s="9">
        <f>IF(H495="","",ROUND(H495/3.305785,3))</f>
        <v/>
      </c>
      <c r="J495" s="7" t="n"/>
      <c r="K495" s="7" t="n"/>
      <c r="L495" s="10">
        <f>IF(OR(J495="",K495="",K495=0),"",ROUND(J495/K495,6))</f>
        <v/>
      </c>
      <c r="M495" s="9">
        <f>IF(OR(H495="",J495="",K495="",K495=0),"",ROUND(H495*J495/K495/3.305785,3))</f>
        <v/>
      </c>
      <c r="N495" s="7" t="n"/>
      <c r="O495" s="11" t="n"/>
      <c r="P495" s="11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12">
        <f>IF(A495="","",IF(OR(B495="",C495="",D495="",E495="",G495="",H495="",J495="",K495=""),"必填欄位未完整",""))</f>
        <v/>
      </c>
      <c r="AB495" s="12">
        <f>IF(A495="","",A495&amp;"|"&amp;G495)</f>
        <v/>
      </c>
    </row>
    <row r="496" ht="24" customHeight="1">
      <c r="A496" s="7" t="n"/>
      <c r="B496" s="7" t="n"/>
      <c r="C496" s="7" t="n"/>
      <c r="D496" s="7" t="n"/>
      <c r="E496" s="7" t="n"/>
      <c r="F496" s="7" t="n"/>
      <c r="G496" s="7" t="n"/>
      <c r="H496" s="8" t="n"/>
      <c r="I496" s="9">
        <f>IF(H496="","",ROUND(H496/3.305785,3))</f>
        <v/>
      </c>
      <c r="J496" s="7" t="n"/>
      <c r="K496" s="7" t="n"/>
      <c r="L496" s="10">
        <f>IF(OR(J496="",K496="",K496=0),"",ROUND(J496/K496,6))</f>
        <v/>
      </c>
      <c r="M496" s="9">
        <f>IF(OR(H496="",J496="",K496="",K496=0),"",ROUND(H496*J496/K496/3.305785,3))</f>
        <v/>
      </c>
      <c r="N496" s="7" t="n"/>
      <c r="O496" s="11" t="n"/>
      <c r="P496" s="11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12">
        <f>IF(A496="","",IF(OR(B496="",C496="",D496="",E496="",G496="",H496="",J496="",K496=""),"必填欄位未完整",""))</f>
        <v/>
      </c>
      <c r="AB496" s="12">
        <f>IF(A496="","",A496&amp;"|"&amp;G496)</f>
        <v/>
      </c>
    </row>
    <row r="497" ht="24" customHeight="1">
      <c r="A497" s="7" t="n"/>
      <c r="B497" s="7" t="n"/>
      <c r="C497" s="7" t="n"/>
      <c r="D497" s="7" t="n"/>
      <c r="E497" s="7" t="n"/>
      <c r="F497" s="7" t="n"/>
      <c r="G497" s="7" t="n"/>
      <c r="H497" s="8" t="n"/>
      <c r="I497" s="9">
        <f>IF(H497="","",ROUND(H497/3.305785,3))</f>
        <v/>
      </c>
      <c r="J497" s="7" t="n"/>
      <c r="K497" s="7" t="n"/>
      <c r="L497" s="10">
        <f>IF(OR(J497="",K497="",K497=0),"",ROUND(J497/K497,6))</f>
        <v/>
      </c>
      <c r="M497" s="9">
        <f>IF(OR(H497="",J497="",K497="",K497=0),"",ROUND(H497*J497/K497/3.305785,3))</f>
        <v/>
      </c>
      <c r="N497" s="7" t="n"/>
      <c r="O497" s="11" t="n"/>
      <c r="P497" s="11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12">
        <f>IF(A497="","",IF(OR(B497="",C497="",D497="",E497="",G497="",H497="",J497="",K497=""),"必填欄位未完整",""))</f>
        <v/>
      </c>
      <c r="AB497" s="12">
        <f>IF(A497="","",A497&amp;"|"&amp;G497)</f>
        <v/>
      </c>
    </row>
    <row r="498" ht="24" customHeight="1">
      <c r="A498" s="7" t="n"/>
      <c r="B498" s="7" t="n"/>
      <c r="C498" s="7" t="n"/>
      <c r="D498" s="7" t="n"/>
      <c r="E498" s="7" t="n"/>
      <c r="F498" s="7" t="n"/>
      <c r="G498" s="7" t="n"/>
      <c r="H498" s="8" t="n"/>
      <c r="I498" s="9">
        <f>IF(H498="","",ROUND(H498/3.305785,3))</f>
        <v/>
      </c>
      <c r="J498" s="7" t="n"/>
      <c r="K498" s="7" t="n"/>
      <c r="L498" s="10">
        <f>IF(OR(J498="",K498="",K498=0),"",ROUND(J498/K498,6))</f>
        <v/>
      </c>
      <c r="M498" s="9">
        <f>IF(OR(H498="",J498="",K498="",K498=0),"",ROUND(H498*J498/K498/3.305785,3))</f>
        <v/>
      </c>
      <c r="N498" s="7" t="n"/>
      <c r="O498" s="11" t="n"/>
      <c r="P498" s="11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12">
        <f>IF(A498="","",IF(OR(B498="",C498="",D498="",E498="",G498="",H498="",J498="",K498=""),"必填欄位未完整",""))</f>
        <v/>
      </c>
      <c r="AB498" s="12">
        <f>IF(A498="","",A498&amp;"|"&amp;G498)</f>
        <v/>
      </c>
    </row>
    <row r="499" ht="24" customHeight="1">
      <c r="A499" s="7" t="n"/>
      <c r="B499" s="7" t="n"/>
      <c r="C499" s="7" t="n"/>
      <c r="D499" s="7" t="n"/>
      <c r="E499" s="7" t="n"/>
      <c r="F499" s="7" t="n"/>
      <c r="G499" s="7" t="n"/>
      <c r="H499" s="8" t="n"/>
      <c r="I499" s="9">
        <f>IF(H499="","",ROUND(H499/3.305785,3))</f>
        <v/>
      </c>
      <c r="J499" s="7" t="n"/>
      <c r="K499" s="7" t="n"/>
      <c r="L499" s="10">
        <f>IF(OR(J499="",K499="",K499=0),"",ROUND(J499/K499,6))</f>
        <v/>
      </c>
      <c r="M499" s="9">
        <f>IF(OR(H499="",J499="",K499="",K499=0),"",ROUND(H499*J499/K499/3.305785,3))</f>
        <v/>
      </c>
      <c r="N499" s="7" t="n"/>
      <c r="O499" s="11" t="n"/>
      <c r="P499" s="11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12">
        <f>IF(A499="","",IF(OR(B499="",C499="",D499="",E499="",G499="",H499="",J499="",K499=""),"必填欄位未完整",""))</f>
        <v/>
      </c>
      <c r="AB499" s="12">
        <f>IF(A499="","",A499&amp;"|"&amp;G499)</f>
        <v/>
      </c>
    </row>
    <row r="500" ht="24" customHeight="1">
      <c r="A500" s="7" t="n"/>
      <c r="B500" s="7" t="n"/>
      <c r="C500" s="7" t="n"/>
      <c r="D500" s="7" t="n"/>
      <c r="E500" s="7" t="n"/>
      <c r="F500" s="7" t="n"/>
      <c r="G500" s="7" t="n"/>
      <c r="H500" s="8" t="n"/>
      <c r="I500" s="9">
        <f>IF(H500="","",ROUND(H500/3.305785,3))</f>
        <v/>
      </c>
      <c r="J500" s="7" t="n"/>
      <c r="K500" s="7" t="n"/>
      <c r="L500" s="10">
        <f>IF(OR(J500="",K500="",K500=0),"",ROUND(J500/K500,6))</f>
        <v/>
      </c>
      <c r="M500" s="9">
        <f>IF(OR(H500="",J500="",K500="",K500=0),"",ROUND(H500*J500/K500/3.305785,3))</f>
        <v/>
      </c>
      <c r="N500" s="7" t="n"/>
      <c r="O500" s="11" t="n"/>
      <c r="P500" s="11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12">
        <f>IF(A500="","",IF(OR(B500="",C500="",D500="",E500="",G500="",H500="",J500="",K500=""),"必填欄位未完整",""))</f>
        <v/>
      </c>
      <c r="AB500" s="12">
        <f>IF(A500="","",A500&amp;"|"&amp;G500)</f>
        <v/>
      </c>
    </row>
    <row r="501" ht="24" customHeight="1">
      <c r="A501" s="7" t="n"/>
      <c r="B501" s="7" t="n"/>
      <c r="C501" s="7" t="n"/>
      <c r="D501" s="7" t="n"/>
      <c r="E501" s="7" t="n"/>
      <c r="F501" s="7" t="n"/>
      <c r="G501" s="7" t="n"/>
      <c r="H501" s="8" t="n"/>
      <c r="I501" s="9">
        <f>IF(H501="","",ROUND(H501/3.305785,3))</f>
        <v/>
      </c>
      <c r="J501" s="7" t="n"/>
      <c r="K501" s="7" t="n"/>
      <c r="L501" s="10">
        <f>IF(OR(J501="",K501="",K501=0),"",ROUND(J501/K501,6))</f>
        <v/>
      </c>
      <c r="M501" s="9">
        <f>IF(OR(H501="",J501="",K501="",K501=0),"",ROUND(H501*J501/K501/3.305785,3))</f>
        <v/>
      </c>
      <c r="N501" s="7" t="n"/>
      <c r="O501" s="11" t="n"/>
      <c r="P501" s="11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12">
        <f>IF(A501="","",IF(OR(B501="",C501="",D501="",E501="",G501="",H501="",J501="",K501=""),"必填欄位未完整",""))</f>
        <v/>
      </c>
      <c r="AB501" s="12">
        <f>IF(A501="","",A501&amp;"|"&amp;G501)</f>
        <v/>
      </c>
    </row>
    <row r="502" ht="24" customHeight="1">
      <c r="A502" s="7" t="n"/>
      <c r="B502" s="7" t="n"/>
      <c r="C502" s="7" t="n"/>
      <c r="D502" s="7" t="n"/>
      <c r="E502" s="7" t="n"/>
      <c r="F502" s="7" t="n"/>
      <c r="G502" s="7" t="n"/>
      <c r="H502" s="8" t="n"/>
      <c r="I502" s="9">
        <f>IF(H502="","",ROUND(H502/3.305785,3))</f>
        <v/>
      </c>
      <c r="J502" s="7" t="n"/>
      <c r="K502" s="7" t="n"/>
      <c r="L502" s="10">
        <f>IF(OR(J502="",K502="",K502=0),"",ROUND(J502/K502,6))</f>
        <v/>
      </c>
      <c r="M502" s="9">
        <f>IF(OR(H502="",J502="",K502="",K502=0),"",ROUND(H502*J502/K502/3.305785,3))</f>
        <v/>
      </c>
      <c r="N502" s="7" t="n"/>
      <c r="O502" s="11" t="n"/>
      <c r="P502" s="11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12">
        <f>IF(A502="","",IF(OR(B502="",C502="",D502="",E502="",G502="",H502="",J502="",K502=""),"必填欄位未完整",""))</f>
        <v/>
      </c>
      <c r="AB502" s="12">
        <f>IF(A502="","",A502&amp;"|"&amp;G502)</f>
        <v/>
      </c>
    </row>
    <row r="503" ht="24" customHeight="1">
      <c r="A503" s="7" t="n"/>
      <c r="B503" s="7" t="n"/>
      <c r="C503" s="7" t="n"/>
      <c r="D503" s="7" t="n"/>
      <c r="E503" s="7" t="n"/>
      <c r="F503" s="7" t="n"/>
      <c r="G503" s="7" t="n"/>
      <c r="H503" s="8" t="n"/>
      <c r="I503" s="9">
        <f>IF(H503="","",ROUND(H503/3.305785,3))</f>
        <v/>
      </c>
      <c r="J503" s="7" t="n"/>
      <c r="K503" s="7" t="n"/>
      <c r="L503" s="10">
        <f>IF(OR(J503="",K503="",K503=0),"",ROUND(J503/K503,6))</f>
        <v/>
      </c>
      <c r="M503" s="9">
        <f>IF(OR(H503="",J503="",K503="",K503=0),"",ROUND(H503*J503/K503/3.305785,3))</f>
        <v/>
      </c>
      <c r="N503" s="7" t="n"/>
      <c r="O503" s="11" t="n"/>
      <c r="P503" s="11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12">
        <f>IF(A503="","",IF(OR(B503="",C503="",D503="",E503="",G503="",H503="",J503="",K503=""),"必填欄位未完整",""))</f>
        <v/>
      </c>
      <c r="AB503" s="12">
        <f>IF(A503="","",A503&amp;"|"&amp;G503)</f>
        <v/>
      </c>
    </row>
    <row r="504" ht="24" customHeight="1">
      <c r="A504" s="7" t="n"/>
      <c r="B504" s="7" t="n"/>
      <c r="C504" s="7" t="n"/>
      <c r="D504" s="7" t="n"/>
      <c r="E504" s="7" t="n"/>
      <c r="F504" s="7" t="n"/>
      <c r="G504" s="7" t="n"/>
      <c r="H504" s="8" t="n"/>
      <c r="I504" s="9">
        <f>IF(H504="","",ROUND(H504/3.305785,3))</f>
        <v/>
      </c>
      <c r="J504" s="7" t="n"/>
      <c r="K504" s="7" t="n"/>
      <c r="L504" s="10">
        <f>IF(OR(J504="",K504="",K504=0),"",ROUND(J504/K504,6))</f>
        <v/>
      </c>
      <c r="M504" s="9">
        <f>IF(OR(H504="",J504="",K504="",K504=0),"",ROUND(H504*J504/K504/3.305785,3))</f>
        <v/>
      </c>
      <c r="N504" s="7" t="n"/>
      <c r="O504" s="11" t="n"/>
      <c r="P504" s="11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12">
        <f>IF(A504="","",IF(OR(B504="",C504="",D504="",E504="",G504="",H504="",J504="",K504=""),"必填欄位未完整",""))</f>
        <v/>
      </c>
      <c r="AB504" s="12">
        <f>IF(A504="","",A504&amp;"|"&amp;G504)</f>
        <v/>
      </c>
    </row>
    <row r="505" ht="24" customHeight="1">
      <c r="A505" s="7" t="n"/>
      <c r="B505" s="7" t="n"/>
      <c r="C505" s="7" t="n"/>
      <c r="D505" s="7" t="n"/>
      <c r="E505" s="7" t="n"/>
      <c r="F505" s="7" t="n"/>
      <c r="G505" s="7" t="n"/>
      <c r="H505" s="8" t="n"/>
      <c r="I505" s="9">
        <f>IF(H505="","",ROUND(H505/3.305785,3))</f>
        <v/>
      </c>
      <c r="J505" s="7" t="n"/>
      <c r="K505" s="7" t="n"/>
      <c r="L505" s="10">
        <f>IF(OR(J505="",K505="",K505=0),"",ROUND(J505/K505,6))</f>
        <v/>
      </c>
      <c r="M505" s="9">
        <f>IF(OR(H505="",J505="",K505="",K505=0),"",ROUND(H505*J505/K505/3.305785,3))</f>
        <v/>
      </c>
      <c r="N505" s="7" t="n"/>
      <c r="O505" s="11" t="n"/>
      <c r="P505" s="11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12">
        <f>IF(A505="","",IF(OR(B505="",C505="",D505="",E505="",G505="",H505="",J505="",K505=""),"必填欄位未完整",""))</f>
        <v/>
      </c>
      <c r="AB505" s="12">
        <f>IF(A505="","",A505&amp;"|"&amp;G505)</f>
        <v/>
      </c>
    </row>
    <row r="506" ht="24" customHeight="1">
      <c r="A506" s="7" t="n"/>
      <c r="B506" s="7" t="n"/>
      <c r="C506" s="7" t="n"/>
      <c r="D506" s="7" t="n"/>
      <c r="E506" s="7" t="n"/>
      <c r="F506" s="7" t="n"/>
      <c r="G506" s="7" t="n"/>
      <c r="H506" s="8" t="n"/>
      <c r="I506" s="9">
        <f>IF(H506="","",ROUND(H506/3.305785,3))</f>
        <v/>
      </c>
      <c r="J506" s="7" t="n"/>
      <c r="K506" s="7" t="n"/>
      <c r="L506" s="10">
        <f>IF(OR(J506="",K506="",K506=0),"",ROUND(J506/K506,6))</f>
        <v/>
      </c>
      <c r="M506" s="9">
        <f>IF(OR(H506="",J506="",K506="",K506=0),"",ROUND(H506*J506/K506/3.305785,3))</f>
        <v/>
      </c>
      <c r="N506" s="7" t="n"/>
      <c r="O506" s="11" t="n"/>
      <c r="P506" s="11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12">
        <f>IF(A506="","",IF(OR(B506="",C506="",D506="",E506="",G506="",H506="",J506="",K506=""),"必填欄位未完整",""))</f>
        <v/>
      </c>
      <c r="AB506" s="12">
        <f>IF(A506="","",A506&amp;"|"&amp;G506)</f>
        <v/>
      </c>
    </row>
    <row r="507" ht="24" customHeight="1">
      <c r="A507" s="7" t="n"/>
      <c r="B507" s="7" t="n"/>
      <c r="C507" s="7" t="n"/>
      <c r="D507" s="7" t="n"/>
      <c r="E507" s="7" t="n"/>
      <c r="F507" s="7" t="n"/>
      <c r="G507" s="7" t="n"/>
      <c r="H507" s="8" t="n"/>
      <c r="I507" s="9">
        <f>IF(H507="","",ROUND(H507/3.305785,3))</f>
        <v/>
      </c>
      <c r="J507" s="7" t="n"/>
      <c r="K507" s="7" t="n"/>
      <c r="L507" s="10">
        <f>IF(OR(J507="",K507="",K507=0),"",ROUND(J507/K507,6))</f>
        <v/>
      </c>
      <c r="M507" s="9">
        <f>IF(OR(H507="",J507="",K507="",K507=0),"",ROUND(H507*J507/K507/3.305785,3))</f>
        <v/>
      </c>
      <c r="N507" s="7" t="n"/>
      <c r="O507" s="11" t="n"/>
      <c r="P507" s="11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12">
        <f>IF(A507="","",IF(OR(B507="",C507="",D507="",E507="",G507="",H507="",J507="",K507=""),"必填欄位未完整",""))</f>
        <v/>
      </c>
      <c r="AB507" s="12">
        <f>IF(A507="","",A507&amp;"|"&amp;G507)</f>
        <v/>
      </c>
    </row>
    <row r="508" ht="24" customHeight="1">
      <c r="A508" s="7" t="n"/>
      <c r="B508" s="7" t="n"/>
      <c r="C508" s="7" t="n"/>
      <c r="D508" s="7" t="n"/>
      <c r="E508" s="7" t="n"/>
      <c r="F508" s="7" t="n"/>
      <c r="G508" s="7" t="n"/>
      <c r="H508" s="8" t="n"/>
      <c r="I508" s="9">
        <f>IF(H508="","",ROUND(H508/3.305785,3))</f>
        <v/>
      </c>
      <c r="J508" s="7" t="n"/>
      <c r="K508" s="7" t="n"/>
      <c r="L508" s="10">
        <f>IF(OR(J508="",K508="",K508=0),"",ROUND(J508/K508,6))</f>
        <v/>
      </c>
      <c r="M508" s="9">
        <f>IF(OR(H508="",J508="",K508="",K508=0),"",ROUND(H508*J508/K508/3.305785,3))</f>
        <v/>
      </c>
      <c r="N508" s="7" t="n"/>
      <c r="O508" s="11" t="n"/>
      <c r="P508" s="11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12">
        <f>IF(A508="","",IF(OR(B508="",C508="",D508="",E508="",G508="",H508="",J508="",K508=""),"必填欄位未完整",""))</f>
        <v/>
      </c>
      <c r="AB508" s="12">
        <f>IF(A508="","",A508&amp;"|"&amp;G508)</f>
        <v/>
      </c>
    </row>
    <row r="509" ht="24" customHeight="1">
      <c r="A509" s="7" t="n"/>
      <c r="B509" s="7" t="n"/>
      <c r="C509" s="7" t="n"/>
      <c r="D509" s="7" t="n"/>
      <c r="E509" s="7" t="n"/>
      <c r="F509" s="7" t="n"/>
      <c r="G509" s="7" t="n"/>
      <c r="H509" s="8" t="n"/>
      <c r="I509" s="9">
        <f>IF(H509="","",ROUND(H509/3.305785,3))</f>
        <v/>
      </c>
      <c r="J509" s="7" t="n"/>
      <c r="K509" s="7" t="n"/>
      <c r="L509" s="10">
        <f>IF(OR(J509="",K509="",K509=0),"",ROUND(J509/K509,6))</f>
        <v/>
      </c>
      <c r="M509" s="9">
        <f>IF(OR(H509="",J509="",K509="",K509=0),"",ROUND(H509*J509/K509/3.305785,3))</f>
        <v/>
      </c>
      <c r="N509" s="7" t="n"/>
      <c r="O509" s="11" t="n"/>
      <c r="P509" s="11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12">
        <f>IF(A509="","",IF(OR(B509="",C509="",D509="",E509="",G509="",H509="",J509="",K509=""),"必填欄位未完整",""))</f>
        <v/>
      </c>
      <c r="AB509" s="12">
        <f>IF(A509="","",A509&amp;"|"&amp;G509)</f>
        <v/>
      </c>
    </row>
    <row r="510" ht="24" customHeight="1">
      <c r="A510" s="7" t="n"/>
      <c r="B510" s="7" t="n"/>
      <c r="C510" s="7" t="n"/>
      <c r="D510" s="7" t="n"/>
      <c r="E510" s="7" t="n"/>
      <c r="F510" s="7" t="n"/>
      <c r="G510" s="7" t="n"/>
      <c r="H510" s="8" t="n"/>
      <c r="I510" s="9">
        <f>IF(H510="","",ROUND(H510/3.305785,3))</f>
        <v/>
      </c>
      <c r="J510" s="7" t="n"/>
      <c r="K510" s="7" t="n"/>
      <c r="L510" s="10">
        <f>IF(OR(J510="",K510="",K510=0),"",ROUND(J510/K510,6))</f>
        <v/>
      </c>
      <c r="M510" s="9">
        <f>IF(OR(H510="",J510="",K510="",K510=0),"",ROUND(H510*J510/K510/3.305785,3))</f>
        <v/>
      </c>
      <c r="N510" s="7" t="n"/>
      <c r="O510" s="11" t="n"/>
      <c r="P510" s="11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12">
        <f>IF(A510="","",IF(OR(B510="",C510="",D510="",E510="",G510="",H510="",J510="",K510=""),"必填欄位未完整",""))</f>
        <v/>
      </c>
      <c r="AB510" s="12">
        <f>IF(A510="","",A510&amp;"|"&amp;G510)</f>
        <v/>
      </c>
    </row>
    <row r="511" ht="24" customHeight="1">
      <c r="A511" s="7" t="n"/>
      <c r="B511" s="7" t="n"/>
      <c r="C511" s="7" t="n"/>
      <c r="D511" s="7" t="n"/>
      <c r="E511" s="7" t="n"/>
      <c r="F511" s="7" t="n"/>
      <c r="G511" s="7" t="n"/>
      <c r="H511" s="8" t="n"/>
      <c r="I511" s="9">
        <f>IF(H511="","",ROUND(H511/3.305785,3))</f>
        <v/>
      </c>
      <c r="J511" s="7" t="n"/>
      <c r="K511" s="7" t="n"/>
      <c r="L511" s="10">
        <f>IF(OR(J511="",K511="",K511=0),"",ROUND(J511/K511,6))</f>
        <v/>
      </c>
      <c r="M511" s="9">
        <f>IF(OR(H511="",J511="",K511="",K511=0),"",ROUND(H511*J511/K511/3.305785,3))</f>
        <v/>
      </c>
      <c r="N511" s="7" t="n"/>
      <c r="O511" s="11" t="n"/>
      <c r="P511" s="11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12">
        <f>IF(A511="","",IF(OR(B511="",C511="",D511="",E511="",G511="",H511="",J511="",K511=""),"必填欄位未完整",""))</f>
        <v/>
      </c>
      <c r="AB511" s="12">
        <f>IF(A511="","",A511&amp;"|"&amp;G511)</f>
        <v/>
      </c>
    </row>
    <row r="512" ht="24" customHeight="1">
      <c r="A512" s="7" t="n"/>
      <c r="B512" s="7" t="n"/>
      <c r="C512" s="7" t="n"/>
      <c r="D512" s="7" t="n"/>
      <c r="E512" s="7" t="n"/>
      <c r="F512" s="7" t="n"/>
      <c r="G512" s="7" t="n"/>
      <c r="H512" s="8" t="n"/>
      <c r="I512" s="9">
        <f>IF(H512="","",ROUND(H512/3.305785,3))</f>
        <v/>
      </c>
      <c r="J512" s="7" t="n"/>
      <c r="K512" s="7" t="n"/>
      <c r="L512" s="10">
        <f>IF(OR(J512="",K512="",K512=0),"",ROUND(J512/K512,6))</f>
        <v/>
      </c>
      <c r="M512" s="9">
        <f>IF(OR(H512="",J512="",K512="",K512=0),"",ROUND(H512*J512/K512/3.305785,3))</f>
        <v/>
      </c>
      <c r="N512" s="7" t="n"/>
      <c r="O512" s="11" t="n"/>
      <c r="P512" s="11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12">
        <f>IF(A512="","",IF(OR(B512="",C512="",D512="",E512="",G512="",H512="",J512="",K512=""),"必填欄位未完整",""))</f>
        <v/>
      </c>
      <c r="AB512" s="12">
        <f>IF(A512="","",A512&amp;"|"&amp;G512)</f>
        <v/>
      </c>
    </row>
    <row r="513" ht="24" customHeight="1">
      <c r="A513" s="7" t="n"/>
      <c r="B513" s="7" t="n"/>
      <c r="C513" s="7" t="n"/>
      <c r="D513" s="7" t="n"/>
      <c r="E513" s="7" t="n"/>
      <c r="F513" s="7" t="n"/>
      <c r="G513" s="7" t="n"/>
      <c r="H513" s="8" t="n"/>
      <c r="I513" s="9">
        <f>IF(H513="","",ROUND(H513/3.305785,3))</f>
        <v/>
      </c>
      <c r="J513" s="7" t="n"/>
      <c r="K513" s="7" t="n"/>
      <c r="L513" s="10">
        <f>IF(OR(J513="",K513="",K513=0),"",ROUND(J513/K513,6))</f>
        <v/>
      </c>
      <c r="M513" s="9">
        <f>IF(OR(H513="",J513="",K513="",K513=0),"",ROUND(H513*J513/K513/3.305785,3))</f>
        <v/>
      </c>
      <c r="N513" s="7" t="n"/>
      <c r="O513" s="11" t="n"/>
      <c r="P513" s="11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12">
        <f>IF(A513="","",IF(OR(B513="",C513="",D513="",E513="",G513="",H513="",J513="",K513=""),"必填欄位未完整",""))</f>
        <v/>
      </c>
      <c r="AB513" s="12">
        <f>IF(A513="","",A513&amp;"|"&amp;G513)</f>
        <v/>
      </c>
    </row>
    <row r="514" ht="24" customHeight="1">
      <c r="A514" s="7" t="n"/>
      <c r="B514" s="7" t="n"/>
      <c r="C514" s="7" t="n"/>
      <c r="D514" s="7" t="n"/>
      <c r="E514" s="7" t="n"/>
      <c r="F514" s="7" t="n"/>
      <c r="G514" s="7" t="n"/>
      <c r="H514" s="8" t="n"/>
      <c r="I514" s="9">
        <f>IF(H514="","",ROUND(H514/3.305785,3))</f>
        <v/>
      </c>
      <c r="J514" s="7" t="n"/>
      <c r="K514" s="7" t="n"/>
      <c r="L514" s="10">
        <f>IF(OR(J514="",K514="",K514=0),"",ROUND(J514/K514,6))</f>
        <v/>
      </c>
      <c r="M514" s="9">
        <f>IF(OR(H514="",J514="",K514="",K514=0),"",ROUND(H514*J514/K514/3.305785,3))</f>
        <v/>
      </c>
      <c r="N514" s="7" t="n"/>
      <c r="O514" s="11" t="n"/>
      <c r="P514" s="11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12">
        <f>IF(A514="","",IF(OR(B514="",C514="",D514="",E514="",G514="",H514="",J514="",K514=""),"必填欄位未完整",""))</f>
        <v/>
      </c>
      <c r="AB514" s="12">
        <f>IF(A514="","",A514&amp;"|"&amp;G514)</f>
        <v/>
      </c>
    </row>
    <row r="515" ht="24" customHeight="1">
      <c r="A515" s="7" t="n"/>
      <c r="B515" s="7" t="n"/>
      <c r="C515" s="7" t="n"/>
      <c r="D515" s="7" t="n"/>
      <c r="E515" s="7" t="n"/>
      <c r="F515" s="7" t="n"/>
      <c r="G515" s="7" t="n"/>
      <c r="H515" s="8" t="n"/>
      <c r="I515" s="9">
        <f>IF(H515="","",ROUND(H515/3.305785,3))</f>
        <v/>
      </c>
      <c r="J515" s="7" t="n"/>
      <c r="K515" s="7" t="n"/>
      <c r="L515" s="10">
        <f>IF(OR(J515="",K515="",K515=0),"",ROUND(J515/K515,6))</f>
        <v/>
      </c>
      <c r="M515" s="9">
        <f>IF(OR(H515="",J515="",K515="",K515=0),"",ROUND(H515*J515/K515/3.305785,3))</f>
        <v/>
      </c>
      <c r="N515" s="7" t="n"/>
      <c r="O515" s="11" t="n"/>
      <c r="P515" s="11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12">
        <f>IF(A515="","",IF(OR(B515="",C515="",D515="",E515="",G515="",H515="",J515="",K515=""),"必填欄位未完整",""))</f>
        <v/>
      </c>
      <c r="AB515" s="12">
        <f>IF(A515="","",A515&amp;"|"&amp;G515)</f>
        <v/>
      </c>
    </row>
    <row r="516" ht="24" customHeight="1">
      <c r="A516" s="7" t="n"/>
      <c r="B516" s="7" t="n"/>
      <c r="C516" s="7" t="n"/>
      <c r="D516" s="7" t="n"/>
      <c r="E516" s="7" t="n"/>
      <c r="F516" s="7" t="n"/>
      <c r="G516" s="7" t="n"/>
      <c r="H516" s="8" t="n"/>
      <c r="I516" s="9">
        <f>IF(H516="","",ROUND(H516/3.305785,3))</f>
        <v/>
      </c>
      <c r="J516" s="7" t="n"/>
      <c r="K516" s="7" t="n"/>
      <c r="L516" s="10">
        <f>IF(OR(J516="",K516="",K516=0),"",ROUND(J516/K516,6))</f>
        <v/>
      </c>
      <c r="M516" s="9">
        <f>IF(OR(H516="",J516="",K516="",K516=0),"",ROUND(H516*J516/K516/3.305785,3))</f>
        <v/>
      </c>
      <c r="N516" s="7" t="n"/>
      <c r="O516" s="11" t="n"/>
      <c r="P516" s="11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12">
        <f>IF(A516="","",IF(OR(B516="",C516="",D516="",E516="",G516="",H516="",J516="",K516=""),"必填欄位未完整",""))</f>
        <v/>
      </c>
      <c r="AB516" s="12">
        <f>IF(A516="","",A516&amp;"|"&amp;G516)</f>
        <v/>
      </c>
    </row>
    <row r="517" ht="24" customHeight="1">
      <c r="A517" s="7" t="n"/>
      <c r="B517" s="7" t="n"/>
      <c r="C517" s="7" t="n"/>
      <c r="D517" s="7" t="n"/>
      <c r="E517" s="7" t="n"/>
      <c r="F517" s="7" t="n"/>
      <c r="G517" s="7" t="n"/>
      <c r="H517" s="8" t="n"/>
      <c r="I517" s="9">
        <f>IF(H517="","",ROUND(H517/3.305785,3))</f>
        <v/>
      </c>
      <c r="J517" s="7" t="n"/>
      <c r="K517" s="7" t="n"/>
      <c r="L517" s="10">
        <f>IF(OR(J517="",K517="",K517=0),"",ROUND(J517/K517,6))</f>
        <v/>
      </c>
      <c r="M517" s="9">
        <f>IF(OR(H517="",J517="",K517="",K517=0),"",ROUND(H517*J517/K517/3.305785,3))</f>
        <v/>
      </c>
      <c r="N517" s="7" t="n"/>
      <c r="O517" s="11" t="n"/>
      <c r="P517" s="11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12">
        <f>IF(A517="","",IF(OR(B517="",C517="",D517="",E517="",G517="",H517="",J517="",K517=""),"必填欄位未完整",""))</f>
        <v/>
      </c>
      <c r="AB517" s="12">
        <f>IF(A517="","",A517&amp;"|"&amp;G517)</f>
        <v/>
      </c>
    </row>
    <row r="518" ht="24" customHeight="1">
      <c r="A518" s="7" t="n"/>
      <c r="B518" s="7" t="n"/>
      <c r="C518" s="7" t="n"/>
      <c r="D518" s="7" t="n"/>
      <c r="E518" s="7" t="n"/>
      <c r="F518" s="7" t="n"/>
      <c r="G518" s="7" t="n"/>
      <c r="H518" s="8" t="n"/>
      <c r="I518" s="9">
        <f>IF(H518="","",ROUND(H518/3.305785,3))</f>
        <v/>
      </c>
      <c r="J518" s="7" t="n"/>
      <c r="K518" s="7" t="n"/>
      <c r="L518" s="10">
        <f>IF(OR(J518="",K518="",K518=0),"",ROUND(J518/K518,6))</f>
        <v/>
      </c>
      <c r="M518" s="9">
        <f>IF(OR(H518="",J518="",K518="",K518=0),"",ROUND(H518*J518/K518/3.305785,3))</f>
        <v/>
      </c>
      <c r="N518" s="7" t="n"/>
      <c r="O518" s="11" t="n"/>
      <c r="P518" s="11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12">
        <f>IF(A518="","",IF(OR(B518="",C518="",D518="",E518="",G518="",H518="",J518="",K518=""),"必填欄位未完整",""))</f>
        <v/>
      </c>
      <c r="AB518" s="12">
        <f>IF(A518="","",A518&amp;"|"&amp;G518)</f>
        <v/>
      </c>
    </row>
    <row r="519" ht="24" customHeight="1">
      <c r="A519" s="7" t="n"/>
      <c r="B519" s="7" t="n"/>
      <c r="C519" s="7" t="n"/>
      <c r="D519" s="7" t="n"/>
      <c r="E519" s="7" t="n"/>
      <c r="F519" s="7" t="n"/>
      <c r="G519" s="7" t="n"/>
      <c r="H519" s="8" t="n"/>
      <c r="I519" s="9">
        <f>IF(H519="","",ROUND(H519/3.305785,3))</f>
        <v/>
      </c>
      <c r="J519" s="7" t="n"/>
      <c r="K519" s="7" t="n"/>
      <c r="L519" s="10">
        <f>IF(OR(J519="",K519="",K519=0),"",ROUND(J519/K519,6))</f>
        <v/>
      </c>
      <c r="M519" s="9">
        <f>IF(OR(H519="",J519="",K519="",K519=0),"",ROUND(H519*J519/K519/3.305785,3))</f>
        <v/>
      </c>
      <c r="N519" s="7" t="n"/>
      <c r="O519" s="11" t="n"/>
      <c r="P519" s="11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12">
        <f>IF(A519="","",IF(OR(B519="",C519="",D519="",E519="",G519="",H519="",J519="",K519=""),"必填欄位未完整",""))</f>
        <v/>
      </c>
      <c r="AB519" s="12">
        <f>IF(A519="","",A519&amp;"|"&amp;G519)</f>
        <v/>
      </c>
    </row>
    <row r="520" ht="24" customHeight="1">
      <c r="A520" s="7" t="n"/>
      <c r="B520" s="7" t="n"/>
      <c r="C520" s="7" t="n"/>
      <c r="D520" s="7" t="n"/>
      <c r="E520" s="7" t="n"/>
      <c r="F520" s="7" t="n"/>
      <c r="G520" s="7" t="n"/>
      <c r="H520" s="8" t="n"/>
      <c r="I520" s="9">
        <f>IF(H520="","",ROUND(H520/3.305785,3))</f>
        <v/>
      </c>
      <c r="J520" s="7" t="n"/>
      <c r="K520" s="7" t="n"/>
      <c r="L520" s="10">
        <f>IF(OR(J520="",K520="",K520=0),"",ROUND(J520/K520,6))</f>
        <v/>
      </c>
      <c r="M520" s="9">
        <f>IF(OR(H520="",J520="",K520="",K520=0),"",ROUND(H520*J520/K520/3.305785,3))</f>
        <v/>
      </c>
      <c r="N520" s="7" t="n"/>
      <c r="O520" s="11" t="n"/>
      <c r="P520" s="11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12">
        <f>IF(A520="","",IF(OR(B520="",C520="",D520="",E520="",G520="",H520="",J520="",K520=""),"必填欄位未完整",""))</f>
        <v/>
      </c>
      <c r="AB520" s="12">
        <f>IF(A520="","",A520&amp;"|"&amp;G520)</f>
        <v/>
      </c>
    </row>
    <row r="521" ht="24" customHeight="1">
      <c r="A521" s="7" t="n"/>
      <c r="B521" s="7" t="n"/>
      <c r="C521" s="7" t="n"/>
      <c r="D521" s="7" t="n"/>
      <c r="E521" s="7" t="n"/>
      <c r="F521" s="7" t="n"/>
      <c r="G521" s="7" t="n"/>
      <c r="H521" s="8" t="n"/>
      <c r="I521" s="9">
        <f>IF(H521="","",ROUND(H521/3.305785,3))</f>
        <v/>
      </c>
      <c r="J521" s="7" t="n"/>
      <c r="K521" s="7" t="n"/>
      <c r="L521" s="10">
        <f>IF(OR(J521="",K521="",K521=0),"",ROUND(J521/K521,6))</f>
        <v/>
      </c>
      <c r="M521" s="9">
        <f>IF(OR(H521="",J521="",K521="",K521=0),"",ROUND(H521*J521/K521/3.305785,3))</f>
        <v/>
      </c>
      <c r="N521" s="7" t="n"/>
      <c r="O521" s="11" t="n"/>
      <c r="P521" s="11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12">
        <f>IF(A521="","",IF(OR(B521="",C521="",D521="",E521="",G521="",H521="",J521="",K521=""),"必填欄位未完整",""))</f>
        <v/>
      </c>
      <c r="AB521" s="12">
        <f>IF(A521="","",A521&amp;"|"&amp;G521)</f>
        <v/>
      </c>
    </row>
    <row r="522" ht="24" customHeight="1">
      <c r="A522" s="7" t="n"/>
      <c r="B522" s="7" t="n"/>
      <c r="C522" s="7" t="n"/>
      <c r="D522" s="7" t="n"/>
      <c r="E522" s="7" t="n"/>
      <c r="F522" s="7" t="n"/>
      <c r="G522" s="7" t="n"/>
      <c r="H522" s="8" t="n"/>
      <c r="I522" s="9">
        <f>IF(H522="","",ROUND(H522/3.305785,3))</f>
        <v/>
      </c>
      <c r="J522" s="7" t="n"/>
      <c r="K522" s="7" t="n"/>
      <c r="L522" s="10">
        <f>IF(OR(J522="",K522="",K522=0),"",ROUND(J522/K522,6))</f>
        <v/>
      </c>
      <c r="M522" s="9">
        <f>IF(OR(H522="",J522="",K522="",K522=0),"",ROUND(H522*J522/K522/3.305785,3))</f>
        <v/>
      </c>
      <c r="N522" s="7" t="n"/>
      <c r="O522" s="11" t="n"/>
      <c r="P522" s="11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12">
        <f>IF(A522="","",IF(OR(B522="",C522="",D522="",E522="",G522="",H522="",J522="",K522=""),"必填欄位未完整",""))</f>
        <v/>
      </c>
      <c r="AB522" s="12">
        <f>IF(A522="","",A522&amp;"|"&amp;G522)</f>
        <v/>
      </c>
    </row>
    <row r="523" ht="24" customHeight="1">
      <c r="A523" s="7" t="n"/>
      <c r="B523" s="7" t="n"/>
      <c r="C523" s="7" t="n"/>
      <c r="D523" s="7" t="n"/>
      <c r="E523" s="7" t="n"/>
      <c r="F523" s="7" t="n"/>
      <c r="G523" s="7" t="n"/>
      <c r="H523" s="8" t="n"/>
      <c r="I523" s="9">
        <f>IF(H523="","",ROUND(H523/3.305785,3))</f>
        <v/>
      </c>
      <c r="J523" s="7" t="n"/>
      <c r="K523" s="7" t="n"/>
      <c r="L523" s="10">
        <f>IF(OR(J523="",K523="",K523=0),"",ROUND(J523/K523,6))</f>
        <v/>
      </c>
      <c r="M523" s="9">
        <f>IF(OR(H523="",J523="",K523="",K523=0),"",ROUND(H523*J523/K523/3.305785,3))</f>
        <v/>
      </c>
      <c r="N523" s="7" t="n"/>
      <c r="O523" s="11" t="n"/>
      <c r="P523" s="11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12">
        <f>IF(A523="","",IF(OR(B523="",C523="",D523="",E523="",G523="",H523="",J523="",K523=""),"必填欄位未完整",""))</f>
        <v/>
      </c>
      <c r="AB523" s="12">
        <f>IF(A523="","",A523&amp;"|"&amp;G523)</f>
        <v/>
      </c>
    </row>
    <row r="524" ht="24" customHeight="1">
      <c r="A524" s="7" t="n"/>
      <c r="B524" s="7" t="n"/>
      <c r="C524" s="7" t="n"/>
      <c r="D524" s="7" t="n"/>
      <c r="E524" s="7" t="n"/>
      <c r="F524" s="7" t="n"/>
      <c r="G524" s="7" t="n"/>
      <c r="H524" s="8" t="n"/>
      <c r="I524" s="9">
        <f>IF(H524="","",ROUND(H524/3.305785,3))</f>
        <v/>
      </c>
      <c r="J524" s="7" t="n"/>
      <c r="K524" s="7" t="n"/>
      <c r="L524" s="10">
        <f>IF(OR(J524="",K524="",K524=0),"",ROUND(J524/K524,6))</f>
        <v/>
      </c>
      <c r="M524" s="9">
        <f>IF(OR(H524="",J524="",K524="",K524=0),"",ROUND(H524*J524/K524/3.305785,3))</f>
        <v/>
      </c>
      <c r="N524" s="7" t="n"/>
      <c r="O524" s="11" t="n"/>
      <c r="P524" s="11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12">
        <f>IF(A524="","",IF(OR(B524="",C524="",D524="",E524="",G524="",H524="",J524="",K524=""),"必填欄位未完整",""))</f>
        <v/>
      </c>
      <c r="AB524" s="12">
        <f>IF(A524="","",A524&amp;"|"&amp;G524)</f>
        <v/>
      </c>
    </row>
    <row r="525" ht="24" customHeight="1">
      <c r="A525" s="7" t="n"/>
      <c r="B525" s="7" t="n"/>
      <c r="C525" s="7" t="n"/>
      <c r="D525" s="7" t="n"/>
      <c r="E525" s="7" t="n"/>
      <c r="F525" s="7" t="n"/>
      <c r="G525" s="7" t="n"/>
      <c r="H525" s="8" t="n"/>
      <c r="I525" s="9">
        <f>IF(H525="","",ROUND(H525/3.305785,3))</f>
        <v/>
      </c>
      <c r="J525" s="7" t="n"/>
      <c r="K525" s="7" t="n"/>
      <c r="L525" s="10">
        <f>IF(OR(J525="",K525="",K525=0),"",ROUND(J525/K525,6))</f>
        <v/>
      </c>
      <c r="M525" s="9">
        <f>IF(OR(H525="",J525="",K525="",K525=0),"",ROUND(H525*J525/K525/3.305785,3))</f>
        <v/>
      </c>
      <c r="N525" s="7" t="n"/>
      <c r="O525" s="11" t="n"/>
      <c r="P525" s="11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12">
        <f>IF(A525="","",IF(OR(B525="",C525="",D525="",E525="",G525="",H525="",J525="",K525=""),"必填欄位未完整",""))</f>
        <v/>
      </c>
      <c r="AB525" s="12">
        <f>IF(A525="","",A525&amp;"|"&amp;G525)</f>
        <v/>
      </c>
    </row>
    <row r="526" ht="24" customHeight="1">
      <c r="A526" s="7" t="n"/>
      <c r="B526" s="7" t="n"/>
      <c r="C526" s="7" t="n"/>
      <c r="D526" s="7" t="n"/>
      <c r="E526" s="7" t="n"/>
      <c r="F526" s="7" t="n"/>
      <c r="G526" s="7" t="n"/>
      <c r="H526" s="8" t="n"/>
      <c r="I526" s="9">
        <f>IF(H526="","",ROUND(H526/3.305785,3))</f>
        <v/>
      </c>
      <c r="J526" s="7" t="n"/>
      <c r="K526" s="7" t="n"/>
      <c r="L526" s="10">
        <f>IF(OR(J526="",K526="",K526=0),"",ROUND(J526/K526,6))</f>
        <v/>
      </c>
      <c r="M526" s="9">
        <f>IF(OR(H526="",J526="",K526="",K526=0),"",ROUND(H526*J526/K526/3.305785,3))</f>
        <v/>
      </c>
      <c r="N526" s="7" t="n"/>
      <c r="O526" s="11" t="n"/>
      <c r="P526" s="11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12">
        <f>IF(A526="","",IF(OR(B526="",C526="",D526="",E526="",G526="",H526="",J526="",K526=""),"必填欄位未完整",""))</f>
        <v/>
      </c>
      <c r="AB526" s="12">
        <f>IF(A526="","",A526&amp;"|"&amp;G526)</f>
        <v/>
      </c>
    </row>
    <row r="527" ht="24" customHeight="1">
      <c r="A527" s="7" t="n"/>
      <c r="B527" s="7" t="n"/>
      <c r="C527" s="7" t="n"/>
      <c r="D527" s="7" t="n"/>
      <c r="E527" s="7" t="n"/>
      <c r="F527" s="7" t="n"/>
      <c r="G527" s="7" t="n"/>
      <c r="H527" s="8" t="n"/>
      <c r="I527" s="9">
        <f>IF(H527="","",ROUND(H527/3.305785,3))</f>
        <v/>
      </c>
      <c r="J527" s="7" t="n"/>
      <c r="K527" s="7" t="n"/>
      <c r="L527" s="10">
        <f>IF(OR(J527="",K527="",K527=0),"",ROUND(J527/K527,6))</f>
        <v/>
      </c>
      <c r="M527" s="9">
        <f>IF(OR(H527="",J527="",K527="",K527=0),"",ROUND(H527*J527/K527/3.305785,3))</f>
        <v/>
      </c>
      <c r="N527" s="7" t="n"/>
      <c r="O527" s="11" t="n"/>
      <c r="P527" s="11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12">
        <f>IF(A527="","",IF(OR(B527="",C527="",D527="",E527="",G527="",H527="",J527="",K527=""),"必填欄位未完整",""))</f>
        <v/>
      </c>
      <c r="AB527" s="12">
        <f>IF(A527="","",A527&amp;"|"&amp;G527)</f>
        <v/>
      </c>
    </row>
    <row r="528" ht="24" customHeight="1">
      <c r="A528" s="7" t="n"/>
      <c r="B528" s="7" t="n"/>
      <c r="C528" s="7" t="n"/>
      <c r="D528" s="7" t="n"/>
      <c r="E528" s="7" t="n"/>
      <c r="F528" s="7" t="n"/>
      <c r="G528" s="7" t="n"/>
      <c r="H528" s="8" t="n"/>
      <c r="I528" s="9">
        <f>IF(H528="","",ROUND(H528/3.305785,3))</f>
        <v/>
      </c>
      <c r="J528" s="7" t="n"/>
      <c r="K528" s="7" t="n"/>
      <c r="L528" s="10">
        <f>IF(OR(J528="",K528="",K528=0),"",ROUND(J528/K528,6))</f>
        <v/>
      </c>
      <c r="M528" s="9">
        <f>IF(OR(H528="",J528="",K528="",K528=0),"",ROUND(H528*J528/K528/3.305785,3))</f>
        <v/>
      </c>
      <c r="N528" s="7" t="n"/>
      <c r="O528" s="11" t="n"/>
      <c r="P528" s="11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12">
        <f>IF(A528="","",IF(OR(B528="",C528="",D528="",E528="",G528="",H528="",J528="",K528=""),"必填欄位未完整",""))</f>
        <v/>
      </c>
      <c r="AB528" s="12">
        <f>IF(A528="","",A528&amp;"|"&amp;G528)</f>
        <v/>
      </c>
    </row>
    <row r="529" ht="24" customHeight="1">
      <c r="A529" s="7" t="n"/>
      <c r="B529" s="7" t="n"/>
      <c r="C529" s="7" t="n"/>
      <c r="D529" s="7" t="n"/>
      <c r="E529" s="7" t="n"/>
      <c r="F529" s="7" t="n"/>
      <c r="G529" s="7" t="n"/>
      <c r="H529" s="8" t="n"/>
      <c r="I529" s="9">
        <f>IF(H529="","",ROUND(H529/3.305785,3))</f>
        <v/>
      </c>
      <c r="J529" s="7" t="n"/>
      <c r="K529" s="7" t="n"/>
      <c r="L529" s="10">
        <f>IF(OR(J529="",K529="",K529=0),"",ROUND(J529/K529,6))</f>
        <v/>
      </c>
      <c r="M529" s="9">
        <f>IF(OR(H529="",J529="",K529="",K529=0),"",ROUND(H529*J529/K529/3.305785,3))</f>
        <v/>
      </c>
      <c r="N529" s="7" t="n"/>
      <c r="O529" s="11" t="n"/>
      <c r="P529" s="11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12">
        <f>IF(A529="","",IF(OR(B529="",C529="",D529="",E529="",G529="",H529="",J529="",K529=""),"必填欄位未完整",""))</f>
        <v/>
      </c>
      <c r="AB529" s="12">
        <f>IF(A529="","",A529&amp;"|"&amp;G529)</f>
        <v/>
      </c>
    </row>
    <row r="530" ht="24" customHeight="1">
      <c r="A530" s="7" t="n"/>
      <c r="B530" s="7" t="n"/>
      <c r="C530" s="7" t="n"/>
      <c r="D530" s="7" t="n"/>
      <c r="E530" s="7" t="n"/>
      <c r="F530" s="7" t="n"/>
      <c r="G530" s="7" t="n"/>
      <c r="H530" s="8" t="n"/>
      <c r="I530" s="9">
        <f>IF(H530="","",ROUND(H530/3.305785,3))</f>
        <v/>
      </c>
      <c r="J530" s="7" t="n"/>
      <c r="K530" s="7" t="n"/>
      <c r="L530" s="10">
        <f>IF(OR(J530="",K530="",K530=0),"",ROUND(J530/K530,6))</f>
        <v/>
      </c>
      <c r="M530" s="9">
        <f>IF(OR(H530="",J530="",K530="",K530=0),"",ROUND(H530*J530/K530/3.305785,3))</f>
        <v/>
      </c>
      <c r="N530" s="7" t="n"/>
      <c r="O530" s="11" t="n"/>
      <c r="P530" s="11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12">
        <f>IF(A530="","",IF(OR(B530="",C530="",D530="",E530="",G530="",H530="",J530="",K530=""),"必填欄位未完整",""))</f>
        <v/>
      </c>
      <c r="AB530" s="12">
        <f>IF(A530="","",A530&amp;"|"&amp;G530)</f>
        <v/>
      </c>
    </row>
    <row r="531" ht="24" customHeight="1">
      <c r="A531" s="7" t="n"/>
      <c r="B531" s="7" t="n"/>
      <c r="C531" s="7" t="n"/>
      <c r="D531" s="7" t="n"/>
      <c r="E531" s="7" t="n"/>
      <c r="F531" s="7" t="n"/>
      <c r="G531" s="7" t="n"/>
      <c r="H531" s="8" t="n"/>
      <c r="I531" s="9">
        <f>IF(H531="","",ROUND(H531/3.305785,3))</f>
        <v/>
      </c>
      <c r="J531" s="7" t="n"/>
      <c r="K531" s="7" t="n"/>
      <c r="L531" s="10">
        <f>IF(OR(J531="",K531="",K531=0),"",ROUND(J531/K531,6))</f>
        <v/>
      </c>
      <c r="M531" s="9">
        <f>IF(OR(H531="",J531="",K531="",K531=0),"",ROUND(H531*J531/K531/3.305785,3))</f>
        <v/>
      </c>
      <c r="N531" s="7" t="n"/>
      <c r="O531" s="11" t="n"/>
      <c r="P531" s="11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12">
        <f>IF(A531="","",IF(OR(B531="",C531="",D531="",E531="",G531="",H531="",J531="",K531=""),"必填欄位未完整",""))</f>
        <v/>
      </c>
      <c r="AB531" s="12">
        <f>IF(A531="","",A531&amp;"|"&amp;G531)</f>
        <v/>
      </c>
    </row>
    <row r="532" ht="24" customHeight="1">
      <c r="A532" s="7" t="n"/>
      <c r="B532" s="7" t="n"/>
      <c r="C532" s="7" t="n"/>
      <c r="D532" s="7" t="n"/>
      <c r="E532" s="7" t="n"/>
      <c r="F532" s="7" t="n"/>
      <c r="G532" s="7" t="n"/>
      <c r="H532" s="8" t="n"/>
      <c r="I532" s="9">
        <f>IF(H532="","",ROUND(H532/3.305785,3))</f>
        <v/>
      </c>
      <c r="J532" s="7" t="n"/>
      <c r="K532" s="7" t="n"/>
      <c r="L532" s="10">
        <f>IF(OR(J532="",K532="",K532=0),"",ROUND(J532/K532,6))</f>
        <v/>
      </c>
      <c r="M532" s="9">
        <f>IF(OR(H532="",J532="",K532="",K532=0),"",ROUND(H532*J532/K532/3.305785,3))</f>
        <v/>
      </c>
      <c r="N532" s="7" t="n"/>
      <c r="O532" s="11" t="n"/>
      <c r="P532" s="11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12">
        <f>IF(A532="","",IF(OR(B532="",C532="",D532="",E532="",G532="",H532="",J532="",K532=""),"必填欄位未完整",""))</f>
        <v/>
      </c>
      <c r="AB532" s="12">
        <f>IF(A532="","",A532&amp;"|"&amp;G532)</f>
        <v/>
      </c>
    </row>
    <row r="533" ht="24" customHeight="1">
      <c r="A533" s="7" t="n"/>
      <c r="B533" s="7" t="n"/>
      <c r="C533" s="7" t="n"/>
      <c r="D533" s="7" t="n"/>
      <c r="E533" s="7" t="n"/>
      <c r="F533" s="7" t="n"/>
      <c r="G533" s="7" t="n"/>
      <c r="H533" s="8" t="n"/>
      <c r="I533" s="9">
        <f>IF(H533="","",ROUND(H533/3.305785,3))</f>
        <v/>
      </c>
      <c r="J533" s="7" t="n"/>
      <c r="K533" s="7" t="n"/>
      <c r="L533" s="10">
        <f>IF(OR(J533="",K533="",K533=0),"",ROUND(J533/K533,6))</f>
        <v/>
      </c>
      <c r="M533" s="9">
        <f>IF(OR(H533="",J533="",K533="",K533=0),"",ROUND(H533*J533/K533/3.305785,3))</f>
        <v/>
      </c>
      <c r="N533" s="7" t="n"/>
      <c r="O533" s="11" t="n"/>
      <c r="P533" s="11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12">
        <f>IF(A533="","",IF(OR(B533="",C533="",D533="",E533="",G533="",H533="",J533="",K533=""),"必填欄位未完整",""))</f>
        <v/>
      </c>
      <c r="AB533" s="12">
        <f>IF(A533="","",A533&amp;"|"&amp;G533)</f>
        <v/>
      </c>
    </row>
    <row r="534" ht="24" customHeight="1">
      <c r="A534" s="7" t="n"/>
      <c r="B534" s="7" t="n"/>
      <c r="C534" s="7" t="n"/>
      <c r="D534" s="7" t="n"/>
      <c r="E534" s="7" t="n"/>
      <c r="F534" s="7" t="n"/>
      <c r="G534" s="7" t="n"/>
      <c r="H534" s="8" t="n"/>
      <c r="I534" s="9">
        <f>IF(H534="","",ROUND(H534/3.305785,3))</f>
        <v/>
      </c>
      <c r="J534" s="7" t="n"/>
      <c r="K534" s="7" t="n"/>
      <c r="L534" s="10">
        <f>IF(OR(J534="",K534="",K534=0),"",ROUND(J534/K534,6))</f>
        <v/>
      </c>
      <c r="M534" s="9">
        <f>IF(OR(H534="",J534="",K534="",K534=0),"",ROUND(H534*J534/K534/3.305785,3))</f>
        <v/>
      </c>
      <c r="N534" s="7" t="n"/>
      <c r="O534" s="11" t="n"/>
      <c r="P534" s="11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12">
        <f>IF(A534="","",IF(OR(B534="",C534="",D534="",E534="",G534="",H534="",J534="",K534=""),"必填欄位未完整",""))</f>
        <v/>
      </c>
      <c r="AB534" s="12">
        <f>IF(A534="","",A534&amp;"|"&amp;G534)</f>
        <v/>
      </c>
    </row>
    <row r="535" ht="24" customHeight="1">
      <c r="A535" s="7" t="n"/>
      <c r="B535" s="7" t="n"/>
      <c r="C535" s="7" t="n"/>
      <c r="D535" s="7" t="n"/>
      <c r="E535" s="7" t="n"/>
      <c r="F535" s="7" t="n"/>
      <c r="G535" s="7" t="n"/>
      <c r="H535" s="8" t="n"/>
      <c r="I535" s="9">
        <f>IF(H535="","",ROUND(H535/3.305785,3))</f>
        <v/>
      </c>
      <c r="J535" s="7" t="n"/>
      <c r="K535" s="7" t="n"/>
      <c r="L535" s="10">
        <f>IF(OR(J535="",K535="",K535=0),"",ROUND(J535/K535,6))</f>
        <v/>
      </c>
      <c r="M535" s="9">
        <f>IF(OR(H535="",J535="",K535="",K535=0),"",ROUND(H535*J535/K535/3.305785,3))</f>
        <v/>
      </c>
      <c r="N535" s="7" t="n"/>
      <c r="O535" s="11" t="n"/>
      <c r="P535" s="11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12">
        <f>IF(A535="","",IF(OR(B535="",C535="",D535="",E535="",G535="",H535="",J535="",K535=""),"必填欄位未完整",""))</f>
        <v/>
      </c>
      <c r="AB535" s="12">
        <f>IF(A535="","",A535&amp;"|"&amp;G535)</f>
        <v/>
      </c>
    </row>
    <row r="536" ht="24" customHeight="1">
      <c r="A536" s="7" t="n"/>
      <c r="B536" s="7" t="n"/>
      <c r="C536" s="7" t="n"/>
      <c r="D536" s="7" t="n"/>
      <c r="E536" s="7" t="n"/>
      <c r="F536" s="7" t="n"/>
      <c r="G536" s="7" t="n"/>
      <c r="H536" s="8" t="n"/>
      <c r="I536" s="9">
        <f>IF(H536="","",ROUND(H536/3.305785,3))</f>
        <v/>
      </c>
      <c r="J536" s="7" t="n"/>
      <c r="K536" s="7" t="n"/>
      <c r="L536" s="10">
        <f>IF(OR(J536="",K536="",K536=0),"",ROUND(J536/K536,6))</f>
        <v/>
      </c>
      <c r="M536" s="9">
        <f>IF(OR(H536="",J536="",K536="",K536=0),"",ROUND(H536*J536/K536/3.305785,3))</f>
        <v/>
      </c>
      <c r="N536" s="7" t="n"/>
      <c r="O536" s="11" t="n"/>
      <c r="P536" s="11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12">
        <f>IF(A536="","",IF(OR(B536="",C536="",D536="",E536="",G536="",H536="",J536="",K536=""),"必填欄位未完整",""))</f>
        <v/>
      </c>
      <c r="AB536" s="12">
        <f>IF(A536="","",A536&amp;"|"&amp;G536)</f>
        <v/>
      </c>
    </row>
    <row r="537" ht="24" customHeight="1">
      <c r="A537" s="7" t="n"/>
      <c r="B537" s="7" t="n"/>
      <c r="C537" s="7" t="n"/>
      <c r="D537" s="7" t="n"/>
      <c r="E537" s="7" t="n"/>
      <c r="F537" s="7" t="n"/>
      <c r="G537" s="7" t="n"/>
      <c r="H537" s="8" t="n"/>
      <c r="I537" s="9">
        <f>IF(H537="","",ROUND(H537/3.305785,3))</f>
        <v/>
      </c>
      <c r="J537" s="7" t="n"/>
      <c r="K537" s="7" t="n"/>
      <c r="L537" s="10">
        <f>IF(OR(J537="",K537="",K537=0),"",ROUND(J537/K537,6))</f>
        <v/>
      </c>
      <c r="M537" s="9">
        <f>IF(OR(H537="",J537="",K537="",K537=0),"",ROUND(H537*J537/K537/3.305785,3))</f>
        <v/>
      </c>
      <c r="N537" s="7" t="n"/>
      <c r="O537" s="11" t="n"/>
      <c r="P537" s="11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12">
        <f>IF(A537="","",IF(OR(B537="",C537="",D537="",E537="",G537="",H537="",J537="",K537=""),"必填欄位未完整",""))</f>
        <v/>
      </c>
      <c r="AB537" s="12">
        <f>IF(A537="","",A537&amp;"|"&amp;G537)</f>
        <v/>
      </c>
    </row>
    <row r="538" ht="24" customHeight="1">
      <c r="A538" s="7" t="n"/>
      <c r="B538" s="7" t="n"/>
      <c r="C538" s="7" t="n"/>
      <c r="D538" s="7" t="n"/>
      <c r="E538" s="7" t="n"/>
      <c r="F538" s="7" t="n"/>
      <c r="G538" s="7" t="n"/>
      <c r="H538" s="8" t="n"/>
      <c r="I538" s="9">
        <f>IF(H538="","",ROUND(H538/3.305785,3))</f>
        <v/>
      </c>
      <c r="J538" s="7" t="n"/>
      <c r="K538" s="7" t="n"/>
      <c r="L538" s="10">
        <f>IF(OR(J538="",K538="",K538=0),"",ROUND(J538/K538,6))</f>
        <v/>
      </c>
      <c r="M538" s="9">
        <f>IF(OR(H538="",J538="",K538="",K538=0),"",ROUND(H538*J538/K538/3.305785,3))</f>
        <v/>
      </c>
      <c r="N538" s="7" t="n"/>
      <c r="O538" s="11" t="n"/>
      <c r="P538" s="11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12">
        <f>IF(A538="","",IF(OR(B538="",C538="",D538="",E538="",G538="",H538="",J538="",K538=""),"必填欄位未完整",""))</f>
        <v/>
      </c>
      <c r="AB538" s="12">
        <f>IF(A538="","",A538&amp;"|"&amp;G538)</f>
        <v/>
      </c>
    </row>
    <row r="539" ht="24" customHeight="1">
      <c r="A539" s="7" t="n"/>
      <c r="B539" s="7" t="n"/>
      <c r="C539" s="7" t="n"/>
      <c r="D539" s="7" t="n"/>
      <c r="E539" s="7" t="n"/>
      <c r="F539" s="7" t="n"/>
      <c r="G539" s="7" t="n"/>
      <c r="H539" s="8" t="n"/>
      <c r="I539" s="9">
        <f>IF(H539="","",ROUND(H539/3.305785,3))</f>
        <v/>
      </c>
      <c r="J539" s="7" t="n"/>
      <c r="K539" s="7" t="n"/>
      <c r="L539" s="10">
        <f>IF(OR(J539="",K539="",K539=0),"",ROUND(J539/K539,6))</f>
        <v/>
      </c>
      <c r="M539" s="9">
        <f>IF(OR(H539="",J539="",K539="",K539=0),"",ROUND(H539*J539/K539/3.305785,3))</f>
        <v/>
      </c>
      <c r="N539" s="7" t="n"/>
      <c r="O539" s="11" t="n"/>
      <c r="P539" s="11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12">
        <f>IF(A539="","",IF(OR(B539="",C539="",D539="",E539="",G539="",H539="",J539="",K539=""),"必填欄位未完整",""))</f>
        <v/>
      </c>
      <c r="AB539" s="12">
        <f>IF(A539="","",A539&amp;"|"&amp;G539)</f>
        <v/>
      </c>
    </row>
    <row r="540" ht="24" customHeight="1">
      <c r="A540" s="7" t="n"/>
      <c r="B540" s="7" t="n"/>
      <c r="C540" s="7" t="n"/>
      <c r="D540" s="7" t="n"/>
      <c r="E540" s="7" t="n"/>
      <c r="F540" s="7" t="n"/>
      <c r="G540" s="7" t="n"/>
      <c r="H540" s="8" t="n"/>
      <c r="I540" s="9">
        <f>IF(H540="","",ROUND(H540/3.305785,3))</f>
        <v/>
      </c>
      <c r="J540" s="7" t="n"/>
      <c r="K540" s="7" t="n"/>
      <c r="L540" s="10">
        <f>IF(OR(J540="",K540="",K540=0),"",ROUND(J540/K540,6))</f>
        <v/>
      </c>
      <c r="M540" s="9">
        <f>IF(OR(H540="",J540="",K540="",K540=0),"",ROUND(H540*J540/K540/3.305785,3))</f>
        <v/>
      </c>
      <c r="N540" s="7" t="n"/>
      <c r="O540" s="11" t="n"/>
      <c r="P540" s="11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12">
        <f>IF(A540="","",IF(OR(B540="",C540="",D540="",E540="",G540="",H540="",J540="",K540=""),"必填欄位未完整",""))</f>
        <v/>
      </c>
      <c r="AB540" s="12">
        <f>IF(A540="","",A540&amp;"|"&amp;G540)</f>
        <v/>
      </c>
    </row>
    <row r="541" ht="24" customHeight="1">
      <c r="A541" s="7" t="n"/>
      <c r="B541" s="7" t="n"/>
      <c r="C541" s="7" t="n"/>
      <c r="D541" s="7" t="n"/>
      <c r="E541" s="7" t="n"/>
      <c r="F541" s="7" t="n"/>
      <c r="G541" s="7" t="n"/>
      <c r="H541" s="8" t="n"/>
      <c r="I541" s="9">
        <f>IF(H541="","",ROUND(H541/3.305785,3))</f>
        <v/>
      </c>
      <c r="J541" s="7" t="n"/>
      <c r="K541" s="7" t="n"/>
      <c r="L541" s="10">
        <f>IF(OR(J541="",K541="",K541=0),"",ROUND(J541/K541,6))</f>
        <v/>
      </c>
      <c r="M541" s="9">
        <f>IF(OR(H541="",J541="",K541="",K541=0),"",ROUND(H541*J541/K541/3.305785,3))</f>
        <v/>
      </c>
      <c r="N541" s="7" t="n"/>
      <c r="O541" s="11" t="n"/>
      <c r="P541" s="11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12">
        <f>IF(A541="","",IF(OR(B541="",C541="",D541="",E541="",G541="",H541="",J541="",K541=""),"必填欄位未完整",""))</f>
        <v/>
      </c>
      <c r="AB541" s="12">
        <f>IF(A541="","",A541&amp;"|"&amp;G541)</f>
        <v/>
      </c>
    </row>
    <row r="542" ht="24" customHeight="1">
      <c r="A542" s="7" t="n"/>
      <c r="B542" s="7" t="n"/>
      <c r="C542" s="7" t="n"/>
      <c r="D542" s="7" t="n"/>
      <c r="E542" s="7" t="n"/>
      <c r="F542" s="7" t="n"/>
      <c r="G542" s="7" t="n"/>
      <c r="H542" s="8" t="n"/>
      <c r="I542" s="9">
        <f>IF(H542="","",ROUND(H542/3.305785,3))</f>
        <v/>
      </c>
      <c r="J542" s="7" t="n"/>
      <c r="K542" s="7" t="n"/>
      <c r="L542" s="10">
        <f>IF(OR(J542="",K542="",K542=0),"",ROUND(J542/K542,6))</f>
        <v/>
      </c>
      <c r="M542" s="9">
        <f>IF(OR(H542="",J542="",K542="",K542=0),"",ROUND(H542*J542/K542/3.305785,3))</f>
        <v/>
      </c>
      <c r="N542" s="7" t="n"/>
      <c r="O542" s="11" t="n"/>
      <c r="P542" s="11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12">
        <f>IF(A542="","",IF(OR(B542="",C542="",D542="",E542="",G542="",H542="",J542="",K542=""),"必填欄位未完整",""))</f>
        <v/>
      </c>
      <c r="AB542" s="12">
        <f>IF(A542="","",A542&amp;"|"&amp;G542)</f>
        <v/>
      </c>
    </row>
    <row r="543" ht="24" customHeight="1">
      <c r="A543" s="7" t="n"/>
      <c r="B543" s="7" t="n"/>
      <c r="C543" s="7" t="n"/>
      <c r="D543" s="7" t="n"/>
      <c r="E543" s="7" t="n"/>
      <c r="F543" s="7" t="n"/>
      <c r="G543" s="7" t="n"/>
      <c r="H543" s="8" t="n"/>
      <c r="I543" s="9">
        <f>IF(H543="","",ROUND(H543/3.305785,3))</f>
        <v/>
      </c>
      <c r="J543" s="7" t="n"/>
      <c r="K543" s="7" t="n"/>
      <c r="L543" s="10">
        <f>IF(OR(J543="",K543="",K543=0),"",ROUND(J543/K543,6))</f>
        <v/>
      </c>
      <c r="M543" s="9">
        <f>IF(OR(H543="",J543="",K543="",K543=0),"",ROUND(H543*J543/K543/3.305785,3))</f>
        <v/>
      </c>
      <c r="N543" s="7" t="n"/>
      <c r="O543" s="11" t="n"/>
      <c r="P543" s="11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12">
        <f>IF(A543="","",IF(OR(B543="",C543="",D543="",E543="",G543="",H543="",J543="",K543=""),"必填欄位未完整",""))</f>
        <v/>
      </c>
      <c r="AB543" s="12">
        <f>IF(A543="","",A543&amp;"|"&amp;G543)</f>
        <v/>
      </c>
    </row>
    <row r="544" ht="24" customHeight="1">
      <c r="A544" s="7" t="n"/>
      <c r="B544" s="7" t="n"/>
      <c r="C544" s="7" t="n"/>
      <c r="D544" s="7" t="n"/>
      <c r="E544" s="7" t="n"/>
      <c r="F544" s="7" t="n"/>
      <c r="G544" s="7" t="n"/>
      <c r="H544" s="8" t="n"/>
      <c r="I544" s="9">
        <f>IF(H544="","",ROUND(H544/3.305785,3))</f>
        <v/>
      </c>
      <c r="J544" s="7" t="n"/>
      <c r="K544" s="7" t="n"/>
      <c r="L544" s="10">
        <f>IF(OR(J544="",K544="",K544=0),"",ROUND(J544/K544,6))</f>
        <v/>
      </c>
      <c r="M544" s="9">
        <f>IF(OR(H544="",J544="",K544="",K544=0),"",ROUND(H544*J544/K544/3.305785,3))</f>
        <v/>
      </c>
      <c r="N544" s="7" t="n"/>
      <c r="O544" s="11" t="n"/>
      <c r="P544" s="11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12">
        <f>IF(A544="","",IF(OR(B544="",C544="",D544="",E544="",G544="",H544="",J544="",K544=""),"必填欄位未完整",""))</f>
        <v/>
      </c>
      <c r="AB544" s="12">
        <f>IF(A544="","",A544&amp;"|"&amp;G544)</f>
        <v/>
      </c>
    </row>
    <row r="545" ht="24" customHeight="1">
      <c r="A545" s="7" t="n"/>
      <c r="B545" s="7" t="n"/>
      <c r="C545" s="7" t="n"/>
      <c r="D545" s="7" t="n"/>
      <c r="E545" s="7" t="n"/>
      <c r="F545" s="7" t="n"/>
      <c r="G545" s="7" t="n"/>
      <c r="H545" s="8" t="n"/>
      <c r="I545" s="9">
        <f>IF(H545="","",ROUND(H545/3.305785,3))</f>
        <v/>
      </c>
      <c r="J545" s="7" t="n"/>
      <c r="K545" s="7" t="n"/>
      <c r="L545" s="10">
        <f>IF(OR(J545="",K545="",K545=0),"",ROUND(J545/K545,6))</f>
        <v/>
      </c>
      <c r="M545" s="9">
        <f>IF(OR(H545="",J545="",K545="",K545=0),"",ROUND(H545*J545/K545/3.305785,3))</f>
        <v/>
      </c>
      <c r="N545" s="7" t="n"/>
      <c r="O545" s="11" t="n"/>
      <c r="P545" s="11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12">
        <f>IF(A545="","",IF(OR(B545="",C545="",D545="",E545="",G545="",H545="",J545="",K545=""),"必填欄位未完整",""))</f>
        <v/>
      </c>
      <c r="AB545" s="12">
        <f>IF(A545="","",A545&amp;"|"&amp;G545)</f>
        <v/>
      </c>
    </row>
    <row r="546" ht="24" customHeight="1">
      <c r="A546" s="7" t="n"/>
      <c r="B546" s="7" t="n"/>
      <c r="C546" s="7" t="n"/>
      <c r="D546" s="7" t="n"/>
      <c r="E546" s="7" t="n"/>
      <c r="F546" s="7" t="n"/>
      <c r="G546" s="7" t="n"/>
      <c r="H546" s="8" t="n"/>
      <c r="I546" s="9">
        <f>IF(H546="","",ROUND(H546/3.305785,3))</f>
        <v/>
      </c>
      <c r="J546" s="7" t="n"/>
      <c r="K546" s="7" t="n"/>
      <c r="L546" s="10">
        <f>IF(OR(J546="",K546="",K546=0),"",ROUND(J546/K546,6))</f>
        <v/>
      </c>
      <c r="M546" s="9">
        <f>IF(OR(H546="",J546="",K546="",K546=0),"",ROUND(H546*J546/K546/3.305785,3))</f>
        <v/>
      </c>
      <c r="N546" s="7" t="n"/>
      <c r="O546" s="11" t="n"/>
      <c r="P546" s="11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12">
        <f>IF(A546="","",IF(OR(B546="",C546="",D546="",E546="",G546="",H546="",J546="",K546=""),"必填欄位未完整",""))</f>
        <v/>
      </c>
      <c r="AB546" s="12">
        <f>IF(A546="","",A546&amp;"|"&amp;G546)</f>
        <v/>
      </c>
    </row>
    <row r="547" ht="24" customHeight="1">
      <c r="A547" s="7" t="n"/>
      <c r="B547" s="7" t="n"/>
      <c r="C547" s="7" t="n"/>
      <c r="D547" s="7" t="n"/>
      <c r="E547" s="7" t="n"/>
      <c r="F547" s="7" t="n"/>
      <c r="G547" s="7" t="n"/>
      <c r="H547" s="8" t="n"/>
      <c r="I547" s="9">
        <f>IF(H547="","",ROUND(H547/3.305785,3))</f>
        <v/>
      </c>
      <c r="J547" s="7" t="n"/>
      <c r="K547" s="7" t="n"/>
      <c r="L547" s="10">
        <f>IF(OR(J547="",K547="",K547=0),"",ROUND(J547/K547,6))</f>
        <v/>
      </c>
      <c r="M547" s="9">
        <f>IF(OR(H547="",J547="",K547="",K547=0),"",ROUND(H547*J547/K547/3.305785,3))</f>
        <v/>
      </c>
      <c r="N547" s="7" t="n"/>
      <c r="O547" s="11" t="n"/>
      <c r="P547" s="11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12">
        <f>IF(A547="","",IF(OR(B547="",C547="",D547="",E547="",G547="",H547="",J547="",K547=""),"必填欄位未完整",""))</f>
        <v/>
      </c>
      <c r="AB547" s="12">
        <f>IF(A547="","",A547&amp;"|"&amp;G547)</f>
        <v/>
      </c>
    </row>
    <row r="548" ht="24" customHeight="1">
      <c r="A548" s="7" t="n"/>
      <c r="B548" s="7" t="n"/>
      <c r="C548" s="7" t="n"/>
      <c r="D548" s="7" t="n"/>
      <c r="E548" s="7" t="n"/>
      <c r="F548" s="7" t="n"/>
      <c r="G548" s="7" t="n"/>
      <c r="H548" s="8" t="n"/>
      <c r="I548" s="9">
        <f>IF(H548="","",ROUND(H548/3.305785,3))</f>
        <v/>
      </c>
      <c r="J548" s="7" t="n"/>
      <c r="K548" s="7" t="n"/>
      <c r="L548" s="10">
        <f>IF(OR(J548="",K548="",K548=0),"",ROUND(J548/K548,6))</f>
        <v/>
      </c>
      <c r="M548" s="9">
        <f>IF(OR(H548="",J548="",K548="",K548=0),"",ROUND(H548*J548/K548/3.305785,3))</f>
        <v/>
      </c>
      <c r="N548" s="7" t="n"/>
      <c r="O548" s="11" t="n"/>
      <c r="P548" s="11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12">
        <f>IF(A548="","",IF(OR(B548="",C548="",D548="",E548="",G548="",H548="",J548="",K548=""),"必填欄位未完整",""))</f>
        <v/>
      </c>
      <c r="AB548" s="12">
        <f>IF(A548="","",A548&amp;"|"&amp;G548)</f>
        <v/>
      </c>
    </row>
    <row r="549" ht="24" customHeight="1">
      <c r="A549" s="7" t="n"/>
      <c r="B549" s="7" t="n"/>
      <c r="C549" s="7" t="n"/>
      <c r="D549" s="7" t="n"/>
      <c r="E549" s="7" t="n"/>
      <c r="F549" s="7" t="n"/>
      <c r="G549" s="7" t="n"/>
      <c r="H549" s="8" t="n"/>
      <c r="I549" s="9">
        <f>IF(H549="","",ROUND(H549/3.305785,3))</f>
        <v/>
      </c>
      <c r="J549" s="7" t="n"/>
      <c r="K549" s="7" t="n"/>
      <c r="L549" s="10">
        <f>IF(OR(J549="",K549="",K549=0),"",ROUND(J549/K549,6))</f>
        <v/>
      </c>
      <c r="M549" s="9">
        <f>IF(OR(H549="",J549="",K549="",K549=0),"",ROUND(H549*J549/K549/3.305785,3))</f>
        <v/>
      </c>
      <c r="N549" s="7" t="n"/>
      <c r="O549" s="11" t="n"/>
      <c r="P549" s="11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12">
        <f>IF(A549="","",IF(OR(B549="",C549="",D549="",E549="",G549="",H549="",J549="",K549=""),"必填欄位未完整",""))</f>
        <v/>
      </c>
      <c r="AB549" s="12">
        <f>IF(A549="","",A549&amp;"|"&amp;G549)</f>
        <v/>
      </c>
    </row>
    <row r="550" ht="24" customHeight="1">
      <c r="A550" s="7" t="n"/>
      <c r="B550" s="7" t="n"/>
      <c r="C550" s="7" t="n"/>
      <c r="D550" s="7" t="n"/>
      <c r="E550" s="7" t="n"/>
      <c r="F550" s="7" t="n"/>
      <c r="G550" s="7" t="n"/>
      <c r="H550" s="8" t="n"/>
      <c r="I550" s="9">
        <f>IF(H550="","",ROUND(H550/3.305785,3))</f>
        <v/>
      </c>
      <c r="J550" s="7" t="n"/>
      <c r="K550" s="7" t="n"/>
      <c r="L550" s="10">
        <f>IF(OR(J550="",K550="",K550=0),"",ROUND(J550/K550,6))</f>
        <v/>
      </c>
      <c r="M550" s="9">
        <f>IF(OR(H550="",J550="",K550="",K550=0),"",ROUND(H550*J550/K550/3.305785,3))</f>
        <v/>
      </c>
      <c r="N550" s="7" t="n"/>
      <c r="O550" s="11" t="n"/>
      <c r="P550" s="11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12">
        <f>IF(A550="","",IF(OR(B550="",C550="",D550="",E550="",G550="",H550="",J550="",K550=""),"必填欄位未完整",""))</f>
        <v/>
      </c>
      <c r="AB550" s="12">
        <f>IF(A550="","",A550&amp;"|"&amp;G550)</f>
        <v/>
      </c>
    </row>
    <row r="551" ht="24" customHeight="1">
      <c r="A551" s="7" t="n"/>
      <c r="B551" s="7" t="n"/>
      <c r="C551" s="7" t="n"/>
      <c r="D551" s="7" t="n"/>
      <c r="E551" s="7" t="n"/>
      <c r="F551" s="7" t="n"/>
      <c r="G551" s="7" t="n"/>
      <c r="H551" s="8" t="n"/>
      <c r="I551" s="9">
        <f>IF(H551="","",ROUND(H551/3.305785,3))</f>
        <v/>
      </c>
      <c r="J551" s="7" t="n"/>
      <c r="K551" s="7" t="n"/>
      <c r="L551" s="10">
        <f>IF(OR(J551="",K551="",K551=0),"",ROUND(J551/K551,6))</f>
        <v/>
      </c>
      <c r="M551" s="9">
        <f>IF(OR(H551="",J551="",K551="",K551=0),"",ROUND(H551*J551/K551/3.305785,3))</f>
        <v/>
      </c>
      <c r="N551" s="7" t="n"/>
      <c r="O551" s="11" t="n"/>
      <c r="P551" s="11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12">
        <f>IF(A551="","",IF(OR(B551="",C551="",D551="",E551="",G551="",H551="",J551="",K551=""),"必填欄位未完整",""))</f>
        <v/>
      </c>
      <c r="AB551" s="12">
        <f>IF(A551="","",A551&amp;"|"&amp;G551)</f>
        <v/>
      </c>
    </row>
    <row r="552" ht="24" customHeight="1">
      <c r="A552" s="7" t="n"/>
      <c r="B552" s="7" t="n"/>
      <c r="C552" s="7" t="n"/>
      <c r="D552" s="7" t="n"/>
      <c r="E552" s="7" t="n"/>
      <c r="F552" s="7" t="n"/>
      <c r="G552" s="7" t="n"/>
      <c r="H552" s="8" t="n"/>
      <c r="I552" s="9">
        <f>IF(H552="","",ROUND(H552/3.305785,3))</f>
        <v/>
      </c>
      <c r="J552" s="7" t="n"/>
      <c r="K552" s="7" t="n"/>
      <c r="L552" s="10">
        <f>IF(OR(J552="",K552="",K552=0),"",ROUND(J552/K552,6))</f>
        <v/>
      </c>
      <c r="M552" s="9">
        <f>IF(OR(H552="",J552="",K552="",K552=0),"",ROUND(H552*J552/K552/3.305785,3))</f>
        <v/>
      </c>
      <c r="N552" s="7" t="n"/>
      <c r="O552" s="11" t="n"/>
      <c r="P552" s="11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12">
        <f>IF(A552="","",IF(OR(B552="",C552="",D552="",E552="",G552="",H552="",J552="",K552=""),"必填欄位未完整",""))</f>
        <v/>
      </c>
      <c r="AB552" s="12">
        <f>IF(A552="","",A552&amp;"|"&amp;G552)</f>
        <v/>
      </c>
    </row>
    <row r="553" ht="24" customHeight="1">
      <c r="A553" s="7" t="n"/>
      <c r="B553" s="7" t="n"/>
      <c r="C553" s="7" t="n"/>
      <c r="D553" s="7" t="n"/>
      <c r="E553" s="7" t="n"/>
      <c r="F553" s="7" t="n"/>
      <c r="G553" s="7" t="n"/>
      <c r="H553" s="8" t="n"/>
      <c r="I553" s="9">
        <f>IF(H553="","",ROUND(H553/3.305785,3))</f>
        <v/>
      </c>
      <c r="J553" s="7" t="n"/>
      <c r="K553" s="7" t="n"/>
      <c r="L553" s="10">
        <f>IF(OR(J553="",K553="",K553=0),"",ROUND(J553/K553,6))</f>
        <v/>
      </c>
      <c r="M553" s="9">
        <f>IF(OR(H553="",J553="",K553="",K553=0),"",ROUND(H553*J553/K553/3.305785,3))</f>
        <v/>
      </c>
      <c r="N553" s="7" t="n"/>
      <c r="O553" s="11" t="n"/>
      <c r="P553" s="11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12">
        <f>IF(A553="","",IF(OR(B553="",C553="",D553="",E553="",G553="",H553="",J553="",K553=""),"必填欄位未完整",""))</f>
        <v/>
      </c>
      <c r="AB553" s="12">
        <f>IF(A553="","",A553&amp;"|"&amp;G553)</f>
        <v/>
      </c>
    </row>
    <row r="554" ht="24" customHeight="1">
      <c r="A554" s="7" t="n"/>
      <c r="B554" s="7" t="n"/>
      <c r="C554" s="7" t="n"/>
      <c r="D554" s="7" t="n"/>
      <c r="E554" s="7" t="n"/>
      <c r="F554" s="7" t="n"/>
      <c r="G554" s="7" t="n"/>
      <c r="H554" s="8" t="n"/>
      <c r="I554" s="9">
        <f>IF(H554="","",ROUND(H554/3.305785,3))</f>
        <v/>
      </c>
      <c r="J554" s="7" t="n"/>
      <c r="K554" s="7" t="n"/>
      <c r="L554" s="10">
        <f>IF(OR(J554="",K554="",K554=0),"",ROUND(J554/K554,6))</f>
        <v/>
      </c>
      <c r="M554" s="9">
        <f>IF(OR(H554="",J554="",K554="",K554=0),"",ROUND(H554*J554/K554/3.305785,3))</f>
        <v/>
      </c>
      <c r="N554" s="7" t="n"/>
      <c r="O554" s="11" t="n"/>
      <c r="P554" s="11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12">
        <f>IF(A554="","",IF(OR(B554="",C554="",D554="",E554="",G554="",H554="",J554="",K554=""),"必填欄位未完整",""))</f>
        <v/>
      </c>
      <c r="AB554" s="12">
        <f>IF(A554="","",A554&amp;"|"&amp;G554)</f>
        <v/>
      </c>
    </row>
    <row r="555" ht="24" customHeight="1">
      <c r="A555" s="7" t="n"/>
      <c r="B555" s="7" t="n"/>
      <c r="C555" s="7" t="n"/>
      <c r="D555" s="7" t="n"/>
      <c r="E555" s="7" t="n"/>
      <c r="F555" s="7" t="n"/>
      <c r="G555" s="7" t="n"/>
      <c r="H555" s="8" t="n"/>
      <c r="I555" s="9">
        <f>IF(H555="","",ROUND(H555/3.305785,3))</f>
        <v/>
      </c>
      <c r="J555" s="7" t="n"/>
      <c r="K555" s="7" t="n"/>
      <c r="L555" s="10">
        <f>IF(OR(J555="",K555="",K555=0),"",ROUND(J555/K555,6))</f>
        <v/>
      </c>
      <c r="M555" s="9">
        <f>IF(OR(H555="",J555="",K555="",K555=0),"",ROUND(H555*J555/K555/3.305785,3))</f>
        <v/>
      </c>
      <c r="N555" s="7" t="n"/>
      <c r="O555" s="11" t="n"/>
      <c r="P555" s="11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12">
        <f>IF(A555="","",IF(OR(B555="",C555="",D555="",E555="",G555="",H555="",J555="",K555=""),"必填欄位未完整",""))</f>
        <v/>
      </c>
      <c r="AB555" s="12">
        <f>IF(A555="","",A555&amp;"|"&amp;G555)</f>
        <v/>
      </c>
    </row>
    <row r="556" ht="24" customHeight="1">
      <c r="A556" s="7" t="n"/>
      <c r="B556" s="7" t="n"/>
      <c r="C556" s="7" t="n"/>
      <c r="D556" s="7" t="n"/>
      <c r="E556" s="7" t="n"/>
      <c r="F556" s="7" t="n"/>
      <c r="G556" s="7" t="n"/>
      <c r="H556" s="8" t="n"/>
      <c r="I556" s="9">
        <f>IF(H556="","",ROUND(H556/3.305785,3))</f>
        <v/>
      </c>
      <c r="J556" s="7" t="n"/>
      <c r="K556" s="7" t="n"/>
      <c r="L556" s="10">
        <f>IF(OR(J556="",K556="",K556=0),"",ROUND(J556/K556,6))</f>
        <v/>
      </c>
      <c r="M556" s="9">
        <f>IF(OR(H556="",J556="",K556="",K556=0),"",ROUND(H556*J556/K556/3.305785,3))</f>
        <v/>
      </c>
      <c r="N556" s="7" t="n"/>
      <c r="O556" s="11" t="n"/>
      <c r="P556" s="11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12">
        <f>IF(A556="","",IF(OR(B556="",C556="",D556="",E556="",G556="",H556="",J556="",K556=""),"必填欄位未完整",""))</f>
        <v/>
      </c>
      <c r="AB556" s="12">
        <f>IF(A556="","",A556&amp;"|"&amp;G556)</f>
        <v/>
      </c>
    </row>
    <row r="557" ht="24" customHeight="1">
      <c r="A557" s="7" t="n"/>
      <c r="B557" s="7" t="n"/>
      <c r="C557" s="7" t="n"/>
      <c r="D557" s="7" t="n"/>
      <c r="E557" s="7" t="n"/>
      <c r="F557" s="7" t="n"/>
      <c r="G557" s="7" t="n"/>
      <c r="H557" s="8" t="n"/>
      <c r="I557" s="9">
        <f>IF(H557="","",ROUND(H557/3.305785,3))</f>
        <v/>
      </c>
      <c r="J557" s="7" t="n"/>
      <c r="K557" s="7" t="n"/>
      <c r="L557" s="10">
        <f>IF(OR(J557="",K557="",K557=0),"",ROUND(J557/K557,6))</f>
        <v/>
      </c>
      <c r="M557" s="9">
        <f>IF(OR(H557="",J557="",K557="",K557=0),"",ROUND(H557*J557/K557/3.305785,3))</f>
        <v/>
      </c>
      <c r="N557" s="7" t="n"/>
      <c r="O557" s="11" t="n"/>
      <c r="P557" s="11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12">
        <f>IF(A557="","",IF(OR(B557="",C557="",D557="",E557="",G557="",H557="",J557="",K557=""),"必填欄位未完整",""))</f>
        <v/>
      </c>
      <c r="AB557" s="12">
        <f>IF(A557="","",A557&amp;"|"&amp;G557)</f>
        <v/>
      </c>
    </row>
    <row r="558" ht="24" customHeight="1">
      <c r="A558" s="7" t="n"/>
      <c r="B558" s="7" t="n"/>
      <c r="C558" s="7" t="n"/>
      <c r="D558" s="7" t="n"/>
      <c r="E558" s="7" t="n"/>
      <c r="F558" s="7" t="n"/>
      <c r="G558" s="7" t="n"/>
      <c r="H558" s="8" t="n"/>
      <c r="I558" s="9">
        <f>IF(H558="","",ROUND(H558/3.305785,3))</f>
        <v/>
      </c>
      <c r="J558" s="7" t="n"/>
      <c r="K558" s="7" t="n"/>
      <c r="L558" s="10">
        <f>IF(OR(J558="",K558="",K558=0),"",ROUND(J558/K558,6))</f>
        <v/>
      </c>
      <c r="M558" s="9">
        <f>IF(OR(H558="",J558="",K558="",K558=0),"",ROUND(H558*J558/K558/3.305785,3))</f>
        <v/>
      </c>
      <c r="N558" s="7" t="n"/>
      <c r="O558" s="11" t="n"/>
      <c r="P558" s="11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12">
        <f>IF(A558="","",IF(OR(B558="",C558="",D558="",E558="",G558="",H558="",J558="",K558=""),"必填欄位未完整",""))</f>
        <v/>
      </c>
      <c r="AB558" s="12">
        <f>IF(A558="","",A558&amp;"|"&amp;G558)</f>
        <v/>
      </c>
    </row>
    <row r="559" ht="24" customHeight="1">
      <c r="A559" s="7" t="n"/>
      <c r="B559" s="7" t="n"/>
      <c r="C559" s="7" t="n"/>
      <c r="D559" s="7" t="n"/>
      <c r="E559" s="7" t="n"/>
      <c r="F559" s="7" t="n"/>
      <c r="G559" s="7" t="n"/>
      <c r="H559" s="8" t="n"/>
      <c r="I559" s="9">
        <f>IF(H559="","",ROUND(H559/3.305785,3))</f>
        <v/>
      </c>
      <c r="J559" s="7" t="n"/>
      <c r="K559" s="7" t="n"/>
      <c r="L559" s="10">
        <f>IF(OR(J559="",K559="",K559=0),"",ROUND(J559/K559,6))</f>
        <v/>
      </c>
      <c r="M559" s="9">
        <f>IF(OR(H559="",J559="",K559="",K559=0),"",ROUND(H559*J559/K559/3.305785,3))</f>
        <v/>
      </c>
      <c r="N559" s="7" t="n"/>
      <c r="O559" s="11" t="n"/>
      <c r="P559" s="11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12">
        <f>IF(A559="","",IF(OR(B559="",C559="",D559="",E559="",G559="",H559="",J559="",K559=""),"必填欄位未完整",""))</f>
        <v/>
      </c>
      <c r="AB559" s="12">
        <f>IF(A559="","",A559&amp;"|"&amp;G559)</f>
        <v/>
      </c>
    </row>
    <row r="560" ht="24" customHeight="1">
      <c r="A560" s="7" t="n"/>
      <c r="B560" s="7" t="n"/>
      <c r="C560" s="7" t="n"/>
      <c r="D560" s="7" t="n"/>
      <c r="E560" s="7" t="n"/>
      <c r="F560" s="7" t="n"/>
      <c r="G560" s="7" t="n"/>
      <c r="H560" s="8" t="n"/>
      <c r="I560" s="9">
        <f>IF(H560="","",ROUND(H560/3.305785,3))</f>
        <v/>
      </c>
      <c r="J560" s="7" t="n"/>
      <c r="K560" s="7" t="n"/>
      <c r="L560" s="10">
        <f>IF(OR(J560="",K560="",K560=0),"",ROUND(J560/K560,6))</f>
        <v/>
      </c>
      <c r="M560" s="9">
        <f>IF(OR(H560="",J560="",K560="",K560=0),"",ROUND(H560*J560/K560/3.305785,3))</f>
        <v/>
      </c>
      <c r="N560" s="7" t="n"/>
      <c r="O560" s="11" t="n"/>
      <c r="P560" s="11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12">
        <f>IF(A560="","",IF(OR(B560="",C560="",D560="",E560="",G560="",H560="",J560="",K560=""),"必填欄位未完整",""))</f>
        <v/>
      </c>
      <c r="AB560" s="12">
        <f>IF(A560="","",A560&amp;"|"&amp;G560)</f>
        <v/>
      </c>
    </row>
    <row r="561" ht="24" customHeight="1">
      <c r="A561" s="7" t="n"/>
      <c r="B561" s="7" t="n"/>
      <c r="C561" s="7" t="n"/>
      <c r="D561" s="7" t="n"/>
      <c r="E561" s="7" t="n"/>
      <c r="F561" s="7" t="n"/>
      <c r="G561" s="7" t="n"/>
      <c r="H561" s="8" t="n"/>
      <c r="I561" s="9">
        <f>IF(H561="","",ROUND(H561/3.305785,3))</f>
        <v/>
      </c>
      <c r="J561" s="7" t="n"/>
      <c r="K561" s="7" t="n"/>
      <c r="L561" s="10">
        <f>IF(OR(J561="",K561="",K561=0),"",ROUND(J561/K561,6))</f>
        <v/>
      </c>
      <c r="M561" s="9">
        <f>IF(OR(H561="",J561="",K561="",K561=0),"",ROUND(H561*J561/K561/3.305785,3))</f>
        <v/>
      </c>
      <c r="N561" s="7" t="n"/>
      <c r="O561" s="11" t="n"/>
      <c r="P561" s="11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12">
        <f>IF(A561="","",IF(OR(B561="",C561="",D561="",E561="",G561="",H561="",J561="",K561=""),"必填欄位未完整",""))</f>
        <v/>
      </c>
      <c r="AB561" s="12">
        <f>IF(A561="","",A561&amp;"|"&amp;G561)</f>
        <v/>
      </c>
    </row>
    <row r="562" ht="24" customHeight="1">
      <c r="A562" s="7" t="n"/>
      <c r="B562" s="7" t="n"/>
      <c r="C562" s="7" t="n"/>
      <c r="D562" s="7" t="n"/>
      <c r="E562" s="7" t="n"/>
      <c r="F562" s="7" t="n"/>
      <c r="G562" s="7" t="n"/>
      <c r="H562" s="8" t="n"/>
      <c r="I562" s="9">
        <f>IF(H562="","",ROUND(H562/3.305785,3))</f>
        <v/>
      </c>
      <c r="J562" s="7" t="n"/>
      <c r="K562" s="7" t="n"/>
      <c r="L562" s="10">
        <f>IF(OR(J562="",K562="",K562=0),"",ROUND(J562/K562,6))</f>
        <v/>
      </c>
      <c r="M562" s="9">
        <f>IF(OR(H562="",J562="",K562="",K562=0),"",ROUND(H562*J562/K562/3.305785,3))</f>
        <v/>
      </c>
      <c r="N562" s="7" t="n"/>
      <c r="O562" s="11" t="n"/>
      <c r="P562" s="11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12">
        <f>IF(A562="","",IF(OR(B562="",C562="",D562="",E562="",G562="",H562="",J562="",K562=""),"必填欄位未完整",""))</f>
        <v/>
      </c>
      <c r="AB562" s="12">
        <f>IF(A562="","",A562&amp;"|"&amp;G562)</f>
        <v/>
      </c>
    </row>
    <row r="563" ht="24" customHeight="1">
      <c r="A563" s="7" t="n"/>
      <c r="B563" s="7" t="n"/>
      <c r="C563" s="7" t="n"/>
      <c r="D563" s="7" t="n"/>
      <c r="E563" s="7" t="n"/>
      <c r="F563" s="7" t="n"/>
      <c r="G563" s="7" t="n"/>
      <c r="H563" s="8" t="n"/>
      <c r="I563" s="9">
        <f>IF(H563="","",ROUND(H563/3.305785,3))</f>
        <v/>
      </c>
      <c r="J563" s="7" t="n"/>
      <c r="K563" s="7" t="n"/>
      <c r="L563" s="10">
        <f>IF(OR(J563="",K563="",K563=0),"",ROUND(J563/K563,6))</f>
        <v/>
      </c>
      <c r="M563" s="9">
        <f>IF(OR(H563="",J563="",K563="",K563=0),"",ROUND(H563*J563/K563/3.305785,3))</f>
        <v/>
      </c>
      <c r="N563" s="7" t="n"/>
      <c r="O563" s="11" t="n"/>
      <c r="P563" s="11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12">
        <f>IF(A563="","",IF(OR(B563="",C563="",D563="",E563="",G563="",H563="",J563="",K563=""),"必填欄位未完整",""))</f>
        <v/>
      </c>
      <c r="AB563" s="12">
        <f>IF(A563="","",A563&amp;"|"&amp;G563)</f>
        <v/>
      </c>
    </row>
    <row r="564" ht="24" customHeight="1">
      <c r="A564" s="7" t="n"/>
      <c r="B564" s="7" t="n"/>
      <c r="C564" s="7" t="n"/>
      <c r="D564" s="7" t="n"/>
      <c r="E564" s="7" t="n"/>
      <c r="F564" s="7" t="n"/>
      <c r="G564" s="7" t="n"/>
      <c r="H564" s="8" t="n"/>
      <c r="I564" s="9">
        <f>IF(H564="","",ROUND(H564/3.305785,3))</f>
        <v/>
      </c>
      <c r="J564" s="7" t="n"/>
      <c r="K564" s="7" t="n"/>
      <c r="L564" s="10">
        <f>IF(OR(J564="",K564="",K564=0),"",ROUND(J564/K564,6))</f>
        <v/>
      </c>
      <c r="M564" s="9">
        <f>IF(OR(H564="",J564="",K564="",K564=0),"",ROUND(H564*J564/K564/3.305785,3))</f>
        <v/>
      </c>
      <c r="N564" s="7" t="n"/>
      <c r="O564" s="11" t="n"/>
      <c r="P564" s="11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12">
        <f>IF(A564="","",IF(OR(B564="",C564="",D564="",E564="",G564="",H564="",J564="",K564=""),"必填欄位未完整",""))</f>
        <v/>
      </c>
      <c r="AB564" s="12">
        <f>IF(A564="","",A564&amp;"|"&amp;G564)</f>
        <v/>
      </c>
    </row>
    <row r="565" ht="24" customHeight="1">
      <c r="A565" s="7" t="n"/>
      <c r="B565" s="7" t="n"/>
      <c r="C565" s="7" t="n"/>
      <c r="D565" s="7" t="n"/>
      <c r="E565" s="7" t="n"/>
      <c r="F565" s="7" t="n"/>
      <c r="G565" s="7" t="n"/>
      <c r="H565" s="8" t="n"/>
      <c r="I565" s="9">
        <f>IF(H565="","",ROUND(H565/3.305785,3))</f>
        <v/>
      </c>
      <c r="J565" s="7" t="n"/>
      <c r="K565" s="7" t="n"/>
      <c r="L565" s="10">
        <f>IF(OR(J565="",K565="",K565=0),"",ROUND(J565/K565,6))</f>
        <v/>
      </c>
      <c r="M565" s="9">
        <f>IF(OR(H565="",J565="",K565="",K565=0),"",ROUND(H565*J565/K565/3.305785,3))</f>
        <v/>
      </c>
      <c r="N565" s="7" t="n"/>
      <c r="O565" s="11" t="n"/>
      <c r="P565" s="11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12">
        <f>IF(A565="","",IF(OR(B565="",C565="",D565="",E565="",G565="",H565="",J565="",K565=""),"必填欄位未完整",""))</f>
        <v/>
      </c>
      <c r="AB565" s="12">
        <f>IF(A565="","",A565&amp;"|"&amp;G565)</f>
        <v/>
      </c>
    </row>
    <row r="566" ht="24" customHeight="1">
      <c r="A566" s="7" t="n"/>
      <c r="B566" s="7" t="n"/>
      <c r="C566" s="7" t="n"/>
      <c r="D566" s="7" t="n"/>
      <c r="E566" s="7" t="n"/>
      <c r="F566" s="7" t="n"/>
      <c r="G566" s="7" t="n"/>
      <c r="H566" s="8" t="n"/>
      <c r="I566" s="9">
        <f>IF(H566="","",ROUND(H566/3.305785,3))</f>
        <v/>
      </c>
      <c r="J566" s="7" t="n"/>
      <c r="K566" s="7" t="n"/>
      <c r="L566" s="10">
        <f>IF(OR(J566="",K566="",K566=0),"",ROUND(J566/K566,6))</f>
        <v/>
      </c>
      <c r="M566" s="9">
        <f>IF(OR(H566="",J566="",K566="",K566=0),"",ROUND(H566*J566/K566/3.305785,3))</f>
        <v/>
      </c>
      <c r="N566" s="7" t="n"/>
      <c r="O566" s="11" t="n"/>
      <c r="P566" s="11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12">
        <f>IF(A566="","",IF(OR(B566="",C566="",D566="",E566="",G566="",H566="",J566="",K566=""),"必填欄位未完整",""))</f>
        <v/>
      </c>
      <c r="AB566" s="12">
        <f>IF(A566="","",A566&amp;"|"&amp;G566)</f>
        <v/>
      </c>
    </row>
    <row r="567" ht="24" customHeight="1">
      <c r="A567" s="7" t="n"/>
      <c r="B567" s="7" t="n"/>
      <c r="C567" s="7" t="n"/>
      <c r="D567" s="7" t="n"/>
      <c r="E567" s="7" t="n"/>
      <c r="F567" s="7" t="n"/>
      <c r="G567" s="7" t="n"/>
      <c r="H567" s="8" t="n"/>
      <c r="I567" s="9">
        <f>IF(H567="","",ROUND(H567/3.305785,3))</f>
        <v/>
      </c>
      <c r="J567" s="7" t="n"/>
      <c r="K567" s="7" t="n"/>
      <c r="L567" s="10">
        <f>IF(OR(J567="",K567="",K567=0),"",ROUND(J567/K567,6))</f>
        <v/>
      </c>
      <c r="M567" s="9">
        <f>IF(OR(H567="",J567="",K567="",K567=0),"",ROUND(H567*J567/K567/3.305785,3))</f>
        <v/>
      </c>
      <c r="N567" s="7" t="n"/>
      <c r="O567" s="11" t="n"/>
      <c r="P567" s="11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12">
        <f>IF(A567="","",IF(OR(B567="",C567="",D567="",E567="",G567="",H567="",J567="",K567=""),"必填欄位未完整",""))</f>
        <v/>
      </c>
      <c r="AB567" s="12">
        <f>IF(A567="","",A567&amp;"|"&amp;G567)</f>
        <v/>
      </c>
    </row>
    <row r="568" ht="24" customHeight="1">
      <c r="A568" s="7" t="n"/>
      <c r="B568" s="7" t="n"/>
      <c r="C568" s="7" t="n"/>
      <c r="D568" s="7" t="n"/>
      <c r="E568" s="7" t="n"/>
      <c r="F568" s="7" t="n"/>
      <c r="G568" s="7" t="n"/>
      <c r="H568" s="8" t="n"/>
      <c r="I568" s="9">
        <f>IF(H568="","",ROUND(H568/3.305785,3))</f>
        <v/>
      </c>
      <c r="J568" s="7" t="n"/>
      <c r="K568" s="7" t="n"/>
      <c r="L568" s="10">
        <f>IF(OR(J568="",K568="",K568=0),"",ROUND(J568/K568,6))</f>
        <v/>
      </c>
      <c r="M568" s="9">
        <f>IF(OR(H568="",J568="",K568="",K568=0),"",ROUND(H568*J568/K568/3.305785,3))</f>
        <v/>
      </c>
      <c r="N568" s="7" t="n"/>
      <c r="O568" s="11" t="n"/>
      <c r="P568" s="11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12">
        <f>IF(A568="","",IF(OR(B568="",C568="",D568="",E568="",G568="",H568="",J568="",K568=""),"必填欄位未完整",""))</f>
        <v/>
      </c>
      <c r="AB568" s="12">
        <f>IF(A568="","",A568&amp;"|"&amp;G568)</f>
        <v/>
      </c>
    </row>
    <row r="569" ht="24" customHeight="1">
      <c r="A569" s="7" t="n"/>
      <c r="B569" s="7" t="n"/>
      <c r="C569" s="7" t="n"/>
      <c r="D569" s="7" t="n"/>
      <c r="E569" s="7" t="n"/>
      <c r="F569" s="7" t="n"/>
      <c r="G569" s="7" t="n"/>
      <c r="H569" s="8" t="n"/>
      <c r="I569" s="9">
        <f>IF(H569="","",ROUND(H569/3.305785,3))</f>
        <v/>
      </c>
      <c r="J569" s="7" t="n"/>
      <c r="K569" s="7" t="n"/>
      <c r="L569" s="10">
        <f>IF(OR(J569="",K569="",K569=0),"",ROUND(J569/K569,6))</f>
        <v/>
      </c>
      <c r="M569" s="9">
        <f>IF(OR(H569="",J569="",K569="",K569=0),"",ROUND(H569*J569/K569/3.305785,3))</f>
        <v/>
      </c>
      <c r="N569" s="7" t="n"/>
      <c r="O569" s="11" t="n"/>
      <c r="P569" s="11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12">
        <f>IF(A569="","",IF(OR(B569="",C569="",D569="",E569="",G569="",H569="",J569="",K569=""),"必填欄位未完整",""))</f>
        <v/>
      </c>
      <c r="AB569" s="12">
        <f>IF(A569="","",A569&amp;"|"&amp;G569)</f>
        <v/>
      </c>
    </row>
    <row r="570" ht="24" customHeight="1">
      <c r="A570" s="7" t="n"/>
      <c r="B570" s="7" t="n"/>
      <c r="C570" s="7" t="n"/>
      <c r="D570" s="7" t="n"/>
      <c r="E570" s="7" t="n"/>
      <c r="F570" s="7" t="n"/>
      <c r="G570" s="7" t="n"/>
      <c r="H570" s="8" t="n"/>
      <c r="I570" s="9">
        <f>IF(H570="","",ROUND(H570/3.305785,3))</f>
        <v/>
      </c>
      <c r="J570" s="7" t="n"/>
      <c r="K570" s="7" t="n"/>
      <c r="L570" s="10">
        <f>IF(OR(J570="",K570="",K570=0),"",ROUND(J570/K570,6))</f>
        <v/>
      </c>
      <c r="M570" s="9">
        <f>IF(OR(H570="",J570="",K570="",K570=0),"",ROUND(H570*J570/K570/3.305785,3))</f>
        <v/>
      </c>
      <c r="N570" s="7" t="n"/>
      <c r="O570" s="11" t="n"/>
      <c r="P570" s="11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12">
        <f>IF(A570="","",IF(OR(B570="",C570="",D570="",E570="",G570="",H570="",J570="",K570=""),"必填欄位未完整",""))</f>
        <v/>
      </c>
      <c r="AB570" s="12">
        <f>IF(A570="","",A570&amp;"|"&amp;G570)</f>
        <v/>
      </c>
    </row>
    <row r="571" ht="24" customHeight="1">
      <c r="A571" s="7" t="n"/>
      <c r="B571" s="7" t="n"/>
      <c r="C571" s="7" t="n"/>
      <c r="D571" s="7" t="n"/>
      <c r="E571" s="7" t="n"/>
      <c r="F571" s="7" t="n"/>
      <c r="G571" s="7" t="n"/>
      <c r="H571" s="8" t="n"/>
      <c r="I571" s="9">
        <f>IF(H571="","",ROUND(H571/3.305785,3))</f>
        <v/>
      </c>
      <c r="J571" s="7" t="n"/>
      <c r="K571" s="7" t="n"/>
      <c r="L571" s="10">
        <f>IF(OR(J571="",K571="",K571=0),"",ROUND(J571/K571,6))</f>
        <v/>
      </c>
      <c r="M571" s="9">
        <f>IF(OR(H571="",J571="",K571="",K571=0),"",ROUND(H571*J571/K571/3.305785,3))</f>
        <v/>
      </c>
      <c r="N571" s="7" t="n"/>
      <c r="O571" s="11" t="n"/>
      <c r="P571" s="11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12">
        <f>IF(A571="","",IF(OR(B571="",C571="",D571="",E571="",G571="",H571="",J571="",K571=""),"必填欄位未完整",""))</f>
        <v/>
      </c>
      <c r="AB571" s="12">
        <f>IF(A571="","",A571&amp;"|"&amp;G571)</f>
        <v/>
      </c>
    </row>
    <row r="572" ht="24" customHeight="1">
      <c r="A572" s="7" t="n"/>
      <c r="B572" s="7" t="n"/>
      <c r="C572" s="7" t="n"/>
      <c r="D572" s="7" t="n"/>
      <c r="E572" s="7" t="n"/>
      <c r="F572" s="7" t="n"/>
      <c r="G572" s="7" t="n"/>
      <c r="H572" s="8" t="n"/>
      <c r="I572" s="9">
        <f>IF(H572="","",ROUND(H572/3.305785,3))</f>
        <v/>
      </c>
      <c r="J572" s="7" t="n"/>
      <c r="K572" s="7" t="n"/>
      <c r="L572" s="10">
        <f>IF(OR(J572="",K572="",K572=0),"",ROUND(J572/K572,6))</f>
        <v/>
      </c>
      <c r="M572" s="9">
        <f>IF(OR(H572="",J572="",K572="",K572=0),"",ROUND(H572*J572/K572/3.305785,3))</f>
        <v/>
      </c>
      <c r="N572" s="7" t="n"/>
      <c r="O572" s="11" t="n"/>
      <c r="P572" s="11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12">
        <f>IF(A572="","",IF(OR(B572="",C572="",D572="",E572="",G572="",H572="",J572="",K572=""),"必填欄位未完整",""))</f>
        <v/>
      </c>
      <c r="AB572" s="12">
        <f>IF(A572="","",A572&amp;"|"&amp;G572)</f>
        <v/>
      </c>
    </row>
    <row r="573" ht="24" customHeight="1">
      <c r="A573" s="7" t="n"/>
      <c r="B573" s="7" t="n"/>
      <c r="C573" s="7" t="n"/>
      <c r="D573" s="7" t="n"/>
      <c r="E573" s="7" t="n"/>
      <c r="F573" s="7" t="n"/>
      <c r="G573" s="7" t="n"/>
      <c r="H573" s="8" t="n"/>
      <c r="I573" s="9">
        <f>IF(H573="","",ROUND(H573/3.305785,3))</f>
        <v/>
      </c>
      <c r="J573" s="7" t="n"/>
      <c r="K573" s="7" t="n"/>
      <c r="L573" s="10">
        <f>IF(OR(J573="",K573="",K573=0),"",ROUND(J573/K573,6))</f>
        <v/>
      </c>
      <c r="M573" s="9">
        <f>IF(OR(H573="",J573="",K573="",K573=0),"",ROUND(H573*J573/K573/3.305785,3))</f>
        <v/>
      </c>
      <c r="N573" s="7" t="n"/>
      <c r="O573" s="11" t="n"/>
      <c r="P573" s="11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12">
        <f>IF(A573="","",IF(OR(B573="",C573="",D573="",E573="",G573="",H573="",J573="",K573=""),"必填欄位未完整",""))</f>
        <v/>
      </c>
      <c r="AB573" s="12">
        <f>IF(A573="","",A573&amp;"|"&amp;G573)</f>
        <v/>
      </c>
    </row>
    <row r="574" ht="24" customHeight="1">
      <c r="A574" s="7" t="n"/>
      <c r="B574" s="7" t="n"/>
      <c r="C574" s="7" t="n"/>
      <c r="D574" s="7" t="n"/>
      <c r="E574" s="7" t="n"/>
      <c r="F574" s="7" t="n"/>
      <c r="G574" s="7" t="n"/>
      <c r="H574" s="8" t="n"/>
      <c r="I574" s="9">
        <f>IF(H574="","",ROUND(H574/3.305785,3))</f>
        <v/>
      </c>
      <c r="J574" s="7" t="n"/>
      <c r="K574" s="7" t="n"/>
      <c r="L574" s="10">
        <f>IF(OR(J574="",K574="",K574=0),"",ROUND(J574/K574,6))</f>
        <v/>
      </c>
      <c r="M574" s="9">
        <f>IF(OR(H574="",J574="",K574="",K574=0),"",ROUND(H574*J574/K574/3.305785,3))</f>
        <v/>
      </c>
      <c r="N574" s="7" t="n"/>
      <c r="O574" s="11" t="n"/>
      <c r="P574" s="11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12">
        <f>IF(A574="","",IF(OR(B574="",C574="",D574="",E574="",G574="",H574="",J574="",K574=""),"必填欄位未完整",""))</f>
        <v/>
      </c>
      <c r="AB574" s="12">
        <f>IF(A574="","",A574&amp;"|"&amp;G574)</f>
        <v/>
      </c>
    </row>
    <row r="575" ht="24" customHeight="1">
      <c r="A575" s="7" t="n"/>
      <c r="B575" s="7" t="n"/>
      <c r="C575" s="7" t="n"/>
      <c r="D575" s="7" t="n"/>
      <c r="E575" s="7" t="n"/>
      <c r="F575" s="7" t="n"/>
      <c r="G575" s="7" t="n"/>
      <c r="H575" s="8" t="n"/>
      <c r="I575" s="9">
        <f>IF(H575="","",ROUND(H575/3.305785,3))</f>
        <v/>
      </c>
      <c r="J575" s="7" t="n"/>
      <c r="K575" s="7" t="n"/>
      <c r="L575" s="10">
        <f>IF(OR(J575="",K575="",K575=0),"",ROUND(J575/K575,6))</f>
        <v/>
      </c>
      <c r="M575" s="9">
        <f>IF(OR(H575="",J575="",K575="",K575=0),"",ROUND(H575*J575/K575/3.305785,3))</f>
        <v/>
      </c>
      <c r="N575" s="7" t="n"/>
      <c r="O575" s="11" t="n"/>
      <c r="P575" s="11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12">
        <f>IF(A575="","",IF(OR(B575="",C575="",D575="",E575="",G575="",H575="",J575="",K575=""),"必填欄位未完整",""))</f>
        <v/>
      </c>
      <c r="AB575" s="12">
        <f>IF(A575="","",A575&amp;"|"&amp;G575)</f>
        <v/>
      </c>
    </row>
    <row r="576" ht="24" customHeight="1">
      <c r="A576" s="7" t="n"/>
      <c r="B576" s="7" t="n"/>
      <c r="C576" s="7" t="n"/>
      <c r="D576" s="7" t="n"/>
      <c r="E576" s="7" t="n"/>
      <c r="F576" s="7" t="n"/>
      <c r="G576" s="7" t="n"/>
      <c r="H576" s="8" t="n"/>
      <c r="I576" s="9">
        <f>IF(H576="","",ROUND(H576/3.305785,3))</f>
        <v/>
      </c>
      <c r="J576" s="7" t="n"/>
      <c r="K576" s="7" t="n"/>
      <c r="L576" s="10">
        <f>IF(OR(J576="",K576="",K576=0),"",ROUND(J576/K576,6))</f>
        <v/>
      </c>
      <c r="M576" s="9">
        <f>IF(OR(H576="",J576="",K576="",K576=0),"",ROUND(H576*J576/K576/3.305785,3))</f>
        <v/>
      </c>
      <c r="N576" s="7" t="n"/>
      <c r="O576" s="11" t="n"/>
      <c r="P576" s="11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12">
        <f>IF(A576="","",IF(OR(B576="",C576="",D576="",E576="",G576="",H576="",J576="",K576=""),"必填欄位未完整",""))</f>
        <v/>
      </c>
      <c r="AB576" s="12">
        <f>IF(A576="","",A576&amp;"|"&amp;G576)</f>
        <v/>
      </c>
    </row>
    <row r="577" ht="24" customHeight="1">
      <c r="A577" s="7" t="n"/>
      <c r="B577" s="7" t="n"/>
      <c r="C577" s="7" t="n"/>
      <c r="D577" s="7" t="n"/>
      <c r="E577" s="7" t="n"/>
      <c r="F577" s="7" t="n"/>
      <c r="G577" s="7" t="n"/>
      <c r="H577" s="8" t="n"/>
      <c r="I577" s="9">
        <f>IF(H577="","",ROUND(H577/3.305785,3))</f>
        <v/>
      </c>
      <c r="J577" s="7" t="n"/>
      <c r="K577" s="7" t="n"/>
      <c r="L577" s="10">
        <f>IF(OR(J577="",K577="",K577=0),"",ROUND(J577/K577,6))</f>
        <v/>
      </c>
      <c r="M577" s="9">
        <f>IF(OR(H577="",J577="",K577="",K577=0),"",ROUND(H577*J577/K577/3.305785,3))</f>
        <v/>
      </c>
      <c r="N577" s="7" t="n"/>
      <c r="O577" s="11" t="n"/>
      <c r="P577" s="11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12">
        <f>IF(A577="","",IF(OR(B577="",C577="",D577="",E577="",G577="",H577="",J577="",K577=""),"必填欄位未完整",""))</f>
        <v/>
      </c>
      <c r="AB577" s="12">
        <f>IF(A577="","",A577&amp;"|"&amp;G577)</f>
        <v/>
      </c>
    </row>
    <row r="578" ht="24" customHeight="1">
      <c r="A578" s="7" t="n"/>
      <c r="B578" s="7" t="n"/>
      <c r="C578" s="7" t="n"/>
      <c r="D578" s="7" t="n"/>
      <c r="E578" s="7" t="n"/>
      <c r="F578" s="7" t="n"/>
      <c r="G578" s="7" t="n"/>
      <c r="H578" s="8" t="n"/>
      <c r="I578" s="9">
        <f>IF(H578="","",ROUND(H578/3.305785,3))</f>
        <v/>
      </c>
      <c r="J578" s="7" t="n"/>
      <c r="K578" s="7" t="n"/>
      <c r="L578" s="10">
        <f>IF(OR(J578="",K578="",K578=0),"",ROUND(J578/K578,6))</f>
        <v/>
      </c>
      <c r="M578" s="9">
        <f>IF(OR(H578="",J578="",K578="",K578=0),"",ROUND(H578*J578/K578/3.305785,3))</f>
        <v/>
      </c>
      <c r="N578" s="7" t="n"/>
      <c r="O578" s="11" t="n"/>
      <c r="P578" s="11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12">
        <f>IF(A578="","",IF(OR(B578="",C578="",D578="",E578="",G578="",H578="",J578="",K578=""),"必填欄位未完整",""))</f>
        <v/>
      </c>
      <c r="AB578" s="12">
        <f>IF(A578="","",A578&amp;"|"&amp;G578)</f>
        <v/>
      </c>
    </row>
    <row r="579" ht="24" customHeight="1">
      <c r="A579" s="7" t="n"/>
      <c r="B579" s="7" t="n"/>
      <c r="C579" s="7" t="n"/>
      <c r="D579" s="7" t="n"/>
      <c r="E579" s="7" t="n"/>
      <c r="F579" s="7" t="n"/>
      <c r="G579" s="7" t="n"/>
      <c r="H579" s="8" t="n"/>
      <c r="I579" s="9">
        <f>IF(H579="","",ROUND(H579/3.305785,3))</f>
        <v/>
      </c>
      <c r="J579" s="7" t="n"/>
      <c r="K579" s="7" t="n"/>
      <c r="L579" s="10">
        <f>IF(OR(J579="",K579="",K579=0),"",ROUND(J579/K579,6))</f>
        <v/>
      </c>
      <c r="M579" s="9">
        <f>IF(OR(H579="",J579="",K579="",K579=0),"",ROUND(H579*J579/K579/3.305785,3))</f>
        <v/>
      </c>
      <c r="N579" s="7" t="n"/>
      <c r="O579" s="11" t="n"/>
      <c r="P579" s="11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12">
        <f>IF(A579="","",IF(OR(B579="",C579="",D579="",E579="",G579="",H579="",J579="",K579=""),"必填欄位未完整",""))</f>
        <v/>
      </c>
      <c r="AB579" s="12">
        <f>IF(A579="","",A579&amp;"|"&amp;G579)</f>
        <v/>
      </c>
    </row>
    <row r="580" ht="24" customHeight="1">
      <c r="A580" s="7" t="n"/>
      <c r="B580" s="7" t="n"/>
      <c r="C580" s="7" t="n"/>
      <c r="D580" s="7" t="n"/>
      <c r="E580" s="7" t="n"/>
      <c r="F580" s="7" t="n"/>
      <c r="G580" s="7" t="n"/>
      <c r="H580" s="8" t="n"/>
      <c r="I580" s="9">
        <f>IF(H580="","",ROUND(H580/3.305785,3))</f>
        <v/>
      </c>
      <c r="J580" s="7" t="n"/>
      <c r="K580" s="7" t="n"/>
      <c r="L580" s="10">
        <f>IF(OR(J580="",K580="",K580=0),"",ROUND(J580/K580,6))</f>
        <v/>
      </c>
      <c r="M580" s="9">
        <f>IF(OR(H580="",J580="",K580="",K580=0),"",ROUND(H580*J580/K580/3.305785,3))</f>
        <v/>
      </c>
      <c r="N580" s="7" t="n"/>
      <c r="O580" s="11" t="n"/>
      <c r="P580" s="11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12">
        <f>IF(A580="","",IF(OR(B580="",C580="",D580="",E580="",G580="",H580="",J580="",K580=""),"必填欄位未完整",""))</f>
        <v/>
      </c>
      <c r="AB580" s="12">
        <f>IF(A580="","",A580&amp;"|"&amp;G580)</f>
        <v/>
      </c>
    </row>
    <row r="581" ht="24" customHeight="1">
      <c r="A581" s="7" t="n"/>
      <c r="B581" s="7" t="n"/>
      <c r="C581" s="7" t="n"/>
      <c r="D581" s="7" t="n"/>
      <c r="E581" s="7" t="n"/>
      <c r="F581" s="7" t="n"/>
      <c r="G581" s="7" t="n"/>
      <c r="H581" s="8" t="n"/>
      <c r="I581" s="9">
        <f>IF(H581="","",ROUND(H581/3.305785,3))</f>
        <v/>
      </c>
      <c r="J581" s="7" t="n"/>
      <c r="K581" s="7" t="n"/>
      <c r="L581" s="10">
        <f>IF(OR(J581="",K581="",K581=0),"",ROUND(J581/K581,6))</f>
        <v/>
      </c>
      <c r="M581" s="9">
        <f>IF(OR(H581="",J581="",K581="",K581=0),"",ROUND(H581*J581/K581/3.305785,3))</f>
        <v/>
      </c>
      <c r="N581" s="7" t="n"/>
      <c r="O581" s="11" t="n"/>
      <c r="P581" s="11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12">
        <f>IF(A581="","",IF(OR(B581="",C581="",D581="",E581="",G581="",H581="",J581="",K581=""),"必填欄位未完整",""))</f>
        <v/>
      </c>
      <c r="AB581" s="12">
        <f>IF(A581="","",A581&amp;"|"&amp;G581)</f>
        <v/>
      </c>
    </row>
    <row r="582" ht="24" customHeight="1">
      <c r="A582" s="7" t="n"/>
      <c r="B582" s="7" t="n"/>
      <c r="C582" s="7" t="n"/>
      <c r="D582" s="7" t="n"/>
      <c r="E582" s="7" t="n"/>
      <c r="F582" s="7" t="n"/>
      <c r="G582" s="7" t="n"/>
      <c r="H582" s="8" t="n"/>
      <c r="I582" s="9">
        <f>IF(H582="","",ROUND(H582/3.305785,3))</f>
        <v/>
      </c>
      <c r="J582" s="7" t="n"/>
      <c r="K582" s="7" t="n"/>
      <c r="L582" s="10">
        <f>IF(OR(J582="",K582="",K582=0),"",ROUND(J582/K582,6))</f>
        <v/>
      </c>
      <c r="M582" s="9">
        <f>IF(OR(H582="",J582="",K582="",K582=0),"",ROUND(H582*J582/K582/3.305785,3))</f>
        <v/>
      </c>
      <c r="N582" s="7" t="n"/>
      <c r="O582" s="11" t="n"/>
      <c r="P582" s="11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12">
        <f>IF(A582="","",IF(OR(B582="",C582="",D582="",E582="",G582="",H582="",J582="",K582=""),"必填欄位未完整",""))</f>
        <v/>
      </c>
      <c r="AB582" s="12">
        <f>IF(A582="","",A582&amp;"|"&amp;G582)</f>
        <v/>
      </c>
    </row>
    <row r="583" ht="24" customHeight="1">
      <c r="A583" s="7" t="n"/>
      <c r="B583" s="7" t="n"/>
      <c r="C583" s="7" t="n"/>
      <c r="D583" s="7" t="n"/>
      <c r="E583" s="7" t="n"/>
      <c r="F583" s="7" t="n"/>
      <c r="G583" s="7" t="n"/>
      <c r="H583" s="8" t="n"/>
      <c r="I583" s="9">
        <f>IF(H583="","",ROUND(H583/3.305785,3))</f>
        <v/>
      </c>
      <c r="J583" s="7" t="n"/>
      <c r="K583" s="7" t="n"/>
      <c r="L583" s="10">
        <f>IF(OR(J583="",K583="",K583=0),"",ROUND(J583/K583,6))</f>
        <v/>
      </c>
      <c r="M583" s="9">
        <f>IF(OR(H583="",J583="",K583="",K583=0),"",ROUND(H583*J583/K583/3.305785,3))</f>
        <v/>
      </c>
      <c r="N583" s="7" t="n"/>
      <c r="O583" s="11" t="n"/>
      <c r="P583" s="11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12">
        <f>IF(A583="","",IF(OR(B583="",C583="",D583="",E583="",G583="",H583="",J583="",K583=""),"必填欄位未完整",""))</f>
        <v/>
      </c>
      <c r="AB583" s="12">
        <f>IF(A583="","",A583&amp;"|"&amp;G583)</f>
        <v/>
      </c>
    </row>
    <row r="584" ht="24" customHeight="1">
      <c r="A584" s="7" t="n"/>
      <c r="B584" s="7" t="n"/>
      <c r="C584" s="7" t="n"/>
      <c r="D584" s="7" t="n"/>
      <c r="E584" s="7" t="n"/>
      <c r="F584" s="7" t="n"/>
      <c r="G584" s="7" t="n"/>
      <c r="H584" s="8" t="n"/>
      <c r="I584" s="9">
        <f>IF(H584="","",ROUND(H584/3.305785,3))</f>
        <v/>
      </c>
      <c r="J584" s="7" t="n"/>
      <c r="K584" s="7" t="n"/>
      <c r="L584" s="10">
        <f>IF(OR(J584="",K584="",K584=0),"",ROUND(J584/K584,6))</f>
        <v/>
      </c>
      <c r="M584" s="9">
        <f>IF(OR(H584="",J584="",K584="",K584=0),"",ROUND(H584*J584/K584/3.305785,3))</f>
        <v/>
      </c>
      <c r="N584" s="7" t="n"/>
      <c r="O584" s="11" t="n"/>
      <c r="P584" s="11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12">
        <f>IF(A584="","",IF(OR(B584="",C584="",D584="",E584="",G584="",H584="",J584="",K584=""),"必填欄位未完整",""))</f>
        <v/>
      </c>
      <c r="AB584" s="12">
        <f>IF(A584="","",A584&amp;"|"&amp;G584)</f>
        <v/>
      </c>
    </row>
    <row r="585" ht="24" customHeight="1">
      <c r="A585" s="7" t="n"/>
      <c r="B585" s="7" t="n"/>
      <c r="C585" s="7" t="n"/>
      <c r="D585" s="7" t="n"/>
      <c r="E585" s="7" t="n"/>
      <c r="F585" s="7" t="n"/>
      <c r="G585" s="7" t="n"/>
      <c r="H585" s="8" t="n"/>
      <c r="I585" s="9">
        <f>IF(H585="","",ROUND(H585/3.305785,3))</f>
        <v/>
      </c>
      <c r="J585" s="7" t="n"/>
      <c r="K585" s="7" t="n"/>
      <c r="L585" s="10">
        <f>IF(OR(J585="",K585="",K585=0),"",ROUND(J585/K585,6))</f>
        <v/>
      </c>
      <c r="M585" s="9">
        <f>IF(OR(H585="",J585="",K585="",K585=0),"",ROUND(H585*J585/K585/3.305785,3))</f>
        <v/>
      </c>
      <c r="N585" s="7" t="n"/>
      <c r="O585" s="11" t="n"/>
      <c r="P585" s="11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12">
        <f>IF(A585="","",IF(OR(B585="",C585="",D585="",E585="",G585="",H585="",J585="",K585=""),"必填欄位未完整",""))</f>
        <v/>
      </c>
      <c r="AB585" s="12">
        <f>IF(A585="","",A585&amp;"|"&amp;G585)</f>
        <v/>
      </c>
    </row>
    <row r="586" ht="24" customHeight="1">
      <c r="A586" s="7" t="n"/>
      <c r="B586" s="7" t="n"/>
      <c r="C586" s="7" t="n"/>
      <c r="D586" s="7" t="n"/>
      <c r="E586" s="7" t="n"/>
      <c r="F586" s="7" t="n"/>
      <c r="G586" s="7" t="n"/>
      <c r="H586" s="8" t="n"/>
      <c r="I586" s="9">
        <f>IF(H586="","",ROUND(H586/3.305785,3))</f>
        <v/>
      </c>
      <c r="J586" s="7" t="n"/>
      <c r="K586" s="7" t="n"/>
      <c r="L586" s="10">
        <f>IF(OR(J586="",K586="",K586=0),"",ROUND(J586/K586,6))</f>
        <v/>
      </c>
      <c r="M586" s="9">
        <f>IF(OR(H586="",J586="",K586="",K586=0),"",ROUND(H586*J586/K586/3.305785,3))</f>
        <v/>
      </c>
      <c r="N586" s="7" t="n"/>
      <c r="O586" s="11" t="n"/>
      <c r="P586" s="11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12">
        <f>IF(A586="","",IF(OR(B586="",C586="",D586="",E586="",G586="",H586="",J586="",K586=""),"必填欄位未完整",""))</f>
        <v/>
      </c>
      <c r="AB586" s="12">
        <f>IF(A586="","",A586&amp;"|"&amp;G586)</f>
        <v/>
      </c>
    </row>
    <row r="587" ht="24" customHeight="1">
      <c r="A587" s="7" t="n"/>
      <c r="B587" s="7" t="n"/>
      <c r="C587" s="7" t="n"/>
      <c r="D587" s="7" t="n"/>
      <c r="E587" s="7" t="n"/>
      <c r="F587" s="7" t="n"/>
      <c r="G587" s="7" t="n"/>
      <c r="H587" s="8" t="n"/>
      <c r="I587" s="9">
        <f>IF(H587="","",ROUND(H587/3.305785,3))</f>
        <v/>
      </c>
      <c r="J587" s="7" t="n"/>
      <c r="K587" s="7" t="n"/>
      <c r="L587" s="10">
        <f>IF(OR(J587="",K587="",K587=0),"",ROUND(J587/K587,6))</f>
        <v/>
      </c>
      <c r="M587" s="9">
        <f>IF(OR(H587="",J587="",K587="",K587=0),"",ROUND(H587*J587/K587/3.305785,3))</f>
        <v/>
      </c>
      <c r="N587" s="7" t="n"/>
      <c r="O587" s="11" t="n"/>
      <c r="P587" s="11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12">
        <f>IF(A587="","",IF(OR(B587="",C587="",D587="",E587="",G587="",H587="",J587="",K587=""),"必填欄位未完整",""))</f>
        <v/>
      </c>
      <c r="AB587" s="12">
        <f>IF(A587="","",A587&amp;"|"&amp;G587)</f>
        <v/>
      </c>
    </row>
    <row r="588" ht="24" customHeight="1">
      <c r="A588" s="7" t="n"/>
      <c r="B588" s="7" t="n"/>
      <c r="C588" s="7" t="n"/>
      <c r="D588" s="7" t="n"/>
      <c r="E588" s="7" t="n"/>
      <c r="F588" s="7" t="n"/>
      <c r="G588" s="7" t="n"/>
      <c r="H588" s="8" t="n"/>
      <c r="I588" s="9">
        <f>IF(H588="","",ROUND(H588/3.305785,3))</f>
        <v/>
      </c>
      <c r="J588" s="7" t="n"/>
      <c r="K588" s="7" t="n"/>
      <c r="L588" s="10">
        <f>IF(OR(J588="",K588="",K588=0),"",ROUND(J588/K588,6))</f>
        <v/>
      </c>
      <c r="M588" s="9">
        <f>IF(OR(H588="",J588="",K588="",K588=0),"",ROUND(H588*J588/K588/3.305785,3))</f>
        <v/>
      </c>
      <c r="N588" s="7" t="n"/>
      <c r="O588" s="11" t="n"/>
      <c r="P588" s="11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12">
        <f>IF(A588="","",IF(OR(B588="",C588="",D588="",E588="",G588="",H588="",J588="",K588=""),"必填欄位未完整",""))</f>
        <v/>
      </c>
      <c r="AB588" s="12">
        <f>IF(A588="","",A588&amp;"|"&amp;G588)</f>
        <v/>
      </c>
    </row>
    <row r="589" ht="24" customHeight="1">
      <c r="A589" s="7" t="n"/>
      <c r="B589" s="7" t="n"/>
      <c r="C589" s="7" t="n"/>
      <c r="D589" s="7" t="n"/>
      <c r="E589" s="7" t="n"/>
      <c r="F589" s="7" t="n"/>
      <c r="G589" s="7" t="n"/>
      <c r="H589" s="8" t="n"/>
      <c r="I589" s="9">
        <f>IF(H589="","",ROUND(H589/3.305785,3))</f>
        <v/>
      </c>
      <c r="J589" s="7" t="n"/>
      <c r="K589" s="7" t="n"/>
      <c r="L589" s="10">
        <f>IF(OR(J589="",K589="",K589=0),"",ROUND(J589/K589,6))</f>
        <v/>
      </c>
      <c r="M589" s="9">
        <f>IF(OR(H589="",J589="",K589="",K589=0),"",ROUND(H589*J589/K589/3.305785,3))</f>
        <v/>
      </c>
      <c r="N589" s="7" t="n"/>
      <c r="O589" s="11" t="n"/>
      <c r="P589" s="11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12">
        <f>IF(A589="","",IF(OR(B589="",C589="",D589="",E589="",G589="",H589="",J589="",K589=""),"必填欄位未完整",""))</f>
        <v/>
      </c>
      <c r="AB589" s="12">
        <f>IF(A589="","",A589&amp;"|"&amp;G589)</f>
        <v/>
      </c>
    </row>
    <row r="590" ht="24" customHeight="1">
      <c r="A590" s="7" t="n"/>
      <c r="B590" s="7" t="n"/>
      <c r="C590" s="7" t="n"/>
      <c r="D590" s="7" t="n"/>
      <c r="E590" s="7" t="n"/>
      <c r="F590" s="7" t="n"/>
      <c r="G590" s="7" t="n"/>
      <c r="H590" s="8" t="n"/>
      <c r="I590" s="9">
        <f>IF(H590="","",ROUND(H590/3.305785,3))</f>
        <v/>
      </c>
      <c r="J590" s="7" t="n"/>
      <c r="K590" s="7" t="n"/>
      <c r="L590" s="10">
        <f>IF(OR(J590="",K590="",K590=0),"",ROUND(J590/K590,6))</f>
        <v/>
      </c>
      <c r="M590" s="9">
        <f>IF(OR(H590="",J590="",K590="",K590=0),"",ROUND(H590*J590/K590/3.305785,3))</f>
        <v/>
      </c>
      <c r="N590" s="7" t="n"/>
      <c r="O590" s="11" t="n"/>
      <c r="P590" s="11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12">
        <f>IF(A590="","",IF(OR(B590="",C590="",D590="",E590="",G590="",H590="",J590="",K590=""),"必填欄位未完整",""))</f>
        <v/>
      </c>
      <c r="AB590" s="12">
        <f>IF(A590="","",A590&amp;"|"&amp;G590)</f>
        <v/>
      </c>
    </row>
    <row r="591" ht="24" customHeight="1">
      <c r="A591" s="7" t="n"/>
      <c r="B591" s="7" t="n"/>
      <c r="C591" s="7" t="n"/>
      <c r="D591" s="7" t="n"/>
      <c r="E591" s="7" t="n"/>
      <c r="F591" s="7" t="n"/>
      <c r="G591" s="7" t="n"/>
      <c r="H591" s="8" t="n"/>
      <c r="I591" s="9">
        <f>IF(H591="","",ROUND(H591/3.305785,3))</f>
        <v/>
      </c>
      <c r="J591" s="7" t="n"/>
      <c r="K591" s="7" t="n"/>
      <c r="L591" s="10">
        <f>IF(OR(J591="",K591="",K591=0),"",ROUND(J591/K591,6))</f>
        <v/>
      </c>
      <c r="M591" s="9">
        <f>IF(OR(H591="",J591="",K591="",K591=0),"",ROUND(H591*J591/K591/3.305785,3))</f>
        <v/>
      </c>
      <c r="N591" s="7" t="n"/>
      <c r="O591" s="11" t="n"/>
      <c r="P591" s="11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12">
        <f>IF(A591="","",IF(OR(B591="",C591="",D591="",E591="",G591="",H591="",J591="",K591=""),"必填欄位未完整",""))</f>
        <v/>
      </c>
      <c r="AB591" s="12">
        <f>IF(A591="","",A591&amp;"|"&amp;G591)</f>
        <v/>
      </c>
    </row>
    <row r="592" ht="24" customHeight="1">
      <c r="A592" s="7" t="n"/>
      <c r="B592" s="7" t="n"/>
      <c r="C592" s="7" t="n"/>
      <c r="D592" s="7" t="n"/>
      <c r="E592" s="7" t="n"/>
      <c r="F592" s="7" t="n"/>
      <c r="G592" s="7" t="n"/>
      <c r="H592" s="8" t="n"/>
      <c r="I592" s="9">
        <f>IF(H592="","",ROUND(H592/3.305785,3))</f>
        <v/>
      </c>
      <c r="J592" s="7" t="n"/>
      <c r="K592" s="7" t="n"/>
      <c r="L592" s="10">
        <f>IF(OR(J592="",K592="",K592=0),"",ROUND(J592/K592,6))</f>
        <v/>
      </c>
      <c r="M592" s="9">
        <f>IF(OR(H592="",J592="",K592="",K592=0),"",ROUND(H592*J592/K592/3.305785,3))</f>
        <v/>
      </c>
      <c r="N592" s="7" t="n"/>
      <c r="O592" s="11" t="n"/>
      <c r="P592" s="11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12">
        <f>IF(A592="","",IF(OR(B592="",C592="",D592="",E592="",G592="",H592="",J592="",K592=""),"必填欄位未完整",""))</f>
        <v/>
      </c>
      <c r="AB592" s="12">
        <f>IF(A592="","",A592&amp;"|"&amp;G592)</f>
        <v/>
      </c>
    </row>
    <row r="593" ht="24" customHeight="1">
      <c r="A593" s="7" t="n"/>
      <c r="B593" s="7" t="n"/>
      <c r="C593" s="7" t="n"/>
      <c r="D593" s="7" t="n"/>
      <c r="E593" s="7" t="n"/>
      <c r="F593" s="7" t="n"/>
      <c r="G593" s="7" t="n"/>
      <c r="H593" s="8" t="n"/>
      <c r="I593" s="9">
        <f>IF(H593="","",ROUND(H593/3.305785,3))</f>
        <v/>
      </c>
      <c r="J593" s="7" t="n"/>
      <c r="K593" s="7" t="n"/>
      <c r="L593" s="10">
        <f>IF(OR(J593="",K593="",K593=0),"",ROUND(J593/K593,6))</f>
        <v/>
      </c>
      <c r="M593" s="9">
        <f>IF(OR(H593="",J593="",K593="",K593=0),"",ROUND(H593*J593/K593/3.305785,3))</f>
        <v/>
      </c>
      <c r="N593" s="7" t="n"/>
      <c r="O593" s="11" t="n"/>
      <c r="P593" s="11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12">
        <f>IF(A593="","",IF(OR(B593="",C593="",D593="",E593="",G593="",H593="",J593="",K593=""),"必填欄位未完整",""))</f>
        <v/>
      </c>
      <c r="AB593" s="12">
        <f>IF(A593="","",A593&amp;"|"&amp;G593)</f>
        <v/>
      </c>
    </row>
    <row r="594" ht="24" customHeight="1">
      <c r="A594" s="7" t="n"/>
      <c r="B594" s="7" t="n"/>
      <c r="C594" s="7" t="n"/>
      <c r="D594" s="7" t="n"/>
      <c r="E594" s="7" t="n"/>
      <c r="F594" s="7" t="n"/>
      <c r="G594" s="7" t="n"/>
      <c r="H594" s="8" t="n"/>
      <c r="I594" s="9">
        <f>IF(H594="","",ROUND(H594/3.305785,3))</f>
        <v/>
      </c>
      <c r="J594" s="7" t="n"/>
      <c r="K594" s="7" t="n"/>
      <c r="L594" s="10">
        <f>IF(OR(J594="",K594="",K594=0),"",ROUND(J594/K594,6))</f>
        <v/>
      </c>
      <c r="M594" s="9">
        <f>IF(OR(H594="",J594="",K594="",K594=0),"",ROUND(H594*J594/K594/3.305785,3))</f>
        <v/>
      </c>
      <c r="N594" s="7" t="n"/>
      <c r="O594" s="11" t="n"/>
      <c r="P594" s="11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12">
        <f>IF(A594="","",IF(OR(B594="",C594="",D594="",E594="",G594="",H594="",J594="",K594=""),"必填欄位未完整",""))</f>
        <v/>
      </c>
      <c r="AB594" s="12">
        <f>IF(A594="","",A594&amp;"|"&amp;G594)</f>
        <v/>
      </c>
    </row>
    <row r="595" ht="24" customHeight="1">
      <c r="A595" s="7" t="n"/>
      <c r="B595" s="7" t="n"/>
      <c r="C595" s="7" t="n"/>
      <c r="D595" s="7" t="n"/>
      <c r="E595" s="7" t="n"/>
      <c r="F595" s="7" t="n"/>
      <c r="G595" s="7" t="n"/>
      <c r="H595" s="8" t="n"/>
      <c r="I595" s="9">
        <f>IF(H595="","",ROUND(H595/3.305785,3))</f>
        <v/>
      </c>
      <c r="J595" s="7" t="n"/>
      <c r="K595" s="7" t="n"/>
      <c r="L595" s="10">
        <f>IF(OR(J595="",K595="",K595=0),"",ROUND(J595/K595,6))</f>
        <v/>
      </c>
      <c r="M595" s="9">
        <f>IF(OR(H595="",J595="",K595="",K595=0),"",ROUND(H595*J595/K595/3.305785,3))</f>
        <v/>
      </c>
      <c r="N595" s="7" t="n"/>
      <c r="O595" s="11" t="n"/>
      <c r="P595" s="11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12">
        <f>IF(A595="","",IF(OR(B595="",C595="",D595="",E595="",G595="",H595="",J595="",K595=""),"必填欄位未完整",""))</f>
        <v/>
      </c>
      <c r="AB595" s="12">
        <f>IF(A595="","",A595&amp;"|"&amp;G595)</f>
        <v/>
      </c>
    </row>
    <row r="596" ht="24" customHeight="1">
      <c r="A596" s="7" t="n"/>
      <c r="B596" s="7" t="n"/>
      <c r="C596" s="7" t="n"/>
      <c r="D596" s="7" t="n"/>
      <c r="E596" s="7" t="n"/>
      <c r="F596" s="7" t="n"/>
      <c r="G596" s="7" t="n"/>
      <c r="H596" s="8" t="n"/>
      <c r="I596" s="9">
        <f>IF(H596="","",ROUND(H596/3.305785,3))</f>
        <v/>
      </c>
      <c r="J596" s="7" t="n"/>
      <c r="K596" s="7" t="n"/>
      <c r="L596" s="10">
        <f>IF(OR(J596="",K596="",K596=0),"",ROUND(J596/K596,6))</f>
        <v/>
      </c>
      <c r="M596" s="9">
        <f>IF(OR(H596="",J596="",K596="",K596=0),"",ROUND(H596*J596/K596/3.305785,3))</f>
        <v/>
      </c>
      <c r="N596" s="7" t="n"/>
      <c r="O596" s="11" t="n"/>
      <c r="P596" s="11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12">
        <f>IF(A596="","",IF(OR(B596="",C596="",D596="",E596="",G596="",H596="",J596="",K596=""),"必填欄位未完整",""))</f>
        <v/>
      </c>
      <c r="AB596" s="12">
        <f>IF(A596="","",A596&amp;"|"&amp;G596)</f>
        <v/>
      </c>
    </row>
    <row r="597" ht="24" customHeight="1">
      <c r="A597" s="7" t="n"/>
      <c r="B597" s="7" t="n"/>
      <c r="C597" s="7" t="n"/>
      <c r="D597" s="7" t="n"/>
      <c r="E597" s="7" t="n"/>
      <c r="F597" s="7" t="n"/>
      <c r="G597" s="7" t="n"/>
      <c r="H597" s="8" t="n"/>
      <c r="I597" s="9">
        <f>IF(H597="","",ROUND(H597/3.305785,3))</f>
        <v/>
      </c>
      <c r="J597" s="7" t="n"/>
      <c r="K597" s="7" t="n"/>
      <c r="L597" s="10">
        <f>IF(OR(J597="",K597="",K597=0),"",ROUND(J597/K597,6))</f>
        <v/>
      </c>
      <c r="M597" s="9">
        <f>IF(OR(H597="",J597="",K597="",K597=0),"",ROUND(H597*J597/K597/3.305785,3))</f>
        <v/>
      </c>
      <c r="N597" s="7" t="n"/>
      <c r="O597" s="11" t="n"/>
      <c r="P597" s="11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12">
        <f>IF(A597="","",IF(OR(B597="",C597="",D597="",E597="",G597="",H597="",J597="",K597=""),"必填欄位未完整",""))</f>
        <v/>
      </c>
      <c r="AB597" s="12">
        <f>IF(A597="","",A597&amp;"|"&amp;G597)</f>
        <v/>
      </c>
    </row>
    <row r="598" ht="24" customHeight="1">
      <c r="A598" s="7" t="n"/>
      <c r="B598" s="7" t="n"/>
      <c r="C598" s="7" t="n"/>
      <c r="D598" s="7" t="n"/>
      <c r="E598" s="7" t="n"/>
      <c r="F598" s="7" t="n"/>
      <c r="G598" s="7" t="n"/>
      <c r="H598" s="8" t="n"/>
      <c r="I598" s="9">
        <f>IF(H598="","",ROUND(H598/3.305785,3))</f>
        <v/>
      </c>
      <c r="J598" s="7" t="n"/>
      <c r="K598" s="7" t="n"/>
      <c r="L598" s="10">
        <f>IF(OR(J598="",K598="",K598=0),"",ROUND(J598/K598,6))</f>
        <v/>
      </c>
      <c r="M598" s="9">
        <f>IF(OR(H598="",J598="",K598="",K598=0),"",ROUND(H598*J598/K598/3.305785,3))</f>
        <v/>
      </c>
      <c r="N598" s="7" t="n"/>
      <c r="O598" s="11" t="n"/>
      <c r="P598" s="11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12">
        <f>IF(A598="","",IF(OR(B598="",C598="",D598="",E598="",G598="",H598="",J598="",K598=""),"必填欄位未完整",""))</f>
        <v/>
      </c>
      <c r="AB598" s="12">
        <f>IF(A598="","",A598&amp;"|"&amp;G598)</f>
        <v/>
      </c>
    </row>
    <row r="599" ht="24" customHeight="1">
      <c r="A599" s="7" t="n"/>
      <c r="B599" s="7" t="n"/>
      <c r="C599" s="7" t="n"/>
      <c r="D599" s="7" t="n"/>
      <c r="E599" s="7" t="n"/>
      <c r="F599" s="7" t="n"/>
      <c r="G599" s="7" t="n"/>
      <c r="H599" s="8" t="n"/>
      <c r="I599" s="9">
        <f>IF(H599="","",ROUND(H599/3.305785,3))</f>
        <v/>
      </c>
      <c r="J599" s="7" t="n"/>
      <c r="K599" s="7" t="n"/>
      <c r="L599" s="10">
        <f>IF(OR(J599="",K599="",K599=0),"",ROUND(J599/K599,6))</f>
        <v/>
      </c>
      <c r="M599" s="9">
        <f>IF(OR(H599="",J599="",K599="",K599=0),"",ROUND(H599*J599/K599/3.305785,3))</f>
        <v/>
      </c>
      <c r="N599" s="7" t="n"/>
      <c r="O599" s="11" t="n"/>
      <c r="P599" s="11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12">
        <f>IF(A599="","",IF(OR(B599="",C599="",D599="",E599="",G599="",H599="",J599="",K599=""),"必填欄位未完整",""))</f>
        <v/>
      </c>
      <c r="AB599" s="12">
        <f>IF(A599="","",A599&amp;"|"&amp;G599)</f>
        <v/>
      </c>
    </row>
    <row r="600" ht="24" customHeight="1">
      <c r="A600" s="7" t="n"/>
      <c r="B600" s="7" t="n"/>
      <c r="C600" s="7" t="n"/>
      <c r="D600" s="7" t="n"/>
      <c r="E600" s="7" t="n"/>
      <c r="F600" s="7" t="n"/>
      <c r="G600" s="7" t="n"/>
      <c r="H600" s="8" t="n"/>
      <c r="I600" s="9">
        <f>IF(H600="","",ROUND(H600/3.305785,3))</f>
        <v/>
      </c>
      <c r="J600" s="7" t="n"/>
      <c r="K600" s="7" t="n"/>
      <c r="L600" s="10">
        <f>IF(OR(J600="",K600="",K600=0),"",ROUND(J600/K600,6))</f>
        <v/>
      </c>
      <c r="M600" s="9">
        <f>IF(OR(H600="",J600="",K600="",K600=0),"",ROUND(H600*J600/K600/3.305785,3))</f>
        <v/>
      </c>
      <c r="N600" s="7" t="n"/>
      <c r="O600" s="11" t="n"/>
      <c r="P600" s="11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12">
        <f>IF(A600="","",IF(OR(B600="",C600="",D600="",E600="",G600="",H600="",J600="",K600=""),"必填欄位未完整",""))</f>
        <v/>
      </c>
      <c r="AB600" s="12">
        <f>IF(A600="","",A600&amp;"|"&amp;G600)</f>
        <v/>
      </c>
    </row>
    <row r="601" ht="24" customHeight="1">
      <c r="A601" s="7" t="n"/>
      <c r="B601" s="7" t="n"/>
      <c r="C601" s="7" t="n"/>
      <c r="D601" s="7" t="n"/>
      <c r="E601" s="7" t="n"/>
      <c r="F601" s="7" t="n"/>
      <c r="G601" s="7" t="n"/>
      <c r="H601" s="8" t="n"/>
      <c r="I601" s="9">
        <f>IF(H601="","",ROUND(H601/3.305785,3))</f>
        <v/>
      </c>
      <c r="J601" s="7" t="n"/>
      <c r="K601" s="7" t="n"/>
      <c r="L601" s="10">
        <f>IF(OR(J601="",K601="",K601=0),"",ROUND(J601/K601,6))</f>
        <v/>
      </c>
      <c r="M601" s="9">
        <f>IF(OR(H601="",J601="",K601="",K601=0),"",ROUND(H601*J601/K601/3.305785,3))</f>
        <v/>
      </c>
      <c r="N601" s="7" t="n"/>
      <c r="O601" s="11" t="n"/>
      <c r="P601" s="11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12">
        <f>IF(A601="","",IF(OR(B601="",C601="",D601="",E601="",G601="",H601="",J601="",K601=""),"必填欄位未完整",""))</f>
        <v/>
      </c>
      <c r="AB601" s="12">
        <f>IF(A601="","",A601&amp;"|"&amp;G601)</f>
        <v/>
      </c>
    </row>
    <row r="602" ht="24" customHeight="1">
      <c r="A602" s="7" t="n"/>
      <c r="B602" s="7" t="n"/>
      <c r="C602" s="7" t="n"/>
      <c r="D602" s="7" t="n"/>
      <c r="E602" s="7" t="n"/>
      <c r="F602" s="7" t="n"/>
      <c r="G602" s="7" t="n"/>
      <c r="H602" s="8" t="n"/>
      <c r="I602" s="9">
        <f>IF(H602="","",ROUND(H602/3.305785,3))</f>
        <v/>
      </c>
      <c r="J602" s="7" t="n"/>
      <c r="K602" s="7" t="n"/>
      <c r="L602" s="10">
        <f>IF(OR(J602="",K602="",K602=0),"",ROUND(J602/K602,6))</f>
        <v/>
      </c>
      <c r="M602" s="9">
        <f>IF(OR(H602="",J602="",K602="",K602=0),"",ROUND(H602*J602/K602/3.305785,3))</f>
        <v/>
      </c>
      <c r="N602" s="7" t="n"/>
      <c r="O602" s="11" t="n"/>
      <c r="P602" s="11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12">
        <f>IF(A602="","",IF(OR(B602="",C602="",D602="",E602="",G602="",H602="",J602="",K602=""),"必填欄位未完整",""))</f>
        <v/>
      </c>
      <c r="AB602" s="12">
        <f>IF(A602="","",A602&amp;"|"&amp;G602)</f>
        <v/>
      </c>
    </row>
    <row r="603" ht="24" customHeight="1">
      <c r="A603" s="7" t="n"/>
      <c r="B603" s="7" t="n"/>
      <c r="C603" s="7" t="n"/>
      <c r="D603" s="7" t="n"/>
      <c r="E603" s="7" t="n"/>
      <c r="F603" s="7" t="n"/>
      <c r="G603" s="7" t="n"/>
      <c r="H603" s="8" t="n"/>
      <c r="I603" s="9">
        <f>IF(H603="","",ROUND(H603/3.305785,3))</f>
        <v/>
      </c>
      <c r="J603" s="7" t="n"/>
      <c r="K603" s="7" t="n"/>
      <c r="L603" s="10">
        <f>IF(OR(J603="",K603="",K603=0),"",ROUND(J603/K603,6))</f>
        <v/>
      </c>
      <c r="M603" s="9">
        <f>IF(OR(H603="",J603="",K603="",K603=0),"",ROUND(H603*J603/K603/3.305785,3))</f>
        <v/>
      </c>
      <c r="N603" s="7" t="n"/>
      <c r="O603" s="11" t="n"/>
      <c r="P603" s="11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12">
        <f>IF(A603="","",IF(OR(B603="",C603="",D603="",E603="",G603="",H603="",J603="",K603=""),"必填欄位未完整",""))</f>
        <v/>
      </c>
      <c r="AB603" s="12">
        <f>IF(A603="","",A603&amp;"|"&amp;G603)</f>
        <v/>
      </c>
    </row>
    <row r="604" ht="24" customHeight="1">
      <c r="A604" s="7" t="n"/>
      <c r="B604" s="7" t="n"/>
      <c r="C604" s="7" t="n"/>
      <c r="D604" s="7" t="n"/>
      <c r="E604" s="7" t="n"/>
      <c r="F604" s="7" t="n"/>
      <c r="G604" s="7" t="n"/>
      <c r="H604" s="8" t="n"/>
      <c r="I604" s="9">
        <f>IF(H604="","",ROUND(H604/3.305785,3))</f>
        <v/>
      </c>
      <c r="J604" s="7" t="n"/>
      <c r="K604" s="7" t="n"/>
      <c r="L604" s="10">
        <f>IF(OR(J604="",K604="",K604=0),"",ROUND(J604/K604,6))</f>
        <v/>
      </c>
      <c r="M604" s="9">
        <f>IF(OR(H604="",J604="",K604="",K604=0),"",ROUND(H604*J604/K604/3.305785,3))</f>
        <v/>
      </c>
      <c r="N604" s="7" t="n"/>
      <c r="O604" s="11" t="n"/>
      <c r="P604" s="11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12">
        <f>IF(A604="","",IF(OR(B604="",C604="",D604="",E604="",G604="",H604="",J604="",K604=""),"必填欄位未完整",""))</f>
        <v/>
      </c>
      <c r="AB604" s="12">
        <f>IF(A604="","",A604&amp;"|"&amp;G604)</f>
        <v/>
      </c>
    </row>
    <row r="605" ht="24" customHeight="1">
      <c r="A605" s="7" t="n"/>
      <c r="B605" s="7" t="n"/>
      <c r="C605" s="7" t="n"/>
      <c r="D605" s="7" t="n"/>
      <c r="E605" s="7" t="n"/>
      <c r="F605" s="7" t="n"/>
      <c r="G605" s="7" t="n"/>
      <c r="H605" s="8" t="n"/>
      <c r="I605" s="9">
        <f>IF(H605="","",ROUND(H605/3.305785,3))</f>
        <v/>
      </c>
      <c r="J605" s="7" t="n"/>
      <c r="K605" s="7" t="n"/>
      <c r="L605" s="10">
        <f>IF(OR(J605="",K605="",K605=0),"",ROUND(J605/K605,6))</f>
        <v/>
      </c>
      <c r="M605" s="9">
        <f>IF(OR(H605="",J605="",K605="",K605=0),"",ROUND(H605*J605/K605/3.305785,3))</f>
        <v/>
      </c>
      <c r="N605" s="7" t="n"/>
      <c r="O605" s="11" t="n"/>
      <c r="P605" s="11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12">
        <f>IF(A605="","",IF(OR(B605="",C605="",D605="",E605="",G605="",H605="",J605="",K605=""),"必填欄位未完整",""))</f>
        <v/>
      </c>
      <c r="AB605" s="12">
        <f>IF(A605="","",A605&amp;"|"&amp;G605)</f>
        <v/>
      </c>
    </row>
    <row r="606" ht="24" customHeight="1">
      <c r="A606" s="7" t="n"/>
      <c r="B606" s="7" t="n"/>
      <c r="C606" s="7" t="n"/>
      <c r="D606" s="7" t="n"/>
      <c r="E606" s="7" t="n"/>
      <c r="F606" s="7" t="n"/>
      <c r="G606" s="7" t="n"/>
      <c r="H606" s="8" t="n"/>
      <c r="I606" s="9">
        <f>IF(H606="","",ROUND(H606/3.305785,3))</f>
        <v/>
      </c>
      <c r="J606" s="7" t="n"/>
      <c r="K606" s="7" t="n"/>
      <c r="L606" s="10">
        <f>IF(OR(J606="",K606="",K606=0),"",ROUND(J606/K606,6))</f>
        <v/>
      </c>
      <c r="M606" s="9">
        <f>IF(OR(H606="",J606="",K606="",K606=0),"",ROUND(H606*J606/K606/3.305785,3))</f>
        <v/>
      </c>
      <c r="N606" s="7" t="n"/>
      <c r="O606" s="11" t="n"/>
      <c r="P606" s="11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12">
        <f>IF(A606="","",IF(OR(B606="",C606="",D606="",E606="",G606="",H606="",J606="",K606=""),"必填欄位未完整",""))</f>
        <v/>
      </c>
      <c r="AB606" s="12">
        <f>IF(A606="","",A606&amp;"|"&amp;G606)</f>
        <v/>
      </c>
    </row>
    <row r="607" ht="24" customHeight="1">
      <c r="A607" s="7" t="n"/>
      <c r="B607" s="7" t="n"/>
      <c r="C607" s="7" t="n"/>
      <c r="D607" s="7" t="n"/>
      <c r="E607" s="7" t="n"/>
      <c r="F607" s="7" t="n"/>
      <c r="G607" s="7" t="n"/>
      <c r="H607" s="8" t="n"/>
      <c r="I607" s="9">
        <f>IF(H607="","",ROUND(H607/3.305785,3))</f>
        <v/>
      </c>
      <c r="J607" s="7" t="n"/>
      <c r="K607" s="7" t="n"/>
      <c r="L607" s="10">
        <f>IF(OR(J607="",K607="",K607=0),"",ROUND(J607/K607,6))</f>
        <v/>
      </c>
      <c r="M607" s="9">
        <f>IF(OR(H607="",J607="",K607="",K607=0),"",ROUND(H607*J607/K607/3.305785,3))</f>
        <v/>
      </c>
      <c r="N607" s="7" t="n"/>
      <c r="O607" s="11" t="n"/>
      <c r="P607" s="11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12">
        <f>IF(A607="","",IF(OR(B607="",C607="",D607="",E607="",G607="",H607="",J607="",K607=""),"必填欄位未完整",""))</f>
        <v/>
      </c>
      <c r="AB607" s="12">
        <f>IF(A607="","",A607&amp;"|"&amp;G607)</f>
        <v/>
      </c>
    </row>
    <row r="608" ht="24" customHeight="1">
      <c r="A608" s="7" t="n"/>
      <c r="B608" s="7" t="n"/>
      <c r="C608" s="7" t="n"/>
      <c r="D608" s="7" t="n"/>
      <c r="E608" s="7" t="n"/>
      <c r="F608" s="7" t="n"/>
      <c r="G608" s="7" t="n"/>
      <c r="H608" s="8" t="n"/>
      <c r="I608" s="9">
        <f>IF(H608="","",ROUND(H608/3.305785,3))</f>
        <v/>
      </c>
      <c r="J608" s="7" t="n"/>
      <c r="K608" s="7" t="n"/>
      <c r="L608" s="10">
        <f>IF(OR(J608="",K608="",K608=0),"",ROUND(J608/K608,6))</f>
        <v/>
      </c>
      <c r="M608" s="9">
        <f>IF(OR(H608="",J608="",K608="",K608=0),"",ROUND(H608*J608/K608/3.305785,3))</f>
        <v/>
      </c>
      <c r="N608" s="7" t="n"/>
      <c r="O608" s="11" t="n"/>
      <c r="P608" s="11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12">
        <f>IF(A608="","",IF(OR(B608="",C608="",D608="",E608="",G608="",H608="",J608="",K608=""),"必填欄位未完整",""))</f>
        <v/>
      </c>
      <c r="AB608" s="12">
        <f>IF(A608="","",A608&amp;"|"&amp;G608)</f>
        <v/>
      </c>
    </row>
    <row r="609" ht="24" customHeight="1">
      <c r="A609" s="7" t="n"/>
      <c r="B609" s="7" t="n"/>
      <c r="C609" s="7" t="n"/>
      <c r="D609" s="7" t="n"/>
      <c r="E609" s="7" t="n"/>
      <c r="F609" s="7" t="n"/>
      <c r="G609" s="7" t="n"/>
      <c r="H609" s="8" t="n"/>
      <c r="I609" s="9">
        <f>IF(H609="","",ROUND(H609/3.305785,3))</f>
        <v/>
      </c>
      <c r="J609" s="7" t="n"/>
      <c r="K609" s="7" t="n"/>
      <c r="L609" s="10">
        <f>IF(OR(J609="",K609="",K609=0),"",ROUND(J609/K609,6))</f>
        <v/>
      </c>
      <c r="M609" s="9">
        <f>IF(OR(H609="",J609="",K609="",K609=0),"",ROUND(H609*J609/K609/3.305785,3))</f>
        <v/>
      </c>
      <c r="N609" s="7" t="n"/>
      <c r="O609" s="11" t="n"/>
      <c r="P609" s="11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12">
        <f>IF(A609="","",IF(OR(B609="",C609="",D609="",E609="",G609="",H609="",J609="",K609=""),"必填欄位未完整",""))</f>
        <v/>
      </c>
      <c r="AB609" s="12">
        <f>IF(A609="","",A609&amp;"|"&amp;G609)</f>
        <v/>
      </c>
    </row>
    <row r="610" ht="24" customHeight="1">
      <c r="A610" s="7" t="n"/>
      <c r="B610" s="7" t="n"/>
      <c r="C610" s="7" t="n"/>
      <c r="D610" s="7" t="n"/>
      <c r="E610" s="7" t="n"/>
      <c r="F610" s="7" t="n"/>
      <c r="G610" s="7" t="n"/>
      <c r="H610" s="8" t="n"/>
      <c r="I610" s="9">
        <f>IF(H610="","",ROUND(H610/3.305785,3))</f>
        <v/>
      </c>
      <c r="J610" s="7" t="n"/>
      <c r="K610" s="7" t="n"/>
      <c r="L610" s="10">
        <f>IF(OR(J610="",K610="",K610=0),"",ROUND(J610/K610,6))</f>
        <v/>
      </c>
      <c r="M610" s="9">
        <f>IF(OR(H610="",J610="",K610="",K610=0),"",ROUND(H610*J610/K610/3.305785,3))</f>
        <v/>
      </c>
      <c r="N610" s="7" t="n"/>
      <c r="O610" s="11" t="n"/>
      <c r="P610" s="11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12">
        <f>IF(A610="","",IF(OR(B610="",C610="",D610="",E610="",G610="",H610="",J610="",K610=""),"必填欄位未完整",""))</f>
        <v/>
      </c>
      <c r="AB610" s="12">
        <f>IF(A610="","",A610&amp;"|"&amp;G610)</f>
        <v/>
      </c>
    </row>
    <row r="611" ht="24" customHeight="1">
      <c r="A611" s="7" t="n"/>
      <c r="B611" s="7" t="n"/>
      <c r="C611" s="7" t="n"/>
      <c r="D611" s="7" t="n"/>
      <c r="E611" s="7" t="n"/>
      <c r="F611" s="7" t="n"/>
      <c r="G611" s="7" t="n"/>
      <c r="H611" s="8" t="n"/>
      <c r="I611" s="9">
        <f>IF(H611="","",ROUND(H611/3.305785,3))</f>
        <v/>
      </c>
      <c r="J611" s="7" t="n"/>
      <c r="K611" s="7" t="n"/>
      <c r="L611" s="10">
        <f>IF(OR(J611="",K611="",K611=0),"",ROUND(J611/K611,6))</f>
        <v/>
      </c>
      <c r="M611" s="9">
        <f>IF(OR(H611="",J611="",K611="",K611=0),"",ROUND(H611*J611/K611/3.305785,3))</f>
        <v/>
      </c>
      <c r="N611" s="7" t="n"/>
      <c r="O611" s="11" t="n"/>
      <c r="P611" s="11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12">
        <f>IF(A611="","",IF(OR(B611="",C611="",D611="",E611="",G611="",H611="",J611="",K611=""),"必填欄位未完整",""))</f>
        <v/>
      </c>
      <c r="AB611" s="12">
        <f>IF(A611="","",A611&amp;"|"&amp;G611)</f>
        <v/>
      </c>
    </row>
    <row r="612" ht="24" customHeight="1">
      <c r="A612" s="7" t="n"/>
      <c r="B612" s="7" t="n"/>
      <c r="C612" s="7" t="n"/>
      <c r="D612" s="7" t="n"/>
      <c r="E612" s="7" t="n"/>
      <c r="F612" s="7" t="n"/>
      <c r="G612" s="7" t="n"/>
      <c r="H612" s="8" t="n"/>
      <c r="I612" s="9">
        <f>IF(H612="","",ROUND(H612/3.305785,3))</f>
        <v/>
      </c>
      <c r="J612" s="7" t="n"/>
      <c r="K612" s="7" t="n"/>
      <c r="L612" s="10">
        <f>IF(OR(J612="",K612="",K612=0),"",ROUND(J612/K612,6))</f>
        <v/>
      </c>
      <c r="M612" s="9">
        <f>IF(OR(H612="",J612="",K612="",K612=0),"",ROUND(H612*J612/K612/3.305785,3))</f>
        <v/>
      </c>
      <c r="N612" s="7" t="n"/>
      <c r="O612" s="11" t="n"/>
      <c r="P612" s="11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12">
        <f>IF(A612="","",IF(OR(B612="",C612="",D612="",E612="",G612="",H612="",J612="",K612=""),"必填欄位未完整",""))</f>
        <v/>
      </c>
      <c r="AB612" s="12">
        <f>IF(A612="","",A612&amp;"|"&amp;G612)</f>
        <v/>
      </c>
    </row>
    <row r="613" ht="24" customHeight="1">
      <c r="A613" s="7" t="n"/>
      <c r="B613" s="7" t="n"/>
      <c r="C613" s="7" t="n"/>
      <c r="D613" s="7" t="n"/>
      <c r="E613" s="7" t="n"/>
      <c r="F613" s="7" t="n"/>
      <c r="G613" s="7" t="n"/>
      <c r="H613" s="8" t="n"/>
      <c r="I613" s="9">
        <f>IF(H613="","",ROUND(H613/3.305785,3))</f>
        <v/>
      </c>
      <c r="J613" s="7" t="n"/>
      <c r="K613" s="7" t="n"/>
      <c r="L613" s="10">
        <f>IF(OR(J613="",K613="",K613=0),"",ROUND(J613/K613,6))</f>
        <v/>
      </c>
      <c r="M613" s="9">
        <f>IF(OR(H613="",J613="",K613="",K613=0),"",ROUND(H613*J613/K613/3.305785,3))</f>
        <v/>
      </c>
      <c r="N613" s="7" t="n"/>
      <c r="O613" s="11" t="n"/>
      <c r="P613" s="11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12">
        <f>IF(A613="","",IF(OR(B613="",C613="",D613="",E613="",G613="",H613="",J613="",K613=""),"必填欄位未完整",""))</f>
        <v/>
      </c>
      <c r="AB613" s="12">
        <f>IF(A613="","",A613&amp;"|"&amp;G613)</f>
        <v/>
      </c>
    </row>
    <row r="614" ht="24" customHeight="1">
      <c r="A614" s="7" t="n"/>
      <c r="B614" s="7" t="n"/>
      <c r="C614" s="7" t="n"/>
      <c r="D614" s="7" t="n"/>
      <c r="E614" s="7" t="n"/>
      <c r="F614" s="7" t="n"/>
      <c r="G614" s="7" t="n"/>
      <c r="H614" s="8" t="n"/>
      <c r="I614" s="9">
        <f>IF(H614="","",ROUND(H614/3.305785,3))</f>
        <v/>
      </c>
      <c r="J614" s="7" t="n"/>
      <c r="K614" s="7" t="n"/>
      <c r="L614" s="10">
        <f>IF(OR(J614="",K614="",K614=0),"",ROUND(J614/K614,6))</f>
        <v/>
      </c>
      <c r="M614" s="9">
        <f>IF(OR(H614="",J614="",K614="",K614=0),"",ROUND(H614*J614/K614/3.305785,3))</f>
        <v/>
      </c>
      <c r="N614" s="7" t="n"/>
      <c r="O614" s="11" t="n"/>
      <c r="P614" s="11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12">
        <f>IF(A614="","",IF(OR(B614="",C614="",D614="",E614="",G614="",H614="",J614="",K614=""),"必填欄位未完整",""))</f>
        <v/>
      </c>
      <c r="AB614" s="12">
        <f>IF(A614="","",A614&amp;"|"&amp;G614)</f>
        <v/>
      </c>
    </row>
    <row r="615" ht="24" customHeight="1">
      <c r="A615" s="7" t="n"/>
      <c r="B615" s="7" t="n"/>
      <c r="C615" s="7" t="n"/>
      <c r="D615" s="7" t="n"/>
      <c r="E615" s="7" t="n"/>
      <c r="F615" s="7" t="n"/>
      <c r="G615" s="7" t="n"/>
      <c r="H615" s="8" t="n"/>
      <c r="I615" s="9">
        <f>IF(H615="","",ROUND(H615/3.305785,3))</f>
        <v/>
      </c>
      <c r="J615" s="7" t="n"/>
      <c r="K615" s="7" t="n"/>
      <c r="L615" s="10">
        <f>IF(OR(J615="",K615="",K615=0),"",ROUND(J615/K615,6))</f>
        <v/>
      </c>
      <c r="M615" s="9">
        <f>IF(OR(H615="",J615="",K615="",K615=0),"",ROUND(H615*J615/K615/3.305785,3))</f>
        <v/>
      </c>
      <c r="N615" s="7" t="n"/>
      <c r="O615" s="11" t="n"/>
      <c r="P615" s="11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12">
        <f>IF(A615="","",IF(OR(B615="",C615="",D615="",E615="",G615="",H615="",J615="",K615=""),"必填欄位未完整",""))</f>
        <v/>
      </c>
      <c r="AB615" s="12">
        <f>IF(A615="","",A615&amp;"|"&amp;G615)</f>
        <v/>
      </c>
    </row>
    <row r="616" ht="24" customHeight="1">
      <c r="A616" s="7" t="n"/>
      <c r="B616" s="7" t="n"/>
      <c r="C616" s="7" t="n"/>
      <c r="D616" s="7" t="n"/>
      <c r="E616" s="7" t="n"/>
      <c r="F616" s="7" t="n"/>
      <c r="G616" s="7" t="n"/>
      <c r="H616" s="8" t="n"/>
      <c r="I616" s="9">
        <f>IF(H616="","",ROUND(H616/3.305785,3))</f>
        <v/>
      </c>
      <c r="J616" s="7" t="n"/>
      <c r="K616" s="7" t="n"/>
      <c r="L616" s="10">
        <f>IF(OR(J616="",K616="",K616=0),"",ROUND(J616/K616,6))</f>
        <v/>
      </c>
      <c r="M616" s="9">
        <f>IF(OR(H616="",J616="",K616="",K616=0),"",ROUND(H616*J616/K616/3.305785,3))</f>
        <v/>
      </c>
      <c r="N616" s="7" t="n"/>
      <c r="O616" s="11" t="n"/>
      <c r="P616" s="11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12">
        <f>IF(A616="","",IF(OR(B616="",C616="",D616="",E616="",G616="",H616="",J616="",K616=""),"必填欄位未完整",""))</f>
        <v/>
      </c>
      <c r="AB616" s="12">
        <f>IF(A616="","",A616&amp;"|"&amp;G616)</f>
        <v/>
      </c>
    </row>
    <row r="617" ht="24" customHeight="1">
      <c r="A617" s="7" t="n"/>
      <c r="B617" s="7" t="n"/>
      <c r="C617" s="7" t="n"/>
      <c r="D617" s="7" t="n"/>
      <c r="E617" s="7" t="n"/>
      <c r="F617" s="7" t="n"/>
      <c r="G617" s="7" t="n"/>
      <c r="H617" s="8" t="n"/>
      <c r="I617" s="9">
        <f>IF(H617="","",ROUND(H617/3.305785,3))</f>
        <v/>
      </c>
      <c r="J617" s="7" t="n"/>
      <c r="K617" s="7" t="n"/>
      <c r="L617" s="10">
        <f>IF(OR(J617="",K617="",K617=0),"",ROUND(J617/K617,6))</f>
        <v/>
      </c>
      <c r="M617" s="9">
        <f>IF(OR(H617="",J617="",K617="",K617=0),"",ROUND(H617*J617/K617/3.305785,3))</f>
        <v/>
      </c>
      <c r="N617" s="7" t="n"/>
      <c r="O617" s="11" t="n"/>
      <c r="P617" s="11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12">
        <f>IF(A617="","",IF(OR(B617="",C617="",D617="",E617="",G617="",H617="",J617="",K617=""),"必填欄位未完整",""))</f>
        <v/>
      </c>
      <c r="AB617" s="12">
        <f>IF(A617="","",A617&amp;"|"&amp;G617)</f>
        <v/>
      </c>
    </row>
    <row r="618" ht="24" customHeight="1">
      <c r="A618" s="7" t="n"/>
      <c r="B618" s="7" t="n"/>
      <c r="C618" s="7" t="n"/>
      <c r="D618" s="7" t="n"/>
      <c r="E618" s="7" t="n"/>
      <c r="F618" s="7" t="n"/>
      <c r="G618" s="7" t="n"/>
      <c r="H618" s="8" t="n"/>
      <c r="I618" s="9">
        <f>IF(H618="","",ROUND(H618/3.305785,3))</f>
        <v/>
      </c>
      <c r="J618" s="7" t="n"/>
      <c r="K618" s="7" t="n"/>
      <c r="L618" s="10">
        <f>IF(OR(J618="",K618="",K618=0),"",ROUND(J618/K618,6))</f>
        <v/>
      </c>
      <c r="M618" s="9">
        <f>IF(OR(H618="",J618="",K618="",K618=0),"",ROUND(H618*J618/K618/3.305785,3))</f>
        <v/>
      </c>
      <c r="N618" s="7" t="n"/>
      <c r="O618" s="11" t="n"/>
      <c r="P618" s="11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12">
        <f>IF(A618="","",IF(OR(B618="",C618="",D618="",E618="",G618="",H618="",J618="",K618=""),"必填欄位未完整",""))</f>
        <v/>
      </c>
      <c r="AB618" s="12">
        <f>IF(A618="","",A618&amp;"|"&amp;G618)</f>
        <v/>
      </c>
    </row>
    <row r="619" ht="24" customHeight="1">
      <c r="A619" s="7" t="n"/>
      <c r="B619" s="7" t="n"/>
      <c r="C619" s="7" t="n"/>
      <c r="D619" s="7" t="n"/>
      <c r="E619" s="7" t="n"/>
      <c r="F619" s="7" t="n"/>
      <c r="G619" s="7" t="n"/>
      <c r="H619" s="8" t="n"/>
      <c r="I619" s="9">
        <f>IF(H619="","",ROUND(H619/3.305785,3))</f>
        <v/>
      </c>
      <c r="J619" s="7" t="n"/>
      <c r="K619" s="7" t="n"/>
      <c r="L619" s="10">
        <f>IF(OR(J619="",K619="",K619=0),"",ROUND(J619/K619,6))</f>
        <v/>
      </c>
      <c r="M619" s="9">
        <f>IF(OR(H619="",J619="",K619="",K619=0),"",ROUND(H619*J619/K619/3.305785,3))</f>
        <v/>
      </c>
      <c r="N619" s="7" t="n"/>
      <c r="O619" s="11" t="n"/>
      <c r="P619" s="11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12">
        <f>IF(A619="","",IF(OR(B619="",C619="",D619="",E619="",G619="",H619="",J619="",K619=""),"必填欄位未完整",""))</f>
        <v/>
      </c>
      <c r="AB619" s="12">
        <f>IF(A619="","",A619&amp;"|"&amp;G619)</f>
        <v/>
      </c>
    </row>
    <row r="620" ht="24" customHeight="1">
      <c r="A620" s="7" t="n"/>
      <c r="B620" s="7" t="n"/>
      <c r="C620" s="7" t="n"/>
      <c r="D620" s="7" t="n"/>
      <c r="E620" s="7" t="n"/>
      <c r="F620" s="7" t="n"/>
      <c r="G620" s="7" t="n"/>
      <c r="H620" s="8" t="n"/>
      <c r="I620" s="9">
        <f>IF(H620="","",ROUND(H620/3.305785,3))</f>
        <v/>
      </c>
      <c r="J620" s="7" t="n"/>
      <c r="K620" s="7" t="n"/>
      <c r="L620" s="10">
        <f>IF(OR(J620="",K620="",K620=0),"",ROUND(J620/K620,6))</f>
        <v/>
      </c>
      <c r="M620" s="9">
        <f>IF(OR(H620="",J620="",K620="",K620=0),"",ROUND(H620*J620/K620/3.305785,3))</f>
        <v/>
      </c>
      <c r="N620" s="7" t="n"/>
      <c r="O620" s="11" t="n"/>
      <c r="P620" s="11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12">
        <f>IF(A620="","",IF(OR(B620="",C620="",D620="",E620="",G620="",H620="",J620="",K620=""),"必填欄位未完整",""))</f>
        <v/>
      </c>
      <c r="AB620" s="12">
        <f>IF(A620="","",A620&amp;"|"&amp;G620)</f>
        <v/>
      </c>
    </row>
    <row r="621" ht="24" customHeight="1">
      <c r="A621" s="7" t="n"/>
      <c r="B621" s="7" t="n"/>
      <c r="C621" s="7" t="n"/>
      <c r="D621" s="7" t="n"/>
      <c r="E621" s="7" t="n"/>
      <c r="F621" s="7" t="n"/>
      <c r="G621" s="7" t="n"/>
      <c r="H621" s="8" t="n"/>
      <c r="I621" s="9">
        <f>IF(H621="","",ROUND(H621/3.305785,3))</f>
        <v/>
      </c>
      <c r="J621" s="7" t="n"/>
      <c r="K621" s="7" t="n"/>
      <c r="L621" s="10">
        <f>IF(OR(J621="",K621="",K621=0),"",ROUND(J621/K621,6))</f>
        <v/>
      </c>
      <c r="M621" s="9">
        <f>IF(OR(H621="",J621="",K621="",K621=0),"",ROUND(H621*J621/K621/3.305785,3))</f>
        <v/>
      </c>
      <c r="N621" s="7" t="n"/>
      <c r="O621" s="11" t="n"/>
      <c r="P621" s="11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12">
        <f>IF(A621="","",IF(OR(B621="",C621="",D621="",E621="",G621="",H621="",J621="",K621=""),"必填欄位未完整",""))</f>
        <v/>
      </c>
      <c r="AB621" s="12">
        <f>IF(A621="","",A621&amp;"|"&amp;G621)</f>
        <v/>
      </c>
    </row>
    <row r="622" ht="24" customHeight="1">
      <c r="A622" s="7" t="n"/>
      <c r="B622" s="7" t="n"/>
      <c r="C622" s="7" t="n"/>
      <c r="D622" s="7" t="n"/>
      <c r="E622" s="7" t="n"/>
      <c r="F622" s="7" t="n"/>
      <c r="G622" s="7" t="n"/>
      <c r="H622" s="8" t="n"/>
      <c r="I622" s="9">
        <f>IF(H622="","",ROUND(H622/3.305785,3))</f>
        <v/>
      </c>
      <c r="J622" s="7" t="n"/>
      <c r="K622" s="7" t="n"/>
      <c r="L622" s="10">
        <f>IF(OR(J622="",K622="",K622=0),"",ROUND(J622/K622,6))</f>
        <v/>
      </c>
      <c r="M622" s="9">
        <f>IF(OR(H622="",J622="",K622="",K622=0),"",ROUND(H622*J622/K622/3.305785,3))</f>
        <v/>
      </c>
      <c r="N622" s="7" t="n"/>
      <c r="O622" s="11" t="n"/>
      <c r="P622" s="11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12">
        <f>IF(A622="","",IF(OR(B622="",C622="",D622="",E622="",G622="",H622="",J622="",K622=""),"必填欄位未完整",""))</f>
        <v/>
      </c>
      <c r="AB622" s="12">
        <f>IF(A622="","",A622&amp;"|"&amp;G622)</f>
        <v/>
      </c>
    </row>
    <row r="623" ht="24" customHeight="1">
      <c r="A623" s="7" t="n"/>
      <c r="B623" s="7" t="n"/>
      <c r="C623" s="7" t="n"/>
      <c r="D623" s="7" t="n"/>
      <c r="E623" s="7" t="n"/>
      <c r="F623" s="7" t="n"/>
      <c r="G623" s="7" t="n"/>
      <c r="H623" s="8" t="n"/>
      <c r="I623" s="9">
        <f>IF(H623="","",ROUND(H623/3.305785,3))</f>
        <v/>
      </c>
      <c r="J623" s="7" t="n"/>
      <c r="K623" s="7" t="n"/>
      <c r="L623" s="10">
        <f>IF(OR(J623="",K623="",K623=0),"",ROUND(J623/K623,6))</f>
        <v/>
      </c>
      <c r="M623" s="9">
        <f>IF(OR(H623="",J623="",K623="",K623=0),"",ROUND(H623*J623/K623/3.305785,3))</f>
        <v/>
      </c>
      <c r="N623" s="7" t="n"/>
      <c r="O623" s="11" t="n"/>
      <c r="P623" s="11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12">
        <f>IF(A623="","",IF(OR(B623="",C623="",D623="",E623="",G623="",H623="",J623="",K623=""),"必填欄位未完整",""))</f>
        <v/>
      </c>
      <c r="AB623" s="12">
        <f>IF(A623="","",A623&amp;"|"&amp;G623)</f>
        <v/>
      </c>
    </row>
    <row r="624" ht="24" customHeight="1">
      <c r="A624" s="7" t="n"/>
      <c r="B624" s="7" t="n"/>
      <c r="C624" s="7" t="n"/>
      <c r="D624" s="7" t="n"/>
      <c r="E624" s="7" t="n"/>
      <c r="F624" s="7" t="n"/>
      <c r="G624" s="7" t="n"/>
      <c r="H624" s="8" t="n"/>
      <c r="I624" s="9">
        <f>IF(H624="","",ROUND(H624/3.305785,3))</f>
        <v/>
      </c>
      <c r="J624" s="7" t="n"/>
      <c r="K624" s="7" t="n"/>
      <c r="L624" s="10">
        <f>IF(OR(J624="",K624="",K624=0),"",ROUND(J624/K624,6))</f>
        <v/>
      </c>
      <c r="M624" s="9">
        <f>IF(OR(H624="",J624="",K624="",K624=0),"",ROUND(H624*J624/K624/3.305785,3))</f>
        <v/>
      </c>
      <c r="N624" s="7" t="n"/>
      <c r="O624" s="11" t="n"/>
      <c r="P624" s="11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12">
        <f>IF(A624="","",IF(OR(B624="",C624="",D624="",E624="",G624="",H624="",J624="",K624=""),"必填欄位未完整",""))</f>
        <v/>
      </c>
      <c r="AB624" s="12">
        <f>IF(A624="","",A624&amp;"|"&amp;G624)</f>
        <v/>
      </c>
    </row>
    <row r="625" ht="24" customHeight="1">
      <c r="A625" s="7" t="n"/>
      <c r="B625" s="7" t="n"/>
      <c r="C625" s="7" t="n"/>
      <c r="D625" s="7" t="n"/>
      <c r="E625" s="7" t="n"/>
      <c r="F625" s="7" t="n"/>
      <c r="G625" s="7" t="n"/>
      <c r="H625" s="8" t="n"/>
      <c r="I625" s="9">
        <f>IF(H625="","",ROUND(H625/3.305785,3))</f>
        <v/>
      </c>
      <c r="J625" s="7" t="n"/>
      <c r="K625" s="7" t="n"/>
      <c r="L625" s="10">
        <f>IF(OR(J625="",K625="",K625=0),"",ROUND(J625/K625,6))</f>
        <v/>
      </c>
      <c r="M625" s="9">
        <f>IF(OR(H625="",J625="",K625="",K625=0),"",ROUND(H625*J625/K625/3.305785,3))</f>
        <v/>
      </c>
      <c r="N625" s="7" t="n"/>
      <c r="O625" s="11" t="n"/>
      <c r="P625" s="11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12">
        <f>IF(A625="","",IF(OR(B625="",C625="",D625="",E625="",G625="",H625="",J625="",K625=""),"必填欄位未完整",""))</f>
        <v/>
      </c>
      <c r="AB625" s="12">
        <f>IF(A625="","",A625&amp;"|"&amp;G625)</f>
        <v/>
      </c>
    </row>
    <row r="626" ht="24" customHeight="1">
      <c r="A626" s="7" t="n"/>
      <c r="B626" s="7" t="n"/>
      <c r="C626" s="7" t="n"/>
      <c r="D626" s="7" t="n"/>
      <c r="E626" s="7" t="n"/>
      <c r="F626" s="7" t="n"/>
      <c r="G626" s="7" t="n"/>
      <c r="H626" s="8" t="n"/>
      <c r="I626" s="9">
        <f>IF(H626="","",ROUND(H626/3.305785,3))</f>
        <v/>
      </c>
      <c r="J626" s="7" t="n"/>
      <c r="K626" s="7" t="n"/>
      <c r="L626" s="10">
        <f>IF(OR(J626="",K626="",K626=0),"",ROUND(J626/K626,6))</f>
        <v/>
      </c>
      <c r="M626" s="9">
        <f>IF(OR(H626="",J626="",K626="",K626=0),"",ROUND(H626*J626/K626/3.305785,3))</f>
        <v/>
      </c>
      <c r="N626" s="7" t="n"/>
      <c r="O626" s="11" t="n"/>
      <c r="P626" s="11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12">
        <f>IF(A626="","",IF(OR(B626="",C626="",D626="",E626="",G626="",H626="",J626="",K626=""),"必填欄位未完整",""))</f>
        <v/>
      </c>
      <c r="AB626" s="12">
        <f>IF(A626="","",A626&amp;"|"&amp;G626)</f>
        <v/>
      </c>
    </row>
    <row r="627" ht="24" customHeight="1">
      <c r="A627" s="7" t="n"/>
      <c r="B627" s="7" t="n"/>
      <c r="C627" s="7" t="n"/>
      <c r="D627" s="7" t="n"/>
      <c r="E627" s="7" t="n"/>
      <c r="F627" s="7" t="n"/>
      <c r="G627" s="7" t="n"/>
      <c r="H627" s="8" t="n"/>
      <c r="I627" s="9">
        <f>IF(H627="","",ROUND(H627/3.305785,3))</f>
        <v/>
      </c>
      <c r="J627" s="7" t="n"/>
      <c r="K627" s="7" t="n"/>
      <c r="L627" s="10">
        <f>IF(OR(J627="",K627="",K627=0),"",ROUND(J627/K627,6))</f>
        <v/>
      </c>
      <c r="M627" s="9">
        <f>IF(OR(H627="",J627="",K627="",K627=0),"",ROUND(H627*J627/K627/3.305785,3))</f>
        <v/>
      </c>
      <c r="N627" s="7" t="n"/>
      <c r="O627" s="11" t="n"/>
      <c r="P627" s="11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12">
        <f>IF(A627="","",IF(OR(B627="",C627="",D627="",E627="",G627="",H627="",J627="",K627=""),"必填欄位未完整",""))</f>
        <v/>
      </c>
      <c r="AB627" s="12">
        <f>IF(A627="","",A627&amp;"|"&amp;G627)</f>
        <v/>
      </c>
    </row>
    <row r="628" ht="24" customHeight="1">
      <c r="A628" s="7" t="n"/>
      <c r="B628" s="7" t="n"/>
      <c r="C628" s="7" t="n"/>
      <c r="D628" s="7" t="n"/>
      <c r="E628" s="7" t="n"/>
      <c r="F628" s="7" t="n"/>
      <c r="G628" s="7" t="n"/>
      <c r="H628" s="8" t="n"/>
      <c r="I628" s="9">
        <f>IF(H628="","",ROUND(H628/3.305785,3))</f>
        <v/>
      </c>
      <c r="J628" s="7" t="n"/>
      <c r="K628" s="7" t="n"/>
      <c r="L628" s="10">
        <f>IF(OR(J628="",K628="",K628=0),"",ROUND(J628/K628,6))</f>
        <v/>
      </c>
      <c r="M628" s="9">
        <f>IF(OR(H628="",J628="",K628="",K628=0),"",ROUND(H628*J628/K628/3.305785,3))</f>
        <v/>
      </c>
      <c r="N628" s="7" t="n"/>
      <c r="O628" s="11" t="n"/>
      <c r="P628" s="11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12">
        <f>IF(A628="","",IF(OR(B628="",C628="",D628="",E628="",G628="",H628="",J628="",K628=""),"必填欄位未完整",""))</f>
        <v/>
      </c>
      <c r="AB628" s="12">
        <f>IF(A628="","",A628&amp;"|"&amp;G628)</f>
        <v/>
      </c>
    </row>
    <row r="629" ht="24" customHeight="1">
      <c r="A629" s="7" t="n"/>
      <c r="B629" s="7" t="n"/>
      <c r="C629" s="7" t="n"/>
      <c r="D629" s="7" t="n"/>
      <c r="E629" s="7" t="n"/>
      <c r="F629" s="7" t="n"/>
      <c r="G629" s="7" t="n"/>
      <c r="H629" s="8" t="n"/>
      <c r="I629" s="9">
        <f>IF(H629="","",ROUND(H629/3.305785,3))</f>
        <v/>
      </c>
      <c r="J629" s="7" t="n"/>
      <c r="K629" s="7" t="n"/>
      <c r="L629" s="10">
        <f>IF(OR(J629="",K629="",K629=0),"",ROUND(J629/K629,6))</f>
        <v/>
      </c>
      <c r="M629" s="9">
        <f>IF(OR(H629="",J629="",K629="",K629=0),"",ROUND(H629*J629/K629/3.305785,3))</f>
        <v/>
      </c>
      <c r="N629" s="7" t="n"/>
      <c r="O629" s="11" t="n"/>
      <c r="P629" s="11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12">
        <f>IF(A629="","",IF(OR(B629="",C629="",D629="",E629="",G629="",H629="",J629="",K629=""),"必填欄位未完整",""))</f>
        <v/>
      </c>
      <c r="AB629" s="12">
        <f>IF(A629="","",A629&amp;"|"&amp;G629)</f>
        <v/>
      </c>
    </row>
    <row r="630" ht="24" customHeight="1">
      <c r="A630" s="7" t="n"/>
      <c r="B630" s="7" t="n"/>
      <c r="C630" s="7" t="n"/>
      <c r="D630" s="7" t="n"/>
      <c r="E630" s="7" t="n"/>
      <c r="F630" s="7" t="n"/>
      <c r="G630" s="7" t="n"/>
      <c r="H630" s="8" t="n"/>
      <c r="I630" s="9">
        <f>IF(H630="","",ROUND(H630/3.305785,3))</f>
        <v/>
      </c>
      <c r="J630" s="7" t="n"/>
      <c r="K630" s="7" t="n"/>
      <c r="L630" s="10">
        <f>IF(OR(J630="",K630="",K630=0),"",ROUND(J630/K630,6))</f>
        <v/>
      </c>
      <c r="M630" s="9">
        <f>IF(OR(H630="",J630="",K630="",K630=0),"",ROUND(H630*J630/K630/3.305785,3))</f>
        <v/>
      </c>
      <c r="N630" s="7" t="n"/>
      <c r="O630" s="11" t="n"/>
      <c r="P630" s="11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12">
        <f>IF(A630="","",IF(OR(B630="",C630="",D630="",E630="",G630="",H630="",J630="",K630=""),"必填欄位未完整",""))</f>
        <v/>
      </c>
      <c r="AB630" s="12">
        <f>IF(A630="","",A630&amp;"|"&amp;G630)</f>
        <v/>
      </c>
    </row>
    <row r="631" ht="24" customHeight="1">
      <c r="A631" s="7" t="n"/>
      <c r="B631" s="7" t="n"/>
      <c r="C631" s="7" t="n"/>
      <c r="D631" s="7" t="n"/>
      <c r="E631" s="7" t="n"/>
      <c r="F631" s="7" t="n"/>
      <c r="G631" s="7" t="n"/>
      <c r="H631" s="8" t="n"/>
      <c r="I631" s="9">
        <f>IF(H631="","",ROUND(H631/3.305785,3))</f>
        <v/>
      </c>
      <c r="J631" s="7" t="n"/>
      <c r="K631" s="7" t="n"/>
      <c r="L631" s="10">
        <f>IF(OR(J631="",K631="",K631=0),"",ROUND(J631/K631,6))</f>
        <v/>
      </c>
      <c r="M631" s="9">
        <f>IF(OR(H631="",J631="",K631="",K631=0),"",ROUND(H631*J631/K631/3.305785,3))</f>
        <v/>
      </c>
      <c r="N631" s="7" t="n"/>
      <c r="O631" s="11" t="n"/>
      <c r="P631" s="11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12">
        <f>IF(A631="","",IF(OR(B631="",C631="",D631="",E631="",G631="",H631="",J631="",K631=""),"必填欄位未完整",""))</f>
        <v/>
      </c>
      <c r="AB631" s="12">
        <f>IF(A631="","",A631&amp;"|"&amp;G631)</f>
        <v/>
      </c>
    </row>
    <row r="632" ht="24" customHeight="1">
      <c r="A632" s="7" t="n"/>
      <c r="B632" s="7" t="n"/>
      <c r="C632" s="7" t="n"/>
      <c r="D632" s="7" t="n"/>
      <c r="E632" s="7" t="n"/>
      <c r="F632" s="7" t="n"/>
      <c r="G632" s="7" t="n"/>
      <c r="H632" s="8" t="n"/>
      <c r="I632" s="9">
        <f>IF(H632="","",ROUND(H632/3.305785,3))</f>
        <v/>
      </c>
      <c r="J632" s="7" t="n"/>
      <c r="K632" s="7" t="n"/>
      <c r="L632" s="10">
        <f>IF(OR(J632="",K632="",K632=0),"",ROUND(J632/K632,6))</f>
        <v/>
      </c>
      <c r="M632" s="9">
        <f>IF(OR(H632="",J632="",K632="",K632=0),"",ROUND(H632*J632/K632/3.305785,3))</f>
        <v/>
      </c>
      <c r="N632" s="7" t="n"/>
      <c r="O632" s="11" t="n"/>
      <c r="P632" s="11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12">
        <f>IF(A632="","",IF(OR(B632="",C632="",D632="",E632="",G632="",H632="",J632="",K632=""),"必填欄位未完整",""))</f>
        <v/>
      </c>
      <c r="AB632" s="12">
        <f>IF(A632="","",A632&amp;"|"&amp;G632)</f>
        <v/>
      </c>
    </row>
    <row r="633" ht="24" customHeight="1">
      <c r="A633" s="7" t="n"/>
      <c r="B633" s="7" t="n"/>
      <c r="C633" s="7" t="n"/>
      <c r="D633" s="7" t="n"/>
      <c r="E633" s="7" t="n"/>
      <c r="F633" s="7" t="n"/>
      <c r="G633" s="7" t="n"/>
      <c r="H633" s="8" t="n"/>
      <c r="I633" s="9">
        <f>IF(H633="","",ROUND(H633/3.305785,3))</f>
        <v/>
      </c>
      <c r="J633" s="7" t="n"/>
      <c r="K633" s="7" t="n"/>
      <c r="L633" s="10">
        <f>IF(OR(J633="",K633="",K633=0),"",ROUND(J633/K633,6))</f>
        <v/>
      </c>
      <c r="M633" s="9">
        <f>IF(OR(H633="",J633="",K633="",K633=0),"",ROUND(H633*J633/K633/3.305785,3))</f>
        <v/>
      </c>
      <c r="N633" s="7" t="n"/>
      <c r="O633" s="11" t="n"/>
      <c r="P633" s="11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12">
        <f>IF(A633="","",IF(OR(B633="",C633="",D633="",E633="",G633="",H633="",J633="",K633=""),"必填欄位未完整",""))</f>
        <v/>
      </c>
      <c r="AB633" s="12">
        <f>IF(A633="","",A633&amp;"|"&amp;G633)</f>
        <v/>
      </c>
    </row>
    <row r="634" ht="24" customHeight="1">
      <c r="A634" s="7" t="n"/>
      <c r="B634" s="7" t="n"/>
      <c r="C634" s="7" t="n"/>
      <c r="D634" s="7" t="n"/>
      <c r="E634" s="7" t="n"/>
      <c r="F634" s="7" t="n"/>
      <c r="G634" s="7" t="n"/>
      <c r="H634" s="8" t="n"/>
      <c r="I634" s="9">
        <f>IF(H634="","",ROUND(H634/3.305785,3))</f>
        <v/>
      </c>
      <c r="J634" s="7" t="n"/>
      <c r="K634" s="7" t="n"/>
      <c r="L634" s="10">
        <f>IF(OR(J634="",K634="",K634=0),"",ROUND(J634/K634,6))</f>
        <v/>
      </c>
      <c r="M634" s="9">
        <f>IF(OR(H634="",J634="",K634="",K634=0),"",ROUND(H634*J634/K634/3.305785,3))</f>
        <v/>
      </c>
      <c r="N634" s="7" t="n"/>
      <c r="O634" s="11" t="n"/>
      <c r="P634" s="11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12">
        <f>IF(A634="","",IF(OR(B634="",C634="",D634="",E634="",G634="",H634="",J634="",K634=""),"必填欄位未完整",""))</f>
        <v/>
      </c>
      <c r="AB634" s="12">
        <f>IF(A634="","",A634&amp;"|"&amp;G634)</f>
        <v/>
      </c>
    </row>
    <row r="635" ht="24" customHeight="1">
      <c r="A635" s="7" t="n"/>
      <c r="B635" s="7" t="n"/>
      <c r="C635" s="7" t="n"/>
      <c r="D635" s="7" t="n"/>
      <c r="E635" s="7" t="n"/>
      <c r="F635" s="7" t="n"/>
      <c r="G635" s="7" t="n"/>
      <c r="H635" s="8" t="n"/>
      <c r="I635" s="9">
        <f>IF(H635="","",ROUND(H635/3.305785,3))</f>
        <v/>
      </c>
      <c r="J635" s="7" t="n"/>
      <c r="K635" s="7" t="n"/>
      <c r="L635" s="10">
        <f>IF(OR(J635="",K635="",K635=0),"",ROUND(J635/K635,6))</f>
        <v/>
      </c>
      <c r="M635" s="9">
        <f>IF(OR(H635="",J635="",K635="",K635=0),"",ROUND(H635*J635/K635/3.305785,3))</f>
        <v/>
      </c>
      <c r="N635" s="7" t="n"/>
      <c r="O635" s="11" t="n"/>
      <c r="P635" s="11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12">
        <f>IF(A635="","",IF(OR(B635="",C635="",D635="",E635="",G635="",H635="",J635="",K635=""),"必填欄位未完整",""))</f>
        <v/>
      </c>
      <c r="AB635" s="12">
        <f>IF(A635="","",A635&amp;"|"&amp;G635)</f>
        <v/>
      </c>
    </row>
    <row r="636" ht="24" customHeight="1">
      <c r="A636" s="7" t="n"/>
      <c r="B636" s="7" t="n"/>
      <c r="C636" s="7" t="n"/>
      <c r="D636" s="7" t="n"/>
      <c r="E636" s="7" t="n"/>
      <c r="F636" s="7" t="n"/>
      <c r="G636" s="7" t="n"/>
      <c r="H636" s="8" t="n"/>
      <c r="I636" s="9">
        <f>IF(H636="","",ROUND(H636/3.305785,3))</f>
        <v/>
      </c>
      <c r="J636" s="7" t="n"/>
      <c r="K636" s="7" t="n"/>
      <c r="L636" s="10">
        <f>IF(OR(J636="",K636="",K636=0),"",ROUND(J636/K636,6))</f>
        <v/>
      </c>
      <c r="M636" s="9">
        <f>IF(OR(H636="",J636="",K636="",K636=0),"",ROUND(H636*J636/K636/3.305785,3))</f>
        <v/>
      </c>
      <c r="N636" s="7" t="n"/>
      <c r="O636" s="11" t="n"/>
      <c r="P636" s="11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12">
        <f>IF(A636="","",IF(OR(B636="",C636="",D636="",E636="",G636="",H636="",J636="",K636=""),"必填欄位未完整",""))</f>
        <v/>
      </c>
      <c r="AB636" s="12">
        <f>IF(A636="","",A636&amp;"|"&amp;G636)</f>
        <v/>
      </c>
    </row>
    <row r="637" ht="24" customHeight="1">
      <c r="A637" s="7" t="n"/>
      <c r="B637" s="7" t="n"/>
      <c r="C637" s="7" t="n"/>
      <c r="D637" s="7" t="n"/>
      <c r="E637" s="7" t="n"/>
      <c r="F637" s="7" t="n"/>
      <c r="G637" s="7" t="n"/>
      <c r="H637" s="8" t="n"/>
      <c r="I637" s="9">
        <f>IF(H637="","",ROUND(H637/3.305785,3))</f>
        <v/>
      </c>
      <c r="J637" s="7" t="n"/>
      <c r="K637" s="7" t="n"/>
      <c r="L637" s="10">
        <f>IF(OR(J637="",K637="",K637=0),"",ROUND(J637/K637,6))</f>
        <v/>
      </c>
      <c r="M637" s="9">
        <f>IF(OR(H637="",J637="",K637="",K637=0),"",ROUND(H637*J637/K637/3.305785,3))</f>
        <v/>
      </c>
      <c r="N637" s="7" t="n"/>
      <c r="O637" s="11" t="n"/>
      <c r="P637" s="11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12">
        <f>IF(A637="","",IF(OR(B637="",C637="",D637="",E637="",G637="",H637="",J637="",K637=""),"必填欄位未完整",""))</f>
        <v/>
      </c>
      <c r="AB637" s="12">
        <f>IF(A637="","",A637&amp;"|"&amp;G637)</f>
        <v/>
      </c>
    </row>
    <row r="638" ht="24" customHeight="1">
      <c r="A638" s="7" t="n"/>
      <c r="B638" s="7" t="n"/>
      <c r="C638" s="7" t="n"/>
      <c r="D638" s="7" t="n"/>
      <c r="E638" s="7" t="n"/>
      <c r="F638" s="7" t="n"/>
      <c r="G638" s="7" t="n"/>
      <c r="H638" s="8" t="n"/>
      <c r="I638" s="9">
        <f>IF(H638="","",ROUND(H638/3.305785,3))</f>
        <v/>
      </c>
      <c r="J638" s="7" t="n"/>
      <c r="K638" s="7" t="n"/>
      <c r="L638" s="10">
        <f>IF(OR(J638="",K638="",K638=0),"",ROUND(J638/K638,6))</f>
        <v/>
      </c>
      <c r="M638" s="9">
        <f>IF(OR(H638="",J638="",K638="",K638=0),"",ROUND(H638*J638/K638/3.305785,3))</f>
        <v/>
      </c>
      <c r="N638" s="7" t="n"/>
      <c r="O638" s="11" t="n"/>
      <c r="P638" s="11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12">
        <f>IF(A638="","",IF(OR(B638="",C638="",D638="",E638="",G638="",H638="",J638="",K638=""),"必填欄位未完整",""))</f>
        <v/>
      </c>
      <c r="AB638" s="12">
        <f>IF(A638="","",A638&amp;"|"&amp;G638)</f>
        <v/>
      </c>
    </row>
    <row r="639" ht="24" customHeight="1">
      <c r="A639" s="7" t="n"/>
      <c r="B639" s="7" t="n"/>
      <c r="C639" s="7" t="n"/>
      <c r="D639" s="7" t="n"/>
      <c r="E639" s="7" t="n"/>
      <c r="F639" s="7" t="n"/>
      <c r="G639" s="7" t="n"/>
      <c r="H639" s="8" t="n"/>
      <c r="I639" s="9">
        <f>IF(H639="","",ROUND(H639/3.305785,3))</f>
        <v/>
      </c>
      <c r="J639" s="7" t="n"/>
      <c r="K639" s="7" t="n"/>
      <c r="L639" s="10">
        <f>IF(OR(J639="",K639="",K639=0),"",ROUND(J639/K639,6))</f>
        <v/>
      </c>
      <c r="M639" s="9">
        <f>IF(OR(H639="",J639="",K639="",K639=0),"",ROUND(H639*J639/K639/3.305785,3))</f>
        <v/>
      </c>
      <c r="N639" s="7" t="n"/>
      <c r="O639" s="11" t="n"/>
      <c r="P639" s="11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12">
        <f>IF(A639="","",IF(OR(B639="",C639="",D639="",E639="",G639="",H639="",J639="",K639=""),"必填欄位未完整",""))</f>
        <v/>
      </c>
      <c r="AB639" s="12">
        <f>IF(A639="","",A639&amp;"|"&amp;G639)</f>
        <v/>
      </c>
    </row>
    <row r="640" ht="24" customHeight="1">
      <c r="A640" s="7" t="n"/>
      <c r="B640" s="7" t="n"/>
      <c r="C640" s="7" t="n"/>
      <c r="D640" s="7" t="n"/>
      <c r="E640" s="7" t="n"/>
      <c r="F640" s="7" t="n"/>
      <c r="G640" s="7" t="n"/>
      <c r="H640" s="8" t="n"/>
      <c r="I640" s="9">
        <f>IF(H640="","",ROUND(H640/3.305785,3))</f>
        <v/>
      </c>
      <c r="J640" s="7" t="n"/>
      <c r="K640" s="7" t="n"/>
      <c r="L640" s="10">
        <f>IF(OR(J640="",K640="",K640=0),"",ROUND(J640/K640,6))</f>
        <v/>
      </c>
      <c r="M640" s="9">
        <f>IF(OR(H640="",J640="",K640="",K640=0),"",ROUND(H640*J640/K640/3.305785,3))</f>
        <v/>
      </c>
      <c r="N640" s="7" t="n"/>
      <c r="O640" s="11" t="n"/>
      <c r="P640" s="11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12">
        <f>IF(A640="","",IF(OR(B640="",C640="",D640="",E640="",G640="",H640="",J640="",K640=""),"必填欄位未完整",""))</f>
        <v/>
      </c>
      <c r="AB640" s="12">
        <f>IF(A640="","",A640&amp;"|"&amp;G640)</f>
        <v/>
      </c>
    </row>
    <row r="641" ht="24" customHeight="1">
      <c r="A641" s="7" t="n"/>
      <c r="B641" s="7" t="n"/>
      <c r="C641" s="7" t="n"/>
      <c r="D641" s="7" t="n"/>
      <c r="E641" s="7" t="n"/>
      <c r="F641" s="7" t="n"/>
      <c r="G641" s="7" t="n"/>
      <c r="H641" s="8" t="n"/>
      <c r="I641" s="9">
        <f>IF(H641="","",ROUND(H641/3.305785,3))</f>
        <v/>
      </c>
      <c r="J641" s="7" t="n"/>
      <c r="K641" s="7" t="n"/>
      <c r="L641" s="10">
        <f>IF(OR(J641="",K641="",K641=0),"",ROUND(J641/K641,6))</f>
        <v/>
      </c>
      <c r="M641" s="9">
        <f>IF(OR(H641="",J641="",K641="",K641=0),"",ROUND(H641*J641/K641/3.305785,3))</f>
        <v/>
      </c>
      <c r="N641" s="7" t="n"/>
      <c r="O641" s="11" t="n"/>
      <c r="P641" s="11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12">
        <f>IF(A641="","",IF(OR(B641="",C641="",D641="",E641="",G641="",H641="",J641="",K641=""),"必填欄位未完整",""))</f>
        <v/>
      </c>
      <c r="AB641" s="12">
        <f>IF(A641="","",A641&amp;"|"&amp;G641)</f>
        <v/>
      </c>
    </row>
    <row r="642" ht="24" customHeight="1">
      <c r="A642" s="7" t="n"/>
      <c r="B642" s="7" t="n"/>
      <c r="C642" s="7" t="n"/>
      <c r="D642" s="7" t="n"/>
      <c r="E642" s="7" t="n"/>
      <c r="F642" s="7" t="n"/>
      <c r="G642" s="7" t="n"/>
      <c r="H642" s="8" t="n"/>
      <c r="I642" s="9">
        <f>IF(H642="","",ROUND(H642/3.305785,3))</f>
        <v/>
      </c>
      <c r="J642" s="7" t="n"/>
      <c r="K642" s="7" t="n"/>
      <c r="L642" s="10">
        <f>IF(OR(J642="",K642="",K642=0),"",ROUND(J642/K642,6))</f>
        <v/>
      </c>
      <c r="M642" s="9">
        <f>IF(OR(H642="",J642="",K642="",K642=0),"",ROUND(H642*J642/K642/3.305785,3))</f>
        <v/>
      </c>
      <c r="N642" s="7" t="n"/>
      <c r="O642" s="11" t="n"/>
      <c r="P642" s="11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12">
        <f>IF(A642="","",IF(OR(B642="",C642="",D642="",E642="",G642="",H642="",J642="",K642=""),"必填欄位未完整",""))</f>
        <v/>
      </c>
      <c r="AB642" s="12">
        <f>IF(A642="","",A642&amp;"|"&amp;G642)</f>
        <v/>
      </c>
    </row>
    <row r="643" ht="24" customHeight="1">
      <c r="A643" s="7" t="n"/>
      <c r="B643" s="7" t="n"/>
      <c r="C643" s="7" t="n"/>
      <c r="D643" s="7" t="n"/>
      <c r="E643" s="7" t="n"/>
      <c r="F643" s="7" t="n"/>
      <c r="G643" s="7" t="n"/>
      <c r="H643" s="8" t="n"/>
      <c r="I643" s="9">
        <f>IF(H643="","",ROUND(H643/3.305785,3))</f>
        <v/>
      </c>
      <c r="J643" s="7" t="n"/>
      <c r="K643" s="7" t="n"/>
      <c r="L643" s="10">
        <f>IF(OR(J643="",K643="",K643=0),"",ROUND(J643/K643,6))</f>
        <v/>
      </c>
      <c r="M643" s="9">
        <f>IF(OR(H643="",J643="",K643="",K643=0),"",ROUND(H643*J643/K643/3.305785,3))</f>
        <v/>
      </c>
      <c r="N643" s="7" t="n"/>
      <c r="O643" s="11" t="n"/>
      <c r="P643" s="11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12">
        <f>IF(A643="","",IF(OR(B643="",C643="",D643="",E643="",G643="",H643="",J643="",K643=""),"必填欄位未完整",""))</f>
        <v/>
      </c>
      <c r="AB643" s="12">
        <f>IF(A643="","",A643&amp;"|"&amp;G643)</f>
        <v/>
      </c>
    </row>
    <row r="644" ht="24" customHeight="1">
      <c r="A644" s="7" t="n"/>
      <c r="B644" s="7" t="n"/>
      <c r="C644" s="7" t="n"/>
      <c r="D644" s="7" t="n"/>
      <c r="E644" s="7" t="n"/>
      <c r="F644" s="7" t="n"/>
      <c r="G644" s="7" t="n"/>
      <c r="H644" s="8" t="n"/>
      <c r="I644" s="9">
        <f>IF(H644="","",ROUND(H644/3.305785,3))</f>
        <v/>
      </c>
      <c r="J644" s="7" t="n"/>
      <c r="K644" s="7" t="n"/>
      <c r="L644" s="10">
        <f>IF(OR(J644="",K644="",K644=0),"",ROUND(J644/K644,6))</f>
        <v/>
      </c>
      <c r="M644" s="9">
        <f>IF(OR(H644="",J644="",K644="",K644=0),"",ROUND(H644*J644/K644/3.305785,3))</f>
        <v/>
      </c>
      <c r="N644" s="7" t="n"/>
      <c r="O644" s="11" t="n"/>
      <c r="P644" s="11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12">
        <f>IF(A644="","",IF(OR(B644="",C644="",D644="",E644="",G644="",H644="",J644="",K644=""),"必填欄位未完整",""))</f>
        <v/>
      </c>
      <c r="AB644" s="12">
        <f>IF(A644="","",A644&amp;"|"&amp;G644)</f>
        <v/>
      </c>
    </row>
    <row r="645" ht="24" customHeight="1">
      <c r="A645" s="7" t="n"/>
      <c r="B645" s="7" t="n"/>
      <c r="C645" s="7" t="n"/>
      <c r="D645" s="7" t="n"/>
      <c r="E645" s="7" t="n"/>
      <c r="F645" s="7" t="n"/>
      <c r="G645" s="7" t="n"/>
      <c r="H645" s="8" t="n"/>
      <c r="I645" s="9">
        <f>IF(H645="","",ROUND(H645/3.305785,3))</f>
        <v/>
      </c>
      <c r="J645" s="7" t="n"/>
      <c r="K645" s="7" t="n"/>
      <c r="L645" s="10">
        <f>IF(OR(J645="",K645="",K645=0),"",ROUND(J645/K645,6))</f>
        <v/>
      </c>
      <c r="M645" s="9">
        <f>IF(OR(H645="",J645="",K645="",K645=0),"",ROUND(H645*J645/K645/3.305785,3))</f>
        <v/>
      </c>
      <c r="N645" s="7" t="n"/>
      <c r="O645" s="11" t="n"/>
      <c r="P645" s="11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12">
        <f>IF(A645="","",IF(OR(B645="",C645="",D645="",E645="",G645="",H645="",J645="",K645=""),"必填欄位未完整",""))</f>
        <v/>
      </c>
      <c r="AB645" s="12">
        <f>IF(A645="","",A645&amp;"|"&amp;G645)</f>
        <v/>
      </c>
    </row>
    <row r="646" ht="24" customHeight="1">
      <c r="A646" s="7" t="n"/>
      <c r="B646" s="7" t="n"/>
      <c r="C646" s="7" t="n"/>
      <c r="D646" s="7" t="n"/>
      <c r="E646" s="7" t="n"/>
      <c r="F646" s="7" t="n"/>
      <c r="G646" s="7" t="n"/>
      <c r="H646" s="8" t="n"/>
      <c r="I646" s="9">
        <f>IF(H646="","",ROUND(H646/3.305785,3))</f>
        <v/>
      </c>
      <c r="J646" s="7" t="n"/>
      <c r="K646" s="7" t="n"/>
      <c r="L646" s="10">
        <f>IF(OR(J646="",K646="",K646=0),"",ROUND(J646/K646,6))</f>
        <v/>
      </c>
      <c r="M646" s="9">
        <f>IF(OR(H646="",J646="",K646="",K646=0),"",ROUND(H646*J646/K646/3.305785,3))</f>
        <v/>
      </c>
      <c r="N646" s="7" t="n"/>
      <c r="O646" s="11" t="n"/>
      <c r="P646" s="11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12">
        <f>IF(A646="","",IF(OR(B646="",C646="",D646="",E646="",G646="",H646="",J646="",K646=""),"必填欄位未完整",""))</f>
        <v/>
      </c>
      <c r="AB646" s="12">
        <f>IF(A646="","",A646&amp;"|"&amp;G646)</f>
        <v/>
      </c>
    </row>
    <row r="647" ht="24" customHeight="1">
      <c r="A647" s="7" t="n"/>
      <c r="B647" s="7" t="n"/>
      <c r="C647" s="7" t="n"/>
      <c r="D647" s="7" t="n"/>
      <c r="E647" s="7" t="n"/>
      <c r="F647" s="7" t="n"/>
      <c r="G647" s="7" t="n"/>
      <c r="H647" s="8" t="n"/>
      <c r="I647" s="9">
        <f>IF(H647="","",ROUND(H647/3.305785,3))</f>
        <v/>
      </c>
      <c r="J647" s="7" t="n"/>
      <c r="K647" s="7" t="n"/>
      <c r="L647" s="10">
        <f>IF(OR(J647="",K647="",K647=0),"",ROUND(J647/K647,6))</f>
        <v/>
      </c>
      <c r="M647" s="9">
        <f>IF(OR(H647="",J647="",K647="",K647=0),"",ROUND(H647*J647/K647/3.305785,3))</f>
        <v/>
      </c>
      <c r="N647" s="7" t="n"/>
      <c r="O647" s="11" t="n"/>
      <c r="P647" s="11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12">
        <f>IF(A647="","",IF(OR(B647="",C647="",D647="",E647="",G647="",H647="",J647="",K647=""),"必填欄位未完整",""))</f>
        <v/>
      </c>
      <c r="AB647" s="12">
        <f>IF(A647="","",A647&amp;"|"&amp;G647)</f>
        <v/>
      </c>
    </row>
    <row r="648" ht="24" customHeight="1">
      <c r="A648" s="7" t="n"/>
      <c r="B648" s="7" t="n"/>
      <c r="C648" s="7" t="n"/>
      <c r="D648" s="7" t="n"/>
      <c r="E648" s="7" t="n"/>
      <c r="F648" s="7" t="n"/>
      <c r="G648" s="7" t="n"/>
      <c r="H648" s="8" t="n"/>
      <c r="I648" s="9">
        <f>IF(H648="","",ROUND(H648/3.305785,3))</f>
        <v/>
      </c>
      <c r="J648" s="7" t="n"/>
      <c r="K648" s="7" t="n"/>
      <c r="L648" s="10">
        <f>IF(OR(J648="",K648="",K648=0),"",ROUND(J648/K648,6))</f>
        <v/>
      </c>
      <c r="M648" s="9">
        <f>IF(OR(H648="",J648="",K648="",K648=0),"",ROUND(H648*J648/K648/3.305785,3))</f>
        <v/>
      </c>
      <c r="N648" s="7" t="n"/>
      <c r="O648" s="11" t="n"/>
      <c r="P648" s="11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12">
        <f>IF(A648="","",IF(OR(B648="",C648="",D648="",E648="",G648="",H648="",J648="",K648=""),"必填欄位未完整",""))</f>
        <v/>
      </c>
      <c r="AB648" s="12">
        <f>IF(A648="","",A648&amp;"|"&amp;G648)</f>
        <v/>
      </c>
    </row>
    <row r="649" ht="24" customHeight="1">
      <c r="A649" s="7" t="n"/>
      <c r="B649" s="7" t="n"/>
      <c r="C649" s="7" t="n"/>
      <c r="D649" s="7" t="n"/>
      <c r="E649" s="7" t="n"/>
      <c r="F649" s="7" t="n"/>
      <c r="G649" s="7" t="n"/>
      <c r="H649" s="8" t="n"/>
      <c r="I649" s="9">
        <f>IF(H649="","",ROUND(H649/3.305785,3))</f>
        <v/>
      </c>
      <c r="J649" s="7" t="n"/>
      <c r="K649" s="7" t="n"/>
      <c r="L649" s="10">
        <f>IF(OR(J649="",K649="",K649=0),"",ROUND(J649/K649,6))</f>
        <v/>
      </c>
      <c r="M649" s="9">
        <f>IF(OR(H649="",J649="",K649="",K649=0),"",ROUND(H649*J649/K649/3.305785,3))</f>
        <v/>
      </c>
      <c r="N649" s="7" t="n"/>
      <c r="O649" s="11" t="n"/>
      <c r="P649" s="11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12">
        <f>IF(A649="","",IF(OR(B649="",C649="",D649="",E649="",G649="",H649="",J649="",K649=""),"必填欄位未完整",""))</f>
        <v/>
      </c>
      <c r="AB649" s="12">
        <f>IF(A649="","",A649&amp;"|"&amp;G649)</f>
        <v/>
      </c>
    </row>
    <row r="650" ht="24" customHeight="1">
      <c r="A650" s="7" t="n"/>
      <c r="B650" s="7" t="n"/>
      <c r="C650" s="7" t="n"/>
      <c r="D650" s="7" t="n"/>
      <c r="E650" s="7" t="n"/>
      <c r="F650" s="7" t="n"/>
      <c r="G650" s="7" t="n"/>
      <c r="H650" s="8" t="n"/>
      <c r="I650" s="9">
        <f>IF(H650="","",ROUND(H650/3.305785,3))</f>
        <v/>
      </c>
      <c r="J650" s="7" t="n"/>
      <c r="K650" s="7" t="n"/>
      <c r="L650" s="10">
        <f>IF(OR(J650="",K650="",K650=0),"",ROUND(J650/K650,6))</f>
        <v/>
      </c>
      <c r="M650" s="9">
        <f>IF(OR(H650="",J650="",K650="",K650=0),"",ROUND(H650*J650/K650/3.305785,3))</f>
        <v/>
      </c>
      <c r="N650" s="7" t="n"/>
      <c r="O650" s="11" t="n"/>
      <c r="P650" s="11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12">
        <f>IF(A650="","",IF(OR(B650="",C650="",D650="",E650="",G650="",H650="",J650="",K650=""),"必填欄位未完整",""))</f>
        <v/>
      </c>
      <c r="AB650" s="12">
        <f>IF(A650="","",A650&amp;"|"&amp;G650)</f>
        <v/>
      </c>
    </row>
    <row r="651" ht="24" customHeight="1">
      <c r="A651" s="7" t="n"/>
      <c r="B651" s="7" t="n"/>
      <c r="C651" s="7" t="n"/>
      <c r="D651" s="7" t="n"/>
      <c r="E651" s="7" t="n"/>
      <c r="F651" s="7" t="n"/>
      <c r="G651" s="7" t="n"/>
      <c r="H651" s="8" t="n"/>
      <c r="I651" s="9">
        <f>IF(H651="","",ROUND(H651/3.305785,3))</f>
        <v/>
      </c>
      <c r="J651" s="7" t="n"/>
      <c r="K651" s="7" t="n"/>
      <c r="L651" s="10">
        <f>IF(OR(J651="",K651="",K651=0),"",ROUND(J651/K651,6))</f>
        <v/>
      </c>
      <c r="M651" s="9">
        <f>IF(OR(H651="",J651="",K651="",K651=0),"",ROUND(H651*J651/K651/3.305785,3))</f>
        <v/>
      </c>
      <c r="N651" s="7" t="n"/>
      <c r="O651" s="11" t="n"/>
      <c r="P651" s="11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12">
        <f>IF(A651="","",IF(OR(B651="",C651="",D651="",E651="",G651="",H651="",J651="",K651=""),"必填欄位未完整",""))</f>
        <v/>
      </c>
      <c r="AB651" s="12">
        <f>IF(A651="","",A651&amp;"|"&amp;G651)</f>
        <v/>
      </c>
    </row>
    <row r="652" ht="24" customHeight="1">
      <c r="A652" s="7" t="n"/>
      <c r="B652" s="7" t="n"/>
      <c r="C652" s="7" t="n"/>
      <c r="D652" s="7" t="n"/>
      <c r="E652" s="7" t="n"/>
      <c r="F652" s="7" t="n"/>
      <c r="G652" s="7" t="n"/>
      <c r="H652" s="8" t="n"/>
      <c r="I652" s="9">
        <f>IF(H652="","",ROUND(H652/3.305785,3))</f>
        <v/>
      </c>
      <c r="J652" s="7" t="n"/>
      <c r="K652" s="7" t="n"/>
      <c r="L652" s="10">
        <f>IF(OR(J652="",K652="",K652=0),"",ROUND(J652/K652,6))</f>
        <v/>
      </c>
      <c r="M652" s="9">
        <f>IF(OR(H652="",J652="",K652="",K652=0),"",ROUND(H652*J652/K652/3.305785,3))</f>
        <v/>
      </c>
      <c r="N652" s="7" t="n"/>
      <c r="O652" s="11" t="n"/>
      <c r="P652" s="11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12">
        <f>IF(A652="","",IF(OR(B652="",C652="",D652="",E652="",G652="",H652="",J652="",K652=""),"必填欄位未完整",""))</f>
        <v/>
      </c>
      <c r="AB652" s="12">
        <f>IF(A652="","",A652&amp;"|"&amp;G652)</f>
        <v/>
      </c>
    </row>
    <row r="653" ht="24" customHeight="1">
      <c r="A653" s="7" t="n"/>
      <c r="B653" s="7" t="n"/>
      <c r="C653" s="7" t="n"/>
      <c r="D653" s="7" t="n"/>
      <c r="E653" s="7" t="n"/>
      <c r="F653" s="7" t="n"/>
      <c r="G653" s="7" t="n"/>
      <c r="H653" s="8" t="n"/>
      <c r="I653" s="9">
        <f>IF(H653="","",ROUND(H653/3.305785,3))</f>
        <v/>
      </c>
      <c r="J653" s="7" t="n"/>
      <c r="K653" s="7" t="n"/>
      <c r="L653" s="10">
        <f>IF(OR(J653="",K653="",K653=0),"",ROUND(J653/K653,6))</f>
        <v/>
      </c>
      <c r="M653" s="9">
        <f>IF(OR(H653="",J653="",K653="",K653=0),"",ROUND(H653*J653/K653/3.305785,3))</f>
        <v/>
      </c>
      <c r="N653" s="7" t="n"/>
      <c r="O653" s="11" t="n"/>
      <c r="P653" s="11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12">
        <f>IF(A653="","",IF(OR(B653="",C653="",D653="",E653="",G653="",H653="",J653="",K653=""),"必填欄位未完整",""))</f>
        <v/>
      </c>
      <c r="AB653" s="12">
        <f>IF(A653="","",A653&amp;"|"&amp;G653)</f>
        <v/>
      </c>
    </row>
    <row r="654" ht="24" customHeight="1">
      <c r="A654" s="7" t="n"/>
      <c r="B654" s="7" t="n"/>
      <c r="C654" s="7" t="n"/>
      <c r="D654" s="7" t="n"/>
      <c r="E654" s="7" t="n"/>
      <c r="F654" s="7" t="n"/>
      <c r="G654" s="7" t="n"/>
      <c r="H654" s="8" t="n"/>
      <c r="I654" s="9">
        <f>IF(H654="","",ROUND(H654/3.305785,3))</f>
        <v/>
      </c>
      <c r="J654" s="7" t="n"/>
      <c r="K654" s="7" t="n"/>
      <c r="L654" s="10">
        <f>IF(OR(J654="",K654="",K654=0),"",ROUND(J654/K654,6))</f>
        <v/>
      </c>
      <c r="M654" s="9">
        <f>IF(OR(H654="",J654="",K654="",K654=0),"",ROUND(H654*J654/K654/3.305785,3))</f>
        <v/>
      </c>
      <c r="N654" s="7" t="n"/>
      <c r="O654" s="11" t="n"/>
      <c r="P654" s="11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12">
        <f>IF(A654="","",IF(OR(B654="",C654="",D654="",E654="",G654="",H654="",J654="",K654=""),"必填欄位未完整",""))</f>
        <v/>
      </c>
      <c r="AB654" s="12">
        <f>IF(A654="","",A654&amp;"|"&amp;G654)</f>
        <v/>
      </c>
    </row>
    <row r="655" ht="24" customHeight="1">
      <c r="A655" s="7" t="n"/>
      <c r="B655" s="7" t="n"/>
      <c r="C655" s="7" t="n"/>
      <c r="D655" s="7" t="n"/>
      <c r="E655" s="7" t="n"/>
      <c r="F655" s="7" t="n"/>
      <c r="G655" s="7" t="n"/>
      <c r="H655" s="8" t="n"/>
      <c r="I655" s="9">
        <f>IF(H655="","",ROUND(H655/3.305785,3))</f>
        <v/>
      </c>
      <c r="J655" s="7" t="n"/>
      <c r="K655" s="7" t="n"/>
      <c r="L655" s="10">
        <f>IF(OR(J655="",K655="",K655=0),"",ROUND(J655/K655,6))</f>
        <v/>
      </c>
      <c r="M655" s="9">
        <f>IF(OR(H655="",J655="",K655="",K655=0),"",ROUND(H655*J655/K655/3.305785,3))</f>
        <v/>
      </c>
      <c r="N655" s="7" t="n"/>
      <c r="O655" s="11" t="n"/>
      <c r="P655" s="11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12">
        <f>IF(A655="","",IF(OR(B655="",C655="",D655="",E655="",G655="",H655="",J655="",K655=""),"必填欄位未完整",""))</f>
        <v/>
      </c>
      <c r="AB655" s="12">
        <f>IF(A655="","",A655&amp;"|"&amp;G655)</f>
        <v/>
      </c>
    </row>
    <row r="656" ht="24" customHeight="1">
      <c r="A656" s="7" t="n"/>
      <c r="B656" s="7" t="n"/>
      <c r="C656" s="7" t="n"/>
      <c r="D656" s="7" t="n"/>
      <c r="E656" s="7" t="n"/>
      <c r="F656" s="7" t="n"/>
      <c r="G656" s="7" t="n"/>
      <c r="H656" s="8" t="n"/>
      <c r="I656" s="9">
        <f>IF(H656="","",ROUND(H656/3.305785,3))</f>
        <v/>
      </c>
      <c r="J656" s="7" t="n"/>
      <c r="K656" s="7" t="n"/>
      <c r="L656" s="10">
        <f>IF(OR(J656="",K656="",K656=0),"",ROUND(J656/K656,6))</f>
        <v/>
      </c>
      <c r="M656" s="9">
        <f>IF(OR(H656="",J656="",K656="",K656=0),"",ROUND(H656*J656/K656/3.305785,3))</f>
        <v/>
      </c>
      <c r="N656" s="7" t="n"/>
      <c r="O656" s="11" t="n"/>
      <c r="P656" s="11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12">
        <f>IF(A656="","",IF(OR(B656="",C656="",D656="",E656="",G656="",H656="",J656="",K656=""),"必填欄位未完整",""))</f>
        <v/>
      </c>
      <c r="AB656" s="12">
        <f>IF(A656="","",A656&amp;"|"&amp;G656)</f>
        <v/>
      </c>
    </row>
    <row r="657" ht="24" customHeight="1">
      <c r="A657" s="7" t="n"/>
      <c r="B657" s="7" t="n"/>
      <c r="C657" s="7" t="n"/>
      <c r="D657" s="7" t="n"/>
      <c r="E657" s="7" t="n"/>
      <c r="F657" s="7" t="n"/>
      <c r="G657" s="7" t="n"/>
      <c r="H657" s="8" t="n"/>
      <c r="I657" s="9">
        <f>IF(H657="","",ROUND(H657/3.305785,3))</f>
        <v/>
      </c>
      <c r="J657" s="7" t="n"/>
      <c r="K657" s="7" t="n"/>
      <c r="L657" s="10">
        <f>IF(OR(J657="",K657="",K657=0),"",ROUND(J657/K657,6))</f>
        <v/>
      </c>
      <c r="M657" s="9">
        <f>IF(OR(H657="",J657="",K657="",K657=0),"",ROUND(H657*J657/K657/3.305785,3))</f>
        <v/>
      </c>
      <c r="N657" s="7" t="n"/>
      <c r="O657" s="11" t="n"/>
      <c r="P657" s="11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12">
        <f>IF(A657="","",IF(OR(B657="",C657="",D657="",E657="",G657="",H657="",J657="",K657=""),"必填欄位未完整",""))</f>
        <v/>
      </c>
      <c r="AB657" s="12">
        <f>IF(A657="","",A657&amp;"|"&amp;G657)</f>
        <v/>
      </c>
    </row>
    <row r="658" ht="24" customHeight="1">
      <c r="A658" s="7" t="n"/>
      <c r="B658" s="7" t="n"/>
      <c r="C658" s="7" t="n"/>
      <c r="D658" s="7" t="n"/>
      <c r="E658" s="7" t="n"/>
      <c r="F658" s="7" t="n"/>
      <c r="G658" s="7" t="n"/>
      <c r="H658" s="8" t="n"/>
      <c r="I658" s="9">
        <f>IF(H658="","",ROUND(H658/3.305785,3))</f>
        <v/>
      </c>
      <c r="J658" s="7" t="n"/>
      <c r="K658" s="7" t="n"/>
      <c r="L658" s="10">
        <f>IF(OR(J658="",K658="",K658=0),"",ROUND(J658/K658,6))</f>
        <v/>
      </c>
      <c r="M658" s="9">
        <f>IF(OR(H658="",J658="",K658="",K658=0),"",ROUND(H658*J658/K658/3.305785,3))</f>
        <v/>
      </c>
      <c r="N658" s="7" t="n"/>
      <c r="O658" s="11" t="n"/>
      <c r="P658" s="11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12">
        <f>IF(A658="","",IF(OR(B658="",C658="",D658="",E658="",G658="",H658="",J658="",K658=""),"必填欄位未完整",""))</f>
        <v/>
      </c>
      <c r="AB658" s="12">
        <f>IF(A658="","",A658&amp;"|"&amp;G658)</f>
        <v/>
      </c>
    </row>
    <row r="659" ht="24" customHeight="1">
      <c r="A659" s="7" t="n"/>
      <c r="B659" s="7" t="n"/>
      <c r="C659" s="7" t="n"/>
      <c r="D659" s="7" t="n"/>
      <c r="E659" s="7" t="n"/>
      <c r="F659" s="7" t="n"/>
      <c r="G659" s="7" t="n"/>
      <c r="H659" s="8" t="n"/>
      <c r="I659" s="9">
        <f>IF(H659="","",ROUND(H659/3.305785,3))</f>
        <v/>
      </c>
      <c r="J659" s="7" t="n"/>
      <c r="K659" s="7" t="n"/>
      <c r="L659" s="10">
        <f>IF(OR(J659="",K659="",K659=0),"",ROUND(J659/K659,6))</f>
        <v/>
      </c>
      <c r="M659" s="9">
        <f>IF(OR(H659="",J659="",K659="",K659=0),"",ROUND(H659*J659/K659/3.305785,3))</f>
        <v/>
      </c>
      <c r="N659" s="7" t="n"/>
      <c r="O659" s="11" t="n"/>
      <c r="P659" s="11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12">
        <f>IF(A659="","",IF(OR(B659="",C659="",D659="",E659="",G659="",H659="",J659="",K659=""),"必填欄位未完整",""))</f>
        <v/>
      </c>
      <c r="AB659" s="12">
        <f>IF(A659="","",A659&amp;"|"&amp;G659)</f>
        <v/>
      </c>
    </row>
    <row r="660" ht="24" customHeight="1">
      <c r="A660" s="7" t="n"/>
      <c r="B660" s="7" t="n"/>
      <c r="C660" s="7" t="n"/>
      <c r="D660" s="7" t="n"/>
      <c r="E660" s="7" t="n"/>
      <c r="F660" s="7" t="n"/>
      <c r="G660" s="7" t="n"/>
      <c r="H660" s="8" t="n"/>
      <c r="I660" s="9">
        <f>IF(H660="","",ROUND(H660/3.305785,3))</f>
        <v/>
      </c>
      <c r="J660" s="7" t="n"/>
      <c r="K660" s="7" t="n"/>
      <c r="L660" s="10">
        <f>IF(OR(J660="",K660="",K660=0),"",ROUND(J660/K660,6))</f>
        <v/>
      </c>
      <c r="M660" s="9">
        <f>IF(OR(H660="",J660="",K660="",K660=0),"",ROUND(H660*J660/K660/3.305785,3))</f>
        <v/>
      </c>
      <c r="N660" s="7" t="n"/>
      <c r="O660" s="11" t="n"/>
      <c r="P660" s="11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12">
        <f>IF(A660="","",IF(OR(B660="",C660="",D660="",E660="",G660="",H660="",J660="",K660=""),"必填欄位未完整",""))</f>
        <v/>
      </c>
      <c r="AB660" s="12">
        <f>IF(A660="","",A660&amp;"|"&amp;G660)</f>
        <v/>
      </c>
    </row>
    <row r="661" ht="24" customHeight="1">
      <c r="A661" s="7" t="n"/>
      <c r="B661" s="7" t="n"/>
      <c r="C661" s="7" t="n"/>
      <c r="D661" s="7" t="n"/>
      <c r="E661" s="7" t="n"/>
      <c r="F661" s="7" t="n"/>
      <c r="G661" s="7" t="n"/>
      <c r="H661" s="8" t="n"/>
      <c r="I661" s="9">
        <f>IF(H661="","",ROUND(H661/3.305785,3))</f>
        <v/>
      </c>
      <c r="J661" s="7" t="n"/>
      <c r="K661" s="7" t="n"/>
      <c r="L661" s="10">
        <f>IF(OR(J661="",K661="",K661=0),"",ROUND(J661/K661,6))</f>
        <v/>
      </c>
      <c r="M661" s="9">
        <f>IF(OR(H661="",J661="",K661="",K661=0),"",ROUND(H661*J661/K661/3.305785,3))</f>
        <v/>
      </c>
      <c r="N661" s="7" t="n"/>
      <c r="O661" s="11" t="n"/>
      <c r="P661" s="11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12">
        <f>IF(A661="","",IF(OR(B661="",C661="",D661="",E661="",G661="",H661="",J661="",K661=""),"必填欄位未完整",""))</f>
        <v/>
      </c>
      <c r="AB661" s="12">
        <f>IF(A661="","",A661&amp;"|"&amp;G661)</f>
        <v/>
      </c>
    </row>
    <row r="662" ht="24" customHeight="1">
      <c r="A662" s="7" t="n"/>
      <c r="B662" s="7" t="n"/>
      <c r="C662" s="7" t="n"/>
      <c r="D662" s="7" t="n"/>
      <c r="E662" s="7" t="n"/>
      <c r="F662" s="7" t="n"/>
      <c r="G662" s="7" t="n"/>
      <c r="H662" s="8" t="n"/>
      <c r="I662" s="9">
        <f>IF(H662="","",ROUND(H662/3.305785,3))</f>
        <v/>
      </c>
      <c r="J662" s="7" t="n"/>
      <c r="K662" s="7" t="n"/>
      <c r="L662" s="10">
        <f>IF(OR(J662="",K662="",K662=0),"",ROUND(J662/K662,6))</f>
        <v/>
      </c>
      <c r="M662" s="9">
        <f>IF(OR(H662="",J662="",K662="",K662=0),"",ROUND(H662*J662/K662/3.305785,3))</f>
        <v/>
      </c>
      <c r="N662" s="7" t="n"/>
      <c r="O662" s="11" t="n"/>
      <c r="P662" s="11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12">
        <f>IF(A662="","",IF(OR(B662="",C662="",D662="",E662="",G662="",H662="",J662="",K662=""),"必填欄位未完整",""))</f>
        <v/>
      </c>
      <c r="AB662" s="12">
        <f>IF(A662="","",A662&amp;"|"&amp;G662)</f>
        <v/>
      </c>
    </row>
    <row r="663" ht="24" customHeight="1">
      <c r="A663" s="7" t="n"/>
      <c r="B663" s="7" t="n"/>
      <c r="C663" s="7" t="n"/>
      <c r="D663" s="7" t="n"/>
      <c r="E663" s="7" t="n"/>
      <c r="F663" s="7" t="n"/>
      <c r="G663" s="7" t="n"/>
      <c r="H663" s="8" t="n"/>
      <c r="I663" s="9">
        <f>IF(H663="","",ROUND(H663/3.305785,3))</f>
        <v/>
      </c>
      <c r="J663" s="7" t="n"/>
      <c r="K663" s="7" t="n"/>
      <c r="L663" s="10">
        <f>IF(OR(J663="",K663="",K663=0),"",ROUND(J663/K663,6))</f>
        <v/>
      </c>
      <c r="M663" s="9">
        <f>IF(OR(H663="",J663="",K663="",K663=0),"",ROUND(H663*J663/K663/3.305785,3))</f>
        <v/>
      </c>
      <c r="N663" s="7" t="n"/>
      <c r="O663" s="11" t="n"/>
      <c r="P663" s="11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12">
        <f>IF(A663="","",IF(OR(B663="",C663="",D663="",E663="",G663="",H663="",J663="",K663=""),"必填欄位未完整",""))</f>
        <v/>
      </c>
      <c r="AB663" s="12">
        <f>IF(A663="","",A663&amp;"|"&amp;G663)</f>
        <v/>
      </c>
    </row>
    <row r="664" ht="24" customHeight="1">
      <c r="A664" s="7" t="n"/>
      <c r="B664" s="7" t="n"/>
      <c r="C664" s="7" t="n"/>
      <c r="D664" s="7" t="n"/>
      <c r="E664" s="7" t="n"/>
      <c r="F664" s="7" t="n"/>
      <c r="G664" s="7" t="n"/>
      <c r="H664" s="8" t="n"/>
      <c r="I664" s="9">
        <f>IF(H664="","",ROUND(H664/3.305785,3))</f>
        <v/>
      </c>
      <c r="J664" s="7" t="n"/>
      <c r="K664" s="7" t="n"/>
      <c r="L664" s="10">
        <f>IF(OR(J664="",K664="",K664=0),"",ROUND(J664/K664,6))</f>
        <v/>
      </c>
      <c r="M664" s="9">
        <f>IF(OR(H664="",J664="",K664="",K664=0),"",ROUND(H664*J664/K664/3.305785,3))</f>
        <v/>
      </c>
      <c r="N664" s="7" t="n"/>
      <c r="O664" s="11" t="n"/>
      <c r="P664" s="11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12">
        <f>IF(A664="","",IF(OR(B664="",C664="",D664="",E664="",G664="",H664="",J664="",K664=""),"必填欄位未完整",""))</f>
        <v/>
      </c>
      <c r="AB664" s="12">
        <f>IF(A664="","",A664&amp;"|"&amp;G664)</f>
        <v/>
      </c>
    </row>
    <row r="665" ht="24" customHeight="1">
      <c r="A665" s="7" t="n"/>
      <c r="B665" s="7" t="n"/>
      <c r="C665" s="7" t="n"/>
      <c r="D665" s="7" t="n"/>
      <c r="E665" s="7" t="n"/>
      <c r="F665" s="7" t="n"/>
      <c r="G665" s="7" t="n"/>
      <c r="H665" s="8" t="n"/>
      <c r="I665" s="9">
        <f>IF(H665="","",ROUND(H665/3.305785,3))</f>
        <v/>
      </c>
      <c r="J665" s="7" t="n"/>
      <c r="K665" s="7" t="n"/>
      <c r="L665" s="10">
        <f>IF(OR(J665="",K665="",K665=0),"",ROUND(J665/K665,6))</f>
        <v/>
      </c>
      <c r="M665" s="9">
        <f>IF(OR(H665="",J665="",K665="",K665=0),"",ROUND(H665*J665/K665/3.305785,3))</f>
        <v/>
      </c>
      <c r="N665" s="7" t="n"/>
      <c r="O665" s="11" t="n"/>
      <c r="P665" s="11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12">
        <f>IF(A665="","",IF(OR(B665="",C665="",D665="",E665="",G665="",H665="",J665="",K665=""),"必填欄位未完整",""))</f>
        <v/>
      </c>
      <c r="AB665" s="12">
        <f>IF(A665="","",A665&amp;"|"&amp;G665)</f>
        <v/>
      </c>
    </row>
    <row r="666" ht="24" customHeight="1">
      <c r="A666" s="7" t="n"/>
      <c r="B666" s="7" t="n"/>
      <c r="C666" s="7" t="n"/>
      <c r="D666" s="7" t="n"/>
      <c r="E666" s="7" t="n"/>
      <c r="F666" s="7" t="n"/>
      <c r="G666" s="7" t="n"/>
      <c r="H666" s="8" t="n"/>
      <c r="I666" s="9">
        <f>IF(H666="","",ROUND(H666/3.305785,3))</f>
        <v/>
      </c>
      <c r="J666" s="7" t="n"/>
      <c r="K666" s="7" t="n"/>
      <c r="L666" s="10">
        <f>IF(OR(J666="",K666="",K666=0),"",ROUND(J666/K666,6))</f>
        <v/>
      </c>
      <c r="M666" s="9">
        <f>IF(OR(H666="",J666="",K666="",K666=0),"",ROUND(H666*J666/K666/3.305785,3))</f>
        <v/>
      </c>
      <c r="N666" s="7" t="n"/>
      <c r="O666" s="11" t="n"/>
      <c r="P666" s="11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12">
        <f>IF(A666="","",IF(OR(B666="",C666="",D666="",E666="",G666="",H666="",J666="",K666=""),"必填欄位未完整",""))</f>
        <v/>
      </c>
      <c r="AB666" s="12">
        <f>IF(A666="","",A666&amp;"|"&amp;G666)</f>
        <v/>
      </c>
    </row>
    <row r="667" ht="24" customHeight="1">
      <c r="A667" s="7" t="n"/>
      <c r="B667" s="7" t="n"/>
      <c r="C667" s="7" t="n"/>
      <c r="D667" s="7" t="n"/>
      <c r="E667" s="7" t="n"/>
      <c r="F667" s="7" t="n"/>
      <c r="G667" s="7" t="n"/>
      <c r="H667" s="8" t="n"/>
      <c r="I667" s="9">
        <f>IF(H667="","",ROUND(H667/3.305785,3))</f>
        <v/>
      </c>
      <c r="J667" s="7" t="n"/>
      <c r="K667" s="7" t="n"/>
      <c r="L667" s="10">
        <f>IF(OR(J667="",K667="",K667=0),"",ROUND(J667/K667,6))</f>
        <v/>
      </c>
      <c r="M667" s="9">
        <f>IF(OR(H667="",J667="",K667="",K667=0),"",ROUND(H667*J667/K667/3.305785,3))</f>
        <v/>
      </c>
      <c r="N667" s="7" t="n"/>
      <c r="O667" s="11" t="n"/>
      <c r="P667" s="11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12">
        <f>IF(A667="","",IF(OR(B667="",C667="",D667="",E667="",G667="",H667="",J667="",K667=""),"必填欄位未完整",""))</f>
        <v/>
      </c>
      <c r="AB667" s="12">
        <f>IF(A667="","",A667&amp;"|"&amp;G667)</f>
        <v/>
      </c>
    </row>
    <row r="668" ht="24" customHeight="1">
      <c r="A668" s="7" t="n"/>
      <c r="B668" s="7" t="n"/>
      <c r="C668" s="7" t="n"/>
      <c r="D668" s="7" t="n"/>
      <c r="E668" s="7" t="n"/>
      <c r="F668" s="7" t="n"/>
      <c r="G668" s="7" t="n"/>
      <c r="H668" s="8" t="n"/>
      <c r="I668" s="9">
        <f>IF(H668="","",ROUND(H668/3.305785,3))</f>
        <v/>
      </c>
      <c r="J668" s="7" t="n"/>
      <c r="K668" s="7" t="n"/>
      <c r="L668" s="10">
        <f>IF(OR(J668="",K668="",K668=0),"",ROUND(J668/K668,6))</f>
        <v/>
      </c>
      <c r="M668" s="9">
        <f>IF(OR(H668="",J668="",K668="",K668=0),"",ROUND(H668*J668/K668/3.305785,3))</f>
        <v/>
      </c>
      <c r="N668" s="7" t="n"/>
      <c r="O668" s="11" t="n"/>
      <c r="P668" s="11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12">
        <f>IF(A668="","",IF(OR(B668="",C668="",D668="",E668="",G668="",H668="",J668="",K668=""),"必填欄位未完整",""))</f>
        <v/>
      </c>
      <c r="AB668" s="12">
        <f>IF(A668="","",A668&amp;"|"&amp;G668)</f>
        <v/>
      </c>
    </row>
    <row r="669" ht="24" customHeight="1">
      <c r="A669" s="7" t="n"/>
      <c r="B669" s="7" t="n"/>
      <c r="C669" s="7" t="n"/>
      <c r="D669" s="7" t="n"/>
      <c r="E669" s="7" t="n"/>
      <c r="F669" s="7" t="n"/>
      <c r="G669" s="7" t="n"/>
      <c r="H669" s="8" t="n"/>
      <c r="I669" s="9">
        <f>IF(H669="","",ROUND(H669/3.305785,3))</f>
        <v/>
      </c>
      <c r="J669" s="7" t="n"/>
      <c r="K669" s="7" t="n"/>
      <c r="L669" s="10">
        <f>IF(OR(J669="",K669="",K669=0),"",ROUND(J669/K669,6))</f>
        <v/>
      </c>
      <c r="M669" s="9">
        <f>IF(OR(H669="",J669="",K669="",K669=0),"",ROUND(H669*J669/K669/3.305785,3))</f>
        <v/>
      </c>
      <c r="N669" s="7" t="n"/>
      <c r="O669" s="11" t="n"/>
      <c r="P669" s="11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12">
        <f>IF(A669="","",IF(OR(B669="",C669="",D669="",E669="",G669="",H669="",J669="",K669=""),"必填欄位未完整",""))</f>
        <v/>
      </c>
      <c r="AB669" s="12">
        <f>IF(A669="","",A669&amp;"|"&amp;G669)</f>
        <v/>
      </c>
    </row>
    <row r="670" ht="24" customHeight="1">
      <c r="A670" s="7" t="n"/>
      <c r="B670" s="7" t="n"/>
      <c r="C670" s="7" t="n"/>
      <c r="D670" s="7" t="n"/>
      <c r="E670" s="7" t="n"/>
      <c r="F670" s="7" t="n"/>
      <c r="G670" s="7" t="n"/>
      <c r="H670" s="8" t="n"/>
      <c r="I670" s="9">
        <f>IF(H670="","",ROUND(H670/3.305785,3))</f>
        <v/>
      </c>
      <c r="J670" s="7" t="n"/>
      <c r="K670" s="7" t="n"/>
      <c r="L670" s="10">
        <f>IF(OR(J670="",K670="",K670=0),"",ROUND(J670/K670,6))</f>
        <v/>
      </c>
      <c r="M670" s="9">
        <f>IF(OR(H670="",J670="",K670="",K670=0),"",ROUND(H670*J670/K670/3.305785,3))</f>
        <v/>
      </c>
      <c r="N670" s="7" t="n"/>
      <c r="O670" s="11" t="n"/>
      <c r="P670" s="11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12">
        <f>IF(A670="","",IF(OR(B670="",C670="",D670="",E670="",G670="",H670="",J670="",K670=""),"必填欄位未完整",""))</f>
        <v/>
      </c>
      <c r="AB670" s="12">
        <f>IF(A670="","",A670&amp;"|"&amp;G670)</f>
        <v/>
      </c>
    </row>
    <row r="671" ht="24" customHeight="1">
      <c r="A671" s="7" t="n"/>
      <c r="B671" s="7" t="n"/>
      <c r="C671" s="7" t="n"/>
      <c r="D671" s="7" t="n"/>
      <c r="E671" s="7" t="n"/>
      <c r="F671" s="7" t="n"/>
      <c r="G671" s="7" t="n"/>
      <c r="H671" s="8" t="n"/>
      <c r="I671" s="9">
        <f>IF(H671="","",ROUND(H671/3.305785,3))</f>
        <v/>
      </c>
      <c r="J671" s="7" t="n"/>
      <c r="K671" s="7" t="n"/>
      <c r="L671" s="10">
        <f>IF(OR(J671="",K671="",K671=0),"",ROUND(J671/K671,6))</f>
        <v/>
      </c>
      <c r="M671" s="9">
        <f>IF(OR(H671="",J671="",K671="",K671=0),"",ROUND(H671*J671/K671/3.305785,3))</f>
        <v/>
      </c>
      <c r="N671" s="7" t="n"/>
      <c r="O671" s="11" t="n"/>
      <c r="P671" s="11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12">
        <f>IF(A671="","",IF(OR(B671="",C671="",D671="",E671="",G671="",H671="",J671="",K671=""),"必填欄位未完整",""))</f>
        <v/>
      </c>
      <c r="AB671" s="12">
        <f>IF(A671="","",A671&amp;"|"&amp;G671)</f>
        <v/>
      </c>
    </row>
    <row r="672" ht="24" customHeight="1">
      <c r="A672" s="7" t="n"/>
      <c r="B672" s="7" t="n"/>
      <c r="C672" s="7" t="n"/>
      <c r="D672" s="7" t="n"/>
      <c r="E672" s="7" t="n"/>
      <c r="F672" s="7" t="n"/>
      <c r="G672" s="7" t="n"/>
      <c r="H672" s="8" t="n"/>
      <c r="I672" s="9">
        <f>IF(H672="","",ROUND(H672/3.305785,3))</f>
        <v/>
      </c>
      <c r="J672" s="7" t="n"/>
      <c r="K672" s="7" t="n"/>
      <c r="L672" s="10">
        <f>IF(OR(J672="",K672="",K672=0),"",ROUND(J672/K672,6))</f>
        <v/>
      </c>
      <c r="M672" s="9">
        <f>IF(OR(H672="",J672="",K672="",K672=0),"",ROUND(H672*J672/K672/3.305785,3))</f>
        <v/>
      </c>
      <c r="N672" s="7" t="n"/>
      <c r="O672" s="11" t="n"/>
      <c r="P672" s="11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12">
        <f>IF(A672="","",IF(OR(B672="",C672="",D672="",E672="",G672="",H672="",J672="",K672=""),"必填欄位未完整",""))</f>
        <v/>
      </c>
      <c r="AB672" s="12">
        <f>IF(A672="","",A672&amp;"|"&amp;G672)</f>
        <v/>
      </c>
    </row>
    <row r="673" ht="24" customHeight="1">
      <c r="A673" s="7" t="n"/>
      <c r="B673" s="7" t="n"/>
      <c r="C673" s="7" t="n"/>
      <c r="D673" s="7" t="n"/>
      <c r="E673" s="7" t="n"/>
      <c r="F673" s="7" t="n"/>
      <c r="G673" s="7" t="n"/>
      <c r="H673" s="8" t="n"/>
      <c r="I673" s="9">
        <f>IF(H673="","",ROUND(H673/3.305785,3))</f>
        <v/>
      </c>
      <c r="J673" s="7" t="n"/>
      <c r="K673" s="7" t="n"/>
      <c r="L673" s="10">
        <f>IF(OR(J673="",K673="",K673=0),"",ROUND(J673/K673,6))</f>
        <v/>
      </c>
      <c r="M673" s="9">
        <f>IF(OR(H673="",J673="",K673="",K673=0),"",ROUND(H673*J673/K673/3.305785,3))</f>
        <v/>
      </c>
      <c r="N673" s="7" t="n"/>
      <c r="O673" s="11" t="n"/>
      <c r="P673" s="11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12">
        <f>IF(A673="","",IF(OR(B673="",C673="",D673="",E673="",G673="",H673="",J673="",K673=""),"必填欄位未完整",""))</f>
        <v/>
      </c>
      <c r="AB673" s="12">
        <f>IF(A673="","",A673&amp;"|"&amp;G673)</f>
        <v/>
      </c>
    </row>
    <row r="674" ht="24" customHeight="1">
      <c r="A674" s="7" t="n"/>
      <c r="B674" s="7" t="n"/>
      <c r="C674" s="7" t="n"/>
      <c r="D674" s="7" t="n"/>
      <c r="E674" s="7" t="n"/>
      <c r="F674" s="7" t="n"/>
      <c r="G674" s="7" t="n"/>
      <c r="H674" s="8" t="n"/>
      <c r="I674" s="9">
        <f>IF(H674="","",ROUND(H674/3.305785,3))</f>
        <v/>
      </c>
      <c r="J674" s="7" t="n"/>
      <c r="K674" s="7" t="n"/>
      <c r="L674" s="10">
        <f>IF(OR(J674="",K674="",K674=0),"",ROUND(J674/K674,6))</f>
        <v/>
      </c>
      <c r="M674" s="9">
        <f>IF(OR(H674="",J674="",K674="",K674=0),"",ROUND(H674*J674/K674/3.305785,3))</f>
        <v/>
      </c>
      <c r="N674" s="7" t="n"/>
      <c r="O674" s="11" t="n"/>
      <c r="P674" s="11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12">
        <f>IF(A674="","",IF(OR(B674="",C674="",D674="",E674="",G674="",H674="",J674="",K674=""),"必填欄位未完整",""))</f>
        <v/>
      </c>
      <c r="AB674" s="12">
        <f>IF(A674="","",A674&amp;"|"&amp;G674)</f>
        <v/>
      </c>
    </row>
    <row r="675" ht="24" customHeight="1">
      <c r="A675" s="7" t="n"/>
      <c r="B675" s="7" t="n"/>
      <c r="C675" s="7" t="n"/>
      <c r="D675" s="7" t="n"/>
      <c r="E675" s="7" t="n"/>
      <c r="F675" s="7" t="n"/>
      <c r="G675" s="7" t="n"/>
      <c r="H675" s="8" t="n"/>
      <c r="I675" s="9">
        <f>IF(H675="","",ROUND(H675/3.305785,3))</f>
        <v/>
      </c>
      <c r="J675" s="7" t="n"/>
      <c r="K675" s="7" t="n"/>
      <c r="L675" s="10">
        <f>IF(OR(J675="",K675="",K675=0),"",ROUND(J675/K675,6))</f>
        <v/>
      </c>
      <c r="M675" s="9">
        <f>IF(OR(H675="",J675="",K675="",K675=0),"",ROUND(H675*J675/K675/3.305785,3))</f>
        <v/>
      </c>
      <c r="N675" s="7" t="n"/>
      <c r="O675" s="11" t="n"/>
      <c r="P675" s="11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12">
        <f>IF(A675="","",IF(OR(B675="",C675="",D675="",E675="",G675="",H675="",J675="",K675=""),"必填欄位未完整",""))</f>
        <v/>
      </c>
      <c r="AB675" s="12">
        <f>IF(A675="","",A675&amp;"|"&amp;G675)</f>
        <v/>
      </c>
    </row>
    <row r="676" ht="24" customHeight="1">
      <c r="A676" s="7" t="n"/>
      <c r="B676" s="7" t="n"/>
      <c r="C676" s="7" t="n"/>
      <c r="D676" s="7" t="n"/>
      <c r="E676" s="7" t="n"/>
      <c r="F676" s="7" t="n"/>
      <c r="G676" s="7" t="n"/>
      <c r="H676" s="8" t="n"/>
      <c r="I676" s="9">
        <f>IF(H676="","",ROUND(H676/3.305785,3))</f>
        <v/>
      </c>
      <c r="J676" s="7" t="n"/>
      <c r="K676" s="7" t="n"/>
      <c r="L676" s="10">
        <f>IF(OR(J676="",K676="",K676=0),"",ROUND(J676/K676,6))</f>
        <v/>
      </c>
      <c r="M676" s="9">
        <f>IF(OR(H676="",J676="",K676="",K676=0),"",ROUND(H676*J676/K676/3.305785,3))</f>
        <v/>
      </c>
      <c r="N676" s="7" t="n"/>
      <c r="O676" s="11" t="n"/>
      <c r="P676" s="11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12">
        <f>IF(A676="","",IF(OR(B676="",C676="",D676="",E676="",G676="",H676="",J676="",K676=""),"必填欄位未完整",""))</f>
        <v/>
      </c>
      <c r="AB676" s="12">
        <f>IF(A676="","",A676&amp;"|"&amp;G676)</f>
        <v/>
      </c>
    </row>
    <row r="677" ht="24" customHeight="1">
      <c r="A677" s="7" t="n"/>
      <c r="B677" s="7" t="n"/>
      <c r="C677" s="7" t="n"/>
      <c r="D677" s="7" t="n"/>
      <c r="E677" s="7" t="n"/>
      <c r="F677" s="7" t="n"/>
      <c r="G677" s="7" t="n"/>
      <c r="H677" s="8" t="n"/>
      <c r="I677" s="9">
        <f>IF(H677="","",ROUND(H677/3.305785,3))</f>
        <v/>
      </c>
      <c r="J677" s="7" t="n"/>
      <c r="K677" s="7" t="n"/>
      <c r="L677" s="10">
        <f>IF(OR(J677="",K677="",K677=0),"",ROUND(J677/K677,6))</f>
        <v/>
      </c>
      <c r="M677" s="9">
        <f>IF(OR(H677="",J677="",K677="",K677=0),"",ROUND(H677*J677/K677/3.305785,3))</f>
        <v/>
      </c>
      <c r="N677" s="7" t="n"/>
      <c r="O677" s="11" t="n"/>
      <c r="P677" s="11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12">
        <f>IF(A677="","",IF(OR(B677="",C677="",D677="",E677="",G677="",H677="",J677="",K677=""),"必填欄位未完整",""))</f>
        <v/>
      </c>
      <c r="AB677" s="12">
        <f>IF(A677="","",A677&amp;"|"&amp;G677)</f>
        <v/>
      </c>
    </row>
    <row r="678" ht="24" customHeight="1">
      <c r="A678" s="7" t="n"/>
      <c r="B678" s="7" t="n"/>
      <c r="C678" s="7" t="n"/>
      <c r="D678" s="7" t="n"/>
      <c r="E678" s="7" t="n"/>
      <c r="F678" s="7" t="n"/>
      <c r="G678" s="7" t="n"/>
      <c r="H678" s="8" t="n"/>
      <c r="I678" s="9">
        <f>IF(H678="","",ROUND(H678/3.305785,3))</f>
        <v/>
      </c>
      <c r="J678" s="7" t="n"/>
      <c r="K678" s="7" t="n"/>
      <c r="L678" s="10">
        <f>IF(OR(J678="",K678="",K678=0),"",ROUND(J678/K678,6))</f>
        <v/>
      </c>
      <c r="M678" s="9">
        <f>IF(OR(H678="",J678="",K678="",K678=0),"",ROUND(H678*J678/K678/3.305785,3))</f>
        <v/>
      </c>
      <c r="N678" s="7" t="n"/>
      <c r="O678" s="11" t="n"/>
      <c r="P678" s="11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12">
        <f>IF(A678="","",IF(OR(B678="",C678="",D678="",E678="",G678="",H678="",J678="",K678=""),"必填欄位未完整",""))</f>
        <v/>
      </c>
      <c r="AB678" s="12">
        <f>IF(A678="","",A678&amp;"|"&amp;G678)</f>
        <v/>
      </c>
    </row>
    <row r="679" ht="24" customHeight="1">
      <c r="A679" s="7" t="n"/>
      <c r="B679" s="7" t="n"/>
      <c r="C679" s="7" t="n"/>
      <c r="D679" s="7" t="n"/>
      <c r="E679" s="7" t="n"/>
      <c r="F679" s="7" t="n"/>
      <c r="G679" s="7" t="n"/>
      <c r="H679" s="8" t="n"/>
      <c r="I679" s="9">
        <f>IF(H679="","",ROUND(H679/3.305785,3))</f>
        <v/>
      </c>
      <c r="J679" s="7" t="n"/>
      <c r="K679" s="7" t="n"/>
      <c r="L679" s="10">
        <f>IF(OR(J679="",K679="",K679=0),"",ROUND(J679/K679,6))</f>
        <v/>
      </c>
      <c r="M679" s="9">
        <f>IF(OR(H679="",J679="",K679="",K679=0),"",ROUND(H679*J679/K679/3.305785,3))</f>
        <v/>
      </c>
      <c r="N679" s="7" t="n"/>
      <c r="O679" s="11" t="n"/>
      <c r="P679" s="11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12">
        <f>IF(A679="","",IF(OR(B679="",C679="",D679="",E679="",G679="",H679="",J679="",K679=""),"必填欄位未完整",""))</f>
        <v/>
      </c>
      <c r="AB679" s="12">
        <f>IF(A679="","",A679&amp;"|"&amp;G679)</f>
        <v/>
      </c>
    </row>
    <row r="680" ht="24" customHeight="1">
      <c r="A680" s="7" t="n"/>
      <c r="B680" s="7" t="n"/>
      <c r="C680" s="7" t="n"/>
      <c r="D680" s="7" t="n"/>
      <c r="E680" s="7" t="n"/>
      <c r="F680" s="7" t="n"/>
      <c r="G680" s="7" t="n"/>
      <c r="H680" s="8" t="n"/>
      <c r="I680" s="9">
        <f>IF(H680="","",ROUND(H680/3.305785,3))</f>
        <v/>
      </c>
      <c r="J680" s="7" t="n"/>
      <c r="K680" s="7" t="n"/>
      <c r="L680" s="10">
        <f>IF(OR(J680="",K680="",K680=0),"",ROUND(J680/K680,6))</f>
        <v/>
      </c>
      <c r="M680" s="9">
        <f>IF(OR(H680="",J680="",K680="",K680=0),"",ROUND(H680*J680/K680/3.305785,3))</f>
        <v/>
      </c>
      <c r="N680" s="7" t="n"/>
      <c r="O680" s="11" t="n"/>
      <c r="P680" s="11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12">
        <f>IF(A680="","",IF(OR(B680="",C680="",D680="",E680="",G680="",H680="",J680="",K680=""),"必填欄位未完整",""))</f>
        <v/>
      </c>
      <c r="AB680" s="12">
        <f>IF(A680="","",A680&amp;"|"&amp;G680)</f>
        <v/>
      </c>
    </row>
    <row r="681" ht="24" customHeight="1">
      <c r="A681" s="7" t="n"/>
      <c r="B681" s="7" t="n"/>
      <c r="C681" s="7" t="n"/>
      <c r="D681" s="7" t="n"/>
      <c r="E681" s="7" t="n"/>
      <c r="F681" s="7" t="n"/>
      <c r="G681" s="7" t="n"/>
      <c r="H681" s="8" t="n"/>
      <c r="I681" s="9">
        <f>IF(H681="","",ROUND(H681/3.305785,3))</f>
        <v/>
      </c>
      <c r="J681" s="7" t="n"/>
      <c r="K681" s="7" t="n"/>
      <c r="L681" s="10">
        <f>IF(OR(J681="",K681="",K681=0),"",ROUND(J681/K681,6))</f>
        <v/>
      </c>
      <c r="M681" s="9">
        <f>IF(OR(H681="",J681="",K681="",K681=0),"",ROUND(H681*J681/K681/3.305785,3))</f>
        <v/>
      </c>
      <c r="N681" s="7" t="n"/>
      <c r="O681" s="11" t="n"/>
      <c r="P681" s="11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12">
        <f>IF(A681="","",IF(OR(B681="",C681="",D681="",E681="",G681="",H681="",J681="",K681=""),"必填欄位未完整",""))</f>
        <v/>
      </c>
      <c r="AB681" s="12">
        <f>IF(A681="","",A681&amp;"|"&amp;G681)</f>
        <v/>
      </c>
    </row>
    <row r="682" ht="24" customHeight="1">
      <c r="A682" s="7" t="n"/>
      <c r="B682" s="7" t="n"/>
      <c r="C682" s="7" t="n"/>
      <c r="D682" s="7" t="n"/>
      <c r="E682" s="7" t="n"/>
      <c r="F682" s="7" t="n"/>
      <c r="G682" s="7" t="n"/>
      <c r="H682" s="8" t="n"/>
      <c r="I682" s="9">
        <f>IF(H682="","",ROUND(H682/3.305785,3))</f>
        <v/>
      </c>
      <c r="J682" s="7" t="n"/>
      <c r="K682" s="7" t="n"/>
      <c r="L682" s="10">
        <f>IF(OR(J682="",K682="",K682=0),"",ROUND(J682/K682,6))</f>
        <v/>
      </c>
      <c r="M682" s="9">
        <f>IF(OR(H682="",J682="",K682="",K682=0),"",ROUND(H682*J682/K682/3.305785,3))</f>
        <v/>
      </c>
      <c r="N682" s="7" t="n"/>
      <c r="O682" s="11" t="n"/>
      <c r="P682" s="11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12">
        <f>IF(A682="","",IF(OR(B682="",C682="",D682="",E682="",G682="",H682="",J682="",K682=""),"必填欄位未完整",""))</f>
        <v/>
      </c>
      <c r="AB682" s="12">
        <f>IF(A682="","",A682&amp;"|"&amp;G682)</f>
        <v/>
      </c>
    </row>
    <row r="683" ht="24" customHeight="1">
      <c r="A683" s="7" t="n"/>
      <c r="B683" s="7" t="n"/>
      <c r="C683" s="7" t="n"/>
      <c r="D683" s="7" t="n"/>
      <c r="E683" s="7" t="n"/>
      <c r="F683" s="7" t="n"/>
      <c r="G683" s="7" t="n"/>
      <c r="H683" s="8" t="n"/>
      <c r="I683" s="9">
        <f>IF(H683="","",ROUND(H683/3.305785,3))</f>
        <v/>
      </c>
      <c r="J683" s="7" t="n"/>
      <c r="K683" s="7" t="n"/>
      <c r="L683" s="10">
        <f>IF(OR(J683="",K683="",K683=0),"",ROUND(J683/K683,6))</f>
        <v/>
      </c>
      <c r="M683" s="9">
        <f>IF(OR(H683="",J683="",K683="",K683=0),"",ROUND(H683*J683/K683/3.305785,3))</f>
        <v/>
      </c>
      <c r="N683" s="7" t="n"/>
      <c r="O683" s="11" t="n"/>
      <c r="P683" s="11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12">
        <f>IF(A683="","",IF(OR(B683="",C683="",D683="",E683="",G683="",H683="",J683="",K683=""),"必填欄位未完整",""))</f>
        <v/>
      </c>
      <c r="AB683" s="12">
        <f>IF(A683="","",A683&amp;"|"&amp;G683)</f>
        <v/>
      </c>
    </row>
    <row r="684" ht="24" customHeight="1">
      <c r="A684" s="7" t="n"/>
      <c r="B684" s="7" t="n"/>
      <c r="C684" s="7" t="n"/>
      <c r="D684" s="7" t="n"/>
      <c r="E684" s="7" t="n"/>
      <c r="F684" s="7" t="n"/>
      <c r="G684" s="7" t="n"/>
      <c r="H684" s="8" t="n"/>
      <c r="I684" s="9">
        <f>IF(H684="","",ROUND(H684/3.305785,3))</f>
        <v/>
      </c>
      <c r="J684" s="7" t="n"/>
      <c r="K684" s="7" t="n"/>
      <c r="L684" s="10">
        <f>IF(OR(J684="",K684="",K684=0),"",ROUND(J684/K684,6))</f>
        <v/>
      </c>
      <c r="M684" s="9">
        <f>IF(OR(H684="",J684="",K684="",K684=0),"",ROUND(H684*J684/K684/3.305785,3))</f>
        <v/>
      </c>
      <c r="N684" s="7" t="n"/>
      <c r="O684" s="11" t="n"/>
      <c r="P684" s="11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12">
        <f>IF(A684="","",IF(OR(B684="",C684="",D684="",E684="",G684="",H684="",J684="",K684=""),"必填欄位未完整",""))</f>
        <v/>
      </c>
      <c r="AB684" s="12">
        <f>IF(A684="","",A684&amp;"|"&amp;G684)</f>
        <v/>
      </c>
    </row>
    <row r="685" ht="24" customHeight="1">
      <c r="A685" s="7" t="n"/>
      <c r="B685" s="7" t="n"/>
      <c r="C685" s="7" t="n"/>
      <c r="D685" s="7" t="n"/>
      <c r="E685" s="7" t="n"/>
      <c r="F685" s="7" t="n"/>
      <c r="G685" s="7" t="n"/>
      <c r="H685" s="8" t="n"/>
      <c r="I685" s="9">
        <f>IF(H685="","",ROUND(H685/3.305785,3))</f>
        <v/>
      </c>
      <c r="J685" s="7" t="n"/>
      <c r="K685" s="7" t="n"/>
      <c r="L685" s="10">
        <f>IF(OR(J685="",K685="",K685=0),"",ROUND(J685/K685,6))</f>
        <v/>
      </c>
      <c r="M685" s="9">
        <f>IF(OR(H685="",J685="",K685="",K685=0),"",ROUND(H685*J685/K685/3.305785,3))</f>
        <v/>
      </c>
      <c r="N685" s="7" t="n"/>
      <c r="O685" s="11" t="n"/>
      <c r="P685" s="11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12">
        <f>IF(A685="","",IF(OR(B685="",C685="",D685="",E685="",G685="",H685="",J685="",K685=""),"必填欄位未完整",""))</f>
        <v/>
      </c>
      <c r="AB685" s="12">
        <f>IF(A685="","",A685&amp;"|"&amp;G685)</f>
        <v/>
      </c>
    </row>
    <row r="686" ht="24" customHeight="1">
      <c r="A686" s="7" t="n"/>
      <c r="B686" s="7" t="n"/>
      <c r="C686" s="7" t="n"/>
      <c r="D686" s="7" t="n"/>
      <c r="E686" s="7" t="n"/>
      <c r="F686" s="7" t="n"/>
      <c r="G686" s="7" t="n"/>
      <c r="H686" s="8" t="n"/>
      <c r="I686" s="9">
        <f>IF(H686="","",ROUND(H686/3.305785,3))</f>
        <v/>
      </c>
      <c r="J686" s="7" t="n"/>
      <c r="K686" s="7" t="n"/>
      <c r="L686" s="10">
        <f>IF(OR(J686="",K686="",K686=0),"",ROUND(J686/K686,6))</f>
        <v/>
      </c>
      <c r="M686" s="9">
        <f>IF(OR(H686="",J686="",K686="",K686=0),"",ROUND(H686*J686/K686/3.305785,3))</f>
        <v/>
      </c>
      <c r="N686" s="7" t="n"/>
      <c r="O686" s="11" t="n"/>
      <c r="P686" s="11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12">
        <f>IF(A686="","",IF(OR(B686="",C686="",D686="",E686="",G686="",H686="",J686="",K686=""),"必填欄位未完整",""))</f>
        <v/>
      </c>
      <c r="AB686" s="12">
        <f>IF(A686="","",A686&amp;"|"&amp;G686)</f>
        <v/>
      </c>
    </row>
    <row r="687" ht="24" customHeight="1">
      <c r="A687" s="7" t="n"/>
      <c r="B687" s="7" t="n"/>
      <c r="C687" s="7" t="n"/>
      <c r="D687" s="7" t="n"/>
      <c r="E687" s="7" t="n"/>
      <c r="F687" s="7" t="n"/>
      <c r="G687" s="7" t="n"/>
      <c r="H687" s="8" t="n"/>
      <c r="I687" s="9">
        <f>IF(H687="","",ROUND(H687/3.305785,3))</f>
        <v/>
      </c>
      <c r="J687" s="7" t="n"/>
      <c r="K687" s="7" t="n"/>
      <c r="L687" s="10">
        <f>IF(OR(J687="",K687="",K687=0),"",ROUND(J687/K687,6))</f>
        <v/>
      </c>
      <c r="M687" s="9">
        <f>IF(OR(H687="",J687="",K687="",K687=0),"",ROUND(H687*J687/K687/3.305785,3))</f>
        <v/>
      </c>
      <c r="N687" s="7" t="n"/>
      <c r="O687" s="11" t="n"/>
      <c r="P687" s="11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12">
        <f>IF(A687="","",IF(OR(B687="",C687="",D687="",E687="",G687="",H687="",J687="",K687=""),"必填欄位未完整",""))</f>
        <v/>
      </c>
      <c r="AB687" s="12">
        <f>IF(A687="","",A687&amp;"|"&amp;G687)</f>
        <v/>
      </c>
    </row>
    <row r="688" ht="24" customHeight="1">
      <c r="A688" s="7" t="n"/>
      <c r="B688" s="7" t="n"/>
      <c r="C688" s="7" t="n"/>
      <c r="D688" s="7" t="n"/>
      <c r="E688" s="7" t="n"/>
      <c r="F688" s="7" t="n"/>
      <c r="G688" s="7" t="n"/>
      <c r="H688" s="8" t="n"/>
      <c r="I688" s="9">
        <f>IF(H688="","",ROUND(H688/3.305785,3))</f>
        <v/>
      </c>
      <c r="J688" s="7" t="n"/>
      <c r="K688" s="7" t="n"/>
      <c r="L688" s="10">
        <f>IF(OR(J688="",K688="",K688=0),"",ROUND(J688/K688,6))</f>
        <v/>
      </c>
      <c r="M688" s="9">
        <f>IF(OR(H688="",J688="",K688="",K688=0),"",ROUND(H688*J688/K688/3.305785,3))</f>
        <v/>
      </c>
      <c r="N688" s="7" t="n"/>
      <c r="O688" s="11" t="n"/>
      <c r="P688" s="11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12">
        <f>IF(A688="","",IF(OR(B688="",C688="",D688="",E688="",G688="",H688="",J688="",K688=""),"必填欄位未完整",""))</f>
        <v/>
      </c>
      <c r="AB688" s="12">
        <f>IF(A688="","",A688&amp;"|"&amp;G688)</f>
        <v/>
      </c>
    </row>
    <row r="689" ht="24" customHeight="1">
      <c r="A689" s="7" t="n"/>
      <c r="B689" s="7" t="n"/>
      <c r="C689" s="7" t="n"/>
      <c r="D689" s="7" t="n"/>
      <c r="E689" s="7" t="n"/>
      <c r="F689" s="7" t="n"/>
      <c r="G689" s="7" t="n"/>
      <c r="H689" s="8" t="n"/>
      <c r="I689" s="9">
        <f>IF(H689="","",ROUND(H689/3.305785,3))</f>
        <v/>
      </c>
      <c r="J689" s="7" t="n"/>
      <c r="K689" s="7" t="n"/>
      <c r="L689" s="10">
        <f>IF(OR(J689="",K689="",K689=0),"",ROUND(J689/K689,6))</f>
        <v/>
      </c>
      <c r="M689" s="9">
        <f>IF(OR(H689="",J689="",K689="",K689=0),"",ROUND(H689*J689/K689/3.305785,3))</f>
        <v/>
      </c>
      <c r="N689" s="7" t="n"/>
      <c r="O689" s="11" t="n"/>
      <c r="P689" s="11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12">
        <f>IF(A689="","",IF(OR(B689="",C689="",D689="",E689="",G689="",H689="",J689="",K689=""),"必填欄位未完整",""))</f>
        <v/>
      </c>
      <c r="AB689" s="12">
        <f>IF(A689="","",A689&amp;"|"&amp;G689)</f>
        <v/>
      </c>
    </row>
    <row r="690" ht="24" customHeight="1">
      <c r="A690" s="7" t="n"/>
      <c r="B690" s="7" t="n"/>
      <c r="C690" s="7" t="n"/>
      <c r="D690" s="7" t="n"/>
      <c r="E690" s="7" t="n"/>
      <c r="F690" s="7" t="n"/>
      <c r="G690" s="7" t="n"/>
      <c r="H690" s="8" t="n"/>
      <c r="I690" s="9">
        <f>IF(H690="","",ROUND(H690/3.305785,3))</f>
        <v/>
      </c>
      <c r="J690" s="7" t="n"/>
      <c r="K690" s="7" t="n"/>
      <c r="L690" s="10">
        <f>IF(OR(J690="",K690="",K690=0),"",ROUND(J690/K690,6))</f>
        <v/>
      </c>
      <c r="M690" s="9">
        <f>IF(OR(H690="",J690="",K690="",K690=0),"",ROUND(H690*J690/K690/3.305785,3))</f>
        <v/>
      </c>
      <c r="N690" s="7" t="n"/>
      <c r="O690" s="11" t="n"/>
      <c r="P690" s="11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12">
        <f>IF(A690="","",IF(OR(B690="",C690="",D690="",E690="",G690="",H690="",J690="",K690=""),"必填欄位未完整",""))</f>
        <v/>
      </c>
      <c r="AB690" s="12">
        <f>IF(A690="","",A690&amp;"|"&amp;G690)</f>
        <v/>
      </c>
    </row>
    <row r="691" ht="24" customHeight="1">
      <c r="A691" s="7" t="n"/>
      <c r="B691" s="7" t="n"/>
      <c r="C691" s="7" t="n"/>
      <c r="D691" s="7" t="n"/>
      <c r="E691" s="7" t="n"/>
      <c r="F691" s="7" t="n"/>
      <c r="G691" s="7" t="n"/>
      <c r="H691" s="8" t="n"/>
      <c r="I691" s="9">
        <f>IF(H691="","",ROUND(H691/3.305785,3))</f>
        <v/>
      </c>
      <c r="J691" s="7" t="n"/>
      <c r="K691" s="7" t="n"/>
      <c r="L691" s="10">
        <f>IF(OR(J691="",K691="",K691=0),"",ROUND(J691/K691,6))</f>
        <v/>
      </c>
      <c r="M691" s="9">
        <f>IF(OR(H691="",J691="",K691="",K691=0),"",ROUND(H691*J691/K691/3.305785,3))</f>
        <v/>
      </c>
      <c r="N691" s="7" t="n"/>
      <c r="O691" s="11" t="n"/>
      <c r="P691" s="11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12">
        <f>IF(A691="","",IF(OR(B691="",C691="",D691="",E691="",G691="",H691="",J691="",K691=""),"必填欄位未完整",""))</f>
        <v/>
      </c>
      <c r="AB691" s="12">
        <f>IF(A691="","",A691&amp;"|"&amp;G691)</f>
        <v/>
      </c>
    </row>
    <row r="692" ht="24" customHeight="1">
      <c r="A692" s="7" t="n"/>
      <c r="B692" s="7" t="n"/>
      <c r="C692" s="7" t="n"/>
      <c r="D692" s="7" t="n"/>
      <c r="E692" s="7" t="n"/>
      <c r="F692" s="7" t="n"/>
      <c r="G692" s="7" t="n"/>
      <c r="H692" s="8" t="n"/>
      <c r="I692" s="9">
        <f>IF(H692="","",ROUND(H692/3.305785,3))</f>
        <v/>
      </c>
      <c r="J692" s="7" t="n"/>
      <c r="K692" s="7" t="n"/>
      <c r="L692" s="10">
        <f>IF(OR(J692="",K692="",K692=0),"",ROUND(J692/K692,6))</f>
        <v/>
      </c>
      <c r="M692" s="9">
        <f>IF(OR(H692="",J692="",K692="",K692=0),"",ROUND(H692*J692/K692/3.305785,3))</f>
        <v/>
      </c>
      <c r="N692" s="7" t="n"/>
      <c r="O692" s="11" t="n"/>
      <c r="P692" s="11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12">
        <f>IF(A692="","",IF(OR(B692="",C692="",D692="",E692="",G692="",H692="",J692="",K692=""),"必填欄位未完整",""))</f>
        <v/>
      </c>
      <c r="AB692" s="12">
        <f>IF(A692="","",A692&amp;"|"&amp;G692)</f>
        <v/>
      </c>
    </row>
    <row r="693" ht="24" customHeight="1">
      <c r="A693" s="7" t="n"/>
      <c r="B693" s="7" t="n"/>
      <c r="C693" s="7" t="n"/>
      <c r="D693" s="7" t="n"/>
      <c r="E693" s="7" t="n"/>
      <c r="F693" s="7" t="n"/>
      <c r="G693" s="7" t="n"/>
      <c r="H693" s="8" t="n"/>
      <c r="I693" s="9">
        <f>IF(H693="","",ROUND(H693/3.305785,3))</f>
        <v/>
      </c>
      <c r="J693" s="7" t="n"/>
      <c r="K693" s="7" t="n"/>
      <c r="L693" s="10">
        <f>IF(OR(J693="",K693="",K693=0),"",ROUND(J693/K693,6))</f>
        <v/>
      </c>
      <c r="M693" s="9">
        <f>IF(OR(H693="",J693="",K693="",K693=0),"",ROUND(H693*J693/K693/3.305785,3))</f>
        <v/>
      </c>
      <c r="N693" s="7" t="n"/>
      <c r="O693" s="11" t="n"/>
      <c r="P693" s="11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12">
        <f>IF(A693="","",IF(OR(B693="",C693="",D693="",E693="",G693="",H693="",J693="",K693=""),"必填欄位未完整",""))</f>
        <v/>
      </c>
      <c r="AB693" s="12">
        <f>IF(A693="","",A693&amp;"|"&amp;G693)</f>
        <v/>
      </c>
    </row>
    <row r="694" ht="24" customHeight="1">
      <c r="A694" s="7" t="n"/>
      <c r="B694" s="7" t="n"/>
      <c r="C694" s="7" t="n"/>
      <c r="D694" s="7" t="n"/>
      <c r="E694" s="7" t="n"/>
      <c r="F694" s="7" t="n"/>
      <c r="G694" s="7" t="n"/>
      <c r="H694" s="8" t="n"/>
      <c r="I694" s="9">
        <f>IF(H694="","",ROUND(H694/3.305785,3))</f>
        <v/>
      </c>
      <c r="J694" s="7" t="n"/>
      <c r="K694" s="7" t="n"/>
      <c r="L694" s="10">
        <f>IF(OR(J694="",K694="",K694=0),"",ROUND(J694/K694,6))</f>
        <v/>
      </c>
      <c r="M694" s="9">
        <f>IF(OR(H694="",J694="",K694="",K694=0),"",ROUND(H694*J694/K694/3.305785,3))</f>
        <v/>
      </c>
      <c r="N694" s="7" t="n"/>
      <c r="O694" s="11" t="n"/>
      <c r="P694" s="11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12">
        <f>IF(A694="","",IF(OR(B694="",C694="",D694="",E694="",G694="",H694="",J694="",K694=""),"必填欄位未完整",""))</f>
        <v/>
      </c>
      <c r="AB694" s="12">
        <f>IF(A694="","",A694&amp;"|"&amp;G694)</f>
        <v/>
      </c>
    </row>
    <row r="695" ht="24" customHeight="1">
      <c r="A695" s="7" t="n"/>
      <c r="B695" s="7" t="n"/>
      <c r="C695" s="7" t="n"/>
      <c r="D695" s="7" t="n"/>
      <c r="E695" s="7" t="n"/>
      <c r="F695" s="7" t="n"/>
      <c r="G695" s="7" t="n"/>
      <c r="H695" s="8" t="n"/>
      <c r="I695" s="9">
        <f>IF(H695="","",ROUND(H695/3.305785,3))</f>
        <v/>
      </c>
      <c r="J695" s="7" t="n"/>
      <c r="K695" s="7" t="n"/>
      <c r="L695" s="10">
        <f>IF(OR(J695="",K695="",K695=0),"",ROUND(J695/K695,6))</f>
        <v/>
      </c>
      <c r="M695" s="9">
        <f>IF(OR(H695="",J695="",K695="",K695=0),"",ROUND(H695*J695/K695/3.305785,3))</f>
        <v/>
      </c>
      <c r="N695" s="7" t="n"/>
      <c r="O695" s="11" t="n"/>
      <c r="P695" s="11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12">
        <f>IF(A695="","",IF(OR(B695="",C695="",D695="",E695="",G695="",H695="",J695="",K695=""),"必填欄位未完整",""))</f>
        <v/>
      </c>
      <c r="AB695" s="12">
        <f>IF(A695="","",A695&amp;"|"&amp;G695)</f>
        <v/>
      </c>
    </row>
    <row r="696" ht="24" customHeight="1">
      <c r="A696" s="7" t="n"/>
      <c r="B696" s="7" t="n"/>
      <c r="C696" s="7" t="n"/>
      <c r="D696" s="7" t="n"/>
      <c r="E696" s="7" t="n"/>
      <c r="F696" s="7" t="n"/>
      <c r="G696" s="7" t="n"/>
      <c r="H696" s="8" t="n"/>
      <c r="I696" s="9">
        <f>IF(H696="","",ROUND(H696/3.305785,3))</f>
        <v/>
      </c>
      <c r="J696" s="7" t="n"/>
      <c r="K696" s="7" t="n"/>
      <c r="L696" s="10">
        <f>IF(OR(J696="",K696="",K696=0),"",ROUND(J696/K696,6))</f>
        <v/>
      </c>
      <c r="M696" s="9">
        <f>IF(OR(H696="",J696="",K696="",K696=0),"",ROUND(H696*J696/K696/3.305785,3))</f>
        <v/>
      </c>
      <c r="N696" s="7" t="n"/>
      <c r="O696" s="11" t="n"/>
      <c r="P696" s="11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12">
        <f>IF(A696="","",IF(OR(B696="",C696="",D696="",E696="",G696="",H696="",J696="",K696=""),"必填欄位未完整",""))</f>
        <v/>
      </c>
      <c r="AB696" s="12">
        <f>IF(A696="","",A696&amp;"|"&amp;G696)</f>
        <v/>
      </c>
    </row>
    <row r="697" ht="24" customHeight="1">
      <c r="A697" s="7" t="n"/>
      <c r="B697" s="7" t="n"/>
      <c r="C697" s="7" t="n"/>
      <c r="D697" s="7" t="n"/>
      <c r="E697" s="7" t="n"/>
      <c r="F697" s="7" t="n"/>
      <c r="G697" s="7" t="n"/>
      <c r="H697" s="8" t="n"/>
      <c r="I697" s="9">
        <f>IF(H697="","",ROUND(H697/3.305785,3))</f>
        <v/>
      </c>
      <c r="J697" s="7" t="n"/>
      <c r="K697" s="7" t="n"/>
      <c r="L697" s="10">
        <f>IF(OR(J697="",K697="",K697=0),"",ROUND(J697/K697,6))</f>
        <v/>
      </c>
      <c r="M697" s="9">
        <f>IF(OR(H697="",J697="",K697="",K697=0),"",ROUND(H697*J697/K697/3.305785,3))</f>
        <v/>
      </c>
      <c r="N697" s="7" t="n"/>
      <c r="O697" s="11" t="n"/>
      <c r="P697" s="11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12">
        <f>IF(A697="","",IF(OR(B697="",C697="",D697="",E697="",G697="",H697="",J697="",K697=""),"必填欄位未完整",""))</f>
        <v/>
      </c>
      <c r="AB697" s="12">
        <f>IF(A697="","",A697&amp;"|"&amp;G697)</f>
        <v/>
      </c>
    </row>
    <row r="698" ht="24" customHeight="1">
      <c r="A698" s="7" t="n"/>
      <c r="B698" s="7" t="n"/>
      <c r="C698" s="7" t="n"/>
      <c r="D698" s="7" t="n"/>
      <c r="E698" s="7" t="n"/>
      <c r="F698" s="7" t="n"/>
      <c r="G698" s="7" t="n"/>
      <c r="H698" s="8" t="n"/>
      <c r="I698" s="9">
        <f>IF(H698="","",ROUND(H698/3.305785,3))</f>
        <v/>
      </c>
      <c r="J698" s="7" t="n"/>
      <c r="K698" s="7" t="n"/>
      <c r="L698" s="10">
        <f>IF(OR(J698="",K698="",K698=0),"",ROUND(J698/K698,6))</f>
        <v/>
      </c>
      <c r="M698" s="9">
        <f>IF(OR(H698="",J698="",K698="",K698=0),"",ROUND(H698*J698/K698/3.305785,3))</f>
        <v/>
      </c>
      <c r="N698" s="7" t="n"/>
      <c r="O698" s="11" t="n"/>
      <c r="P698" s="11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12">
        <f>IF(A698="","",IF(OR(B698="",C698="",D698="",E698="",G698="",H698="",J698="",K698=""),"必填欄位未完整",""))</f>
        <v/>
      </c>
      <c r="AB698" s="12">
        <f>IF(A698="","",A698&amp;"|"&amp;G698)</f>
        <v/>
      </c>
    </row>
    <row r="699" ht="24" customHeight="1">
      <c r="A699" s="7" t="n"/>
      <c r="B699" s="7" t="n"/>
      <c r="C699" s="7" t="n"/>
      <c r="D699" s="7" t="n"/>
      <c r="E699" s="7" t="n"/>
      <c r="F699" s="7" t="n"/>
      <c r="G699" s="7" t="n"/>
      <c r="H699" s="8" t="n"/>
      <c r="I699" s="9">
        <f>IF(H699="","",ROUND(H699/3.305785,3))</f>
        <v/>
      </c>
      <c r="J699" s="7" t="n"/>
      <c r="K699" s="7" t="n"/>
      <c r="L699" s="10">
        <f>IF(OR(J699="",K699="",K699=0),"",ROUND(J699/K699,6))</f>
        <v/>
      </c>
      <c r="M699" s="9">
        <f>IF(OR(H699="",J699="",K699="",K699=0),"",ROUND(H699*J699/K699/3.305785,3))</f>
        <v/>
      </c>
      <c r="N699" s="7" t="n"/>
      <c r="O699" s="11" t="n"/>
      <c r="P699" s="11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12">
        <f>IF(A699="","",IF(OR(B699="",C699="",D699="",E699="",G699="",H699="",J699="",K699=""),"必填欄位未完整",""))</f>
        <v/>
      </c>
      <c r="AB699" s="12">
        <f>IF(A699="","",A699&amp;"|"&amp;G699)</f>
        <v/>
      </c>
    </row>
    <row r="700" ht="24" customHeight="1">
      <c r="A700" s="7" t="n"/>
      <c r="B700" s="7" t="n"/>
      <c r="C700" s="7" t="n"/>
      <c r="D700" s="7" t="n"/>
      <c r="E700" s="7" t="n"/>
      <c r="F700" s="7" t="n"/>
      <c r="G700" s="7" t="n"/>
      <c r="H700" s="8" t="n"/>
      <c r="I700" s="9">
        <f>IF(H700="","",ROUND(H700/3.305785,3))</f>
        <v/>
      </c>
      <c r="J700" s="7" t="n"/>
      <c r="K700" s="7" t="n"/>
      <c r="L700" s="10">
        <f>IF(OR(J700="",K700="",K700=0),"",ROUND(J700/K700,6))</f>
        <v/>
      </c>
      <c r="M700" s="9">
        <f>IF(OR(H700="",J700="",K700="",K700=0),"",ROUND(H700*J700/K700/3.305785,3))</f>
        <v/>
      </c>
      <c r="N700" s="7" t="n"/>
      <c r="O700" s="11" t="n"/>
      <c r="P700" s="11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12">
        <f>IF(A700="","",IF(OR(B700="",C700="",D700="",E700="",G700="",H700="",J700="",K700=""),"必填欄位未完整",""))</f>
        <v/>
      </c>
      <c r="AB700" s="12">
        <f>IF(A700="","",A700&amp;"|"&amp;G700)</f>
        <v/>
      </c>
    </row>
    <row r="701" ht="24" customHeight="1">
      <c r="A701" s="7" t="n"/>
      <c r="B701" s="7" t="n"/>
      <c r="C701" s="7" t="n"/>
      <c r="D701" s="7" t="n"/>
      <c r="E701" s="7" t="n"/>
      <c r="F701" s="7" t="n"/>
      <c r="G701" s="7" t="n"/>
      <c r="H701" s="8" t="n"/>
      <c r="I701" s="9">
        <f>IF(H701="","",ROUND(H701/3.305785,3))</f>
        <v/>
      </c>
      <c r="J701" s="7" t="n"/>
      <c r="K701" s="7" t="n"/>
      <c r="L701" s="10">
        <f>IF(OR(J701="",K701="",K701=0),"",ROUND(J701/K701,6))</f>
        <v/>
      </c>
      <c r="M701" s="9">
        <f>IF(OR(H701="",J701="",K701="",K701=0),"",ROUND(H701*J701/K701/3.305785,3))</f>
        <v/>
      </c>
      <c r="N701" s="7" t="n"/>
      <c r="O701" s="11" t="n"/>
      <c r="P701" s="11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12">
        <f>IF(A701="","",IF(OR(B701="",C701="",D701="",E701="",G701="",H701="",J701="",K701=""),"必填欄位未完整",""))</f>
        <v/>
      </c>
      <c r="AB701" s="12">
        <f>IF(A701="","",A701&amp;"|"&amp;G701)</f>
        <v/>
      </c>
    </row>
    <row r="702" ht="24" customHeight="1">
      <c r="A702" s="7" t="n"/>
      <c r="B702" s="7" t="n"/>
      <c r="C702" s="7" t="n"/>
      <c r="D702" s="7" t="n"/>
      <c r="E702" s="7" t="n"/>
      <c r="F702" s="7" t="n"/>
      <c r="G702" s="7" t="n"/>
      <c r="H702" s="8" t="n"/>
      <c r="I702" s="9">
        <f>IF(H702="","",ROUND(H702/3.305785,3))</f>
        <v/>
      </c>
      <c r="J702" s="7" t="n"/>
      <c r="K702" s="7" t="n"/>
      <c r="L702" s="10">
        <f>IF(OR(J702="",K702="",K702=0),"",ROUND(J702/K702,6))</f>
        <v/>
      </c>
      <c r="M702" s="9">
        <f>IF(OR(H702="",J702="",K702="",K702=0),"",ROUND(H702*J702/K702/3.305785,3))</f>
        <v/>
      </c>
      <c r="N702" s="7" t="n"/>
      <c r="O702" s="11" t="n"/>
      <c r="P702" s="11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12">
        <f>IF(A702="","",IF(OR(B702="",C702="",D702="",E702="",G702="",H702="",J702="",K702=""),"必填欄位未完整",""))</f>
        <v/>
      </c>
      <c r="AB702" s="12">
        <f>IF(A702="","",A702&amp;"|"&amp;G702)</f>
        <v/>
      </c>
    </row>
    <row r="703" ht="24" customHeight="1">
      <c r="A703" s="7" t="n"/>
      <c r="B703" s="7" t="n"/>
      <c r="C703" s="7" t="n"/>
      <c r="D703" s="7" t="n"/>
      <c r="E703" s="7" t="n"/>
      <c r="F703" s="7" t="n"/>
      <c r="G703" s="7" t="n"/>
      <c r="H703" s="8" t="n"/>
      <c r="I703" s="9">
        <f>IF(H703="","",ROUND(H703/3.305785,3))</f>
        <v/>
      </c>
      <c r="J703" s="7" t="n"/>
      <c r="K703" s="7" t="n"/>
      <c r="L703" s="10">
        <f>IF(OR(J703="",K703="",K703=0),"",ROUND(J703/K703,6))</f>
        <v/>
      </c>
      <c r="M703" s="9">
        <f>IF(OR(H703="",J703="",K703="",K703=0),"",ROUND(H703*J703/K703/3.305785,3))</f>
        <v/>
      </c>
      <c r="N703" s="7" t="n"/>
      <c r="O703" s="11" t="n"/>
      <c r="P703" s="11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12">
        <f>IF(A703="","",IF(OR(B703="",C703="",D703="",E703="",G703="",H703="",J703="",K703=""),"必填欄位未完整",""))</f>
        <v/>
      </c>
      <c r="AB703" s="12">
        <f>IF(A703="","",A703&amp;"|"&amp;G703)</f>
        <v/>
      </c>
    </row>
    <row r="704" ht="24" customHeight="1">
      <c r="A704" s="7" t="n"/>
      <c r="B704" s="7" t="n"/>
      <c r="C704" s="7" t="n"/>
      <c r="D704" s="7" t="n"/>
      <c r="E704" s="7" t="n"/>
      <c r="F704" s="7" t="n"/>
      <c r="G704" s="7" t="n"/>
      <c r="H704" s="8" t="n"/>
      <c r="I704" s="9">
        <f>IF(H704="","",ROUND(H704/3.305785,3))</f>
        <v/>
      </c>
      <c r="J704" s="7" t="n"/>
      <c r="K704" s="7" t="n"/>
      <c r="L704" s="10">
        <f>IF(OR(J704="",K704="",K704=0),"",ROUND(J704/K704,6))</f>
        <v/>
      </c>
      <c r="M704" s="9">
        <f>IF(OR(H704="",J704="",K704="",K704=0),"",ROUND(H704*J704/K704/3.305785,3))</f>
        <v/>
      </c>
      <c r="N704" s="7" t="n"/>
      <c r="O704" s="11" t="n"/>
      <c r="P704" s="11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12">
        <f>IF(A704="","",IF(OR(B704="",C704="",D704="",E704="",G704="",H704="",J704="",K704=""),"必填欄位未完整",""))</f>
        <v/>
      </c>
      <c r="AB704" s="12">
        <f>IF(A704="","",A704&amp;"|"&amp;G704)</f>
        <v/>
      </c>
    </row>
    <row r="705" ht="24" customHeight="1">
      <c r="A705" s="7" t="n"/>
      <c r="B705" s="7" t="n"/>
      <c r="C705" s="7" t="n"/>
      <c r="D705" s="7" t="n"/>
      <c r="E705" s="7" t="n"/>
      <c r="F705" s="7" t="n"/>
      <c r="G705" s="7" t="n"/>
      <c r="H705" s="8" t="n"/>
      <c r="I705" s="9">
        <f>IF(H705="","",ROUND(H705/3.305785,3))</f>
        <v/>
      </c>
      <c r="J705" s="7" t="n"/>
      <c r="K705" s="7" t="n"/>
      <c r="L705" s="10">
        <f>IF(OR(J705="",K705="",K705=0),"",ROUND(J705/K705,6))</f>
        <v/>
      </c>
      <c r="M705" s="9">
        <f>IF(OR(H705="",J705="",K705="",K705=0),"",ROUND(H705*J705/K705/3.305785,3))</f>
        <v/>
      </c>
      <c r="N705" s="7" t="n"/>
      <c r="O705" s="11" t="n"/>
      <c r="P705" s="11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12">
        <f>IF(A705="","",IF(OR(B705="",C705="",D705="",E705="",G705="",H705="",J705="",K705=""),"必填欄位未完整",""))</f>
        <v/>
      </c>
      <c r="AB705" s="12">
        <f>IF(A705="","",A705&amp;"|"&amp;G705)</f>
        <v/>
      </c>
    </row>
    <row r="706" ht="24" customHeight="1">
      <c r="A706" s="7" t="n"/>
      <c r="B706" s="7" t="n"/>
      <c r="C706" s="7" t="n"/>
      <c r="D706" s="7" t="n"/>
      <c r="E706" s="7" t="n"/>
      <c r="F706" s="7" t="n"/>
      <c r="G706" s="7" t="n"/>
      <c r="H706" s="8" t="n"/>
      <c r="I706" s="9">
        <f>IF(H706="","",ROUND(H706/3.305785,3))</f>
        <v/>
      </c>
      <c r="J706" s="7" t="n"/>
      <c r="K706" s="7" t="n"/>
      <c r="L706" s="10">
        <f>IF(OR(J706="",K706="",K706=0),"",ROUND(J706/K706,6))</f>
        <v/>
      </c>
      <c r="M706" s="9">
        <f>IF(OR(H706="",J706="",K706="",K706=0),"",ROUND(H706*J706/K706/3.305785,3))</f>
        <v/>
      </c>
      <c r="N706" s="7" t="n"/>
      <c r="O706" s="11" t="n"/>
      <c r="P706" s="11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12">
        <f>IF(A706="","",IF(OR(B706="",C706="",D706="",E706="",G706="",H706="",J706="",K706=""),"必填欄位未完整",""))</f>
        <v/>
      </c>
      <c r="AB706" s="12">
        <f>IF(A706="","",A706&amp;"|"&amp;G706)</f>
        <v/>
      </c>
    </row>
    <row r="707" ht="24" customHeight="1">
      <c r="A707" s="7" t="n"/>
      <c r="B707" s="7" t="n"/>
      <c r="C707" s="7" t="n"/>
      <c r="D707" s="7" t="n"/>
      <c r="E707" s="7" t="n"/>
      <c r="F707" s="7" t="n"/>
      <c r="G707" s="7" t="n"/>
      <c r="H707" s="8" t="n"/>
      <c r="I707" s="9">
        <f>IF(H707="","",ROUND(H707/3.305785,3))</f>
        <v/>
      </c>
      <c r="J707" s="7" t="n"/>
      <c r="K707" s="7" t="n"/>
      <c r="L707" s="10">
        <f>IF(OR(J707="",K707="",K707=0),"",ROUND(J707/K707,6))</f>
        <v/>
      </c>
      <c r="M707" s="9">
        <f>IF(OR(H707="",J707="",K707="",K707=0),"",ROUND(H707*J707/K707/3.305785,3))</f>
        <v/>
      </c>
      <c r="N707" s="7" t="n"/>
      <c r="O707" s="11" t="n"/>
      <c r="P707" s="11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12">
        <f>IF(A707="","",IF(OR(B707="",C707="",D707="",E707="",G707="",H707="",J707="",K707=""),"必填欄位未完整",""))</f>
        <v/>
      </c>
      <c r="AB707" s="12">
        <f>IF(A707="","",A707&amp;"|"&amp;G707)</f>
        <v/>
      </c>
    </row>
    <row r="708" ht="24" customHeight="1">
      <c r="A708" s="7" t="n"/>
      <c r="B708" s="7" t="n"/>
      <c r="C708" s="7" t="n"/>
      <c r="D708" s="7" t="n"/>
      <c r="E708" s="7" t="n"/>
      <c r="F708" s="7" t="n"/>
      <c r="G708" s="7" t="n"/>
      <c r="H708" s="8" t="n"/>
      <c r="I708" s="9">
        <f>IF(H708="","",ROUND(H708/3.305785,3))</f>
        <v/>
      </c>
      <c r="J708" s="7" t="n"/>
      <c r="K708" s="7" t="n"/>
      <c r="L708" s="10">
        <f>IF(OR(J708="",K708="",K708=0),"",ROUND(J708/K708,6))</f>
        <v/>
      </c>
      <c r="M708" s="9">
        <f>IF(OR(H708="",J708="",K708="",K708=0),"",ROUND(H708*J708/K708/3.305785,3))</f>
        <v/>
      </c>
      <c r="N708" s="7" t="n"/>
      <c r="O708" s="11" t="n"/>
      <c r="P708" s="11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12">
        <f>IF(A708="","",IF(OR(B708="",C708="",D708="",E708="",G708="",H708="",J708="",K708=""),"必填欄位未完整",""))</f>
        <v/>
      </c>
      <c r="AB708" s="12">
        <f>IF(A708="","",A708&amp;"|"&amp;G708)</f>
        <v/>
      </c>
    </row>
    <row r="709" ht="24" customHeight="1">
      <c r="A709" s="7" t="n"/>
      <c r="B709" s="7" t="n"/>
      <c r="C709" s="7" t="n"/>
      <c r="D709" s="7" t="n"/>
      <c r="E709" s="7" t="n"/>
      <c r="F709" s="7" t="n"/>
      <c r="G709" s="7" t="n"/>
      <c r="H709" s="8" t="n"/>
      <c r="I709" s="9">
        <f>IF(H709="","",ROUND(H709/3.305785,3))</f>
        <v/>
      </c>
      <c r="J709" s="7" t="n"/>
      <c r="K709" s="7" t="n"/>
      <c r="L709" s="10">
        <f>IF(OR(J709="",K709="",K709=0),"",ROUND(J709/K709,6))</f>
        <v/>
      </c>
      <c r="M709" s="9">
        <f>IF(OR(H709="",J709="",K709="",K709=0),"",ROUND(H709*J709/K709/3.305785,3))</f>
        <v/>
      </c>
      <c r="N709" s="7" t="n"/>
      <c r="O709" s="11" t="n"/>
      <c r="P709" s="11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12">
        <f>IF(A709="","",IF(OR(B709="",C709="",D709="",E709="",G709="",H709="",J709="",K709=""),"必填欄位未完整",""))</f>
        <v/>
      </c>
      <c r="AB709" s="12">
        <f>IF(A709="","",A709&amp;"|"&amp;G709)</f>
        <v/>
      </c>
    </row>
    <row r="710" ht="24" customHeight="1">
      <c r="A710" s="7" t="n"/>
      <c r="B710" s="7" t="n"/>
      <c r="C710" s="7" t="n"/>
      <c r="D710" s="7" t="n"/>
      <c r="E710" s="7" t="n"/>
      <c r="F710" s="7" t="n"/>
      <c r="G710" s="7" t="n"/>
      <c r="H710" s="8" t="n"/>
      <c r="I710" s="9">
        <f>IF(H710="","",ROUND(H710/3.305785,3))</f>
        <v/>
      </c>
      <c r="J710" s="7" t="n"/>
      <c r="K710" s="7" t="n"/>
      <c r="L710" s="10">
        <f>IF(OR(J710="",K710="",K710=0),"",ROUND(J710/K710,6))</f>
        <v/>
      </c>
      <c r="M710" s="9">
        <f>IF(OR(H710="",J710="",K710="",K710=0),"",ROUND(H710*J710/K710/3.305785,3))</f>
        <v/>
      </c>
      <c r="N710" s="7" t="n"/>
      <c r="O710" s="11" t="n"/>
      <c r="P710" s="11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12">
        <f>IF(A710="","",IF(OR(B710="",C710="",D710="",E710="",G710="",H710="",J710="",K710=""),"必填欄位未完整",""))</f>
        <v/>
      </c>
      <c r="AB710" s="12">
        <f>IF(A710="","",A710&amp;"|"&amp;G710)</f>
        <v/>
      </c>
    </row>
    <row r="711" ht="24" customHeight="1">
      <c r="A711" s="7" t="n"/>
      <c r="B711" s="7" t="n"/>
      <c r="C711" s="7" t="n"/>
      <c r="D711" s="7" t="n"/>
      <c r="E711" s="7" t="n"/>
      <c r="F711" s="7" t="n"/>
      <c r="G711" s="7" t="n"/>
      <c r="H711" s="8" t="n"/>
      <c r="I711" s="9">
        <f>IF(H711="","",ROUND(H711/3.305785,3))</f>
        <v/>
      </c>
      <c r="J711" s="7" t="n"/>
      <c r="K711" s="7" t="n"/>
      <c r="L711" s="10">
        <f>IF(OR(J711="",K711="",K711=0),"",ROUND(J711/K711,6))</f>
        <v/>
      </c>
      <c r="M711" s="9">
        <f>IF(OR(H711="",J711="",K711="",K711=0),"",ROUND(H711*J711/K711/3.305785,3))</f>
        <v/>
      </c>
      <c r="N711" s="7" t="n"/>
      <c r="O711" s="11" t="n"/>
      <c r="P711" s="11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12">
        <f>IF(A711="","",IF(OR(B711="",C711="",D711="",E711="",G711="",H711="",J711="",K711=""),"必填欄位未完整",""))</f>
        <v/>
      </c>
      <c r="AB711" s="12">
        <f>IF(A711="","",A711&amp;"|"&amp;G711)</f>
        <v/>
      </c>
    </row>
    <row r="712" ht="24" customHeight="1">
      <c r="A712" s="7" t="n"/>
      <c r="B712" s="7" t="n"/>
      <c r="C712" s="7" t="n"/>
      <c r="D712" s="7" t="n"/>
      <c r="E712" s="7" t="n"/>
      <c r="F712" s="7" t="n"/>
      <c r="G712" s="7" t="n"/>
      <c r="H712" s="8" t="n"/>
      <c r="I712" s="9">
        <f>IF(H712="","",ROUND(H712/3.305785,3))</f>
        <v/>
      </c>
      <c r="J712" s="7" t="n"/>
      <c r="K712" s="7" t="n"/>
      <c r="L712" s="10">
        <f>IF(OR(J712="",K712="",K712=0),"",ROUND(J712/K712,6))</f>
        <v/>
      </c>
      <c r="M712" s="9">
        <f>IF(OR(H712="",J712="",K712="",K712=0),"",ROUND(H712*J712/K712/3.305785,3))</f>
        <v/>
      </c>
      <c r="N712" s="7" t="n"/>
      <c r="O712" s="11" t="n"/>
      <c r="P712" s="11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12">
        <f>IF(A712="","",IF(OR(B712="",C712="",D712="",E712="",G712="",H712="",J712="",K712=""),"必填欄位未完整",""))</f>
        <v/>
      </c>
      <c r="AB712" s="12">
        <f>IF(A712="","",A712&amp;"|"&amp;G712)</f>
        <v/>
      </c>
    </row>
    <row r="713" ht="24" customHeight="1">
      <c r="A713" s="7" t="n"/>
      <c r="B713" s="7" t="n"/>
      <c r="C713" s="7" t="n"/>
      <c r="D713" s="7" t="n"/>
      <c r="E713" s="7" t="n"/>
      <c r="F713" s="7" t="n"/>
      <c r="G713" s="7" t="n"/>
      <c r="H713" s="8" t="n"/>
      <c r="I713" s="9">
        <f>IF(H713="","",ROUND(H713/3.305785,3))</f>
        <v/>
      </c>
      <c r="J713" s="7" t="n"/>
      <c r="K713" s="7" t="n"/>
      <c r="L713" s="10">
        <f>IF(OR(J713="",K713="",K713=0),"",ROUND(J713/K713,6))</f>
        <v/>
      </c>
      <c r="M713" s="9">
        <f>IF(OR(H713="",J713="",K713="",K713=0),"",ROUND(H713*J713/K713/3.305785,3))</f>
        <v/>
      </c>
      <c r="N713" s="7" t="n"/>
      <c r="O713" s="11" t="n"/>
      <c r="P713" s="11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12">
        <f>IF(A713="","",IF(OR(B713="",C713="",D713="",E713="",G713="",H713="",J713="",K713=""),"必填欄位未完整",""))</f>
        <v/>
      </c>
      <c r="AB713" s="12">
        <f>IF(A713="","",A713&amp;"|"&amp;G713)</f>
        <v/>
      </c>
    </row>
    <row r="714" ht="24" customHeight="1">
      <c r="A714" s="7" t="n"/>
      <c r="B714" s="7" t="n"/>
      <c r="C714" s="7" t="n"/>
      <c r="D714" s="7" t="n"/>
      <c r="E714" s="7" t="n"/>
      <c r="F714" s="7" t="n"/>
      <c r="G714" s="7" t="n"/>
      <c r="H714" s="8" t="n"/>
      <c r="I714" s="9">
        <f>IF(H714="","",ROUND(H714/3.305785,3))</f>
        <v/>
      </c>
      <c r="J714" s="7" t="n"/>
      <c r="K714" s="7" t="n"/>
      <c r="L714" s="10">
        <f>IF(OR(J714="",K714="",K714=0),"",ROUND(J714/K714,6))</f>
        <v/>
      </c>
      <c r="M714" s="9">
        <f>IF(OR(H714="",J714="",K714="",K714=0),"",ROUND(H714*J714/K714/3.305785,3))</f>
        <v/>
      </c>
      <c r="N714" s="7" t="n"/>
      <c r="O714" s="11" t="n"/>
      <c r="P714" s="11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12">
        <f>IF(A714="","",IF(OR(B714="",C714="",D714="",E714="",G714="",H714="",J714="",K714=""),"必填欄位未完整",""))</f>
        <v/>
      </c>
      <c r="AB714" s="12">
        <f>IF(A714="","",A714&amp;"|"&amp;G714)</f>
        <v/>
      </c>
    </row>
    <row r="715" ht="24" customHeight="1">
      <c r="A715" s="7" t="n"/>
      <c r="B715" s="7" t="n"/>
      <c r="C715" s="7" t="n"/>
      <c r="D715" s="7" t="n"/>
      <c r="E715" s="7" t="n"/>
      <c r="F715" s="7" t="n"/>
      <c r="G715" s="7" t="n"/>
      <c r="H715" s="8" t="n"/>
      <c r="I715" s="9">
        <f>IF(H715="","",ROUND(H715/3.305785,3))</f>
        <v/>
      </c>
      <c r="J715" s="7" t="n"/>
      <c r="K715" s="7" t="n"/>
      <c r="L715" s="10">
        <f>IF(OR(J715="",K715="",K715=0),"",ROUND(J715/K715,6))</f>
        <v/>
      </c>
      <c r="M715" s="9">
        <f>IF(OR(H715="",J715="",K715="",K715=0),"",ROUND(H715*J715/K715/3.305785,3))</f>
        <v/>
      </c>
      <c r="N715" s="7" t="n"/>
      <c r="O715" s="11" t="n"/>
      <c r="P715" s="11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12">
        <f>IF(A715="","",IF(OR(B715="",C715="",D715="",E715="",G715="",H715="",J715="",K715=""),"必填欄位未完整",""))</f>
        <v/>
      </c>
      <c r="AB715" s="12">
        <f>IF(A715="","",A715&amp;"|"&amp;G715)</f>
        <v/>
      </c>
    </row>
    <row r="716" ht="24" customHeight="1">
      <c r="A716" s="7" t="n"/>
      <c r="B716" s="7" t="n"/>
      <c r="C716" s="7" t="n"/>
      <c r="D716" s="7" t="n"/>
      <c r="E716" s="7" t="n"/>
      <c r="F716" s="7" t="n"/>
      <c r="G716" s="7" t="n"/>
      <c r="H716" s="8" t="n"/>
      <c r="I716" s="9">
        <f>IF(H716="","",ROUND(H716/3.305785,3))</f>
        <v/>
      </c>
      <c r="J716" s="7" t="n"/>
      <c r="K716" s="7" t="n"/>
      <c r="L716" s="10">
        <f>IF(OR(J716="",K716="",K716=0),"",ROUND(J716/K716,6))</f>
        <v/>
      </c>
      <c r="M716" s="9">
        <f>IF(OR(H716="",J716="",K716="",K716=0),"",ROUND(H716*J716/K716/3.305785,3))</f>
        <v/>
      </c>
      <c r="N716" s="7" t="n"/>
      <c r="O716" s="11" t="n"/>
      <c r="P716" s="11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12">
        <f>IF(A716="","",IF(OR(B716="",C716="",D716="",E716="",G716="",H716="",J716="",K716=""),"必填欄位未完整",""))</f>
        <v/>
      </c>
      <c r="AB716" s="12">
        <f>IF(A716="","",A716&amp;"|"&amp;G716)</f>
        <v/>
      </c>
    </row>
    <row r="717" ht="24" customHeight="1">
      <c r="A717" s="7" t="n"/>
      <c r="B717" s="7" t="n"/>
      <c r="C717" s="7" t="n"/>
      <c r="D717" s="7" t="n"/>
      <c r="E717" s="7" t="n"/>
      <c r="F717" s="7" t="n"/>
      <c r="G717" s="7" t="n"/>
      <c r="H717" s="8" t="n"/>
      <c r="I717" s="9">
        <f>IF(H717="","",ROUND(H717/3.305785,3))</f>
        <v/>
      </c>
      <c r="J717" s="7" t="n"/>
      <c r="K717" s="7" t="n"/>
      <c r="L717" s="10">
        <f>IF(OR(J717="",K717="",K717=0),"",ROUND(J717/K717,6))</f>
        <v/>
      </c>
      <c r="M717" s="9">
        <f>IF(OR(H717="",J717="",K717="",K717=0),"",ROUND(H717*J717/K717/3.305785,3))</f>
        <v/>
      </c>
      <c r="N717" s="7" t="n"/>
      <c r="O717" s="11" t="n"/>
      <c r="P717" s="11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12">
        <f>IF(A717="","",IF(OR(B717="",C717="",D717="",E717="",G717="",H717="",J717="",K717=""),"必填欄位未完整",""))</f>
        <v/>
      </c>
      <c r="AB717" s="12">
        <f>IF(A717="","",A717&amp;"|"&amp;G717)</f>
        <v/>
      </c>
    </row>
    <row r="718" ht="24" customHeight="1">
      <c r="A718" s="7" t="n"/>
      <c r="B718" s="7" t="n"/>
      <c r="C718" s="7" t="n"/>
      <c r="D718" s="7" t="n"/>
      <c r="E718" s="7" t="n"/>
      <c r="F718" s="7" t="n"/>
      <c r="G718" s="7" t="n"/>
      <c r="H718" s="8" t="n"/>
      <c r="I718" s="9">
        <f>IF(H718="","",ROUND(H718/3.305785,3))</f>
        <v/>
      </c>
      <c r="J718" s="7" t="n"/>
      <c r="K718" s="7" t="n"/>
      <c r="L718" s="10">
        <f>IF(OR(J718="",K718="",K718=0),"",ROUND(J718/K718,6))</f>
        <v/>
      </c>
      <c r="M718" s="9">
        <f>IF(OR(H718="",J718="",K718="",K718=0),"",ROUND(H718*J718/K718/3.305785,3))</f>
        <v/>
      </c>
      <c r="N718" s="7" t="n"/>
      <c r="O718" s="11" t="n"/>
      <c r="P718" s="11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12">
        <f>IF(A718="","",IF(OR(B718="",C718="",D718="",E718="",G718="",H718="",J718="",K718=""),"必填欄位未完整",""))</f>
        <v/>
      </c>
      <c r="AB718" s="12">
        <f>IF(A718="","",A718&amp;"|"&amp;G718)</f>
        <v/>
      </c>
    </row>
    <row r="719" ht="24" customHeight="1">
      <c r="A719" s="7" t="n"/>
      <c r="B719" s="7" t="n"/>
      <c r="C719" s="7" t="n"/>
      <c r="D719" s="7" t="n"/>
      <c r="E719" s="7" t="n"/>
      <c r="F719" s="7" t="n"/>
      <c r="G719" s="7" t="n"/>
      <c r="H719" s="8" t="n"/>
      <c r="I719" s="9">
        <f>IF(H719="","",ROUND(H719/3.305785,3))</f>
        <v/>
      </c>
      <c r="J719" s="7" t="n"/>
      <c r="K719" s="7" t="n"/>
      <c r="L719" s="10">
        <f>IF(OR(J719="",K719="",K719=0),"",ROUND(J719/K719,6))</f>
        <v/>
      </c>
      <c r="M719" s="9">
        <f>IF(OR(H719="",J719="",K719="",K719=0),"",ROUND(H719*J719/K719/3.305785,3))</f>
        <v/>
      </c>
      <c r="N719" s="7" t="n"/>
      <c r="O719" s="11" t="n"/>
      <c r="P719" s="11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12">
        <f>IF(A719="","",IF(OR(B719="",C719="",D719="",E719="",G719="",H719="",J719="",K719=""),"必填欄位未完整",""))</f>
        <v/>
      </c>
      <c r="AB719" s="12">
        <f>IF(A719="","",A719&amp;"|"&amp;G719)</f>
        <v/>
      </c>
    </row>
    <row r="720" ht="24" customHeight="1">
      <c r="A720" s="7" t="n"/>
      <c r="B720" s="7" t="n"/>
      <c r="C720" s="7" t="n"/>
      <c r="D720" s="7" t="n"/>
      <c r="E720" s="7" t="n"/>
      <c r="F720" s="7" t="n"/>
      <c r="G720" s="7" t="n"/>
      <c r="H720" s="8" t="n"/>
      <c r="I720" s="9">
        <f>IF(H720="","",ROUND(H720/3.305785,3))</f>
        <v/>
      </c>
      <c r="J720" s="7" t="n"/>
      <c r="K720" s="7" t="n"/>
      <c r="L720" s="10">
        <f>IF(OR(J720="",K720="",K720=0),"",ROUND(J720/K720,6))</f>
        <v/>
      </c>
      <c r="M720" s="9">
        <f>IF(OR(H720="",J720="",K720="",K720=0),"",ROUND(H720*J720/K720/3.305785,3))</f>
        <v/>
      </c>
      <c r="N720" s="7" t="n"/>
      <c r="O720" s="11" t="n"/>
      <c r="P720" s="11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12">
        <f>IF(A720="","",IF(OR(B720="",C720="",D720="",E720="",G720="",H720="",J720="",K720=""),"必填欄位未完整",""))</f>
        <v/>
      </c>
      <c r="AB720" s="12">
        <f>IF(A720="","",A720&amp;"|"&amp;G720)</f>
        <v/>
      </c>
    </row>
    <row r="721" ht="24" customHeight="1">
      <c r="A721" s="7" t="n"/>
      <c r="B721" s="7" t="n"/>
      <c r="C721" s="7" t="n"/>
      <c r="D721" s="7" t="n"/>
      <c r="E721" s="7" t="n"/>
      <c r="F721" s="7" t="n"/>
      <c r="G721" s="7" t="n"/>
      <c r="H721" s="8" t="n"/>
      <c r="I721" s="9">
        <f>IF(H721="","",ROUND(H721/3.305785,3))</f>
        <v/>
      </c>
      <c r="J721" s="7" t="n"/>
      <c r="K721" s="7" t="n"/>
      <c r="L721" s="10">
        <f>IF(OR(J721="",K721="",K721=0),"",ROUND(J721/K721,6))</f>
        <v/>
      </c>
      <c r="M721" s="9">
        <f>IF(OR(H721="",J721="",K721="",K721=0),"",ROUND(H721*J721/K721/3.305785,3))</f>
        <v/>
      </c>
      <c r="N721" s="7" t="n"/>
      <c r="O721" s="11" t="n"/>
      <c r="P721" s="11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12">
        <f>IF(A721="","",IF(OR(B721="",C721="",D721="",E721="",G721="",H721="",J721="",K721=""),"必填欄位未完整",""))</f>
        <v/>
      </c>
      <c r="AB721" s="12">
        <f>IF(A721="","",A721&amp;"|"&amp;G721)</f>
        <v/>
      </c>
    </row>
    <row r="722" ht="24" customHeight="1">
      <c r="A722" s="7" t="n"/>
      <c r="B722" s="7" t="n"/>
      <c r="C722" s="7" t="n"/>
      <c r="D722" s="7" t="n"/>
      <c r="E722" s="7" t="n"/>
      <c r="F722" s="7" t="n"/>
      <c r="G722" s="7" t="n"/>
      <c r="H722" s="8" t="n"/>
      <c r="I722" s="9">
        <f>IF(H722="","",ROUND(H722/3.305785,3))</f>
        <v/>
      </c>
      <c r="J722" s="7" t="n"/>
      <c r="K722" s="7" t="n"/>
      <c r="L722" s="10">
        <f>IF(OR(J722="",K722="",K722=0),"",ROUND(J722/K722,6))</f>
        <v/>
      </c>
      <c r="M722" s="9">
        <f>IF(OR(H722="",J722="",K722="",K722=0),"",ROUND(H722*J722/K722/3.305785,3))</f>
        <v/>
      </c>
      <c r="N722" s="7" t="n"/>
      <c r="O722" s="11" t="n"/>
      <c r="P722" s="11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12">
        <f>IF(A722="","",IF(OR(B722="",C722="",D722="",E722="",G722="",H722="",J722="",K722=""),"必填欄位未完整",""))</f>
        <v/>
      </c>
      <c r="AB722" s="12">
        <f>IF(A722="","",A722&amp;"|"&amp;G722)</f>
        <v/>
      </c>
    </row>
    <row r="723" ht="24" customHeight="1">
      <c r="A723" s="7" t="n"/>
      <c r="B723" s="7" t="n"/>
      <c r="C723" s="7" t="n"/>
      <c r="D723" s="7" t="n"/>
      <c r="E723" s="7" t="n"/>
      <c r="F723" s="7" t="n"/>
      <c r="G723" s="7" t="n"/>
      <c r="H723" s="8" t="n"/>
      <c r="I723" s="9">
        <f>IF(H723="","",ROUND(H723/3.305785,3))</f>
        <v/>
      </c>
      <c r="J723" s="7" t="n"/>
      <c r="K723" s="7" t="n"/>
      <c r="L723" s="10">
        <f>IF(OR(J723="",K723="",K723=0),"",ROUND(J723/K723,6))</f>
        <v/>
      </c>
      <c r="M723" s="9">
        <f>IF(OR(H723="",J723="",K723="",K723=0),"",ROUND(H723*J723/K723/3.305785,3))</f>
        <v/>
      </c>
      <c r="N723" s="7" t="n"/>
      <c r="O723" s="11" t="n"/>
      <c r="P723" s="11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12">
        <f>IF(A723="","",IF(OR(B723="",C723="",D723="",E723="",G723="",H723="",J723="",K723=""),"必填欄位未完整",""))</f>
        <v/>
      </c>
      <c r="AB723" s="12">
        <f>IF(A723="","",A723&amp;"|"&amp;G723)</f>
        <v/>
      </c>
    </row>
    <row r="724" ht="24" customHeight="1">
      <c r="A724" s="7" t="n"/>
      <c r="B724" s="7" t="n"/>
      <c r="C724" s="7" t="n"/>
      <c r="D724" s="7" t="n"/>
      <c r="E724" s="7" t="n"/>
      <c r="F724" s="7" t="n"/>
      <c r="G724" s="7" t="n"/>
      <c r="H724" s="8" t="n"/>
      <c r="I724" s="9">
        <f>IF(H724="","",ROUND(H724/3.305785,3))</f>
        <v/>
      </c>
      <c r="J724" s="7" t="n"/>
      <c r="K724" s="7" t="n"/>
      <c r="L724" s="10">
        <f>IF(OR(J724="",K724="",K724=0),"",ROUND(J724/K724,6))</f>
        <v/>
      </c>
      <c r="M724" s="9">
        <f>IF(OR(H724="",J724="",K724="",K724=0),"",ROUND(H724*J724/K724/3.305785,3))</f>
        <v/>
      </c>
      <c r="N724" s="7" t="n"/>
      <c r="O724" s="11" t="n"/>
      <c r="P724" s="11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12">
        <f>IF(A724="","",IF(OR(B724="",C724="",D724="",E724="",G724="",H724="",J724="",K724=""),"必填欄位未完整",""))</f>
        <v/>
      </c>
      <c r="AB724" s="12">
        <f>IF(A724="","",A724&amp;"|"&amp;G724)</f>
        <v/>
      </c>
    </row>
    <row r="725" ht="24" customHeight="1">
      <c r="A725" s="7" t="n"/>
      <c r="B725" s="7" t="n"/>
      <c r="C725" s="7" t="n"/>
      <c r="D725" s="7" t="n"/>
      <c r="E725" s="7" t="n"/>
      <c r="F725" s="7" t="n"/>
      <c r="G725" s="7" t="n"/>
      <c r="H725" s="8" t="n"/>
      <c r="I725" s="9">
        <f>IF(H725="","",ROUND(H725/3.305785,3))</f>
        <v/>
      </c>
      <c r="J725" s="7" t="n"/>
      <c r="K725" s="7" t="n"/>
      <c r="L725" s="10">
        <f>IF(OR(J725="",K725="",K725=0),"",ROUND(J725/K725,6))</f>
        <v/>
      </c>
      <c r="M725" s="9">
        <f>IF(OR(H725="",J725="",K725="",K725=0),"",ROUND(H725*J725/K725/3.305785,3))</f>
        <v/>
      </c>
      <c r="N725" s="7" t="n"/>
      <c r="O725" s="11" t="n"/>
      <c r="P725" s="11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12">
        <f>IF(A725="","",IF(OR(B725="",C725="",D725="",E725="",G725="",H725="",J725="",K725=""),"必填欄位未完整",""))</f>
        <v/>
      </c>
      <c r="AB725" s="12">
        <f>IF(A725="","",A725&amp;"|"&amp;G725)</f>
        <v/>
      </c>
    </row>
    <row r="726" ht="24" customHeight="1">
      <c r="A726" s="7" t="n"/>
      <c r="B726" s="7" t="n"/>
      <c r="C726" s="7" t="n"/>
      <c r="D726" s="7" t="n"/>
      <c r="E726" s="7" t="n"/>
      <c r="F726" s="7" t="n"/>
      <c r="G726" s="7" t="n"/>
      <c r="H726" s="8" t="n"/>
      <c r="I726" s="9">
        <f>IF(H726="","",ROUND(H726/3.305785,3))</f>
        <v/>
      </c>
      <c r="J726" s="7" t="n"/>
      <c r="K726" s="7" t="n"/>
      <c r="L726" s="10">
        <f>IF(OR(J726="",K726="",K726=0),"",ROUND(J726/K726,6))</f>
        <v/>
      </c>
      <c r="M726" s="9">
        <f>IF(OR(H726="",J726="",K726="",K726=0),"",ROUND(H726*J726/K726/3.305785,3))</f>
        <v/>
      </c>
      <c r="N726" s="7" t="n"/>
      <c r="O726" s="11" t="n"/>
      <c r="P726" s="11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12">
        <f>IF(A726="","",IF(OR(B726="",C726="",D726="",E726="",G726="",H726="",J726="",K726=""),"必填欄位未完整",""))</f>
        <v/>
      </c>
      <c r="AB726" s="12">
        <f>IF(A726="","",A726&amp;"|"&amp;G726)</f>
        <v/>
      </c>
    </row>
    <row r="727" ht="24" customHeight="1">
      <c r="A727" s="7" t="n"/>
      <c r="B727" s="7" t="n"/>
      <c r="C727" s="7" t="n"/>
      <c r="D727" s="7" t="n"/>
      <c r="E727" s="7" t="n"/>
      <c r="F727" s="7" t="n"/>
      <c r="G727" s="7" t="n"/>
      <c r="H727" s="8" t="n"/>
      <c r="I727" s="9">
        <f>IF(H727="","",ROUND(H727/3.305785,3))</f>
        <v/>
      </c>
      <c r="J727" s="7" t="n"/>
      <c r="K727" s="7" t="n"/>
      <c r="L727" s="10">
        <f>IF(OR(J727="",K727="",K727=0),"",ROUND(J727/K727,6))</f>
        <v/>
      </c>
      <c r="M727" s="9">
        <f>IF(OR(H727="",J727="",K727="",K727=0),"",ROUND(H727*J727/K727/3.305785,3))</f>
        <v/>
      </c>
      <c r="N727" s="7" t="n"/>
      <c r="O727" s="11" t="n"/>
      <c r="P727" s="11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12">
        <f>IF(A727="","",IF(OR(B727="",C727="",D727="",E727="",G727="",H727="",J727="",K727=""),"必填欄位未完整",""))</f>
        <v/>
      </c>
      <c r="AB727" s="12">
        <f>IF(A727="","",A727&amp;"|"&amp;G727)</f>
        <v/>
      </c>
    </row>
    <row r="728" ht="24" customHeight="1">
      <c r="A728" s="7" t="n"/>
      <c r="B728" s="7" t="n"/>
      <c r="C728" s="7" t="n"/>
      <c r="D728" s="7" t="n"/>
      <c r="E728" s="7" t="n"/>
      <c r="F728" s="7" t="n"/>
      <c r="G728" s="7" t="n"/>
      <c r="H728" s="8" t="n"/>
      <c r="I728" s="9">
        <f>IF(H728="","",ROUND(H728/3.305785,3))</f>
        <v/>
      </c>
      <c r="J728" s="7" t="n"/>
      <c r="K728" s="7" t="n"/>
      <c r="L728" s="10">
        <f>IF(OR(J728="",K728="",K728=0),"",ROUND(J728/K728,6))</f>
        <v/>
      </c>
      <c r="M728" s="9">
        <f>IF(OR(H728="",J728="",K728="",K728=0),"",ROUND(H728*J728/K728/3.305785,3))</f>
        <v/>
      </c>
      <c r="N728" s="7" t="n"/>
      <c r="O728" s="11" t="n"/>
      <c r="P728" s="11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12">
        <f>IF(A728="","",IF(OR(B728="",C728="",D728="",E728="",G728="",H728="",J728="",K728=""),"必填欄位未完整",""))</f>
        <v/>
      </c>
      <c r="AB728" s="12">
        <f>IF(A728="","",A728&amp;"|"&amp;G728)</f>
        <v/>
      </c>
    </row>
    <row r="729" ht="24" customHeight="1">
      <c r="A729" s="7" t="n"/>
      <c r="B729" s="7" t="n"/>
      <c r="C729" s="7" t="n"/>
      <c r="D729" s="7" t="n"/>
      <c r="E729" s="7" t="n"/>
      <c r="F729" s="7" t="n"/>
      <c r="G729" s="7" t="n"/>
      <c r="H729" s="8" t="n"/>
      <c r="I729" s="9">
        <f>IF(H729="","",ROUND(H729/3.305785,3))</f>
        <v/>
      </c>
      <c r="J729" s="7" t="n"/>
      <c r="K729" s="7" t="n"/>
      <c r="L729" s="10">
        <f>IF(OR(J729="",K729="",K729=0),"",ROUND(J729/K729,6))</f>
        <v/>
      </c>
      <c r="M729" s="9">
        <f>IF(OR(H729="",J729="",K729="",K729=0),"",ROUND(H729*J729/K729/3.305785,3))</f>
        <v/>
      </c>
      <c r="N729" s="7" t="n"/>
      <c r="O729" s="11" t="n"/>
      <c r="P729" s="11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12">
        <f>IF(A729="","",IF(OR(B729="",C729="",D729="",E729="",G729="",H729="",J729="",K729=""),"必填欄位未完整",""))</f>
        <v/>
      </c>
      <c r="AB729" s="12">
        <f>IF(A729="","",A729&amp;"|"&amp;G729)</f>
        <v/>
      </c>
    </row>
    <row r="730" ht="24" customHeight="1">
      <c r="A730" s="7" t="n"/>
      <c r="B730" s="7" t="n"/>
      <c r="C730" s="7" t="n"/>
      <c r="D730" s="7" t="n"/>
      <c r="E730" s="7" t="n"/>
      <c r="F730" s="7" t="n"/>
      <c r="G730" s="7" t="n"/>
      <c r="H730" s="8" t="n"/>
      <c r="I730" s="9">
        <f>IF(H730="","",ROUND(H730/3.305785,3))</f>
        <v/>
      </c>
      <c r="J730" s="7" t="n"/>
      <c r="K730" s="7" t="n"/>
      <c r="L730" s="10">
        <f>IF(OR(J730="",K730="",K730=0),"",ROUND(J730/K730,6))</f>
        <v/>
      </c>
      <c r="M730" s="9">
        <f>IF(OR(H730="",J730="",K730="",K730=0),"",ROUND(H730*J730/K730/3.305785,3))</f>
        <v/>
      </c>
      <c r="N730" s="7" t="n"/>
      <c r="O730" s="11" t="n"/>
      <c r="P730" s="11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12">
        <f>IF(A730="","",IF(OR(B730="",C730="",D730="",E730="",G730="",H730="",J730="",K730=""),"必填欄位未完整",""))</f>
        <v/>
      </c>
      <c r="AB730" s="12">
        <f>IF(A730="","",A730&amp;"|"&amp;G730)</f>
        <v/>
      </c>
    </row>
    <row r="731" ht="24" customHeight="1">
      <c r="A731" s="7" t="n"/>
      <c r="B731" s="7" t="n"/>
      <c r="C731" s="7" t="n"/>
      <c r="D731" s="7" t="n"/>
      <c r="E731" s="7" t="n"/>
      <c r="F731" s="7" t="n"/>
      <c r="G731" s="7" t="n"/>
      <c r="H731" s="8" t="n"/>
      <c r="I731" s="9">
        <f>IF(H731="","",ROUND(H731/3.305785,3))</f>
        <v/>
      </c>
      <c r="J731" s="7" t="n"/>
      <c r="K731" s="7" t="n"/>
      <c r="L731" s="10">
        <f>IF(OR(J731="",K731="",K731=0),"",ROUND(J731/K731,6))</f>
        <v/>
      </c>
      <c r="M731" s="9">
        <f>IF(OR(H731="",J731="",K731="",K731=0),"",ROUND(H731*J731/K731/3.305785,3))</f>
        <v/>
      </c>
      <c r="N731" s="7" t="n"/>
      <c r="O731" s="11" t="n"/>
      <c r="P731" s="11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12">
        <f>IF(A731="","",IF(OR(B731="",C731="",D731="",E731="",G731="",H731="",J731="",K731=""),"必填欄位未完整",""))</f>
        <v/>
      </c>
      <c r="AB731" s="12">
        <f>IF(A731="","",A731&amp;"|"&amp;G731)</f>
        <v/>
      </c>
    </row>
    <row r="732" ht="24" customHeight="1">
      <c r="A732" s="7" t="n"/>
      <c r="B732" s="7" t="n"/>
      <c r="C732" s="7" t="n"/>
      <c r="D732" s="7" t="n"/>
      <c r="E732" s="7" t="n"/>
      <c r="F732" s="7" t="n"/>
      <c r="G732" s="7" t="n"/>
      <c r="H732" s="8" t="n"/>
      <c r="I732" s="9">
        <f>IF(H732="","",ROUND(H732/3.305785,3))</f>
        <v/>
      </c>
      <c r="J732" s="7" t="n"/>
      <c r="K732" s="7" t="n"/>
      <c r="L732" s="10">
        <f>IF(OR(J732="",K732="",K732=0),"",ROUND(J732/K732,6))</f>
        <v/>
      </c>
      <c r="M732" s="9">
        <f>IF(OR(H732="",J732="",K732="",K732=0),"",ROUND(H732*J732/K732/3.305785,3))</f>
        <v/>
      </c>
      <c r="N732" s="7" t="n"/>
      <c r="O732" s="11" t="n"/>
      <c r="P732" s="11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12">
        <f>IF(A732="","",IF(OR(B732="",C732="",D732="",E732="",G732="",H732="",J732="",K732=""),"必填欄位未完整",""))</f>
        <v/>
      </c>
      <c r="AB732" s="12">
        <f>IF(A732="","",A732&amp;"|"&amp;G732)</f>
        <v/>
      </c>
    </row>
    <row r="733" ht="24" customHeight="1">
      <c r="A733" s="7" t="n"/>
      <c r="B733" s="7" t="n"/>
      <c r="C733" s="7" t="n"/>
      <c r="D733" s="7" t="n"/>
      <c r="E733" s="7" t="n"/>
      <c r="F733" s="7" t="n"/>
      <c r="G733" s="7" t="n"/>
      <c r="H733" s="8" t="n"/>
      <c r="I733" s="9">
        <f>IF(H733="","",ROUND(H733/3.305785,3))</f>
        <v/>
      </c>
      <c r="J733" s="7" t="n"/>
      <c r="K733" s="7" t="n"/>
      <c r="L733" s="10">
        <f>IF(OR(J733="",K733="",K733=0),"",ROUND(J733/K733,6))</f>
        <v/>
      </c>
      <c r="M733" s="9">
        <f>IF(OR(H733="",J733="",K733="",K733=0),"",ROUND(H733*J733/K733/3.305785,3))</f>
        <v/>
      </c>
      <c r="N733" s="7" t="n"/>
      <c r="O733" s="11" t="n"/>
      <c r="P733" s="11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12">
        <f>IF(A733="","",IF(OR(B733="",C733="",D733="",E733="",G733="",H733="",J733="",K733=""),"必填欄位未完整",""))</f>
        <v/>
      </c>
      <c r="AB733" s="12">
        <f>IF(A733="","",A733&amp;"|"&amp;G733)</f>
        <v/>
      </c>
    </row>
    <row r="734" ht="24" customHeight="1">
      <c r="A734" s="7" t="n"/>
      <c r="B734" s="7" t="n"/>
      <c r="C734" s="7" t="n"/>
      <c r="D734" s="7" t="n"/>
      <c r="E734" s="7" t="n"/>
      <c r="F734" s="7" t="n"/>
      <c r="G734" s="7" t="n"/>
      <c r="H734" s="8" t="n"/>
      <c r="I734" s="9">
        <f>IF(H734="","",ROUND(H734/3.305785,3))</f>
        <v/>
      </c>
      <c r="J734" s="7" t="n"/>
      <c r="K734" s="7" t="n"/>
      <c r="L734" s="10">
        <f>IF(OR(J734="",K734="",K734=0),"",ROUND(J734/K734,6))</f>
        <v/>
      </c>
      <c r="M734" s="9">
        <f>IF(OR(H734="",J734="",K734="",K734=0),"",ROUND(H734*J734/K734/3.305785,3))</f>
        <v/>
      </c>
      <c r="N734" s="7" t="n"/>
      <c r="O734" s="11" t="n"/>
      <c r="P734" s="11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12">
        <f>IF(A734="","",IF(OR(B734="",C734="",D734="",E734="",G734="",H734="",J734="",K734=""),"必填欄位未完整",""))</f>
        <v/>
      </c>
      <c r="AB734" s="12">
        <f>IF(A734="","",A734&amp;"|"&amp;G734)</f>
        <v/>
      </c>
    </row>
    <row r="735" ht="24" customHeight="1">
      <c r="A735" s="7" t="n"/>
      <c r="B735" s="7" t="n"/>
      <c r="C735" s="7" t="n"/>
      <c r="D735" s="7" t="n"/>
      <c r="E735" s="7" t="n"/>
      <c r="F735" s="7" t="n"/>
      <c r="G735" s="7" t="n"/>
      <c r="H735" s="8" t="n"/>
      <c r="I735" s="9">
        <f>IF(H735="","",ROUND(H735/3.305785,3))</f>
        <v/>
      </c>
      <c r="J735" s="7" t="n"/>
      <c r="K735" s="7" t="n"/>
      <c r="L735" s="10">
        <f>IF(OR(J735="",K735="",K735=0),"",ROUND(J735/K735,6))</f>
        <v/>
      </c>
      <c r="M735" s="9">
        <f>IF(OR(H735="",J735="",K735="",K735=0),"",ROUND(H735*J735/K735/3.305785,3))</f>
        <v/>
      </c>
      <c r="N735" s="7" t="n"/>
      <c r="O735" s="11" t="n"/>
      <c r="P735" s="11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12">
        <f>IF(A735="","",IF(OR(B735="",C735="",D735="",E735="",G735="",H735="",J735="",K735=""),"必填欄位未完整",""))</f>
        <v/>
      </c>
      <c r="AB735" s="12">
        <f>IF(A735="","",A735&amp;"|"&amp;G735)</f>
        <v/>
      </c>
    </row>
    <row r="736" ht="24" customHeight="1">
      <c r="A736" s="7" t="n"/>
      <c r="B736" s="7" t="n"/>
      <c r="C736" s="7" t="n"/>
      <c r="D736" s="7" t="n"/>
      <c r="E736" s="7" t="n"/>
      <c r="F736" s="7" t="n"/>
      <c r="G736" s="7" t="n"/>
      <c r="H736" s="8" t="n"/>
      <c r="I736" s="9">
        <f>IF(H736="","",ROUND(H736/3.305785,3))</f>
        <v/>
      </c>
      <c r="J736" s="7" t="n"/>
      <c r="K736" s="7" t="n"/>
      <c r="L736" s="10">
        <f>IF(OR(J736="",K736="",K736=0),"",ROUND(J736/K736,6))</f>
        <v/>
      </c>
      <c r="M736" s="9">
        <f>IF(OR(H736="",J736="",K736="",K736=0),"",ROUND(H736*J736/K736/3.305785,3))</f>
        <v/>
      </c>
      <c r="N736" s="7" t="n"/>
      <c r="O736" s="11" t="n"/>
      <c r="P736" s="11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12">
        <f>IF(A736="","",IF(OR(B736="",C736="",D736="",E736="",G736="",H736="",J736="",K736=""),"必填欄位未完整",""))</f>
        <v/>
      </c>
      <c r="AB736" s="12">
        <f>IF(A736="","",A736&amp;"|"&amp;G736)</f>
        <v/>
      </c>
    </row>
    <row r="737" ht="24" customHeight="1">
      <c r="A737" s="7" t="n"/>
      <c r="B737" s="7" t="n"/>
      <c r="C737" s="7" t="n"/>
      <c r="D737" s="7" t="n"/>
      <c r="E737" s="7" t="n"/>
      <c r="F737" s="7" t="n"/>
      <c r="G737" s="7" t="n"/>
      <c r="H737" s="8" t="n"/>
      <c r="I737" s="9">
        <f>IF(H737="","",ROUND(H737/3.305785,3))</f>
        <v/>
      </c>
      <c r="J737" s="7" t="n"/>
      <c r="K737" s="7" t="n"/>
      <c r="L737" s="10">
        <f>IF(OR(J737="",K737="",K737=0),"",ROUND(J737/K737,6))</f>
        <v/>
      </c>
      <c r="M737" s="9">
        <f>IF(OR(H737="",J737="",K737="",K737=0),"",ROUND(H737*J737/K737/3.305785,3))</f>
        <v/>
      </c>
      <c r="N737" s="7" t="n"/>
      <c r="O737" s="11" t="n"/>
      <c r="P737" s="11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12">
        <f>IF(A737="","",IF(OR(B737="",C737="",D737="",E737="",G737="",H737="",J737="",K737=""),"必填欄位未完整",""))</f>
        <v/>
      </c>
      <c r="AB737" s="12">
        <f>IF(A737="","",A737&amp;"|"&amp;G737)</f>
        <v/>
      </c>
    </row>
    <row r="738" ht="24" customHeight="1">
      <c r="A738" s="7" t="n"/>
      <c r="B738" s="7" t="n"/>
      <c r="C738" s="7" t="n"/>
      <c r="D738" s="7" t="n"/>
      <c r="E738" s="7" t="n"/>
      <c r="F738" s="7" t="n"/>
      <c r="G738" s="7" t="n"/>
      <c r="H738" s="8" t="n"/>
      <c r="I738" s="9">
        <f>IF(H738="","",ROUND(H738/3.305785,3))</f>
        <v/>
      </c>
      <c r="J738" s="7" t="n"/>
      <c r="K738" s="7" t="n"/>
      <c r="L738" s="10">
        <f>IF(OR(J738="",K738="",K738=0),"",ROUND(J738/K738,6))</f>
        <v/>
      </c>
      <c r="M738" s="9">
        <f>IF(OR(H738="",J738="",K738="",K738=0),"",ROUND(H738*J738/K738/3.305785,3))</f>
        <v/>
      </c>
      <c r="N738" s="7" t="n"/>
      <c r="O738" s="11" t="n"/>
      <c r="P738" s="11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12">
        <f>IF(A738="","",IF(OR(B738="",C738="",D738="",E738="",G738="",H738="",J738="",K738=""),"必填欄位未完整",""))</f>
        <v/>
      </c>
      <c r="AB738" s="12">
        <f>IF(A738="","",A738&amp;"|"&amp;G738)</f>
        <v/>
      </c>
    </row>
    <row r="739" ht="24" customHeight="1">
      <c r="A739" s="7" t="n"/>
      <c r="B739" s="7" t="n"/>
      <c r="C739" s="7" t="n"/>
      <c r="D739" s="7" t="n"/>
      <c r="E739" s="7" t="n"/>
      <c r="F739" s="7" t="n"/>
      <c r="G739" s="7" t="n"/>
      <c r="H739" s="8" t="n"/>
      <c r="I739" s="9">
        <f>IF(H739="","",ROUND(H739/3.305785,3))</f>
        <v/>
      </c>
      <c r="J739" s="7" t="n"/>
      <c r="K739" s="7" t="n"/>
      <c r="L739" s="10">
        <f>IF(OR(J739="",K739="",K739=0),"",ROUND(J739/K739,6))</f>
        <v/>
      </c>
      <c r="M739" s="9">
        <f>IF(OR(H739="",J739="",K739="",K739=0),"",ROUND(H739*J739/K739/3.305785,3))</f>
        <v/>
      </c>
      <c r="N739" s="7" t="n"/>
      <c r="O739" s="11" t="n"/>
      <c r="P739" s="11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12">
        <f>IF(A739="","",IF(OR(B739="",C739="",D739="",E739="",G739="",H739="",J739="",K739=""),"必填欄位未完整",""))</f>
        <v/>
      </c>
      <c r="AB739" s="12">
        <f>IF(A739="","",A739&amp;"|"&amp;G739)</f>
        <v/>
      </c>
    </row>
    <row r="740" ht="24" customHeight="1">
      <c r="A740" s="7" t="n"/>
      <c r="B740" s="7" t="n"/>
      <c r="C740" s="7" t="n"/>
      <c r="D740" s="7" t="n"/>
      <c r="E740" s="7" t="n"/>
      <c r="F740" s="7" t="n"/>
      <c r="G740" s="7" t="n"/>
      <c r="H740" s="8" t="n"/>
      <c r="I740" s="9">
        <f>IF(H740="","",ROUND(H740/3.305785,3))</f>
        <v/>
      </c>
      <c r="J740" s="7" t="n"/>
      <c r="K740" s="7" t="n"/>
      <c r="L740" s="10">
        <f>IF(OR(J740="",K740="",K740=0),"",ROUND(J740/K740,6))</f>
        <v/>
      </c>
      <c r="M740" s="9">
        <f>IF(OR(H740="",J740="",K740="",K740=0),"",ROUND(H740*J740/K740/3.305785,3))</f>
        <v/>
      </c>
      <c r="N740" s="7" t="n"/>
      <c r="O740" s="11" t="n"/>
      <c r="P740" s="11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12">
        <f>IF(A740="","",IF(OR(B740="",C740="",D740="",E740="",G740="",H740="",J740="",K740=""),"必填欄位未完整",""))</f>
        <v/>
      </c>
      <c r="AB740" s="12">
        <f>IF(A740="","",A740&amp;"|"&amp;G740)</f>
        <v/>
      </c>
    </row>
    <row r="741" ht="24" customHeight="1">
      <c r="A741" s="7" t="n"/>
      <c r="B741" s="7" t="n"/>
      <c r="C741" s="7" t="n"/>
      <c r="D741" s="7" t="n"/>
      <c r="E741" s="7" t="n"/>
      <c r="F741" s="7" t="n"/>
      <c r="G741" s="7" t="n"/>
      <c r="H741" s="8" t="n"/>
      <c r="I741" s="9">
        <f>IF(H741="","",ROUND(H741/3.305785,3))</f>
        <v/>
      </c>
      <c r="J741" s="7" t="n"/>
      <c r="K741" s="7" t="n"/>
      <c r="L741" s="10">
        <f>IF(OR(J741="",K741="",K741=0),"",ROUND(J741/K741,6))</f>
        <v/>
      </c>
      <c r="M741" s="9">
        <f>IF(OR(H741="",J741="",K741="",K741=0),"",ROUND(H741*J741/K741/3.305785,3))</f>
        <v/>
      </c>
      <c r="N741" s="7" t="n"/>
      <c r="O741" s="11" t="n"/>
      <c r="P741" s="11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12">
        <f>IF(A741="","",IF(OR(B741="",C741="",D741="",E741="",G741="",H741="",J741="",K741=""),"必填欄位未完整",""))</f>
        <v/>
      </c>
      <c r="AB741" s="12">
        <f>IF(A741="","",A741&amp;"|"&amp;G741)</f>
        <v/>
      </c>
    </row>
    <row r="742" ht="24" customHeight="1">
      <c r="A742" s="7" t="n"/>
      <c r="B742" s="7" t="n"/>
      <c r="C742" s="7" t="n"/>
      <c r="D742" s="7" t="n"/>
      <c r="E742" s="7" t="n"/>
      <c r="F742" s="7" t="n"/>
      <c r="G742" s="7" t="n"/>
      <c r="H742" s="8" t="n"/>
      <c r="I742" s="9">
        <f>IF(H742="","",ROUND(H742/3.305785,3))</f>
        <v/>
      </c>
      <c r="J742" s="7" t="n"/>
      <c r="K742" s="7" t="n"/>
      <c r="L742" s="10">
        <f>IF(OR(J742="",K742="",K742=0),"",ROUND(J742/K742,6))</f>
        <v/>
      </c>
      <c r="M742" s="9">
        <f>IF(OR(H742="",J742="",K742="",K742=0),"",ROUND(H742*J742/K742/3.305785,3))</f>
        <v/>
      </c>
      <c r="N742" s="7" t="n"/>
      <c r="O742" s="11" t="n"/>
      <c r="P742" s="11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12">
        <f>IF(A742="","",IF(OR(B742="",C742="",D742="",E742="",G742="",H742="",J742="",K742=""),"必填欄位未完整",""))</f>
        <v/>
      </c>
      <c r="AB742" s="12">
        <f>IF(A742="","",A742&amp;"|"&amp;G742)</f>
        <v/>
      </c>
    </row>
    <row r="743" ht="24" customHeight="1">
      <c r="A743" s="7" t="n"/>
      <c r="B743" s="7" t="n"/>
      <c r="C743" s="7" t="n"/>
      <c r="D743" s="7" t="n"/>
      <c r="E743" s="7" t="n"/>
      <c r="F743" s="7" t="n"/>
      <c r="G743" s="7" t="n"/>
      <c r="H743" s="8" t="n"/>
      <c r="I743" s="9">
        <f>IF(H743="","",ROUND(H743/3.305785,3))</f>
        <v/>
      </c>
      <c r="J743" s="7" t="n"/>
      <c r="K743" s="7" t="n"/>
      <c r="L743" s="10">
        <f>IF(OR(J743="",K743="",K743=0),"",ROUND(J743/K743,6))</f>
        <v/>
      </c>
      <c r="M743" s="9">
        <f>IF(OR(H743="",J743="",K743="",K743=0),"",ROUND(H743*J743/K743/3.305785,3))</f>
        <v/>
      </c>
      <c r="N743" s="7" t="n"/>
      <c r="O743" s="11" t="n"/>
      <c r="P743" s="11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12">
        <f>IF(A743="","",IF(OR(B743="",C743="",D743="",E743="",G743="",H743="",J743="",K743=""),"必填欄位未完整",""))</f>
        <v/>
      </c>
      <c r="AB743" s="12">
        <f>IF(A743="","",A743&amp;"|"&amp;G743)</f>
        <v/>
      </c>
    </row>
    <row r="744" ht="24" customHeight="1">
      <c r="A744" s="7" t="n"/>
      <c r="B744" s="7" t="n"/>
      <c r="C744" s="7" t="n"/>
      <c r="D744" s="7" t="n"/>
      <c r="E744" s="7" t="n"/>
      <c r="F744" s="7" t="n"/>
      <c r="G744" s="7" t="n"/>
      <c r="H744" s="8" t="n"/>
      <c r="I744" s="9">
        <f>IF(H744="","",ROUND(H744/3.305785,3))</f>
        <v/>
      </c>
      <c r="J744" s="7" t="n"/>
      <c r="K744" s="7" t="n"/>
      <c r="L744" s="10">
        <f>IF(OR(J744="",K744="",K744=0),"",ROUND(J744/K744,6))</f>
        <v/>
      </c>
      <c r="M744" s="9">
        <f>IF(OR(H744="",J744="",K744="",K744=0),"",ROUND(H744*J744/K744/3.305785,3))</f>
        <v/>
      </c>
      <c r="N744" s="7" t="n"/>
      <c r="O744" s="11" t="n"/>
      <c r="P744" s="11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12">
        <f>IF(A744="","",IF(OR(B744="",C744="",D744="",E744="",G744="",H744="",J744="",K744=""),"必填欄位未完整",""))</f>
        <v/>
      </c>
      <c r="AB744" s="12">
        <f>IF(A744="","",A744&amp;"|"&amp;G744)</f>
        <v/>
      </c>
    </row>
    <row r="745" ht="24" customHeight="1">
      <c r="A745" s="7" t="n"/>
      <c r="B745" s="7" t="n"/>
      <c r="C745" s="7" t="n"/>
      <c r="D745" s="7" t="n"/>
      <c r="E745" s="7" t="n"/>
      <c r="F745" s="7" t="n"/>
      <c r="G745" s="7" t="n"/>
      <c r="H745" s="8" t="n"/>
      <c r="I745" s="9">
        <f>IF(H745="","",ROUND(H745/3.305785,3))</f>
        <v/>
      </c>
      <c r="J745" s="7" t="n"/>
      <c r="K745" s="7" t="n"/>
      <c r="L745" s="10">
        <f>IF(OR(J745="",K745="",K745=0),"",ROUND(J745/K745,6))</f>
        <v/>
      </c>
      <c r="M745" s="9">
        <f>IF(OR(H745="",J745="",K745="",K745=0),"",ROUND(H745*J745/K745/3.305785,3))</f>
        <v/>
      </c>
      <c r="N745" s="7" t="n"/>
      <c r="O745" s="11" t="n"/>
      <c r="P745" s="11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12">
        <f>IF(A745="","",IF(OR(B745="",C745="",D745="",E745="",G745="",H745="",J745="",K745=""),"必填欄位未完整",""))</f>
        <v/>
      </c>
      <c r="AB745" s="12">
        <f>IF(A745="","",A745&amp;"|"&amp;G745)</f>
        <v/>
      </c>
    </row>
    <row r="746" ht="24" customHeight="1">
      <c r="A746" s="7" t="n"/>
      <c r="B746" s="7" t="n"/>
      <c r="C746" s="7" t="n"/>
      <c r="D746" s="7" t="n"/>
      <c r="E746" s="7" t="n"/>
      <c r="F746" s="7" t="n"/>
      <c r="G746" s="7" t="n"/>
      <c r="H746" s="8" t="n"/>
      <c r="I746" s="9">
        <f>IF(H746="","",ROUND(H746/3.305785,3))</f>
        <v/>
      </c>
      <c r="J746" s="7" t="n"/>
      <c r="K746" s="7" t="n"/>
      <c r="L746" s="10">
        <f>IF(OR(J746="",K746="",K746=0),"",ROUND(J746/K746,6))</f>
        <v/>
      </c>
      <c r="M746" s="9">
        <f>IF(OR(H746="",J746="",K746="",K746=0),"",ROUND(H746*J746/K746/3.305785,3))</f>
        <v/>
      </c>
      <c r="N746" s="7" t="n"/>
      <c r="O746" s="11" t="n"/>
      <c r="P746" s="11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12">
        <f>IF(A746="","",IF(OR(B746="",C746="",D746="",E746="",G746="",H746="",J746="",K746=""),"必填欄位未完整",""))</f>
        <v/>
      </c>
      <c r="AB746" s="12">
        <f>IF(A746="","",A746&amp;"|"&amp;G746)</f>
        <v/>
      </c>
    </row>
    <row r="747" ht="24" customHeight="1">
      <c r="A747" s="7" t="n"/>
      <c r="B747" s="7" t="n"/>
      <c r="C747" s="7" t="n"/>
      <c r="D747" s="7" t="n"/>
      <c r="E747" s="7" t="n"/>
      <c r="F747" s="7" t="n"/>
      <c r="G747" s="7" t="n"/>
      <c r="H747" s="8" t="n"/>
      <c r="I747" s="9">
        <f>IF(H747="","",ROUND(H747/3.305785,3))</f>
        <v/>
      </c>
      <c r="J747" s="7" t="n"/>
      <c r="K747" s="7" t="n"/>
      <c r="L747" s="10">
        <f>IF(OR(J747="",K747="",K747=0),"",ROUND(J747/K747,6))</f>
        <v/>
      </c>
      <c r="M747" s="9">
        <f>IF(OR(H747="",J747="",K747="",K747=0),"",ROUND(H747*J747/K747/3.305785,3))</f>
        <v/>
      </c>
      <c r="N747" s="7" t="n"/>
      <c r="O747" s="11" t="n"/>
      <c r="P747" s="11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12">
        <f>IF(A747="","",IF(OR(B747="",C747="",D747="",E747="",G747="",H747="",J747="",K747=""),"必填欄位未完整",""))</f>
        <v/>
      </c>
      <c r="AB747" s="12">
        <f>IF(A747="","",A747&amp;"|"&amp;G747)</f>
        <v/>
      </c>
    </row>
    <row r="748" ht="24" customHeight="1">
      <c r="A748" s="7" t="n"/>
      <c r="B748" s="7" t="n"/>
      <c r="C748" s="7" t="n"/>
      <c r="D748" s="7" t="n"/>
      <c r="E748" s="7" t="n"/>
      <c r="F748" s="7" t="n"/>
      <c r="G748" s="7" t="n"/>
      <c r="H748" s="8" t="n"/>
      <c r="I748" s="9">
        <f>IF(H748="","",ROUND(H748/3.305785,3))</f>
        <v/>
      </c>
      <c r="J748" s="7" t="n"/>
      <c r="K748" s="7" t="n"/>
      <c r="L748" s="10">
        <f>IF(OR(J748="",K748="",K748=0),"",ROUND(J748/K748,6))</f>
        <v/>
      </c>
      <c r="M748" s="9">
        <f>IF(OR(H748="",J748="",K748="",K748=0),"",ROUND(H748*J748/K748/3.305785,3))</f>
        <v/>
      </c>
      <c r="N748" s="7" t="n"/>
      <c r="O748" s="11" t="n"/>
      <c r="P748" s="11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12">
        <f>IF(A748="","",IF(OR(B748="",C748="",D748="",E748="",G748="",H748="",J748="",K748=""),"必填欄位未完整",""))</f>
        <v/>
      </c>
      <c r="AB748" s="12">
        <f>IF(A748="","",A748&amp;"|"&amp;G748)</f>
        <v/>
      </c>
    </row>
    <row r="749" ht="24" customHeight="1">
      <c r="A749" s="7" t="n"/>
      <c r="B749" s="7" t="n"/>
      <c r="C749" s="7" t="n"/>
      <c r="D749" s="7" t="n"/>
      <c r="E749" s="7" t="n"/>
      <c r="F749" s="7" t="n"/>
      <c r="G749" s="7" t="n"/>
      <c r="H749" s="8" t="n"/>
      <c r="I749" s="9">
        <f>IF(H749="","",ROUND(H749/3.305785,3))</f>
        <v/>
      </c>
      <c r="J749" s="7" t="n"/>
      <c r="K749" s="7" t="n"/>
      <c r="L749" s="10">
        <f>IF(OR(J749="",K749="",K749=0),"",ROUND(J749/K749,6))</f>
        <v/>
      </c>
      <c r="M749" s="9">
        <f>IF(OR(H749="",J749="",K749="",K749=0),"",ROUND(H749*J749/K749/3.305785,3))</f>
        <v/>
      </c>
      <c r="N749" s="7" t="n"/>
      <c r="O749" s="11" t="n"/>
      <c r="P749" s="11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12">
        <f>IF(A749="","",IF(OR(B749="",C749="",D749="",E749="",G749="",H749="",J749="",K749=""),"必填欄位未完整",""))</f>
        <v/>
      </c>
      <c r="AB749" s="12">
        <f>IF(A749="","",A749&amp;"|"&amp;G749)</f>
        <v/>
      </c>
    </row>
    <row r="750" ht="24" customHeight="1">
      <c r="A750" s="7" t="n"/>
      <c r="B750" s="7" t="n"/>
      <c r="C750" s="7" t="n"/>
      <c r="D750" s="7" t="n"/>
      <c r="E750" s="7" t="n"/>
      <c r="F750" s="7" t="n"/>
      <c r="G750" s="7" t="n"/>
      <c r="H750" s="8" t="n"/>
      <c r="I750" s="9">
        <f>IF(H750="","",ROUND(H750/3.305785,3))</f>
        <v/>
      </c>
      <c r="J750" s="7" t="n"/>
      <c r="K750" s="7" t="n"/>
      <c r="L750" s="10">
        <f>IF(OR(J750="",K750="",K750=0),"",ROUND(J750/K750,6))</f>
        <v/>
      </c>
      <c r="M750" s="9">
        <f>IF(OR(H750="",J750="",K750="",K750=0),"",ROUND(H750*J750/K750/3.305785,3))</f>
        <v/>
      </c>
      <c r="N750" s="7" t="n"/>
      <c r="O750" s="11" t="n"/>
      <c r="P750" s="11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12">
        <f>IF(A750="","",IF(OR(B750="",C750="",D750="",E750="",G750="",H750="",J750="",K750=""),"必填欄位未完整",""))</f>
        <v/>
      </c>
      <c r="AB750" s="12">
        <f>IF(A750="","",A750&amp;"|"&amp;G750)</f>
        <v/>
      </c>
    </row>
    <row r="751" ht="24" customHeight="1">
      <c r="A751" s="7" t="n"/>
      <c r="B751" s="7" t="n"/>
      <c r="C751" s="7" t="n"/>
      <c r="D751" s="7" t="n"/>
      <c r="E751" s="7" t="n"/>
      <c r="F751" s="7" t="n"/>
      <c r="G751" s="7" t="n"/>
      <c r="H751" s="8" t="n"/>
      <c r="I751" s="9">
        <f>IF(H751="","",ROUND(H751/3.305785,3))</f>
        <v/>
      </c>
      <c r="J751" s="7" t="n"/>
      <c r="K751" s="7" t="n"/>
      <c r="L751" s="10">
        <f>IF(OR(J751="",K751="",K751=0),"",ROUND(J751/K751,6))</f>
        <v/>
      </c>
      <c r="M751" s="9">
        <f>IF(OR(H751="",J751="",K751="",K751=0),"",ROUND(H751*J751/K751/3.305785,3))</f>
        <v/>
      </c>
      <c r="N751" s="7" t="n"/>
      <c r="O751" s="11" t="n"/>
      <c r="P751" s="11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12">
        <f>IF(A751="","",IF(OR(B751="",C751="",D751="",E751="",G751="",H751="",J751="",K751=""),"必填欄位未完整",""))</f>
        <v/>
      </c>
      <c r="AB751" s="12">
        <f>IF(A751="","",A751&amp;"|"&amp;G751)</f>
        <v/>
      </c>
    </row>
    <row r="752" ht="24" customHeight="1">
      <c r="A752" s="7" t="n"/>
      <c r="B752" s="7" t="n"/>
      <c r="C752" s="7" t="n"/>
      <c r="D752" s="7" t="n"/>
      <c r="E752" s="7" t="n"/>
      <c r="F752" s="7" t="n"/>
      <c r="G752" s="7" t="n"/>
      <c r="H752" s="8" t="n"/>
      <c r="I752" s="9">
        <f>IF(H752="","",ROUND(H752/3.305785,3))</f>
        <v/>
      </c>
      <c r="J752" s="7" t="n"/>
      <c r="K752" s="7" t="n"/>
      <c r="L752" s="10">
        <f>IF(OR(J752="",K752="",K752=0),"",ROUND(J752/K752,6))</f>
        <v/>
      </c>
      <c r="M752" s="9">
        <f>IF(OR(H752="",J752="",K752="",K752=0),"",ROUND(H752*J752/K752/3.305785,3))</f>
        <v/>
      </c>
      <c r="N752" s="7" t="n"/>
      <c r="O752" s="11" t="n"/>
      <c r="P752" s="11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12">
        <f>IF(A752="","",IF(OR(B752="",C752="",D752="",E752="",G752="",H752="",J752="",K752=""),"必填欄位未完整",""))</f>
        <v/>
      </c>
      <c r="AB752" s="12">
        <f>IF(A752="","",A752&amp;"|"&amp;G752)</f>
        <v/>
      </c>
    </row>
    <row r="753" ht="24" customHeight="1">
      <c r="A753" s="7" t="n"/>
      <c r="B753" s="7" t="n"/>
      <c r="C753" s="7" t="n"/>
      <c r="D753" s="7" t="n"/>
      <c r="E753" s="7" t="n"/>
      <c r="F753" s="7" t="n"/>
      <c r="G753" s="7" t="n"/>
      <c r="H753" s="8" t="n"/>
      <c r="I753" s="9">
        <f>IF(H753="","",ROUND(H753/3.305785,3))</f>
        <v/>
      </c>
      <c r="J753" s="7" t="n"/>
      <c r="K753" s="7" t="n"/>
      <c r="L753" s="10">
        <f>IF(OR(J753="",K753="",K753=0),"",ROUND(J753/K753,6))</f>
        <v/>
      </c>
      <c r="M753" s="9">
        <f>IF(OR(H753="",J753="",K753="",K753=0),"",ROUND(H753*J753/K753/3.305785,3))</f>
        <v/>
      </c>
      <c r="N753" s="7" t="n"/>
      <c r="O753" s="11" t="n"/>
      <c r="P753" s="11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12">
        <f>IF(A753="","",IF(OR(B753="",C753="",D753="",E753="",G753="",H753="",J753="",K753=""),"必填欄位未完整",""))</f>
        <v/>
      </c>
      <c r="AB753" s="12">
        <f>IF(A753="","",A753&amp;"|"&amp;G753)</f>
        <v/>
      </c>
    </row>
    <row r="754" ht="24" customHeight="1">
      <c r="A754" s="7" t="n"/>
      <c r="B754" s="7" t="n"/>
      <c r="C754" s="7" t="n"/>
      <c r="D754" s="7" t="n"/>
      <c r="E754" s="7" t="n"/>
      <c r="F754" s="7" t="n"/>
      <c r="G754" s="7" t="n"/>
      <c r="H754" s="8" t="n"/>
      <c r="I754" s="9">
        <f>IF(H754="","",ROUND(H754/3.305785,3))</f>
        <v/>
      </c>
      <c r="J754" s="7" t="n"/>
      <c r="K754" s="7" t="n"/>
      <c r="L754" s="10">
        <f>IF(OR(J754="",K754="",K754=0),"",ROUND(J754/K754,6))</f>
        <v/>
      </c>
      <c r="M754" s="9">
        <f>IF(OR(H754="",J754="",K754="",K754=0),"",ROUND(H754*J754/K754/3.305785,3))</f>
        <v/>
      </c>
      <c r="N754" s="7" t="n"/>
      <c r="O754" s="11" t="n"/>
      <c r="P754" s="11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12">
        <f>IF(A754="","",IF(OR(B754="",C754="",D754="",E754="",G754="",H754="",J754="",K754=""),"必填欄位未完整",""))</f>
        <v/>
      </c>
      <c r="AB754" s="12">
        <f>IF(A754="","",A754&amp;"|"&amp;G754)</f>
        <v/>
      </c>
    </row>
    <row r="755" ht="24" customHeight="1">
      <c r="A755" s="7" t="n"/>
      <c r="B755" s="7" t="n"/>
      <c r="C755" s="7" t="n"/>
      <c r="D755" s="7" t="n"/>
      <c r="E755" s="7" t="n"/>
      <c r="F755" s="7" t="n"/>
      <c r="G755" s="7" t="n"/>
      <c r="H755" s="8" t="n"/>
      <c r="I755" s="9">
        <f>IF(H755="","",ROUND(H755/3.305785,3))</f>
        <v/>
      </c>
      <c r="J755" s="7" t="n"/>
      <c r="K755" s="7" t="n"/>
      <c r="L755" s="10">
        <f>IF(OR(J755="",K755="",K755=0),"",ROUND(J755/K755,6))</f>
        <v/>
      </c>
      <c r="M755" s="9">
        <f>IF(OR(H755="",J755="",K755="",K755=0),"",ROUND(H755*J755/K755/3.305785,3))</f>
        <v/>
      </c>
      <c r="N755" s="7" t="n"/>
      <c r="O755" s="11" t="n"/>
      <c r="P755" s="11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12">
        <f>IF(A755="","",IF(OR(B755="",C755="",D755="",E755="",G755="",H755="",J755="",K755=""),"必填欄位未完整",""))</f>
        <v/>
      </c>
      <c r="AB755" s="12">
        <f>IF(A755="","",A755&amp;"|"&amp;G755)</f>
        <v/>
      </c>
    </row>
    <row r="756" ht="24" customHeight="1">
      <c r="A756" s="7" t="n"/>
      <c r="B756" s="7" t="n"/>
      <c r="C756" s="7" t="n"/>
      <c r="D756" s="7" t="n"/>
      <c r="E756" s="7" t="n"/>
      <c r="F756" s="7" t="n"/>
      <c r="G756" s="7" t="n"/>
      <c r="H756" s="8" t="n"/>
      <c r="I756" s="9">
        <f>IF(H756="","",ROUND(H756/3.305785,3))</f>
        <v/>
      </c>
      <c r="J756" s="7" t="n"/>
      <c r="K756" s="7" t="n"/>
      <c r="L756" s="10">
        <f>IF(OR(J756="",K756="",K756=0),"",ROUND(J756/K756,6))</f>
        <v/>
      </c>
      <c r="M756" s="9">
        <f>IF(OR(H756="",J756="",K756="",K756=0),"",ROUND(H756*J756/K756/3.305785,3))</f>
        <v/>
      </c>
      <c r="N756" s="7" t="n"/>
      <c r="O756" s="11" t="n"/>
      <c r="P756" s="11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12">
        <f>IF(A756="","",IF(OR(B756="",C756="",D756="",E756="",G756="",H756="",J756="",K756=""),"必填欄位未完整",""))</f>
        <v/>
      </c>
      <c r="AB756" s="12">
        <f>IF(A756="","",A756&amp;"|"&amp;G756)</f>
        <v/>
      </c>
    </row>
    <row r="757" ht="24" customHeight="1">
      <c r="A757" s="7" t="n"/>
      <c r="B757" s="7" t="n"/>
      <c r="C757" s="7" t="n"/>
      <c r="D757" s="7" t="n"/>
      <c r="E757" s="7" t="n"/>
      <c r="F757" s="7" t="n"/>
      <c r="G757" s="7" t="n"/>
      <c r="H757" s="8" t="n"/>
      <c r="I757" s="9">
        <f>IF(H757="","",ROUND(H757/3.305785,3))</f>
        <v/>
      </c>
      <c r="J757" s="7" t="n"/>
      <c r="K757" s="7" t="n"/>
      <c r="L757" s="10">
        <f>IF(OR(J757="",K757="",K757=0),"",ROUND(J757/K757,6))</f>
        <v/>
      </c>
      <c r="M757" s="9">
        <f>IF(OR(H757="",J757="",K757="",K757=0),"",ROUND(H757*J757/K757/3.305785,3))</f>
        <v/>
      </c>
      <c r="N757" s="7" t="n"/>
      <c r="O757" s="11" t="n"/>
      <c r="P757" s="11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12">
        <f>IF(A757="","",IF(OR(B757="",C757="",D757="",E757="",G757="",H757="",J757="",K757=""),"必填欄位未完整",""))</f>
        <v/>
      </c>
      <c r="AB757" s="12">
        <f>IF(A757="","",A757&amp;"|"&amp;G757)</f>
        <v/>
      </c>
    </row>
    <row r="758" ht="24" customHeight="1">
      <c r="A758" s="7" t="n"/>
      <c r="B758" s="7" t="n"/>
      <c r="C758" s="7" t="n"/>
      <c r="D758" s="7" t="n"/>
      <c r="E758" s="7" t="n"/>
      <c r="F758" s="7" t="n"/>
      <c r="G758" s="7" t="n"/>
      <c r="H758" s="8" t="n"/>
      <c r="I758" s="9">
        <f>IF(H758="","",ROUND(H758/3.305785,3))</f>
        <v/>
      </c>
      <c r="J758" s="7" t="n"/>
      <c r="K758" s="7" t="n"/>
      <c r="L758" s="10">
        <f>IF(OR(J758="",K758="",K758=0),"",ROUND(J758/K758,6))</f>
        <v/>
      </c>
      <c r="M758" s="9">
        <f>IF(OR(H758="",J758="",K758="",K758=0),"",ROUND(H758*J758/K758/3.305785,3))</f>
        <v/>
      </c>
      <c r="N758" s="7" t="n"/>
      <c r="O758" s="11" t="n"/>
      <c r="P758" s="11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12">
        <f>IF(A758="","",IF(OR(B758="",C758="",D758="",E758="",G758="",H758="",J758="",K758=""),"必填欄位未完整",""))</f>
        <v/>
      </c>
      <c r="AB758" s="12">
        <f>IF(A758="","",A758&amp;"|"&amp;G758)</f>
        <v/>
      </c>
    </row>
    <row r="759" ht="24" customHeight="1">
      <c r="A759" s="7" t="n"/>
      <c r="B759" s="7" t="n"/>
      <c r="C759" s="7" t="n"/>
      <c r="D759" s="7" t="n"/>
      <c r="E759" s="7" t="n"/>
      <c r="F759" s="7" t="n"/>
      <c r="G759" s="7" t="n"/>
      <c r="H759" s="8" t="n"/>
      <c r="I759" s="9">
        <f>IF(H759="","",ROUND(H759/3.305785,3))</f>
        <v/>
      </c>
      <c r="J759" s="7" t="n"/>
      <c r="K759" s="7" t="n"/>
      <c r="L759" s="10">
        <f>IF(OR(J759="",K759="",K759=0),"",ROUND(J759/K759,6))</f>
        <v/>
      </c>
      <c r="M759" s="9">
        <f>IF(OR(H759="",J759="",K759="",K759=0),"",ROUND(H759*J759/K759/3.305785,3))</f>
        <v/>
      </c>
      <c r="N759" s="7" t="n"/>
      <c r="O759" s="11" t="n"/>
      <c r="P759" s="11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12">
        <f>IF(A759="","",IF(OR(B759="",C759="",D759="",E759="",G759="",H759="",J759="",K759=""),"必填欄位未完整",""))</f>
        <v/>
      </c>
      <c r="AB759" s="12">
        <f>IF(A759="","",A759&amp;"|"&amp;G759)</f>
        <v/>
      </c>
    </row>
    <row r="760" ht="24" customHeight="1">
      <c r="A760" s="7" t="n"/>
      <c r="B760" s="7" t="n"/>
      <c r="C760" s="7" t="n"/>
      <c r="D760" s="7" t="n"/>
      <c r="E760" s="7" t="n"/>
      <c r="F760" s="7" t="n"/>
      <c r="G760" s="7" t="n"/>
      <c r="H760" s="8" t="n"/>
      <c r="I760" s="9">
        <f>IF(H760="","",ROUND(H760/3.305785,3))</f>
        <v/>
      </c>
      <c r="J760" s="7" t="n"/>
      <c r="K760" s="7" t="n"/>
      <c r="L760" s="10">
        <f>IF(OR(J760="",K760="",K760=0),"",ROUND(J760/K760,6))</f>
        <v/>
      </c>
      <c r="M760" s="9">
        <f>IF(OR(H760="",J760="",K760="",K760=0),"",ROUND(H760*J760/K760/3.305785,3))</f>
        <v/>
      </c>
      <c r="N760" s="7" t="n"/>
      <c r="O760" s="11" t="n"/>
      <c r="P760" s="11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12">
        <f>IF(A760="","",IF(OR(B760="",C760="",D760="",E760="",G760="",H760="",J760="",K760=""),"必填欄位未完整",""))</f>
        <v/>
      </c>
      <c r="AB760" s="12">
        <f>IF(A760="","",A760&amp;"|"&amp;G760)</f>
        <v/>
      </c>
    </row>
    <row r="761" ht="24" customHeight="1">
      <c r="A761" s="7" t="n"/>
      <c r="B761" s="7" t="n"/>
      <c r="C761" s="7" t="n"/>
      <c r="D761" s="7" t="n"/>
      <c r="E761" s="7" t="n"/>
      <c r="F761" s="7" t="n"/>
      <c r="G761" s="7" t="n"/>
      <c r="H761" s="8" t="n"/>
      <c r="I761" s="9">
        <f>IF(H761="","",ROUND(H761/3.305785,3))</f>
        <v/>
      </c>
      <c r="J761" s="7" t="n"/>
      <c r="K761" s="7" t="n"/>
      <c r="L761" s="10">
        <f>IF(OR(J761="",K761="",K761=0),"",ROUND(J761/K761,6))</f>
        <v/>
      </c>
      <c r="M761" s="9">
        <f>IF(OR(H761="",J761="",K761="",K761=0),"",ROUND(H761*J761/K761/3.305785,3))</f>
        <v/>
      </c>
      <c r="N761" s="7" t="n"/>
      <c r="O761" s="11" t="n"/>
      <c r="P761" s="11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12">
        <f>IF(A761="","",IF(OR(B761="",C761="",D761="",E761="",G761="",H761="",J761="",K761=""),"必填欄位未完整",""))</f>
        <v/>
      </c>
      <c r="AB761" s="12">
        <f>IF(A761="","",A761&amp;"|"&amp;G761)</f>
        <v/>
      </c>
    </row>
    <row r="762" ht="24" customHeight="1">
      <c r="A762" s="7" t="n"/>
      <c r="B762" s="7" t="n"/>
      <c r="C762" s="7" t="n"/>
      <c r="D762" s="7" t="n"/>
      <c r="E762" s="7" t="n"/>
      <c r="F762" s="7" t="n"/>
      <c r="G762" s="7" t="n"/>
      <c r="H762" s="8" t="n"/>
      <c r="I762" s="9">
        <f>IF(H762="","",ROUND(H762/3.305785,3))</f>
        <v/>
      </c>
      <c r="J762" s="7" t="n"/>
      <c r="K762" s="7" t="n"/>
      <c r="L762" s="10">
        <f>IF(OR(J762="",K762="",K762=0),"",ROUND(J762/K762,6))</f>
        <v/>
      </c>
      <c r="M762" s="9">
        <f>IF(OR(H762="",J762="",K762="",K762=0),"",ROUND(H762*J762/K762/3.305785,3))</f>
        <v/>
      </c>
      <c r="N762" s="7" t="n"/>
      <c r="O762" s="11" t="n"/>
      <c r="P762" s="11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12">
        <f>IF(A762="","",IF(OR(B762="",C762="",D762="",E762="",G762="",H762="",J762="",K762=""),"必填欄位未完整",""))</f>
        <v/>
      </c>
      <c r="AB762" s="12">
        <f>IF(A762="","",A762&amp;"|"&amp;G762)</f>
        <v/>
      </c>
    </row>
    <row r="763" ht="24" customHeight="1">
      <c r="A763" s="7" t="n"/>
      <c r="B763" s="7" t="n"/>
      <c r="C763" s="7" t="n"/>
      <c r="D763" s="7" t="n"/>
      <c r="E763" s="7" t="n"/>
      <c r="F763" s="7" t="n"/>
      <c r="G763" s="7" t="n"/>
      <c r="H763" s="8" t="n"/>
      <c r="I763" s="9">
        <f>IF(H763="","",ROUND(H763/3.305785,3))</f>
        <v/>
      </c>
      <c r="J763" s="7" t="n"/>
      <c r="K763" s="7" t="n"/>
      <c r="L763" s="10">
        <f>IF(OR(J763="",K763="",K763=0),"",ROUND(J763/K763,6))</f>
        <v/>
      </c>
      <c r="M763" s="9">
        <f>IF(OR(H763="",J763="",K763="",K763=0),"",ROUND(H763*J763/K763/3.305785,3))</f>
        <v/>
      </c>
      <c r="N763" s="7" t="n"/>
      <c r="O763" s="11" t="n"/>
      <c r="P763" s="11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12">
        <f>IF(A763="","",IF(OR(B763="",C763="",D763="",E763="",G763="",H763="",J763="",K763=""),"必填欄位未完整",""))</f>
        <v/>
      </c>
      <c r="AB763" s="12">
        <f>IF(A763="","",A763&amp;"|"&amp;G763)</f>
        <v/>
      </c>
    </row>
    <row r="764" ht="24" customHeight="1">
      <c r="A764" s="7" t="n"/>
      <c r="B764" s="7" t="n"/>
      <c r="C764" s="7" t="n"/>
      <c r="D764" s="7" t="n"/>
      <c r="E764" s="7" t="n"/>
      <c r="F764" s="7" t="n"/>
      <c r="G764" s="7" t="n"/>
      <c r="H764" s="8" t="n"/>
      <c r="I764" s="9">
        <f>IF(H764="","",ROUND(H764/3.305785,3))</f>
        <v/>
      </c>
      <c r="J764" s="7" t="n"/>
      <c r="K764" s="7" t="n"/>
      <c r="L764" s="10">
        <f>IF(OR(J764="",K764="",K764=0),"",ROUND(J764/K764,6))</f>
        <v/>
      </c>
      <c r="M764" s="9">
        <f>IF(OR(H764="",J764="",K764="",K764=0),"",ROUND(H764*J764/K764/3.305785,3))</f>
        <v/>
      </c>
      <c r="N764" s="7" t="n"/>
      <c r="O764" s="11" t="n"/>
      <c r="P764" s="11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12">
        <f>IF(A764="","",IF(OR(B764="",C764="",D764="",E764="",G764="",H764="",J764="",K764=""),"必填欄位未完整",""))</f>
        <v/>
      </c>
      <c r="AB764" s="12">
        <f>IF(A764="","",A764&amp;"|"&amp;G764)</f>
        <v/>
      </c>
    </row>
    <row r="765" ht="24" customHeight="1">
      <c r="A765" s="7" t="n"/>
      <c r="B765" s="7" t="n"/>
      <c r="C765" s="7" t="n"/>
      <c r="D765" s="7" t="n"/>
      <c r="E765" s="7" t="n"/>
      <c r="F765" s="7" t="n"/>
      <c r="G765" s="7" t="n"/>
      <c r="H765" s="8" t="n"/>
      <c r="I765" s="9">
        <f>IF(H765="","",ROUND(H765/3.305785,3))</f>
        <v/>
      </c>
      <c r="J765" s="7" t="n"/>
      <c r="K765" s="7" t="n"/>
      <c r="L765" s="10">
        <f>IF(OR(J765="",K765="",K765=0),"",ROUND(J765/K765,6))</f>
        <v/>
      </c>
      <c r="M765" s="9">
        <f>IF(OR(H765="",J765="",K765="",K765=0),"",ROUND(H765*J765/K765/3.305785,3))</f>
        <v/>
      </c>
      <c r="N765" s="7" t="n"/>
      <c r="O765" s="11" t="n"/>
      <c r="P765" s="11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12">
        <f>IF(A765="","",IF(OR(B765="",C765="",D765="",E765="",G765="",H765="",J765="",K765=""),"必填欄位未完整",""))</f>
        <v/>
      </c>
      <c r="AB765" s="12">
        <f>IF(A765="","",A765&amp;"|"&amp;G765)</f>
        <v/>
      </c>
    </row>
    <row r="766" ht="24" customHeight="1">
      <c r="A766" s="7" t="n"/>
      <c r="B766" s="7" t="n"/>
      <c r="C766" s="7" t="n"/>
      <c r="D766" s="7" t="n"/>
      <c r="E766" s="7" t="n"/>
      <c r="F766" s="7" t="n"/>
      <c r="G766" s="7" t="n"/>
      <c r="H766" s="8" t="n"/>
      <c r="I766" s="9">
        <f>IF(H766="","",ROUND(H766/3.305785,3))</f>
        <v/>
      </c>
      <c r="J766" s="7" t="n"/>
      <c r="K766" s="7" t="n"/>
      <c r="L766" s="10">
        <f>IF(OR(J766="",K766="",K766=0),"",ROUND(J766/K766,6))</f>
        <v/>
      </c>
      <c r="M766" s="9">
        <f>IF(OR(H766="",J766="",K766="",K766=0),"",ROUND(H766*J766/K766/3.305785,3))</f>
        <v/>
      </c>
      <c r="N766" s="7" t="n"/>
      <c r="O766" s="11" t="n"/>
      <c r="P766" s="11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12">
        <f>IF(A766="","",IF(OR(B766="",C766="",D766="",E766="",G766="",H766="",J766="",K766=""),"必填欄位未完整",""))</f>
        <v/>
      </c>
      <c r="AB766" s="12">
        <f>IF(A766="","",A766&amp;"|"&amp;G766)</f>
        <v/>
      </c>
    </row>
    <row r="767" ht="24" customHeight="1">
      <c r="A767" s="7" t="n"/>
      <c r="B767" s="7" t="n"/>
      <c r="C767" s="7" t="n"/>
      <c r="D767" s="7" t="n"/>
      <c r="E767" s="7" t="n"/>
      <c r="F767" s="7" t="n"/>
      <c r="G767" s="7" t="n"/>
      <c r="H767" s="8" t="n"/>
      <c r="I767" s="9">
        <f>IF(H767="","",ROUND(H767/3.305785,3))</f>
        <v/>
      </c>
      <c r="J767" s="7" t="n"/>
      <c r="K767" s="7" t="n"/>
      <c r="L767" s="10">
        <f>IF(OR(J767="",K767="",K767=0),"",ROUND(J767/K767,6))</f>
        <v/>
      </c>
      <c r="M767" s="9">
        <f>IF(OR(H767="",J767="",K767="",K767=0),"",ROUND(H767*J767/K767/3.305785,3))</f>
        <v/>
      </c>
      <c r="N767" s="7" t="n"/>
      <c r="O767" s="11" t="n"/>
      <c r="P767" s="11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12">
        <f>IF(A767="","",IF(OR(B767="",C767="",D767="",E767="",G767="",H767="",J767="",K767=""),"必填欄位未完整",""))</f>
        <v/>
      </c>
      <c r="AB767" s="12">
        <f>IF(A767="","",A767&amp;"|"&amp;G767)</f>
        <v/>
      </c>
    </row>
    <row r="768" ht="24" customHeight="1">
      <c r="A768" s="7" t="n"/>
      <c r="B768" s="7" t="n"/>
      <c r="C768" s="7" t="n"/>
      <c r="D768" s="7" t="n"/>
      <c r="E768" s="7" t="n"/>
      <c r="F768" s="7" t="n"/>
      <c r="G768" s="7" t="n"/>
      <c r="H768" s="8" t="n"/>
      <c r="I768" s="9">
        <f>IF(H768="","",ROUND(H768/3.305785,3))</f>
        <v/>
      </c>
      <c r="J768" s="7" t="n"/>
      <c r="K768" s="7" t="n"/>
      <c r="L768" s="10">
        <f>IF(OR(J768="",K768="",K768=0),"",ROUND(J768/K768,6))</f>
        <v/>
      </c>
      <c r="M768" s="9">
        <f>IF(OR(H768="",J768="",K768="",K768=0),"",ROUND(H768*J768/K768/3.305785,3))</f>
        <v/>
      </c>
      <c r="N768" s="7" t="n"/>
      <c r="O768" s="11" t="n"/>
      <c r="P768" s="11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12">
        <f>IF(A768="","",IF(OR(B768="",C768="",D768="",E768="",G768="",H768="",J768="",K768=""),"必填欄位未完整",""))</f>
        <v/>
      </c>
      <c r="AB768" s="12">
        <f>IF(A768="","",A768&amp;"|"&amp;G768)</f>
        <v/>
      </c>
    </row>
    <row r="769" ht="24" customHeight="1">
      <c r="A769" s="7" t="n"/>
      <c r="B769" s="7" t="n"/>
      <c r="C769" s="7" t="n"/>
      <c r="D769" s="7" t="n"/>
      <c r="E769" s="7" t="n"/>
      <c r="F769" s="7" t="n"/>
      <c r="G769" s="7" t="n"/>
      <c r="H769" s="8" t="n"/>
      <c r="I769" s="9">
        <f>IF(H769="","",ROUND(H769/3.305785,3))</f>
        <v/>
      </c>
      <c r="J769" s="7" t="n"/>
      <c r="K769" s="7" t="n"/>
      <c r="L769" s="10">
        <f>IF(OR(J769="",K769="",K769=0),"",ROUND(J769/K769,6))</f>
        <v/>
      </c>
      <c r="M769" s="9">
        <f>IF(OR(H769="",J769="",K769="",K769=0),"",ROUND(H769*J769/K769/3.305785,3))</f>
        <v/>
      </c>
      <c r="N769" s="7" t="n"/>
      <c r="O769" s="11" t="n"/>
      <c r="P769" s="11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12">
        <f>IF(A769="","",IF(OR(B769="",C769="",D769="",E769="",G769="",H769="",J769="",K769=""),"必填欄位未完整",""))</f>
        <v/>
      </c>
      <c r="AB769" s="12">
        <f>IF(A769="","",A769&amp;"|"&amp;G769)</f>
        <v/>
      </c>
    </row>
    <row r="770" ht="24" customHeight="1">
      <c r="A770" s="7" t="n"/>
      <c r="B770" s="7" t="n"/>
      <c r="C770" s="7" t="n"/>
      <c r="D770" s="7" t="n"/>
      <c r="E770" s="7" t="n"/>
      <c r="F770" s="7" t="n"/>
      <c r="G770" s="7" t="n"/>
      <c r="H770" s="8" t="n"/>
      <c r="I770" s="9">
        <f>IF(H770="","",ROUND(H770/3.305785,3))</f>
        <v/>
      </c>
      <c r="J770" s="7" t="n"/>
      <c r="K770" s="7" t="n"/>
      <c r="L770" s="10">
        <f>IF(OR(J770="",K770="",K770=0),"",ROUND(J770/K770,6))</f>
        <v/>
      </c>
      <c r="M770" s="9">
        <f>IF(OR(H770="",J770="",K770="",K770=0),"",ROUND(H770*J770/K770/3.305785,3))</f>
        <v/>
      </c>
      <c r="N770" s="7" t="n"/>
      <c r="O770" s="11" t="n"/>
      <c r="P770" s="11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12">
        <f>IF(A770="","",IF(OR(B770="",C770="",D770="",E770="",G770="",H770="",J770="",K770=""),"必填欄位未完整",""))</f>
        <v/>
      </c>
      <c r="AB770" s="12">
        <f>IF(A770="","",A770&amp;"|"&amp;G770)</f>
        <v/>
      </c>
    </row>
    <row r="771" ht="24" customHeight="1">
      <c r="A771" s="7" t="n"/>
      <c r="B771" s="7" t="n"/>
      <c r="C771" s="7" t="n"/>
      <c r="D771" s="7" t="n"/>
      <c r="E771" s="7" t="n"/>
      <c r="F771" s="7" t="n"/>
      <c r="G771" s="7" t="n"/>
      <c r="H771" s="8" t="n"/>
      <c r="I771" s="9">
        <f>IF(H771="","",ROUND(H771/3.305785,3))</f>
        <v/>
      </c>
      <c r="J771" s="7" t="n"/>
      <c r="K771" s="7" t="n"/>
      <c r="L771" s="10">
        <f>IF(OR(J771="",K771="",K771=0),"",ROUND(J771/K771,6))</f>
        <v/>
      </c>
      <c r="M771" s="9">
        <f>IF(OR(H771="",J771="",K771="",K771=0),"",ROUND(H771*J771/K771/3.305785,3))</f>
        <v/>
      </c>
      <c r="N771" s="7" t="n"/>
      <c r="O771" s="11" t="n"/>
      <c r="P771" s="11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12">
        <f>IF(A771="","",IF(OR(B771="",C771="",D771="",E771="",G771="",H771="",J771="",K771=""),"必填欄位未完整",""))</f>
        <v/>
      </c>
      <c r="AB771" s="12">
        <f>IF(A771="","",A771&amp;"|"&amp;G771)</f>
        <v/>
      </c>
    </row>
    <row r="772" ht="24" customHeight="1">
      <c r="A772" s="7" t="n"/>
      <c r="B772" s="7" t="n"/>
      <c r="C772" s="7" t="n"/>
      <c r="D772" s="7" t="n"/>
      <c r="E772" s="7" t="n"/>
      <c r="F772" s="7" t="n"/>
      <c r="G772" s="7" t="n"/>
      <c r="H772" s="8" t="n"/>
      <c r="I772" s="9">
        <f>IF(H772="","",ROUND(H772/3.305785,3))</f>
        <v/>
      </c>
      <c r="J772" s="7" t="n"/>
      <c r="K772" s="7" t="n"/>
      <c r="L772" s="10">
        <f>IF(OR(J772="",K772="",K772=0),"",ROUND(J772/K772,6))</f>
        <v/>
      </c>
      <c r="M772" s="9">
        <f>IF(OR(H772="",J772="",K772="",K772=0),"",ROUND(H772*J772/K772/3.305785,3))</f>
        <v/>
      </c>
      <c r="N772" s="7" t="n"/>
      <c r="O772" s="11" t="n"/>
      <c r="P772" s="11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12">
        <f>IF(A772="","",IF(OR(B772="",C772="",D772="",E772="",G772="",H772="",J772="",K772=""),"必填欄位未完整",""))</f>
        <v/>
      </c>
      <c r="AB772" s="12">
        <f>IF(A772="","",A772&amp;"|"&amp;G772)</f>
        <v/>
      </c>
    </row>
    <row r="773" ht="24" customHeight="1">
      <c r="A773" s="7" t="n"/>
      <c r="B773" s="7" t="n"/>
      <c r="C773" s="7" t="n"/>
      <c r="D773" s="7" t="n"/>
      <c r="E773" s="7" t="n"/>
      <c r="F773" s="7" t="n"/>
      <c r="G773" s="7" t="n"/>
      <c r="H773" s="8" t="n"/>
      <c r="I773" s="9">
        <f>IF(H773="","",ROUND(H773/3.305785,3))</f>
        <v/>
      </c>
      <c r="J773" s="7" t="n"/>
      <c r="K773" s="7" t="n"/>
      <c r="L773" s="10">
        <f>IF(OR(J773="",K773="",K773=0),"",ROUND(J773/K773,6))</f>
        <v/>
      </c>
      <c r="M773" s="9">
        <f>IF(OR(H773="",J773="",K773="",K773=0),"",ROUND(H773*J773/K773/3.305785,3))</f>
        <v/>
      </c>
      <c r="N773" s="7" t="n"/>
      <c r="O773" s="11" t="n"/>
      <c r="P773" s="11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12">
        <f>IF(A773="","",IF(OR(B773="",C773="",D773="",E773="",G773="",H773="",J773="",K773=""),"必填欄位未完整",""))</f>
        <v/>
      </c>
      <c r="AB773" s="12">
        <f>IF(A773="","",A773&amp;"|"&amp;G773)</f>
        <v/>
      </c>
    </row>
    <row r="774" ht="24" customHeight="1">
      <c r="A774" s="7" t="n"/>
      <c r="B774" s="7" t="n"/>
      <c r="C774" s="7" t="n"/>
      <c r="D774" s="7" t="n"/>
      <c r="E774" s="7" t="n"/>
      <c r="F774" s="7" t="n"/>
      <c r="G774" s="7" t="n"/>
      <c r="H774" s="8" t="n"/>
      <c r="I774" s="9">
        <f>IF(H774="","",ROUND(H774/3.305785,3))</f>
        <v/>
      </c>
      <c r="J774" s="7" t="n"/>
      <c r="K774" s="7" t="n"/>
      <c r="L774" s="10">
        <f>IF(OR(J774="",K774="",K774=0),"",ROUND(J774/K774,6))</f>
        <v/>
      </c>
      <c r="M774" s="9">
        <f>IF(OR(H774="",J774="",K774="",K774=0),"",ROUND(H774*J774/K774/3.305785,3))</f>
        <v/>
      </c>
      <c r="N774" s="7" t="n"/>
      <c r="O774" s="11" t="n"/>
      <c r="P774" s="11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12">
        <f>IF(A774="","",IF(OR(B774="",C774="",D774="",E774="",G774="",H774="",J774="",K774=""),"必填欄位未完整",""))</f>
        <v/>
      </c>
      <c r="AB774" s="12">
        <f>IF(A774="","",A774&amp;"|"&amp;G774)</f>
        <v/>
      </c>
    </row>
    <row r="775" ht="24" customHeight="1">
      <c r="A775" s="7" t="n"/>
      <c r="B775" s="7" t="n"/>
      <c r="C775" s="7" t="n"/>
      <c r="D775" s="7" t="n"/>
      <c r="E775" s="7" t="n"/>
      <c r="F775" s="7" t="n"/>
      <c r="G775" s="7" t="n"/>
      <c r="H775" s="8" t="n"/>
      <c r="I775" s="9">
        <f>IF(H775="","",ROUND(H775/3.305785,3))</f>
        <v/>
      </c>
      <c r="J775" s="7" t="n"/>
      <c r="K775" s="7" t="n"/>
      <c r="L775" s="10">
        <f>IF(OR(J775="",K775="",K775=0),"",ROUND(J775/K775,6))</f>
        <v/>
      </c>
      <c r="M775" s="9">
        <f>IF(OR(H775="",J775="",K775="",K775=0),"",ROUND(H775*J775/K775/3.305785,3))</f>
        <v/>
      </c>
      <c r="N775" s="7" t="n"/>
      <c r="O775" s="11" t="n"/>
      <c r="P775" s="11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12">
        <f>IF(A775="","",IF(OR(B775="",C775="",D775="",E775="",G775="",H775="",J775="",K775=""),"必填欄位未完整",""))</f>
        <v/>
      </c>
      <c r="AB775" s="12">
        <f>IF(A775="","",A775&amp;"|"&amp;G775)</f>
        <v/>
      </c>
    </row>
    <row r="776" ht="24" customHeight="1">
      <c r="A776" s="7" t="n"/>
      <c r="B776" s="7" t="n"/>
      <c r="C776" s="7" t="n"/>
      <c r="D776" s="7" t="n"/>
      <c r="E776" s="7" t="n"/>
      <c r="F776" s="7" t="n"/>
      <c r="G776" s="7" t="n"/>
      <c r="H776" s="8" t="n"/>
      <c r="I776" s="9">
        <f>IF(H776="","",ROUND(H776/3.305785,3))</f>
        <v/>
      </c>
      <c r="J776" s="7" t="n"/>
      <c r="K776" s="7" t="n"/>
      <c r="L776" s="10">
        <f>IF(OR(J776="",K776="",K776=0),"",ROUND(J776/K776,6))</f>
        <v/>
      </c>
      <c r="M776" s="9">
        <f>IF(OR(H776="",J776="",K776="",K776=0),"",ROUND(H776*J776/K776/3.305785,3))</f>
        <v/>
      </c>
      <c r="N776" s="7" t="n"/>
      <c r="O776" s="11" t="n"/>
      <c r="P776" s="11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12">
        <f>IF(A776="","",IF(OR(B776="",C776="",D776="",E776="",G776="",H776="",J776="",K776=""),"必填欄位未完整",""))</f>
        <v/>
      </c>
      <c r="AB776" s="12">
        <f>IF(A776="","",A776&amp;"|"&amp;G776)</f>
        <v/>
      </c>
    </row>
    <row r="777" ht="24" customHeight="1">
      <c r="A777" s="7" t="n"/>
      <c r="B777" s="7" t="n"/>
      <c r="C777" s="7" t="n"/>
      <c r="D777" s="7" t="n"/>
      <c r="E777" s="7" t="n"/>
      <c r="F777" s="7" t="n"/>
      <c r="G777" s="7" t="n"/>
      <c r="H777" s="8" t="n"/>
      <c r="I777" s="9">
        <f>IF(H777="","",ROUND(H777/3.305785,3))</f>
        <v/>
      </c>
      <c r="J777" s="7" t="n"/>
      <c r="K777" s="7" t="n"/>
      <c r="L777" s="10">
        <f>IF(OR(J777="",K777="",K777=0),"",ROUND(J777/K777,6))</f>
        <v/>
      </c>
      <c r="M777" s="9">
        <f>IF(OR(H777="",J777="",K777="",K777=0),"",ROUND(H777*J777/K777/3.305785,3))</f>
        <v/>
      </c>
      <c r="N777" s="7" t="n"/>
      <c r="O777" s="11" t="n"/>
      <c r="P777" s="11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12">
        <f>IF(A777="","",IF(OR(B777="",C777="",D777="",E777="",G777="",H777="",J777="",K777=""),"必填欄位未完整",""))</f>
        <v/>
      </c>
      <c r="AB777" s="12">
        <f>IF(A777="","",A777&amp;"|"&amp;G777)</f>
        <v/>
      </c>
    </row>
    <row r="778" ht="24" customHeight="1">
      <c r="A778" s="7" t="n"/>
      <c r="B778" s="7" t="n"/>
      <c r="C778" s="7" t="n"/>
      <c r="D778" s="7" t="n"/>
      <c r="E778" s="7" t="n"/>
      <c r="F778" s="7" t="n"/>
      <c r="G778" s="7" t="n"/>
      <c r="H778" s="8" t="n"/>
      <c r="I778" s="9">
        <f>IF(H778="","",ROUND(H778/3.305785,3))</f>
        <v/>
      </c>
      <c r="J778" s="7" t="n"/>
      <c r="K778" s="7" t="n"/>
      <c r="L778" s="10">
        <f>IF(OR(J778="",K778="",K778=0),"",ROUND(J778/K778,6))</f>
        <v/>
      </c>
      <c r="M778" s="9">
        <f>IF(OR(H778="",J778="",K778="",K778=0),"",ROUND(H778*J778/K778/3.305785,3))</f>
        <v/>
      </c>
      <c r="N778" s="7" t="n"/>
      <c r="O778" s="11" t="n"/>
      <c r="P778" s="11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12">
        <f>IF(A778="","",IF(OR(B778="",C778="",D778="",E778="",G778="",H778="",J778="",K778=""),"必填欄位未完整",""))</f>
        <v/>
      </c>
      <c r="AB778" s="12">
        <f>IF(A778="","",A778&amp;"|"&amp;G778)</f>
        <v/>
      </c>
    </row>
    <row r="779" ht="24" customHeight="1">
      <c r="A779" s="7" t="n"/>
      <c r="B779" s="7" t="n"/>
      <c r="C779" s="7" t="n"/>
      <c r="D779" s="7" t="n"/>
      <c r="E779" s="7" t="n"/>
      <c r="F779" s="7" t="n"/>
      <c r="G779" s="7" t="n"/>
      <c r="H779" s="8" t="n"/>
      <c r="I779" s="9">
        <f>IF(H779="","",ROUND(H779/3.305785,3))</f>
        <v/>
      </c>
      <c r="J779" s="7" t="n"/>
      <c r="K779" s="7" t="n"/>
      <c r="L779" s="10">
        <f>IF(OR(J779="",K779="",K779=0),"",ROUND(J779/K779,6))</f>
        <v/>
      </c>
      <c r="M779" s="9">
        <f>IF(OR(H779="",J779="",K779="",K779=0),"",ROUND(H779*J779/K779/3.305785,3))</f>
        <v/>
      </c>
      <c r="N779" s="7" t="n"/>
      <c r="O779" s="11" t="n"/>
      <c r="P779" s="11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12">
        <f>IF(A779="","",IF(OR(B779="",C779="",D779="",E779="",G779="",H779="",J779="",K779=""),"必填欄位未完整",""))</f>
        <v/>
      </c>
      <c r="AB779" s="12">
        <f>IF(A779="","",A779&amp;"|"&amp;G779)</f>
        <v/>
      </c>
    </row>
    <row r="780" ht="24" customHeight="1">
      <c r="A780" s="7" t="n"/>
      <c r="B780" s="7" t="n"/>
      <c r="C780" s="7" t="n"/>
      <c r="D780" s="7" t="n"/>
      <c r="E780" s="7" t="n"/>
      <c r="F780" s="7" t="n"/>
      <c r="G780" s="7" t="n"/>
      <c r="H780" s="8" t="n"/>
      <c r="I780" s="9">
        <f>IF(H780="","",ROUND(H780/3.305785,3))</f>
        <v/>
      </c>
      <c r="J780" s="7" t="n"/>
      <c r="K780" s="7" t="n"/>
      <c r="L780" s="10">
        <f>IF(OR(J780="",K780="",K780=0),"",ROUND(J780/K780,6))</f>
        <v/>
      </c>
      <c r="M780" s="9">
        <f>IF(OR(H780="",J780="",K780="",K780=0),"",ROUND(H780*J780/K780/3.305785,3))</f>
        <v/>
      </c>
      <c r="N780" s="7" t="n"/>
      <c r="O780" s="11" t="n"/>
      <c r="P780" s="11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12">
        <f>IF(A780="","",IF(OR(B780="",C780="",D780="",E780="",G780="",H780="",J780="",K780=""),"必填欄位未完整",""))</f>
        <v/>
      </c>
      <c r="AB780" s="12">
        <f>IF(A780="","",A780&amp;"|"&amp;G780)</f>
        <v/>
      </c>
    </row>
    <row r="781" ht="24" customHeight="1">
      <c r="A781" s="7" t="n"/>
      <c r="B781" s="7" t="n"/>
      <c r="C781" s="7" t="n"/>
      <c r="D781" s="7" t="n"/>
      <c r="E781" s="7" t="n"/>
      <c r="F781" s="7" t="n"/>
      <c r="G781" s="7" t="n"/>
      <c r="H781" s="8" t="n"/>
      <c r="I781" s="9">
        <f>IF(H781="","",ROUND(H781/3.305785,3))</f>
        <v/>
      </c>
      <c r="J781" s="7" t="n"/>
      <c r="K781" s="7" t="n"/>
      <c r="L781" s="10">
        <f>IF(OR(J781="",K781="",K781=0),"",ROUND(J781/K781,6))</f>
        <v/>
      </c>
      <c r="M781" s="9">
        <f>IF(OR(H781="",J781="",K781="",K781=0),"",ROUND(H781*J781/K781/3.305785,3))</f>
        <v/>
      </c>
      <c r="N781" s="7" t="n"/>
      <c r="O781" s="11" t="n"/>
      <c r="P781" s="11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12">
        <f>IF(A781="","",IF(OR(B781="",C781="",D781="",E781="",G781="",H781="",J781="",K781=""),"必填欄位未完整",""))</f>
        <v/>
      </c>
      <c r="AB781" s="12">
        <f>IF(A781="","",A781&amp;"|"&amp;G781)</f>
        <v/>
      </c>
    </row>
    <row r="782" ht="24" customHeight="1">
      <c r="A782" s="7" t="n"/>
      <c r="B782" s="7" t="n"/>
      <c r="C782" s="7" t="n"/>
      <c r="D782" s="7" t="n"/>
      <c r="E782" s="7" t="n"/>
      <c r="F782" s="7" t="n"/>
      <c r="G782" s="7" t="n"/>
      <c r="H782" s="8" t="n"/>
      <c r="I782" s="9">
        <f>IF(H782="","",ROUND(H782/3.305785,3))</f>
        <v/>
      </c>
      <c r="J782" s="7" t="n"/>
      <c r="K782" s="7" t="n"/>
      <c r="L782" s="10">
        <f>IF(OR(J782="",K782="",K782=0),"",ROUND(J782/K782,6))</f>
        <v/>
      </c>
      <c r="M782" s="9">
        <f>IF(OR(H782="",J782="",K782="",K782=0),"",ROUND(H782*J782/K782/3.305785,3))</f>
        <v/>
      </c>
      <c r="N782" s="7" t="n"/>
      <c r="O782" s="11" t="n"/>
      <c r="P782" s="11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12">
        <f>IF(A782="","",IF(OR(B782="",C782="",D782="",E782="",G782="",H782="",J782="",K782=""),"必填欄位未完整",""))</f>
        <v/>
      </c>
      <c r="AB782" s="12">
        <f>IF(A782="","",A782&amp;"|"&amp;G782)</f>
        <v/>
      </c>
    </row>
    <row r="783" ht="24" customHeight="1">
      <c r="A783" s="7" t="n"/>
      <c r="B783" s="7" t="n"/>
      <c r="C783" s="7" t="n"/>
      <c r="D783" s="7" t="n"/>
      <c r="E783" s="7" t="n"/>
      <c r="F783" s="7" t="n"/>
      <c r="G783" s="7" t="n"/>
      <c r="H783" s="8" t="n"/>
      <c r="I783" s="9">
        <f>IF(H783="","",ROUND(H783/3.305785,3))</f>
        <v/>
      </c>
      <c r="J783" s="7" t="n"/>
      <c r="K783" s="7" t="n"/>
      <c r="L783" s="10">
        <f>IF(OR(J783="",K783="",K783=0),"",ROUND(J783/K783,6))</f>
        <v/>
      </c>
      <c r="M783" s="9">
        <f>IF(OR(H783="",J783="",K783="",K783=0),"",ROUND(H783*J783/K783/3.305785,3))</f>
        <v/>
      </c>
      <c r="N783" s="7" t="n"/>
      <c r="O783" s="11" t="n"/>
      <c r="P783" s="11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12">
        <f>IF(A783="","",IF(OR(B783="",C783="",D783="",E783="",G783="",H783="",J783="",K783=""),"必填欄位未完整",""))</f>
        <v/>
      </c>
      <c r="AB783" s="12">
        <f>IF(A783="","",A783&amp;"|"&amp;G783)</f>
        <v/>
      </c>
    </row>
    <row r="784" ht="24" customHeight="1">
      <c r="A784" s="7" t="n"/>
      <c r="B784" s="7" t="n"/>
      <c r="C784" s="7" t="n"/>
      <c r="D784" s="7" t="n"/>
      <c r="E784" s="7" t="n"/>
      <c r="F784" s="7" t="n"/>
      <c r="G784" s="7" t="n"/>
      <c r="H784" s="8" t="n"/>
      <c r="I784" s="9">
        <f>IF(H784="","",ROUND(H784/3.305785,3))</f>
        <v/>
      </c>
      <c r="J784" s="7" t="n"/>
      <c r="K784" s="7" t="n"/>
      <c r="L784" s="10">
        <f>IF(OR(J784="",K784="",K784=0),"",ROUND(J784/K784,6))</f>
        <v/>
      </c>
      <c r="M784" s="9">
        <f>IF(OR(H784="",J784="",K784="",K784=0),"",ROUND(H784*J784/K784/3.305785,3))</f>
        <v/>
      </c>
      <c r="N784" s="7" t="n"/>
      <c r="O784" s="11" t="n"/>
      <c r="P784" s="11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12">
        <f>IF(A784="","",IF(OR(B784="",C784="",D784="",E784="",G784="",H784="",J784="",K784=""),"必填欄位未完整",""))</f>
        <v/>
      </c>
      <c r="AB784" s="12">
        <f>IF(A784="","",A784&amp;"|"&amp;G784)</f>
        <v/>
      </c>
    </row>
    <row r="785" ht="24" customHeight="1">
      <c r="A785" s="7" t="n"/>
      <c r="B785" s="7" t="n"/>
      <c r="C785" s="7" t="n"/>
      <c r="D785" s="7" t="n"/>
      <c r="E785" s="7" t="n"/>
      <c r="F785" s="7" t="n"/>
      <c r="G785" s="7" t="n"/>
      <c r="H785" s="8" t="n"/>
      <c r="I785" s="9">
        <f>IF(H785="","",ROUND(H785/3.305785,3))</f>
        <v/>
      </c>
      <c r="J785" s="7" t="n"/>
      <c r="K785" s="7" t="n"/>
      <c r="L785" s="10">
        <f>IF(OR(J785="",K785="",K785=0),"",ROUND(J785/K785,6))</f>
        <v/>
      </c>
      <c r="M785" s="9">
        <f>IF(OR(H785="",J785="",K785="",K785=0),"",ROUND(H785*J785/K785/3.305785,3))</f>
        <v/>
      </c>
      <c r="N785" s="7" t="n"/>
      <c r="O785" s="11" t="n"/>
      <c r="P785" s="11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12">
        <f>IF(A785="","",IF(OR(B785="",C785="",D785="",E785="",G785="",H785="",J785="",K785=""),"必填欄位未完整",""))</f>
        <v/>
      </c>
      <c r="AB785" s="12">
        <f>IF(A785="","",A785&amp;"|"&amp;G785)</f>
        <v/>
      </c>
    </row>
    <row r="786" ht="24" customHeight="1">
      <c r="A786" s="7" t="n"/>
      <c r="B786" s="7" t="n"/>
      <c r="C786" s="7" t="n"/>
      <c r="D786" s="7" t="n"/>
      <c r="E786" s="7" t="n"/>
      <c r="F786" s="7" t="n"/>
      <c r="G786" s="7" t="n"/>
      <c r="H786" s="8" t="n"/>
      <c r="I786" s="9">
        <f>IF(H786="","",ROUND(H786/3.305785,3))</f>
        <v/>
      </c>
      <c r="J786" s="7" t="n"/>
      <c r="K786" s="7" t="n"/>
      <c r="L786" s="10">
        <f>IF(OR(J786="",K786="",K786=0),"",ROUND(J786/K786,6))</f>
        <v/>
      </c>
      <c r="M786" s="9">
        <f>IF(OR(H786="",J786="",K786="",K786=0),"",ROUND(H786*J786/K786/3.305785,3))</f>
        <v/>
      </c>
      <c r="N786" s="7" t="n"/>
      <c r="O786" s="11" t="n"/>
      <c r="P786" s="11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12">
        <f>IF(A786="","",IF(OR(B786="",C786="",D786="",E786="",G786="",H786="",J786="",K786=""),"必填欄位未完整",""))</f>
        <v/>
      </c>
      <c r="AB786" s="12">
        <f>IF(A786="","",A786&amp;"|"&amp;G786)</f>
        <v/>
      </c>
    </row>
    <row r="787" ht="24" customHeight="1">
      <c r="A787" s="7" t="n"/>
      <c r="B787" s="7" t="n"/>
      <c r="C787" s="7" t="n"/>
      <c r="D787" s="7" t="n"/>
      <c r="E787" s="7" t="n"/>
      <c r="F787" s="7" t="n"/>
      <c r="G787" s="7" t="n"/>
      <c r="H787" s="8" t="n"/>
      <c r="I787" s="9">
        <f>IF(H787="","",ROUND(H787/3.305785,3))</f>
        <v/>
      </c>
      <c r="J787" s="7" t="n"/>
      <c r="K787" s="7" t="n"/>
      <c r="L787" s="10">
        <f>IF(OR(J787="",K787="",K787=0),"",ROUND(J787/K787,6))</f>
        <v/>
      </c>
      <c r="M787" s="9">
        <f>IF(OR(H787="",J787="",K787="",K787=0),"",ROUND(H787*J787/K787/3.305785,3))</f>
        <v/>
      </c>
      <c r="N787" s="7" t="n"/>
      <c r="O787" s="11" t="n"/>
      <c r="P787" s="11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12">
        <f>IF(A787="","",IF(OR(B787="",C787="",D787="",E787="",G787="",H787="",J787="",K787=""),"必填欄位未完整",""))</f>
        <v/>
      </c>
      <c r="AB787" s="12">
        <f>IF(A787="","",A787&amp;"|"&amp;G787)</f>
        <v/>
      </c>
    </row>
    <row r="788" ht="24" customHeight="1">
      <c r="A788" s="7" t="n"/>
      <c r="B788" s="7" t="n"/>
      <c r="C788" s="7" t="n"/>
      <c r="D788" s="7" t="n"/>
      <c r="E788" s="7" t="n"/>
      <c r="F788" s="7" t="n"/>
      <c r="G788" s="7" t="n"/>
      <c r="H788" s="8" t="n"/>
      <c r="I788" s="9">
        <f>IF(H788="","",ROUND(H788/3.305785,3))</f>
        <v/>
      </c>
      <c r="J788" s="7" t="n"/>
      <c r="K788" s="7" t="n"/>
      <c r="L788" s="10">
        <f>IF(OR(J788="",K788="",K788=0),"",ROUND(J788/K788,6))</f>
        <v/>
      </c>
      <c r="M788" s="9">
        <f>IF(OR(H788="",J788="",K788="",K788=0),"",ROUND(H788*J788/K788/3.305785,3))</f>
        <v/>
      </c>
      <c r="N788" s="7" t="n"/>
      <c r="O788" s="11" t="n"/>
      <c r="P788" s="11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12">
        <f>IF(A788="","",IF(OR(B788="",C788="",D788="",E788="",G788="",H788="",J788="",K788=""),"必填欄位未完整",""))</f>
        <v/>
      </c>
      <c r="AB788" s="12">
        <f>IF(A788="","",A788&amp;"|"&amp;G788)</f>
        <v/>
      </c>
    </row>
    <row r="789" ht="24" customHeight="1">
      <c r="A789" s="7" t="n"/>
      <c r="B789" s="7" t="n"/>
      <c r="C789" s="7" t="n"/>
      <c r="D789" s="7" t="n"/>
      <c r="E789" s="7" t="n"/>
      <c r="F789" s="7" t="n"/>
      <c r="G789" s="7" t="n"/>
      <c r="H789" s="8" t="n"/>
      <c r="I789" s="9">
        <f>IF(H789="","",ROUND(H789/3.305785,3))</f>
        <v/>
      </c>
      <c r="J789" s="7" t="n"/>
      <c r="K789" s="7" t="n"/>
      <c r="L789" s="10">
        <f>IF(OR(J789="",K789="",K789=0),"",ROUND(J789/K789,6))</f>
        <v/>
      </c>
      <c r="M789" s="9">
        <f>IF(OR(H789="",J789="",K789="",K789=0),"",ROUND(H789*J789/K789/3.305785,3))</f>
        <v/>
      </c>
      <c r="N789" s="7" t="n"/>
      <c r="O789" s="11" t="n"/>
      <c r="P789" s="11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12">
        <f>IF(A789="","",IF(OR(B789="",C789="",D789="",E789="",G789="",H789="",J789="",K789=""),"必填欄位未完整",""))</f>
        <v/>
      </c>
      <c r="AB789" s="12">
        <f>IF(A789="","",A789&amp;"|"&amp;G789)</f>
        <v/>
      </c>
    </row>
    <row r="790" ht="24" customHeight="1">
      <c r="A790" s="7" t="n"/>
      <c r="B790" s="7" t="n"/>
      <c r="C790" s="7" t="n"/>
      <c r="D790" s="7" t="n"/>
      <c r="E790" s="7" t="n"/>
      <c r="F790" s="7" t="n"/>
      <c r="G790" s="7" t="n"/>
      <c r="H790" s="8" t="n"/>
      <c r="I790" s="9">
        <f>IF(H790="","",ROUND(H790/3.305785,3))</f>
        <v/>
      </c>
      <c r="J790" s="7" t="n"/>
      <c r="K790" s="7" t="n"/>
      <c r="L790" s="10">
        <f>IF(OR(J790="",K790="",K790=0),"",ROUND(J790/K790,6))</f>
        <v/>
      </c>
      <c r="M790" s="9">
        <f>IF(OR(H790="",J790="",K790="",K790=0),"",ROUND(H790*J790/K790/3.305785,3))</f>
        <v/>
      </c>
      <c r="N790" s="7" t="n"/>
      <c r="O790" s="11" t="n"/>
      <c r="P790" s="11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12">
        <f>IF(A790="","",IF(OR(B790="",C790="",D790="",E790="",G790="",H790="",J790="",K790=""),"必填欄位未完整",""))</f>
        <v/>
      </c>
      <c r="AB790" s="12">
        <f>IF(A790="","",A790&amp;"|"&amp;G790)</f>
        <v/>
      </c>
    </row>
    <row r="791" ht="24" customHeight="1">
      <c r="A791" s="7" t="n"/>
      <c r="B791" s="7" t="n"/>
      <c r="C791" s="7" t="n"/>
      <c r="D791" s="7" t="n"/>
      <c r="E791" s="7" t="n"/>
      <c r="F791" s="7" t="n"/>
      <c r="G791" s="7" t="n"/>
      <c r="H791" s="8" t="n"/>
      <c r="I791" s="9">
        <f>IF(H791="","",ROUND(H791/3.305785,3))</f>
        <v/>
      </c>
      <c r="J791" s="7" t="n"/>
      <c r="K791" s="7" t="n"/>
      <c r="L791" s="10">
        <f>IF(OR(J791="",K791="",K791=0),"",ROUND(J791/K791,6))</f>
        <v/>
      </c>
      <c r="M791" s="9">
        <f>IF(OR(H791="",J791="",K791="",K791=0),"",ROUND(H791*J791/K791/3.305785,3))</f>
        <v/>
      </c>
      <c r="N791" s="7" t="n"/>
      <c r="O791" s="11" t="n"/>
      <c r="P791" s="11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12">
        <f>IF(A791="","",IF(OR(B791="",C791="",D791="",E791="",G791="",H791="",J791="",K791=""),"必填欄位未完整",""))</f>
        <v/>
      </c>
      <c r="AB791" s="12">
        <f>IF(A791="","",A791&amp;"|"&amp;G791)</f>
        <v/>
      </c>
    </row>
    <row r="792" ht="24" customHeight="1">
      <c r="A792" s="7" t="n"/>
      <c r="B792" s="7" t="n"/>
      <c r="C792" s="7" t="n"/>
      <c r="D792" s="7" t="n"/>
      <c r="E792" s="7" t="n"/>
      <c r="F792" s="7" t="n"/>
      <c r="G792" s="7" t="n"/>
      <c r="H792" s="8" t="n"/>
      <c r="I792" s="9">
        <f>IF(H792="","",ROUND(H792/3.305785,3))</f>
        <v/>
      </c>
      <c r="J792" s="7" t="n"/>
      <c r="K792" s="7" t="n"/>
      <c r="L792" s="10">
        <f>IF(OR(J792="",K792="",K792=0),"",ROUND(J792/K792,6))</f>
        <v/>
      </c>
      <c r="M792" s="9">
        <f>IF(OR(H792="",J792="",K792="",K792=0),"",ROUND(H792*J792/K792/3.305785,3))</f>
        <v/>
      </c>
      <c r="N792" s="7" t="n"/>
      <c r="O792" s="11" t="n"/>
      <c r="P792" s="11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12">
        <f>IF(A792="","",IF(OR(B792="",C792="",D792="",E792="",G792="",H792="",J792="",K792=""),"必填欄位未完整",""))</f>
        <v/>
      </c>
      <c r="AB792" s="12">
        <f>IF(A792="","",A792&amp;"|"&amp;G792)</f>
        <v/>
      </c>
    </row>
    <row r="793" ht="24" customHeight="1">
      <c r="A793" s="7" t="n"/>
      <c r="B793" s="7" t="n"/>
      <c r="C793" s="7" t="n"/>
      <c r="D793" s="7" t="n"/>
      <c r="E793" s="7" t="n"/>
      <c r="F793" s="7" t="n"/>
      <c r="G793" s="7" t="n"/>
      <c r="H793" s="8" t="n"/>
      <c r="I793" s="9">
        <f>IF(H793="","",ROUND(H793/3.305785,3))</f>
        <v/>
      </c>
      <c r="J793" s="7" t="n"/>
      <c r="K793" s="7" t="n"/>
      <c r="L793" s="10">
        <f>IF(OR(J793="",K793="",K793=0),"",ROUND(J793/K793,6))</f>
        <v/>
      </c>
      <c r="M793" s="9">
        <f>IF(OR(H793="",J793="",K793="",K793=0),"",ROUND(H793*J793/K793/3.305785,3))</f>
        <v/>
      </c>
      <c r="N793" s="7" t="n"/>
      <c r="O793" s="11" t="n"/>
      <c r="P793" s="11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12">
        <f>IF(A793="","",IF(OR(B793="",C793="",D793="",E793="",G793="",H793="",J793="",K793=""),"必填欄位未完整",""))</f>
        <v/>
      </c>
      <c r="AB793" s="12">
        <f>IF(A793="","",A793&amp;"|"&amp;G793)</f>
        <v/>
      </c>
    </row>
    <row r="794" ht="24" customHeight="1">
      <c r="A794" s="7" t="n"/>
      <c r="B794" s="7" t="n"/>
      <c r="C794" s="7" t="n"/>
      <c r="D794" s="7" t="n"/>
      <c r="E794" s="7" t="n"/>
      <c r="F794" s="7" t="n"/>
      <c r="G794" s="7" t="n"/>
      <c r="H794" s="8" t="n"/>
      <c r="I794" s="9">
        <f>IF(H794="","",ROUND(H794/3.305785,3))</f>
        <v/>
      </c>
      <c r="J794" s="7" t="n"/>
      <c r="K794" s="7" t="n"/>
      <c r="L794" s="10">
        <f>IF(OR(J794="",K794="",K794=0),"",ROUND(J794/K794,6))</f>
        <v/>
      </c>
      <c r="M794" s="9">
        <f>IF(OR(H794="",J794="",K794="",K794=0),"",ROUND(H794*J794/K794/3.305785,3))</f>
        <v/>
      </c>
      <c r="N794" s="7" t="n"/>
      <c r="O794" s="11" t="n"/>
      <c r="P794" s="11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12">
        <f>IF(A794="","",IF(OR(B794="",C794="",D794="",E794="",G794="",H794="",J794="",K794=""),"必填欄位未完整",""))</f>
        <v/>
      </c>
      <c r="AB794" s="12">
        <f>IF(A794="","",A794&amp;"|"&amp;G794)</f>
        <v/>
      </c>
    </row>
    <row r="795" ht="24" customHeight="1">
      <c r="A795" s="7" t="n"/>
      <c r="B795" s="7" t="n"/>
      <c r="C795" s="7" t="n"/>
      <c r="D795" s="7" t="n"/>
      <c r="E795" s="7" t="n"/>
      <c r="F795" s="7" t="n"/>
      <c r="G795" s="7" t="n"/>
      <c r="H795" s="8" t="n"/>
      <c r="I795" s="9">
        <f>IF(H795="","",ROUND(H795/3.305785,3))</f>
        <v/>
      </c>
      <c r="J795" s="7" t="n"/>
      <c r="K795" s="7" t="n"/>
      <c r="L795" s="10">
        <f>IF(OR(J795="",K795="",K795=0),"",ROUND(J795/K795,6))</f>
        <v/>
      </c>
      <c r="M795" s="9">
        <f>IF(OR(H795="",J795="",K795="",K795=0),"",ROUND(H795*J795/K795/3.305785,3))</f>
        <v/>
      </c>
      <c r="N795" s="7" t="n"/>
      <c r="O795" s="11" t="n"/>
      <c r="P795" s="11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12">
        <f>IF(A795="","",IF(OR(B795="",C795="",D795="",E795="",G795="",H795="",J795="",K795=""),"必填欄位未完整",""))</f>
        <v/>
      </c>
      <c r="AB795" s="12">
        <f>IF(A795="","",A795&amp;"|"&amp;G795)</f>
        <v/>
      </c>
    </row>
    <row r="796" ht="24" customHeight="1">
      <c r="A796" s="7" t="n"/>
      <c r="B796" s="7" t="n"/>
      <c r="C796" s="7" t="n"/>
      <c r="D796" s="7" t="n"/>
      <c r="E796" s="7" t="n"/>
      <c r="F796" s="7" t="n"/>
      <c r="G796" s="7" t="n"/>
      <c r="H796" s="8" t="n"/>
      <c r="I796" s="9">
        <f>IF(H796="","",ROUND(H796/3.305785,3))</f>
        <v/>
      </c>
      <c r="J796" s="7" t="n"/>
      <c r="K796" s="7" t="n"/>
      <c r="L796" s="10">
        <f>IF(OR(J796="",K796="",K796=0),"",ROUND(J796/K796,6))</f>
        <v/>
      </c>
      <c r="M796" s="9">
        <f>IF(OR(H796="",J796="",K796="",K796=0),"",ROUND(H796*J796/K796/3.305785,3))</f>
        <v/>
      </c>
      <c r="N796" s="7" t="n"/>
      <c r="O796" s="11" t="n"/>
      <c r="P796" s="11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12">
        <f>IF(A796="","",IF(OR(B796="",C796="",D796="",E796="",G796="",H796="",J796="",K796=""),"必填欄位未完整",""))</f>
        <v/>
      </c>
      <c r="AB796" s="12">
        <f>IF(A796="","",A796&amp;"|"&amp;G796)</f>
        <v/>
      </c>
    </row>
    <row r="797" ht="24" customHeight="1">
      <c r="A797" s="7" t="n"/>
      <c r="B797" s="7" t="n"/>
      <c r="C797" s="7" t="n"/>
      <c r="D797" s="7" t="n"/>
      <c r="E797" s="7" t="n"/>
      <c r="F797" s="7" t="n"/>
      <c r="G797" s="7" t="n"/>
      <c r="H797" s="8" t="n"/>
      <c r="I797" s="9">
        <f>IF(H797="","",ROUND(H797/3.305785,3))</f>
        <v/>
      </c>
      <c r="J797" s="7" t="n"/>
      <c r="K797" s="7" t="n"/>
      <c r="L797" s="10">
        <f>IF(OR(J797="",K797="",K797=0),"",ROUND(J797/K797,6))</f>
        <v/>
      </c>
      <c r="M797" s="9">
        <f>IF(OR(H797="",J797="",K797="",K797=0),"",ROUND(H797*J797/K797/3.305785,3))</f>
        <v/>
      </c>
      <c r="N797" s="7" t="n"/>
      <c r="O797" s="11" t="n"/>
      <c r="P797" s="11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12">
        <f>IF(A797="","",IF(OR(B797="",C797="",D797="",E797="",G797="",H797="",J797="",K797=""),"必填欄位未完整",""))</f>
        <v/>
      </c>
      <c r="AB797" s="12">
        <f>IF(A797="","",A797&amp;"|"&amp;G797)</f>
        <v/>
      </c>
    </row>
    <row r="798" ht="24" customHeight="1">
      <c r="A798" s="7" t="n"/>
      <c r="B798" s="7" t="n"/>
      <c r="C798" s="7" t="n"/>
      <c r="D798" s="7" t="n"/>
      <c r="E798" s="7" t="n"/>
      <c r="F798" s="7" t="n"/>
      <c r="G798" s="7" t="n"/>
      <c r="H798" s="8" t="n"/>
      <c r="I798" s="9">
        <f>IF(H798="","",ROUND(H798/3.305785,3))</f>
        <v/>
      </c>
      <c r="J798" s="7" t="n"/>
      <c r="K798" s="7" t="n"/>
      <c r="L798" s="10">
        <f>IF(OR(J798="",K798="",K798=0),"",ROUND(J798/K798,6))</f>
        <v/>
      </c>
      <c r="M798" s="9">
        <f>IF(OR(H798="",J798="",K798="",K798=0),"",ROUND(H798*J798/K798/3.305785,3))</f>
        <v/>
      </c>
      <c r="N798" s="7" t="n"/>
      <c r="O798" s="11" t="n"/>
      <c r="P798" s="11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12">
        <f>IF(A798="","",IF(OR(B798="",C798="",D798="",E798="",G798="",H798="",J798="",K798=""),"必填欄位未完整",""))</f>
        <v/>
      </c>
      <c r="AB798" s="12">
        <f>IF(A798="","",A798&amp;"|"&amp;G798)</f>
        <v/>
      </c>
    </row>
    <row r="799" ht="24" customHeight="1">
      <c r="A799" s="7" t="n"/>
      <c r="B799" s="7" t="n"/>
      <c r="C799" s="7" t="n"/>
      <c r="D799" s="7" t="n"/>
      <c r="E799" s="7" t="n"/>
      <c r="F799" s="7" t="n"/>
      <c r="G799" s="7" t="n"/>
      <c r="H799" s="8" t="n"/>
      <c r="I799" s="9">
        <f>IF(H799="","",ROUND(H799/3.305785,3))</f>
        <v/>
      </c>
      <c r="J799" s="7" t="n"/>
      <c r="K799" s="7" t="n"/>
      <c r="L799" s="10">
        <f>IF(OR(J799="",K799="",K799=0),"",ROUND(J799/K799,6))</f>
        <v/>
      </c>
      <c r="M799" s="9">
        <f>IF(OR(H799="",J799="",K799="",K799=0),"",ROUND(H799*J799/K799/3.305785,3))</f>
        <v/>
      </c>
      <c r="N799" s="7" t="n"/>
      <c r="O799" s="11" t="n"/>
      <c r="P799" s="11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12">
        <f>IF(A799="","",IF(OR(B799="",C799="",D799="",E799="",G799="",H799="",J799="",K799=""),"必填欄位未完整",""))</f>
        <v/>
      </c>
      <c r="AB799" s="12">
        <f>IF(A799="","",A799&amp;"|"&amp;G799)</f>
        <v/>
      </c>
    </row>
    <row r="800" ht="24" customHeight="1">
      <c r="A800" s="7" t="n"/>
      <c r="B800" s="7" t="n"/>
      <c r="C800" s="7" t="n"/>
      <c r="D800" s="7" t="n"/>
      <c r="E800" s="7" t="n"/>
      <c r="F800" s="7" t="n"/>
      <c r="G800" s="7" t="n"/>
      <c r="H800" s="8" t="n"/>
      <c r="I800" s="9">
        <f>IF(H800="","",ROUND(H800/3.305785,3))</f>
        <v/>
      </c>
      <c r="J800" s="7" t="n"/>
      <c r="K800" s="7" t="n"/>
      <c r="L800" s="10">
        <f>IF(OR(J800="",K800="",K800=0),"",ROUND(J800/K800,6))</f>
        <v/>
      </c>
      <c r="M800" s="9">
        <f>IF(OR(H800="",J800="",K800="",K800=0),"",ROUND(H800*J800/K800/3.305785,3))</f>
        <v/>
      </c>
      <c r="N800" s="7" t="n"/>
      <c r="O800" s="11" t="n"/>
      <c r="P800" s="11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12">
        <f>IF(A800="","",IF(OR(B800="",C800="",D800="",E800="",G800="",H800="",J800="",K800=""),"必填欄位未完整",""))</f>
        <v/>
      </c>
      <c r="AB800" s="12">
        <f>IF(A800="","",A800&amp;"|"&amp;G800)</f>
        <v/>
      </c>
    </row>
    <row r="801" ht="24" customHeight="1">
      <c r="A801" s="7" t="n"/>
      <c r="B801" s="7" t="n"/>
      <c r="C801" s="7" t="n"/>
      <c r="D801" s="7" t="n"/>
      <c r="E801" s="7" t="n"/>
      <c r="F801" s="7" t="n"/>
      <c r="G801" s="7" t="n"/>
      <c r="H801" s="8" t="n"/>
      <c r="I801" s="9">
        <f>IF(H801="","",ROUND(H801/3.305785,3))</f>
        <v/>
      </c>
      <c r="J801" s="7" t="n"/>
      <c r="K801" s="7" t="n"/>
      <c r="L801" s="10">
        <f>IF(OR(J801="",K801="",K801=0),"",ROUND(J801/K801,6))</f>
        <v/>
      </c>
      <c r="M801" s="9">
        <f>IF(OR(H801="",J801="",K801="",K801=0),"",ROUND(H801*J801/K801/3.305785,3))</f>
        <v/>
      </c>
      <c r="N801" s="7" t="n"/>
      <c r="O801" s="11" t="n"/>
      <c r="P801" s="11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12">
        <f>IF(A801="","",IF(OR(B801="",C801="",D801="",E801="",G801="",H801="",J801="",K801=""),"必填欄位未完整",""))</f>
        <v/>
      </c>
      <c r="AB801" s="12">
        <f>IF(A801="","",A801&amp;"|"&amp;G801)</f>
        <v/>
      </c>
    </row>
    <row r="802" ht="24" customHeight="1">
      <c r="A802" s="7" t="n"/>
      <c r="B802" s="7" t="n"/>
      <c r="C802" s="7" t="n"/>
      <c r="D802" s="7" t="n"/>
      <c r="E802" s="7" t="n"/>
      <c r="F802" s="7" t="n"/>
      <c r="G802" s="7" t="n"/>
      <c r="H802" s="8" t="n"/>
      <c r="I802" s="9">
        <f>IF(H802="","",ROUND(H802/3.305785,3))</f>
        <v/>
      </c>
      <c r="J802" s="7" t="n"/>
      <c r="K802" s="7" t="n"/>
      <c r="L802" s="10">
        <f>IF(OR(J802="",K802="",K802=0),"",ROUND(J802/K802,6))</f>
        <v/>
      </c>
      <c r="M802" s="9">
        <f>IF(OR(H802="",J802="",K802="",K802=0),"",ROUND(H802*J802/K802/3.305785,3))</f>
        <v/>
      </c>
      <c r="N802" s="7" t="n"/>
      <c r="O802" s="11" t="n"/>
      <c r="P802" s="11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12">
        <f>IF(A802="","",IF(OR(B802="",C802="",D802="",E802="",G802="",H802="",J802="",K802=""),"必填欄位未完整",""))</f>
        <v/>
      </c>
      <c r="AB802" s="12">
        <f>IF(A802="","",A802&amp;"|"&amp;G802)</f>
        <v/>
      </c>
    </row>
    <row r="803" ht="24" customHeight="1">
      <c r="A803" s="7" t="n"/>
      <c r="B803" s="7" t="n"/>
      <c r="C803" s="7" t="n"/>
      <c r="D803" s="7" t="n"/>
      <c r="E803" s="7" t="n"/>
      <c r="F803" s="7" t="n"/>
      <c r="G803" s="7" t="n"/>
      <c r="H803" s="8" t="n"/>
      <c r="I803" s="9">
        <f>IF(H803="","",ROUND(H803/3.305785,3))</f>
        <v/>
      </c>
      <c r="J803" s="7" t="n"/>
      <c r="K803" s="7" t="n"/>
      <c r="L803" s="10">
        <f>IF(OR(J803="",K803="",K803=0),"",ROUND(J803/K803,6))</f>
        <v/>
      </c>
      <c r="M803" s="9">
        <f>IF(OR(H803="",J803="",K803="",K803=0),"",ROUND(H803*J803/K803/3.305785,3))</f>
        <v/>
      </c>
      <c r="N803" s="7" t="n"/>
      <c r="O803" s="11" t="n"/>
      <c r="P803" s="11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12">
        <f>IF(A803="","",IF(OR(B803="",C803="",D803="",E803="",G803="",H803="",J803="",K803=""),"必填欄位未完整",""))</f>
        <v/>
      </c>
      <c r="AB803" s="12">
        <f>IF(A803="","",A803&amp;"|"&amp;G803)</f>
        <v/>
      </c>
    </row>
    <row r="804" ht="24" customHeight="1">
      <c r="A804" s="7" t="n"/>
      <c r="B804" s="7" t="n"/>
      <c r="C804" s="7" t="n"/>
      <c r="D804" s="7" t="n"/>
      <c r="E804" s="7" t="n"/>
      <c r="F804" s="7" t="n"/>
      <c r="G804" s="7" t="n"/>
      <c r="H804" s="8" t="n"/>
      <c r="I804" s="9">
        <f>IF(H804="","",ROUND(H804/3.305785,3))</f>
        <v/>
      </c>
      <c r="J804" s="7" t="n"/>
      <c r="K804" s="7" t="n"/>
      <c r="L804" s="10">
        <f>IF(OR(J804="",K804="",K804=0),"",ROUND(J804/K804,6))</f>
        <v/>
      </c>
      <c r="M804" s="9">
        <f>IF(OR(H804="",J804="",K804="",K804=0),"",ROUND(H804*J804/K804/3.305785,3))</f>
        <v/>
      </c>
      <c r="N804" s="7" t="n"/>
      <c r="O804" s="11" t="n"/>
      <c r="P804" s="11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12">
        <f>IF(A804="","",IF(OR(B804="",C804="",D804="",E804="",G804="",H804="",J804="",K804=""),"必填欄位未完整",""))</f>
        <v/>
      </c>
      <c r="AB804" s="12">
        <f>IF(A804="","",A804&amp;"|"&amp;G804)</f>
        <v/>
      </c>
    </row>
    <row r="805" ht="24" customHeight="1">
      <c r="A805" s="7" t="n"/>
      <c r="B805" s="7" t="n"/>
      <c r="C805" s="7" t="n"/>
      <c r="D805" s="7" t="n"/>
      <c r="E805" s="7" t="n"/>
      <c r="F805" s="7" t="n"/>
      <c r="G805" s="7" t="n"/>
      <c r="H805" s="8" t="n"/>
      <c r="I805" s="9">
        <f>IF(H805="","",ROUND(H805/3.305785,3))</f>
        <v/>
      </c>
      <c r="J805" s="7" t="n"/>
      <c r="K805" s="7" t="n"/>
      <c r="L805" s="10">
        <f>IF(OR(J805="",K805="",K805=0),"",ROUND(J805/K805,6))</f>
        <v/>
      </c>
      <c r="M805" s="9">
        <f>IF(OR(H805="",J805="",K805="",K805=0),"",ROUND(H805*J805/K805/3.305785,3))</f>
        <v/>
      </c>
      <c r="N805" s="7" t="n"/>
      <c r="O805" s="11" t="n"/>
      <c r="P805" s="11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12">
        <f>IF(A805="","",IF(OR(B805="",C805="",D805="",E805="",G805="",H805="",J805="",K805=""),"必填欄位未完整",""))</f>
        <v/>
      </c>
      <c r="AB805" s="12">
        <f>IF(A805="","",A805&amp;"|"&amp;G805)</f>
        <v/>
      </c>
    </row>
    <row r="806" ht="24" customHeight="1">
      <c r="A806" s="7" t="n"/>
      <c r="B806" s="7" t="n"/>
      <c r="C806" s="7" t="n"/>
      <c r="D806" s="7" t="n"/>
      <c r="E806" s="7" t="n"/>
      <c r="F806" s="7" t="n"/>
      <c r="G806" s="7" t="n"/>
      <c r="H806" s="8" t="n"/>
      <c r="I806" s="9">
        <f>IF(H806="","",ROUND(H806/3.305785,3))</f>
        <v/>
      </c>
      <c r="J806" s="7" t="n"/>
      <c r="K806" s="7" t="n"/>
      <c r="L806" s="10">
        <f>IF(OR(J806="",K806="",K806=0),"",ROUND(J806/K806,6))</f>
        <v/>
      </c>
      <c r="M806" s="9">
        <f>IF(OR(H806="",J806="",K806="",K806=0),"",ROUND(H806*J806/K806/3.305785,3))</f>
        <v/>
      </c>
      <c r="N806" s="7" t="n"/>
      <c r="O806" s="11" t="n"/>
      <c r="P806" s="11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12">
        <f>IF(A806="","",IF(OR(B806="",C806="",D806="",E806="",G806="",H806="",J806="",K806=""),"必填欄位未完整",""))</f>
        <v/>
      </c>
      <c r="AB806" s="12">
        <f>IF(A806="","",A806&amp;"|"&amp;G806)</f>
        <v/>
      </c>
    </row>
    <row r="807" ht="24" customHeight="1">
      <c r="A807" s="7" t="n"/>
      <c r="B807" s="7" t="n"/>
      <c r="C807" s="7" t="n"/>
      <c r="D807" s="7" t="n"/>
      <c r="E807" s="7" t="n"/>
      <c r="F807" s="7" t="n"/>
      <c r="G807" s="7" t="n"/>
      <c r="H807" s="8" t="n"/>
      <c r="I807" s="9">
        <f>IF(H807="","",ROUND(H807/3.305785,3))</f>
        <v/>
      </c>
      <c r="J807" s="7" t="n"/>
      <c r="K807" s="7" t="n"/>
      <c r="L807" s="10">
        <f>IF(OR(J807="",K807="",K807=0),"",ROUND(J807/K807,6))</f>
        <v/>
      </c>
      <c r="M807" s="9">
        <f>IF(OR(H807="",J807="",K807="",K807=0),"",ROUND(H807*J807/K807/3.305785,3))</f>
        <v/>
      </c>
      <c r="N807" s="7" t="n"/>
      <c r="O807" s="11" t="n"/>
      <c r="P807" s="11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12">
        <f>IF(A807="","",IF(OR(B807="",C807="",D807="",E807="",G807="",H807="",J807="",K807=""),"必填欄位未完整",""))</f>
        <v/>
      </c>
      <c r="AB807" s="12">
        <f>IF(A807="","",A807&amp;"|"&amp;G807)</f>
        <v/>
      </c>
    </row>
    <row r="808" ht="24" customHeight="1">
      <c r="A808" s="7" t="n"/>
      <c r="B808" s="7" t="n"/>
      <c r="C808" s="7" t="n"/>
      <c r="D808" s="7" t="n"/>
      <c r="E808" s="7" t="n"/>
      <c r="F808" s="7" t="n"/>
      <c r="G808" s="7" t="n"/>
      <c r="H808" s="8" t="n"/>
      <c r="I808" s="9">
        <f>IF(H808="","",ROUND(H808/3.305785,3))</f>
        <v/>
      </c>
      <c r="J808" s="7" t="n"/>
      <c r="K808" s="7" t="n"/>
      <c r="L808" s="10">
        <f>IF(OR(J808="",K808="",K808=0),"",ROUND(J808/K808,6))</f>
        <v/>
      </c>
      <c r="M808" s="9">
        <f>IF(OR(H808="",J808="",K808="",K808=0),"",ROUND(H808*J808/K808/3.305785,3))</f>
        <v/>
      </c>
      <c r="N808" s="7" t="n"/>
      <c r="O808" s="11" t="n"/>
      <c r="P808" s="11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12">
        <f>IF(A808="","",IF(OR(B808="",C808="",D808="",E808="",G808="",H808="",J808="",K808=""),"必填欄位未完整",""))</f>
        <v/>
      </c>
      <c r="AB808" s="12">
        <f>IF(A808="","",A808&amp;"|"&amp;G808)</f>
        <v/>
      </c>
    </row>
    <row r="809" ht="24" customHeight="1">
      <c r="A809" s="7" t="n"/>
      <c r="B809" s="7" t="n"/>
      <c r="C809" s="7" t="n"/>
      <c r="D809" s="7" t="n"/>
      <c r="E809" s="7" t="n"/>
      <c r="F809" s="7" t="n"/>
      <c r="G809" s="7" t="n"/>
      <c r="H809" s="8" t="n"/>
      <c r="I809" s="9">
        <f>IF(H809="","",ROUND(H809/3.305785,3))</f>
        <v/>
      </c>
      <c r="J809" s="7" t="n"/>
      <c r="K809" s="7" t="n"/>
      <c r="L809" s="10">
        <f>IF(OR(J809="",K809="",K809=0),"",ROUND(J809/K809,6))</f>
        <v/>
      </c>
      <c r="M809" s="9">
        <f>IF(OR(H809="",J809="",K809="",K809=0),"",ROUND(H809*J809/K809/3.305785,3))</f>
        <v/>
      </c>
      <c r="N809" s="7" t="n"/>
      <c r="O809" s="11" t="n"/>
      <c r="P809" s="11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12">
        <f>IF(A809="","",IF(OR(B809="",C809="",D809="",E809="",G809="",H809="",J809="",K809=""),"必填欄位未完整",""))</f>
        <v/>
      </c>
      <c r="AB809" s="12">
        <f>IF(A809="","",A809&amp;"|"&amp;G809)</f>
        <v/>
      </c>
    </row>
    <row r="810" ht="24" customHeight="1">
      <c r="A810" s="7" t="n"/>
      <c r="B810" s="7" t="n"/>
      <c r="C810" s="7" t="n"/>
      <c r="D810" s="7" t="n"/>
      <c r="E810" s="7" t="n"/>
      <c r="F810" s="7" t="n"/>
      <c r="G810" s="7" t="n"/>
      <c r="H810" s="8" t="n"/>
      <c r="I810" s="9">
        <f>IF(H810="","",ROUND(H810/3.305785,3))</f>
        <v/>
      </c>
      <c r="J810" s="7" t="n"/>
      <c r="K810" s="7" t="n"/>
      <c r="L810" s="10">
        <f>IF(OR(J810="",K810="",K810=0),"",ROUND(J810/K810,6))</f>
        <v/>
      </c>
      <c r="M810" s="9">
        <f>IF(OR(H810="",J810="",K810="",K810=0),"",ROUND(H810*J810/K810/3.305785,3))</f>
        <v/>
      </c>
      <c r="N810" s="7" t="n"/>
      <c r="O810" s="11" t="n"/>
      <c r="P810" s="11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12">
        <f>IF(A810="","",IF(OR(B810="",C810="",D810="",E810="",G810="",H810="",J810="",K810=""),"必填欄位未完整",""))</f>
        <v/>
      </c>
      <c r="AB810" s="12">
        <f>IF(A810="","",A810&amp;"|"&amp;G810)</f>
        <v/>
      </c>
    </row>
    <row r="811" ht="24" customHeight="1">
      <c r="A811" s="7" t="n"/>
      <c r="B811" s="7" t="n"/>
      <c r="C811" s="7" t="n"/>
      <c r="D811" s="7" t="n"/>
      <c r="E811" s="7" t="n"/>
      <c r="F811" s="7" t="n"/>
      <c r="G811" s="7" t="n"/>
      <c r="H811" s="8" t="n"/>
      <c r="I811" s="9">
        <f>IF(H811="","",ROUND(H811/3.305785,3))</f>
        <v/>
      </c>
      <c r="J811" s="7" t="n"/>
      <c r="K811" s="7" t="n"/>
      <c r="L811" s="10">
        <f>IF(OR(J811="",K811="",K811=0),"",ROUND(J811/K811,6))</f>
        <v/>
      </c>
      <c r="M811" s="9">
        <f>IF(OR(H811="",J811="",K811="",K811=0),"",ROUND(H811*J811/K811/3.305785,3))</f>
        <v/>
      </c>
      <c r="N811" s="7" t="n"/>
      <c r="O811" s="11" t="n"/>
      <c r="P811" s="11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12">
        <f>IF(A811="","",IF(OR(B811="",C811="",D811="",E811="",G811="",H811="",J811="",K811=""),"必填欄位未完整",""))</f>
        <v/>
      </c>
      <c r="AB811" s="12">
        <f>IF(A811="","",A811&amp;"|"&amp;G811)</f>
        <v/>
      </c>
    </row>
    <row r="812" ht="24" customHeight="1">
      <c r="A812" s="7" t="n"/>
      <c r="B812" s="7" t="n"/>
      <c r="C812" s="7" t="n"/>
      <c r="D812" s="7" t="n"/>
      <c r="E812" s="7" t="n"/>
      <c r="F812" s="7" t="n"/>
      <c r="G812" s="7" t="n"/>
      <c r="H812" s="8" t="n"/>
      <c r="I812" s="9">
        <f>IF(H812="","",ROUND(H812/3.305785,3))</f>
        <v/>
      </c>
      <c r="J812" s="7" t="n"/>
      <c r="K812" s="7" t="n"/>
      <c r="L812" s="10">
        <f>IF(OR(J812="",K812="",K812=0),"",ROUND(J812/K812,6))</f>
        <v/>
      </c>
      <c r="M812" s="9">
        <f>IF(OR(H812="",J812="",K812="",K812=0),"",ROUND(H812*J812/K812/3.305785,3))</f>
        <v/>
      </c>
      <c r="N812" s="7" t="n"/>
      <c r="O812" s="11" t="n"/>
      <c r="P812" s="11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12">
        <f>IF(A812="","",IF(OR(B812="",C812="",D812="",E812="",G812="",H812="",J812="",K812=""),"必填欄位未完整",""))</f>
        <v/>
      </c>
      <c r="AB812" s="12">
        <f>IF(A812="","",A812&amp;"|"&amp;G812)</f>
        <v/>
      </c>
    </row>
    <row r="813" ht="24" customHeight="1">
      <c r="A813" s="7" t="n"/>
      <c r="B813" s="7" t="n"/>
      <c r="C813" s="7" t="n"/>
      <c r="D813" s="7" t="n"/>
      <c r="E813" s="7" t="n"/>
      <c r="F813" s="7" t="n"/>
      <c r="G813" s="7" t="n"/>
      <c r="H813" s="8" t="n"/>
      <c r="I813" s="9">
        <f>IF(H813="","",ROUND(H813/3.305785,3))</f>
        <v/>
      </c>
      <c r="J813" s="7" t="n"/>
      <c r="K813" s="7" t="n"/>
      <c r="L813" s="10">
        <f>IF(OR(J813="",K813="",K813=0),"",ROUND(J813/K813,6))</f>
        <v/>
      </c>
      <c r="M813" s="9">
        <f>IF(OR(H813="",J813="",K813="",K813=0),"",ROUND(H813*J813/K813/3.305785,3))</f>
        <v/>
      </c>
      <c r="N813" s="7" t="n"/>
      <c r="O813" s="11" t="n"/>
      <c r="P813" s="11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12">
        <f>IF(A813="","",IF(OR(B813="",C813="",D813="",E813="",G813="",H813="",J813="",K813=""),"必填欄位未完整",""))</f>
        <v/>
      </c>
      <c r="AB813" s="12">
        <f>IF(A813="","",A813&amp;"|"&amp;G813)</f>
        <v/>
      </c>
    </row>
    <row r="814" ht="24" customHeight="1">
      <c r="A814" s="7" t="n"/>
      <c r="B814" s="7" t="n"/>
      <c r="C814" s="7" t="n"/>
      <c r="D814" s="7" t="n"/>
      <c r="E814" s="7" t="n"/>
      <c r="F814" s="7" t="n"/>
      <c r="G814" s="7" t="n"/>
      <c r="H814" s="8" t="n"/>
      <c r="I814" s="9">
        <f>IF(H814="","",ROUND(H814/3.305785,3))</f>
        <v/>
      </c>
      <c r="J814" s="7" t="n"/>
      <c r="K814" s="7" t="n"/>
      <c r="L814" s="10">
        <f>IF(OR(J814="",K814="",K814=0),"",ROUND(J814/K814,6))</f>
        <v/>
      </c>
      <c r="M814" s="9">
        <f>IF(OR(H814="",J814="",K814="",K814=0),"",ROUND(H814*J814/K814/3.305785,3))</f>
        <v/>
      </c>
      <c r="N814" s="7" t="n"/>
      <c r="O814" s="11" t="n"/>
      <c r="P814" s="11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12">
        <f>IF(A814="","",IF(OR(B814="",C814="",D814="",E814="",G814="",H814="",J814="",K814=""),"必填欄位未完整",""))</f>
        <v/>
      </c>
      <c r="AB814" s="12">
        <f>IF(A814="","",A814&amp;"|"&amp;G814)</f>
        <v/>
      </c>
    </row>
    <row r="815" ht="24" customHeight="1">
      <c r="A815" s="7" t="n"/>
      <c r="B815" s="7" t="n"/>
      <c r="C815" s="7" t="n"/>
      <c r="D815" s="7" t="n"/>
      <c r="E815" s="7" t="n"/>
      <c r="F815" s="7" t="n"/>
      <c r="G815" s="7" t="n"/>
      <c r="H815" s="8" t="n"/>
      <c r="I815" s="9">
        <f>IF(H815="","",ROUND(H815/3.305785,3))</f>
        <v/>
      </c>
      <c r="J815" s="7" t="n"/>
      <c r="K815" s="7" t="n"/>
      <c r="L815" s="10">
        <f>IF(OR(J815="",K815="",K815=0),"",ROUND(J815/K815,6))</f>
        <v/>
      </c>
      <c r="M815" s="9">
        <f>IF(OR(H815="",J815="",K815="",K815=0),"",ROUND(H815*J815/K815/3.305785,3))</f>
        <v/>
      </c>
      <c r="N815" s="7" t="n"/>
      <c r="O815" s="11" t="n"/>
      <c r="P815" s="11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12">
        <f>IF(A815="","",IF(OR(B815="",C815="",D815="",E815="",G815="",H815="",J815="",K815=""),"必填欄位未完整",""))</f>
        <v/>
      </c>
      <c r="AB815" s="12">
        <f>IF(A815="","",A815&amp;"|"&amp;G815)</f>
        <v/>
      </c>
    </row>
    <row r="816" ht="24" customHeight="1">
      <c r="A816" s="7" t="n"/>
      <c r="B816" s="7" t="n"/>
      <c r="C816" s="7" t="n"/>
      <c r="D816" s="7" t="n"/>
      <c r="E816" s="7" t="n"/>
      <c r="F816" s="7" t="n"/>
      <c r="G816" s="7" t="n"/>
      <c r="H816" s="8" t="n"/>
      <c r="I816" s="9">
        <f>IF(H816="","",ROUND(H816/3.305785,3))</f>
        <v/>
      </c>
      <c r="J816" s="7" t="n"/>
      <c r="K816" s="7" t="n"/>
      <c r="L816" s="10">
        <f>IF(OR(J816="",K816="",K816=0),"",ROUND(J816/K816,6))</f>
        <v/>
      </c>
      <c r="M816" s="9">
        <f>IF(OR(H816="",J816="",K816="",K816=0),"",ROUND(H816*J816/K816/3.305785,3))</f>
        <v/>
      </c>
      <c r="N816" s="7" t="n"/>
      <c r="O816" s="11" t="n"/>
      <c r="P816" s="11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12">
        <f>IF(A816="","",IF(OR(B816="",C816="",D816="",E816="",G816="",H816="",J816="",K816=""),"必填欄位未完整",""))</f>
        <v/>
      </c>
      <c r="AB816" s="12">
        <f>IF(A816="","",A816&amp;"|"&amp;G816)</f>
        <v/>
      </c>
    </row>
    <row r="817" ht="24" customHeight="1">
      <c r="A817" s="7" t="n"/>
      <c r="B817" s="7" t="n"/>
      <c r="C817" s="7" t="n"/>
      <c r="D817" s="7" t="n"/>
      <c r="E817" s="7" t="n"/>
      <c r="F817" s="7" t="n"/>
      <c r="G817" s="7" t="n"/>
      <c r="H817" s="8" t="n"/>
      <c r="I817" s="9">
        <f>IF(H817="","",ROUND(H817/3.305785,3))</f>
        <v/>
      </c>
      <c r="J817" s="7" t="n"/>
      <c r="K817" s="7" t="n"/>
      <c r="L817" s="10">
        <f>IF(OR(J817="",K817="",K817=0),"",ROUND(J817/K817,6))</f>
        <v/>
      </c>
      <c r="M817" s="9">
        <f>IF(OR(H817="",J817="",K817="",K817=0),"",ROUND(H817*J817/K817/3.305785,3))</f>
        <v/>
      </c>
      <c r="N817" s="7" t="n"/>
      <c r="O817" s="11" t="n"/>
      <c r="P817" s="11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12">
        <f>IF(A817="","",IF(OR(B817="",C817="",D817="",E817="",G817="",H817="",J817="",K817=""),"必填欄位未完整",""))</f>
        <v/>
      </c>
      <c r="AB817" s="12">
        <f>IF(A817="","",A817&amp;"|"&amp;G817)</f>
        <v/>
      </c>
    </row>
    <row r="818" ht="24" customHeight="1">
      <c r="A818" s="7" t="n"/>
      <c r="B818" s="7" t="n"/>
      <c r="C818" s="7" t="n"/>
      <c r="D818" s="7" t="n"/>
      <c r="E818" s="7" t="n"/>
      <c r="F818" s="7" t="n"/>
      <c r="G818" s="7" t="n"/>
      <c r="H818" s="8" t="n"/>
      <c r="I818" s="9">
        <f>IF(H818="","",ROUND(H818/3.305785,3))</f>
        <v/>
      </c>
      <c r="J818" s="7" t="n"/>
      <c r="K818" s="7" t="n"/>
      <c r="L818" s="10">
        <f>IF(OR(J818="",K818="",K818=0),"",ROUND(J818/K818,6))</f>
        <v/>
      </c>
      <c r="M818" s="9">
        <f>IF(OR(H818="",J818="",K818="",K818=0),"",ROUND(H818*J818/K818/3.305785,3))</f>
        <v/>
      </c>
      <c r="N818" s="7" t="n"/>
      <c r="O818" s="11" t="n"/>
      <c r="P818" s="11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12">
        <f>IF(A818="","",IF(OR(B818="",C818="",D818="",E818="",G818="",H818="",J818="",K818=""),"必填欄位未完整",""))</f>
        <v/>
      </c>
      <c r="AB818" s="12">
        <f>IF(A818="","",A818&amp;"|"&amp;G818)</f>
        <v/>
      </c>
    </row>
    <row r="819" ht="24" customHeight="1">
      <c r="A819" s="7" t="n"/>
      <c r="B819" s="7" t="n"/>
      <c r="C819" s="7" t="n"/>
      <c r="D819" s="7" t="n"/>
      <c r="E819" s="7" t="n"/>
      <c r="F819" s="7" t="n"/>
      <c r="G819" s="7" t="n"/>
      <c r="H819" s="8" t="n"/>
      <c r="I819" s="9">
        <f>IF(H819="","",ROUND(H819/3.305785,3))</f>
        <v/>
      </c>
      <c r="J819" s="7" t="n"/>
      <c r="K819" s="7" t="n"/>
      <c r="L819" s="10">
        <f>IF(OR(J819="",K819="",K819=0),"",ROUND(J819/K819,6))</f>
        <v/>
      </c>
      <c r="M819" s="9">
        <f>IF(OR(H819="",J819="",K819="",K819=0),"",ROUND(H819*J819/K819/3.305785,3))</f>
        <v/>
      </c>
      <c r="N819" s="7" t="n"/>
      <c r="O819" s="11" t="n"/>
      <c r="P819" s="11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12">
        <f>IF(A819="","",IF(OR(B819="",C819="",D819="",E819="",G819="",H819="",J819="",K819=""),"必填欄位未完整",""))</f>
        <v/>
      </c>
      <c r="AB819" s="12">
        <f>IF(A819="","",A819&amp;"|"&amp;G819)</f>
        <v/>
      </c>
    </row>
    <row r="820" ht="24" customHeight="1">
      <c r="A820" s="7" t="n"/>
      <c r="B820" s="7" t="n"/>
      <c r="C820" s="7" t="n"/>
      <c r="D820" s="7" t="n"/>
      <c r="E820" s="7" t="n"/>
      <c r="F820" s="7" t="n"/>
      <c r="G820" s="7" t="n"/>
      <c r="H820" s="8" t="n"/>
      <c r="I820" s="9">
        <f>IF(H820="","",ROUND(H820/3.305785,3))</f>
        <v/>
      </c>
      <c r="J820" s="7" t="n"/>
      <c r="K820" s="7" t="n"/>
      <c r="L820" s="10">
        <f>IF(OR(J820="",K820="",K820=0),"",ROUND(J820/K820,6))</f>
        <v/>
      </c>
      <c r="M820" s="9">
        <f>IF(OR(H820="",J820="",K820="",K820=0),"",ROUND(H820*J820/K820/3.305785,3))</f>
        <v/>
      </c>
      <c r="N820" s="7" t="n"/>
      <c r="O820" s="11" t="n"/>
      <c r="P820" s="11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12">
        <f>IF(A820="","",IF(OR(B820="",C820="",D820="",E820="",G820="",H820="",J820="",K820=""),"必填欄位未完整",""))</f>
        <v/>
      </c>
      <c r="AB820" s="12">
        <f>IF(A820="","",A820&amp;"|"&amp;G820)</f>
        <v/>
      </c>
    </row>
    <row r="821" ht="24" customHeight="1">
      <c r="A821" s="7" t="n"/>
      <c r="B821" s="7" t="n"/>
      <c r="C821" s="7" t="n"/>
      <c r="D821" s="7" t="n"/>
      <c r="E821" s="7" t="n"/>
      <c r="F821" s="7" t="n"/>
      <c r="G821" s="7" t="n"/>
      <c r="H821" s="8" t="n"/>
      <c r="I821" s="9">
        <f>IF(H821="","",ROUND(H821/3.305785,3))</f>
        <v/>
      </c>
      <c r="J821" s="7" t="n"/>
      <c r="K821" s="7" t="n"/>
      <c r="L821" s="10">
        <f>IF(OR(J821="",K821="",K821=0),"",ROUND(J821/K821,6))</f>
        <v/>
      </c>
      <c r="M821" s="9">
        <f>IF(OR(H821="",J821="",K821="",K821=0),"",ROUND(H821*J821/K821/3.305785,3))</f>
        <v/>
      </c>
      <c r="N821" s="7" t="n"/>
      <c r="O821" s="11" t="n"/>
      <c r="P821" s="11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12">
        <f>IF(A821="","",IF(OR(B821="",C821="",D821="",E821="",G821="",H821="",J821="",K821=""),"必填欄位未完整",""))</f>
        <v/>
      </c>
      <c r="AB821" s="12">
        <f>IF(A821="","",A821&amp;"|"&amp;G821)</f>
        <v/>
      </c>
    </row>
    <row r="822" ht="24" customHeight="1">
      <c r="A822" s="7" t="n"/>
      <c r="B822" s="7" t="n"/>
      <c r="C822" s="7" t="n"/>
      <c r="D822" s="7" t="n"/>
      <c r="E822" s="7" t="n"/>
      <c r="F822" s="7" t="n"/>
      <c r="G822" s="7" t="n"/>
      <c r="H822" s="8" t="n"/>
      <c r="I822" s="9">
        <f>IF(H822="","",ROUND(H822/3.305785,3))</f>
        <v/>
      </c>
      <c r="J822" s="7" t="n"/>
      <c r="K822" s="7" t="n"/>
      <c r="L822" s="10">
        <f>IF(OR(J822="",K822="",K822=0),"",ROUND(J822/K822,6))</f>
        <v/>
      </c>
      <c r="M822" s="9">
        <f>IF(OR(H822="",J822="",K822="",K822=0),"",ROUND(H822*J822/K822/3.305785,3))</f>
        <v/>
      </c>
      <c r="N822" s="7" t="n"/>
      <c r="O822" s="11" t="n"/>
      <c r="P822" s="11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12">
        <f>IF(A822="","",IF(OR(B822="",C822="",D822="",E822="",G822="",H822="",J822="",K822=""),"必填欄位未完整",""))</f>
        <v/>
      </c>
      <c r="AB822" s="12">
        <f>IF(A822="","",A822&amp;"|"&amp;G822)</f>
        <v/>
      </c>
    </row>
    <row r="823" ht="24" customHeight="1">
      <c r="A823" s="7" t="n"/>
      <c r="B823" s="7" t="n"/>
      <c r="C823" s="7" t="n"/>
      <c r="D823" s="7" t="n"/>
      <c r="E823" s="7" t="n"/>
      <c r="F823" s="7" t="n"/>
      <c r="G823" s="7" t="n"/>
      <c r="H823" s="8" t="n"/>
      <c r="I823" s="9">
        <f>IF(H823="","",ROUND(H823/3.305785,3))</f>
        <v/>
      </c>
      <c r="J823" s="7" t="n"/>
      <c r="K823" s="7" t="n"/>
      <c r="L823" s="10">
        <f>IF(OR(J823="",K823="",K823=0),"",ROUND(J823/K823,6))</f>
        <v/>
      </c>
      <c r="M823" s="9">
        <f>IF(OR(H823="",J823="",K823="",K823=0),"",ROUND(H823*J823/K823/3.305785,3))</f>
        <v/>
      </c>
      <c r="N823" s="7" t="n"/>
      <c r="O823" s="11" t="n"/>
      <c r="P823" s="11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12">
        <f>IF(A823="","",IF(OR(B823="",C823="",D823="",E823="",G823="",H823="",J823="",K823=""),"必填欄位未完整",""))</f>
        <v/>
      </c>
      <c r="AB823" s="12">
        <f>IF(A823="","",A823&amp;"|"&amp;G823)</f>
        <v/>
      </c>
    </row>
    <row r="824" ht="24" customHeight="1">
      <c r="A824" s="7" t="n"/>
      <c r="B824" s="7" t="n"/>
      <c r="C824" s="7" t="n"/>
      <c r="D824" s="7" t="n"/>
      <c r="E824" s="7" t="n"/>
      <c r="F824" s="7" t="n"/>
      <c r="G824" s="7" t="n"/>
      <c r="H824" s="8" t="n"/>
      <c r="I824" s="9">
        <f>IF(H824="","",ROUND(H824/3.305785,3))</f>
        <v/>
      </c>
      <c r="J824" s="7" t="n"/>
      <c r="K824" s="7" t="n"/>
      <c r="L824" s="10">
        <f>IF(OR(J824="",K824="",K824=0),"",ROUND(J824/K824,6))</f>
        <v/>
      </c>
      <c r="M824" s="9">
        <f>IF(OR(H824="",J824="",K824="",K824=0),"",ROUND(H824*J824/K824/3.305785,3))</f>
        <v/>
      </c>
      <c r="N824" s="7" t="n"/>
      <c r="O824" s="11" t="n"/>
      <c r="P824" s="11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12">
        <f>IF(A824="","",IF(OR(B824="",C824="",D824="",E824="",G824="",H824="",J824="",K824=""),"必填欄位未完整",""))</f>
        <v/>
      </c>
      <c r="AB824" s="12">
        <f>IF(A824="","",A824&amp;"|"&amp;G824)</f>
        <v/>
      </c>
    </row>
    <row r="825" ht="24" customHeight="1">
      <c r="A825" s="7" t="n"/>
      <c r="B825" s="7" t="n"/>
      <c r="C825" s="7" t="n"/>
      <c r="D825" s="7" t="n"/>
      <c r="E825" s="7" t="n"/>
      <c r="F825" s="7" t="n"/>
      <c r="G825" s="7" t="n"/>
      <c r="H825" s="8" t="n"/>
      <c r="I825" s="9">
        <f>IF(H825="","",ROUND(H825/3.305785,3))</f>
        <v/>
      </c>
      <c r="J825" s="7" t="n"/>
      <c r="K825" s="7" t="n"/>
      <c r="L825" s="10">
        <f>IF(OR(J825="",K825="",K825=0),"",ROUND(J825/K825,6))</f>
        <v/>
      </c>
      <c r="M825" s="9">
        <f>IF(OR(H825="",J825="",K825="",K825=0),"",ROUND(H825*J825/K825/3.305785,3))</f>
        <v/>
      </c>
      <c r="N825" s="7" t="n"/>
      <c r="O825" s="11" t="n"/>
      <c r="P825" s="11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12">
        <f>IF(A825="","",IF(OR(B825="",C825="",D825="",E825="",G825="",H825="",J825="",K825=""),"必填欄位未完整",""))</f>
        <v/>
      </c>
      <c r="AB825" s="12">
        <f>IF(A825="","",A825&amp;"|"&amp;G825)</f>
        <v/>
      </c>
    </row>
    <row r="826" ht="24" customHeight="1">
      <c r="A826" s="7" t="n"/>
      <c r="B826" s="7" t="n"/>
      <c r="C826" s="7" t="n"/>
      <c r="D826" s="7" t="n"/>
      <c r="E826" s="7" t="n"/>
      <c r="F826" s="7" t="n"/>
      <c r="G826" s="7" t="n"/>
      <c r="H826" s="8" t="n"/>
      <c r="I826" s="9">
        <f>IF(H826="","",ROUND(H826/3.305785,3))</f>
        <v/>
      </c>
      <c r="J826" s="7" t="n"/>
      <c r="K826" s="7" t="n"/>
      <c r="L826" s="10">
        <f>IF(OR(J826="",K826="",K826=0),"",ROUND(J826/K826,6))</f>
        <v/>
      </c>
      <c r="M826" s="9">
        <f>IF(OR(H826="",J826="",K826="",K826=0),"",ROUND(H826*J826/K826/3.305785,3))</f>
        <v/>
      </c>
      <c r="N826" s="7" t="n"/>
      <c r="O826" s="11" t="n"/>
      <c r="P826" s="11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12">
        <f>IF(A826="","",IF(OR(B826="",C826="",D826="",E826="",G826="",H826="",J826="",K826=""),"必填欄位未完整",""))</f>
        <v/>
      </c>
      <c r="AB826" s="12">
        <f>IF(A826="","",A826&amp;"|"&amp;G826)</f>
        <v/>
      </c>
    </row>
    <row r="827" ht="24" customHeight="1">
      <c r="A827" s="7" t="n"/>
      <c r="B827" s="7" t="n"/>
      <c r="C827" s="7" t="n"/>
      <c r="D827" s="7" t="n"/>
      <c r="E827" s="7" t="n"/>
      <c r="F827" s="7" t="n"/>
      <c r="G827" s="7" t="n"/>
      <c r="H827" s="8" t="n"/>
      <c r="I827" s="9">
        <f>IF(H827="","",ROUND(H827/3.305785,3))</f>
        <v/>
      </c>
      <c r="J827" s="7" t="n"/>
      <c r="K827" s="7" t="n"/>
      <c r="L827" s="10">
        <f>IF(OR(J827="",K827="",K827=0),"",ROUND(J827/K827,6))</f>
        <v/>
      </c>
      <c r="M827" s="9">
        <f>IF(OR(H827="",J827="",K827="",K827=0),"",ROUND(H827*J827/K827/3.305785,3))</f>
        <v/>
      </c>
      <c r="N827" s="7" t="n"/>
      <c r="O827" s="11" t="n"/>
      <c r="P827" s="11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12">
        <f>IF(A827="","",IF(OR(B827="",C827="",D827="",E827="",G827="",H827="",J827="",K827=""),"必填欄位未完整",""))</f>
        <v/>
      </c>
      <c r="AB827" s="12">
        <f>IF(A827="","",A827&amp;"|"&amp;G827)</f>
        <v/>
      </c>
    </row>
    <row r="828" ht="24" customHeight="1">
      <c r="A828" s="7" t="n"/>
      <c r="B828" s="7" t="n"/>
      <c r="C828" s="7" t="n"/>
      <c r="D828" s="7" t="n"/>
      <c r="E828" s="7" t="n"/>
      <c r="F828" s="7" t="n"/>
      <c r="G828" s="7" t="n"/>
      <c r="H828" s="8" t="n"/>
      <c r="I828" s="9">
        <f>IF(H828="","",ROUND(H828/3.305785,3))</f>
        <v/>
      </c>
      <c r="J828" s="7" t="n"/>
      <c r="K828" s="7" t="n"/>
      <c r="L828" s="10">
        <f>IF(OR(J828="",K828="",K828=0),"",ROUND(J828/K828,6))</f>
        <v/>
      </c>
      <c r="M828" s="9">
        <f>IF(OR(H828="",J828="",K828="",K828=0),"",ROUND(H828*J828/K828/3.305785,3))</f>
        <v/>
      </c>
      <c r="N828" s="7" t="n"/>
      <c r="O828" s="11" t="n"/>
      <c r="P828" s="11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12">
        <f>IF(A828="","",IF(OR(B828="",C828="",D828="",E828="",G828="",H828="",J828="",K828=""),"必填欄位未完整",""))</f>
        <v/>
      </c>
      <c r="AB828" s="12">
        <f>IF(A828="","",A828&amp;"|"&amp;G828)</f>
        <v/>
      </c>
    </row>
    <row r="829" ht="24" customHeight="1">
      <c r="A829" s="7" t="n"/>
      <c r="B829" s="7" t="n"/>
      <c r="C829" s="7" t="n"/>
      <c r="D829" s="7" t="n"/>
      <c r="E829" s="7" t="n"/>
      <c r="F829" s="7" t="n"/>
      <c r="G829" s="7" t="n"/>
      <c r="H829" s="8" t="n"/>
      <c r="I829" s="9">
        <f>IF(H829="","",ROUND(H829/3.305785,3))</f>
        <v/>
      </c>
      <c r="J829" s="7" t="n"/>
      <c r="K829" s="7" t="n"/>
      <c r="L829" s="10">
        <f>IF(OR(J829="",K829="",K829=0),"",ROUND(J829/K829,6))</f>
        <v/>
      </c>
      <c r="M829" s="9">
        <f>IF(OR(H829="",J829="",K829="",K829=0),"",ROUND(H829*J829/K829/3.305785,3))</f>
        <v/>
      </c>
      <c r="N829" s="7" t="n"/>
      <c r="O829" s="11" t="n"/>
      <c r="P829" s="11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12">
        <f>IF(A829="","",IF(OR(B829="",C829="",D829="",E829="",G829="",H829="",J829="",K829=""),"必填欄位未完整",""))</f>
        <v/>
      </c>
      <c r="AB829" s="12">
        <f>IF(A829="","",A829&amp;"|"&amp;G829)</f>
        <v/>
      </c>
    </row>
    <row r="830" ht="24" customHeight="1">
      <c r="A830" s="7" t="n"/>
      <c r="B830" s="7" t="n"/>
      <c r="C830" s="7" t="n"/>
      <c r="D830" s="7" t="n"/>
      <c r="E830" s="7" t="n"/>
      <c r="F830" s="7" t="n"/>
      <c r="G830" s="7" t="n"/>
      <c r="H830" s="8" t="n"/>
      <c r="I830" s="9">
        <f>IF(H830="","",ROUND(H830/3.305785,3))</f>
        <v/>
      </c>
      <c r="J830" s="7" t="n"/>
      <c r="K830" s="7" t="n"/>
      <c r="L830" s="10">
        <f>IF(OR(J830="",K830="",K830=0),"",ROUND(J830/K830,6))</f>
        <v/>
      </c>
      <c r="M830" s="9">
        <f>IF(OR(H830="",J830="",K830="",K830=0),"",ROUND(H830*J830/K830/3.305785,3))</f>
        <v/>
      </c>
      <c r="N830" s="7" t="n"/>
      <c r="O830" s="11" t="n"/>
      <c r="P830" s="11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12">
        <f>IF(A830="","",IF(OR(B830="",C830="",D830="",E830="",G830="",H830="",J830="",K830=""),"必填欄位未完整",""))</f>
        <v/>
      </c>
      <c r="AB830" s="12">
        <f>IF(A830="","",A830&amp;"|"&amp;G830)</f>
        <v/>
      </c>
    </row>
    <row r="831" ht="24" customHeight="1">
      <c r="A831" s="7" t="n"/>
      <c r="B831" s="7" t="n"/>
      <c r="C831" s="7" t="n"/>
      <c r="D831" s="7" t="n"/>
      <c r="E831" s="7" t="n"/>
      <c r="F831" s="7" t="n"/>
      <c r="G831" s="7" t="n"/>
      <c r="H831" s="8" t="n"/>
      <c r="I831" s="9">
        <f>IF(H831="","",ROUND(H831/3.305785,3))</f>
        <v/>
      </c>
      <c r="J831" s="7" t="n"/>
      <c r="K831" s="7" t="n"/>
      <c r="L831" s="10">
        <f>IF(OR(J831="",K831="",K831=0),"",ROUND(J831/K831,6))</f>
        <v/>
      </c>
      <c r="M831" s="9">
        <f>IF(OR(H831="",J831="",K831="",K831=0),"",ROUND(H831*J831/K831/3.305785,3))</f>
        <v/>
      </c>
      <c r="N831" s="7" t="n"/>
      <c r="O831" s="11" t="n"/>
      <c r="P831" s="11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12">
        <f>IF(A831="","",IF(OR(B831="",C831="",D831="",E831="",G831="",H831="",J831="",K831=""),"必填欄位未完整",""))</f>
        <v/>
      </c>
      <c r="AB831" s="12">
        <f>IF(A831="","",A831&amp;"|"&amp;G831)</f>
        <v/>
      </c>
    </row>
    <row r="832" ht="24" customHeight="1">
      <c r="A832" s="7" t="n"/>
      <c r="B832" s="7" t="n"/>
      <c r="C832" s="7" t="n"/>
      <c r="D832" s="7" t="n"/>
      <c r="E832" s="7" t="n"/>
      <c r="F832" s="7" t="n"/>
      <c r="G832" s="7" t="n"/>
      <c r="H832" s="8" t="n"/>
      <c r="I832" s="9">
        <f>IF(H832="","",ROUND(H832/3.305785,3))</f>
        <v/>
      </c>
      <c r="J832" s="7" t="n"/>
      <c r="K832" s="7" t="n"/>
      <c r="L832" s="10">
        <f>IF(OR(J832="",K832="",K832=0),"",ROUND(J832/K832,6))</f>
        <v/>
      </c>
      <c r="M832" s="9">
        <f>IF(OR(H832="",J832="",K832="",K832=0),"",ROUND(H832*J832/K832/3.305785,3))</f>
        <v/>
      </c>
      <c r="N832" s="7" t="n"/>
      <c r="O832" s="11" t="n"/>
      <c r="P832" s="11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12">
        <f>IF(A832="","",IF(OR(B832="",C832="",D832="",E832="",G832="",H832="",J832="",K832=""),"必填欄位未完整",""))</f>
        <v/>
      </c>
      <c r="AB832" s="12">
        <f>IF(A832="","",A832&amp;"|"&amp;G832)</f>
        <v/>
      </c>
    </row>
    <row r="833" ht="24" customHeight="1">
      <c r="A833" s="7" t="n"/>
      <c r="B833" s="7" t="n"/>
      <c r="C833" s="7" t="n"/>
      <c r="D833" s="7" t="n"/>
      <c r="E833" s="7" t="n"/>
      <c r="F833" s="7" t="n"/>
      <c r="G833" s="7" t="n"/>
      <c r="H833" s="8" t="n"/>
      <c r="I833" s="9">
        <f>IF(H833="","",ROUND(H833/3.305785,3))</f>
        <v/>
      </c>
      <c r="J833" s="7" t="n"/>
      <c r="K833" s="7" t="n"/>
      <c r="L833" s="10">
        <f>IF(OR(J833="",K833="",K833=0),"",ROUND(J833/K833,6))</f>
        <v/>
      </c>
      <c r="M833" s="9">
        <f>IF(OR(H833="",J833="",K833="",K833=0),"",ROUND(H833*J833/K833/3.305785,3))</f>
        <v/>
      </c>
      <c r="N833" s="7" t="n"/>
      <c r="O833" s="11" t="n"/>
      <c r="P833" s="11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12">
        <f>IF(A833="","",IF(OR(B833="",C833="",D833="",E833="",G833="",H833="",J833="",K833=""),"必填欄位未完整",""))</f>
        <v/>
      </c>
      <c r="AB833" s="12">
        <f>IF(A833="","",A833&amp;"|"&amp;G833)</f>
        <v/>
      </c>
    </row>
    <row r="834" ht="24" customHeight="1">
      <c r="A834" s="7" t="n"/>
      <c r="B834" s="7" t="n"/>
      <c r="C834" s="7" t="n"/>
      <c r="D834" s="7" t="n"/>
      <c r="E834" s="7" t="n"/>
      <c r="F834" s="7" t="n"/>
      <c r="G834" s="7" t="n"/>
      <c r="H834" s="8" t="n"/>
      <c r="I834" s="9">
        <f>IF(H834="","",ROUND(H834/3.305785,3))</f>
        <v/>
      </c>
      <c r="J834" s="7" t="n"/>
      <c r="K834" s="7" t="n"/>
      <c r="L834" s="10">
        <f>IF(OR(J834="",K834="",K834=0),"",ROUND(J834/K834,6))</f>
        <v/>
      </c>
      <c r="M834" s="9">
        <f>IF(OR(H834="",J834="",K834="",K834=0),"",ROUND(H834*J834/K834/3.305785,3))</f>
        <v/>
      </c>
      <c r="N834" s="7" t="n"/>
      <c r="O834" s="11" t="n"/>
      <c r="P834" s="11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12">
        <f>IF(A834="","",IF(OR(B834="",C834="",D834="",E834="",G834="",H834="",J834="",K834=""),"必填欄位未完整",""))</f>
        <v/>
      </c>
      <c r="AB834" s="12">
        <f>IF(A834="","",A834&amp;"|"&amp;G834)</f>
        <v/>
      </c>
    </row>
    <row r="835" ht="24" customHeight="1">
      <c r="A835" s="7" t="n"/>
      <c r="B835" s="7" t="n"/>
      <c r="C835" s="7" t="n"/>
      <c r="D835" s="7" t="n"/>
      <c r="E835" s="7" t="n"/>
      <c r="F835" s="7" t="n"/>
      <c r="G835" s="7" t="n"/>
      <c r="H835" s="8" t="n"/>
      <c r="I835" s="9">
        <f>IF(H835="","",ROUND(H835/3.305785,3))</f>
        <v/>
      </c>
      <c r="J835" s="7" t="n"/>
      <c r="K835" s="7" t="n"/>
      <c r="L835" s="10">
        <f>IF(OR(J835="",K835="",K835=0),"",ROUND(J835/K835,6))</f>
        <v/>
      </c>
      <c r="M835" s="9">
        <f>IF(OR(H835="",J835="",K835="",K835=0),"",ROUND(H835*J835/K835/3.305785,3))</f>
        <v/>
      </c>
      <c r="N835" s="7" t="n"/>
      <c r="O835" s="11" t="n"/>
      <c r="P835" s="11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12">
        <f>IF(A835="","",IF(OR(B835="",C835="",D835="",E835="",G835="",H835="",J835="",K835=""),"必填欄位未完整",""))</f>
        <v/>
      </c>
      <c r="AB835" s="12">
        <f>IF(A835="","",A835&amp;"|"&amp;G835)</f>
        <v/>
      </c>
    </row>
    <row r="836" ht="24" customHeight="1">
      <c r="A836" s="7" t="n"/>
      <c r="B836" s="7" t="n"/>
      <c r="C836" s="7" t="n"/>
      <c r="D836" s="7" t="n"/>
      <c r="E836" s="7" t="n"/>
      <c r="F836" s="7" t="n"/>
      <c r="G836" s="7" t="n"/>
      <c r="H836" s="8" t="n"/>
      <c r="I836" s="9">
        <f>IF(H836="","",ROUND(H836/3.305785,3))</f>
        <v/>
      </c>
      <c r="J836" s="7" t="n"/>
      <c r="K836" s="7" t="n"/>
      <c r="L836" s="10">
        <f>IF(OR(J836="",K836="",K836=0),"",ROUND(J836/K836,6))</f>
        <v/>
      </c>
      <c r="M836" s="9">
        <f>IF(OR(H836="",J836="",K836="",K836=0),"",ROUND(H836*J836/K836/3.305785,3))</f>
        <v/>
      </c>
      <c r="N836" s="7" t="n"/>
      <c r="O836" s="11" t="n"/>
      <c r="P836" s="11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12">
        <f>IF(A836="","",IF(OR(B836="",C836="",D836="",E836="",G836="",H836="",J836="",K836=""),"必填欄位未完整",""))</f>
        <v/>
      </c>
      <c r="AB836" s="12">
        <f>IF(A836="","",A836&amp;"|"&amp;G836)</f>
        <v/>
      </c>
    </row>
    <row r="837" ht="24" customHeight="1">
      <c r="A837" s="7" t="n"/>
      <c r="B837" s="7" t="n"/>
      <c r="C837" s="7" t="n"/>
      <c r="D837" s="7" t="n"/>
      <c r="E837" s="7" t="n"/>
      <c r="F837" s="7" t="n"/>
      <c r="G837" s="7" t="n"/>
      <c r="H837" s="8" t="n"/>
      <c r="I837" s="9">
        <f>IF(H837="","",ROUND(H837/3.305785,3))</f>
        <v/>
      </c>
      <c r="J837" s="7" t="n"/>
      <c r="K837" s="7" t="n"/>
      <c r="L837" s="10">
        <f>IF(OR(J837="",K837="",K837=0),"",ROUND(J837/K837,6))</f>
        <v/>
      </c>
      <c r="M837" s="9">
        <f>IF(OR(H837="",J837="",K837="",K837=0),"",ROUND(H837*J837/K837/3.305785,3))</f>
        <v/>
      </c>
      <c r="N837" s="7" t="n"/>
      <c r="O837" s="11" t="n"/>
      <c r="P837" s="11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12">
        <f>IF(A837="","",IF(OR(B837="",C837="",D837="",E837="",G837="",H837="",J837="",K837=""),"必填欄位未完整",""))</f>
        <v/>
      </c>
      <c r="AB837" s="12">
        <f>IF(A837="","",A837&amp;"|"&amp;G837)</f>
        <v/>
      </c>
    </row>
    <row r="838" ht="24" customHeight="1">
      <c r="A838" s="7" t="n"/>
      <c r="B838" s="7" t="n"/>
      <c r="C838" s="7" t="n"/>
      <c r="D838" s="7" t="n"/>
      <c r="E838" s="7" t="n"/>
      <c r="F838" s="7" t="n"/>
      <c r="G838" s="7" t="n"/>
      <c r="H838" s="8" t="n"/>
      <c r="I838" s="9">
        <f>IF(H838="","",ROUND(H838/3.305785,3))</f>
        <v/>
      </c>
      <c r="J838" s="7" t="n"/>
      <c r="K838" s="7" t="n"/>
      <c r="L838" s="10">
        <f>IF(OR(J838="",K838="",K838=0),"",ROUND(J838/K838,6))</f>
        <v/>
      </c>
      <c r="M838" s="9">
        <f>IF(OR(H838="",J838="",K838="",K838=0),"",ROUND(H838*J838/K838/3.305785,3))</f>
        <v/>
      </c>
      <c r="N838" s="7" t="n"/>
      <c r="O838" s="11" t="n"/>
      <c r="P838" s="11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12">
        <f>IF(A838="","",IF(OR(B838="",C838="",D838="",E838="",G838="",H838="",J838="",K838=""),"必填欄位未完整",""))</f>
        <v/>
      </c>
      <c r="AB838" s="12">
        <f>IF(A838="","",A838&amp;"|"&amp;G838)</f>
        <v/>
      </c>
    </row>
    <row r="839" ht="24" customHeight="1">
      <c r="A839" s="7" t="n"/>
      <c r="B839" s="7" t="n"/>
      <c r="C839" s="7" t="n"/>
      <c r="D839" s="7" t="n"/>
      <c r="E839" s="7" t="n"/>
      <c r="F839" s="7" t="n"/>
      <c r="G839" s="7" t="n"/>
      <c r="H839" s="8" t="n"/>
      <c r="I839" s="9">
        <f>IF(H839="","",ROUND(H839/3.305785,3))</f>
        <v/>
      </c>
      <c r="J839" s="7" t="n"/>
      <c r="K839" s="7" t="n"/>
      <c r="L839" s="10">
        <f>IF(OR(J839="",K839="",K839=0),"",ROUND(J839/K839,6))</f>
        <v/>
      </c>
      <c r="M839" s="9">
        <f>IF(OR(H839="",J839="",K839="",K839=0),"",ROUND(H839*J839/K839/3.305785,3))</f>
        <v/>
      </c>
      <c r="N839" s="7" t="n"/>
      <c r="O839" s="11" t="n"/>
      <c r="P839" s="11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12">
        <f>IF(A839="","",IF(OR(B839="",C839="",D839="",E839="",G839="",H839="",J839="",K839=""),"必填欄位未完整",""))</f>
        <v/>
      </c>
      <c r="AB839" s="12">
        <f>IF(A839="","",A839&amp;"|"&amp;G839)</f>
        <v/>
      </c>
    </row>
    <row r="840" ht="24" customHeight="1">
      <c r="A840" s="7" t="n"/>
      <c r="B840" s="7" t="n"/>
      <c r="C840" s="7" t="n"/>
      <c r="D840" s="7" t="n"/>
      <c r="E840" s="7" t="n"/>
      <c r="F840" s="7" t="n"/>
      <c r="G840" s="7" t="n"/>
      <c r="H840" s="8" t="n"/>
      <c r="I840" s="9">
        <f>IF(H840="","",ROUND(H840/3.305785,3))</f>
        <v/>
      </c>
      <c r="J840" s="7" t="n"/>
      <c r="K840" s="7" t="n"/>
      <c r="L840" s="10">
        <f>IF(OR(J840="",K840="",K840=0),"",ROUND(J840/K840,6))</f>
        <v/>
      </c>
      <c r="M840" s="9">
        <f>IF(OR(H840="",J840="",K840="",K840=0),"",ROUND(H840*J840/K840/3.305785,3))</f>
        <v/>
      </c>
      <c r="N840" s="7" t="n"/>
      <c r="O840" s="11" t="n"/>
      <c r="P840" s="11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12">
        <f>IF(A840="","",IF(OR(B840="",C840="",D840="",E840="",G840="",H840="",J840="",K840=""),"必填欄位未完整",""))</f>
        <v/>
      </c>
      <c r="AB840" s="12">
        <f>IF(A840="","",A840&amp;"|"&amp;G840)</f>
        <v/>
      </c>
    </row>
    <row r="841" ht="24" customHeight="1">
      <c r="A841" s="7" t="n"/>
      <c r="B841" s="7" t="n"/>
      <c r="C841" s="7" t="n"/>
      <c r="D841" s="7" t="n"/>
      <c r="E841" s="7" t="n"/>
      <c r="F841" s="7" t="n"/>
      <c r="G841" s="7" t="n"/>
      <c r="H841" s="8" t="n"/>
      <c r="I841" s="9">
        <f>IF(H841="","",ROUND(H841/3.305785,3))</f>
        <v/>
      </c>
      <c r="J841" s="7" t="n"/>
      <c r="K841" s="7" t="n"/>
      <c r="L841" s="10">
        <f>IF(OR(J841="",K841="",K841=0),"",ROUND(J841/K841,6))</f>
        <v/>
      </c>
      <c r="M841" s="9">
        <f>IF(OR(H841="",J841="",K841="",K841=0),"",ROUND(H841*J841/K841/3.305785,3))</f>
        <v/>
      </c>
      <c r="N841" s="7" t="n"/>
      <c r="O841" s="11" t="n"/>
      <c r="P841" s="11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12">
        <f>IF(A841="","",IF(OR(B841="",C841="",D841="",E841="",G841="",H841="",J841="",K841=""),"必填欄位未完整",""))</f>
        <v/>
      </c>
      <c r="AB841" s="12">
        <f>IF(A841="","",A841&amp;"|"&amp;G841)</f>
        <v/>
      </c>
    </row>
    <row r="842" ht="24" customHeight="1">
      <c r="A842" s="7" t="n"/>
      <c r="B842" s="7" t="n"/>
      <c r="C842" s="7" t="n"/>
      <c r="D842" s="7" t="n"/>
      <c r="E842" s="7" t="n"/>
      <c r="F842" s="7" t="n"/>
      <c r="G842" s="7" t="n"/>
      <c r="H842" s="8" t="n"/>
      <c r="I842" s="9">
        <f>IF(H842="","",ROUND(H842/3.305785,3))</f>
        <v/>
      </c>
      <c r="J842" s="7" t="n"/>
      <c r="K842" s="7" t="n"/>
      <c r="L842" s="10">
        <f>IF(OR(J842="",K842="",K842=0),"",ROUND(J842/K842,6))</f>
        <v/>
      </c>
      <c r="M842" s="9">
        <f>IF(OR(H842="",J842="",K842="",K842=0),"",ROUND(H842*J842/K842/3.305785,3))</f>
        <v/>
      </c>
      <c r="N842" s="7" t="n"/>
      <c r="O842" s="11" t="n"/>
      <c r="P842" s="11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12">
        <f>IF(A842="","",IF(OR(B842="",C842="",D842="",E842="",G842="",H842="",J842="",K842=""),"必填欄位未完整",""))</f>
        <v/>
      </c>
      <c r="AB842" s="12">
        <f>IF(A842="","",A842&amp;"|"&amp;G842)</f>
        <v/>
      </c>
    </row>
    <row r="843" ht="24" customHeight="1">
      <c r="A843" s="7" t="n"/>
      <c r="B843" s="7" t="n"/>
      <c r="C843" s="7" t="n"/>
      <c r="D843" s="7" t="n"/>
      <c r="E843" s="7" t="n"/>
      <c r="F843" s="7" t="n"/>
      <c r="G843" s="7" t="n"/>
      <c r="H843" s="8" t="n"/>
      <c r="I843" s="9">
        <f>IF(H843="","",ROUND(H843/3.305785,3))</f>
        <v/>
      </c>
      <c r="J843" s="7" t="n"/>
      <c r="K843" s="7" t="n"/>
      <c r="L843" s="10">
        <f>IF(OR(J843="",K843="",K843=0),"",ROUND(J843/K843,6))</f>
        <v/>
      </c>
      <c r="M843" s="9">
        <f>IF(OR(H843="",J843="",K843="",K843=0),"",ROUND(H843*J843/K843/3.305785,3))</f>
        <v/>
      </c>
      <c r="N843" s="7" t="n"/>
      <c r="O843" s="11" t="n"/>
      <c r="P843" s="11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12">
        <f>IF(A843="","",IF(OR(B843="",C843="",D843="",E843="",G843="",H843="",J843="",K843=""),"必填欄位未完整",""))</f>
        <v/>
      </c>
      <c r="AB843" s="12">
        <f>IF(A843="","",A843&amp;"|"&amp;G843)</f>
        <v/>
      </c>
    </row>
    <row r="844" ht="24" customHeight="1">
      <c r="A844" s="7" t="n"/>
      <c r="B844" s="7" t="n"/>
      <c r="C844" s="7" t="n"/>
      <c r="D844" s="7" t="n"/>
      <c r="E844" s="7" t="n"/>
      <c r="F844" s="7" t="n"/>
      <c r="G844" s="7" t="n"/>
      <c r="H844" s="8" t="n"/>
      <c r="I844" s="9">
        <f>IF(H844="","",ROUND(H844/3.305785,3))</f>
        <v/>
      </c>
      <c r="J844" s="7" t="n"/>
      <c r="K844" s="7" t="n"/>
      <c r="L844" s="10">
        <f>IF(OR(J844="",K844="",K844=0),"",ROUND(J844/K844,6))</f>
        <v/>
      </c>
      <c r="M844" s="9">
        <f>IF(OR(H844="",J844="",K844="",K844=0),"",ROUND(H844*J844/K844/3.305785,3))</f>
        <v/>
      </c>
      <c r="N844" s="7" t="n"/>
      <c r="O844" s="11" t="n"/>
      <c r="P844" s="11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12">
        <f>IF(A844="","",IF(OR(B844="",C844="",D844="",E844="",G844="",H844="",J844="",K844=""),"必填欄位未完整",""))</f>
        <v/>
      </c>
      <c r="AB844" s="12">
        <f>IF(A844="","",A844&amp;"|"&amp;G844)</f>
        <v/>
      </c>
    </row>
    <row r="845" ht="24" customHeight="1">
      <c r="A845" s="7" t="n"/>
      <c r="B845" s="7" t="n"/>
      <c r="C845" s="7" t="n"/>
      <c r="D845" s="7" t="n"/>
      <c r="E845" s="7" t="n"/>
      <c r="F845" s="7" t="n"/>
      <c r="G845" s="7" t="n"/>
      <c r="H845" s="8" t="n"/>
      <c r="I845" s="9">
        <f>IF(H845="","",ROUND(H845/3.305785,3))</f>
        <v/>
      </c>
      <c r="J845" s="7" t="n"/>
      <c r="K845" s="7" t="n"/>
      <c r="L845" s="10">
        <f>IF(OR(J845="",K845="",K845=0),"",ROUND(J845/K845,6))</f>
        <v/>
      </c>
      <c r="M845" s="9">
        <f>IF(OR(H845="",J845="",K845="",K845=0),"",ROUND(H845*J845/K845/3.305785,3))</f>
        <v/>
      </c>
      <c r="N845" s="7" t="n"/>
      <c r="O845" s="11" t="n"/>
      <c r="P845" s="11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12">
        <f>IF(A845="","",IF(OR(B845="",C845="",D845="",E845="",G845="",H845="",J845="",K845=""),"必填欄位未完整",""))</f>
        <v/>
      </c>
      <c r="AB845" s="12">
        <f>IF(A845="","",A845&amp;"|"&amp;G845)</f>
        <v/>
      </c>
    </row>
    <row r="846" ht="24" customHeight="1">
      <c r="A846" s="7" t="n"/>
      <c r="B846" s="7" t="n"/>
      <c r="C846" s="7" t="n"/>
      <c r="D846" s="7" t="n"/>
      <c r="E846" s="7" t="n"/>
      <c r="F846" s="7" t="n"/>
      <c r="G846" s="7" t="n"/>
      <c r="H846" s="8" t="n"/>
      <c r="I846" s="9">
        <f>IF(H846="","",ROUND(H846/3.305785,3))</f>
        <v/>
      </c>
      <c r="J846" s="7" t="n"/>
      <c r="K846" s="7" t="n"/>
      <c r="L846" s="10">
        <f>IF(OR(J846="",K846="",K846=0),"",ROUND(J846/K846,6))</f>
        <v/>
      </c>
      <c r="M846" s="9">
        <f>IF(OR(H846="",J846="",K846="",K846=0),"",ROUND(H846*J846/K846/3.305785,3))</f>
        <v/>
      </c>
      <c r="N846" s="7" t="n"/>
      <c r="O846" s="11" t="n"/>
      <c r="P846" s="11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12">
        <f>IF(A846="","",IF(OR(B846="",C846="",D846="",E846="",G846="",H846="",J846="",K846=""),"必填欄位未完整",""))</f>
        <v/>
      </c>
      <c r="AB846" s="12">
        <f>IF(A846="","",A846&amp;"|"&amp;G846)</f>
        <v/>
      </c>
    </row>
    <row r="847" ht="24" customHeight="1">
      <c r="A847" s="7" t="n"/>
      <c r="B847" s="7" t="n"/>
      <c r="C847" s="7" t="n"/>
      <c r="D847" s="7" t="n"/>
      <c r="E847" s="7" t="n"/>
      <c r="F847" s="7" t="n"/>
      <c r="G847" s="7" t="n"/>
      <c r="H847" s="8" t="n"/>
      <c r="I847" s="9">
        <f>IF(H847="","",ROUND(H847/3.305785,3))</f>
        <v/>
      </c>
      <c r="J847" s="7" t="n"/>
      <c r="K847" s="7" t="n"/>
      <c r="L847" s="10">
        <f>IF(OR(J847="",K847="",K847=0),"",ROUND(J847/K847,6))</f>
        <v/>
      </c>
      <c r="M847" s="9">
        <f>IF(OR(H847="",J847="",K847="",K847=0),"",ROUND(H847*J847/K847/3.305785,3))</f>
        <v/>
      </c>
      <c r="N847" s="7" t="n"/>
      <c r="O847" s="11" t="n"/>
      <c r="P847" s="11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12">
        <f>IF(A847="","",IF(OR(B847="",C847="",D847="",E847="",G847="",H847="",J847="",K847=""),"必填欄位未完整",""))</f>
        <v/>
      </c>
      <c r="AB847" s="12">
        <f>IF(A847="","",A847&amp;"|"&amp;G847)</f>
        <v/>
      </c>
    </row>
    <row r="848" ht="24" customHeight="1">
      <c r="A848" s="7" t="n"/>
      <c r="B848" s="7" t="n"/>
      <c r="C848" s="7" t="n"/>
      <c r="D848" s="7" t="n"/>
      <c r="E848" s="7" t="n"/>
      <c r="F848" s="7" t="n"/>
      <c r="G848" s="7" t="n"/>
      <c r="H848" s="8" t="n"/>
      <c r="I848" s="9">
        <f>IF(H848="","",ROUND(H848/3.305785,3))</f>
        <v/>
      </c>
      <c r="J848" s="7" t="n"/>
      <c r="K848" s="7" t="n"/>
      <c r="L848" s="10">
        <f>IF(OR(J848="",K848="",K848=0),"",ROUND(J848/K848,6))</f>
        <v/>
      </c>
      <c r="M848" s="9">
        <f>IF(OR(H848="",J848="",K848="",K848=0),"",ROUND(H848*J848/K848/3.305785,3))</f>
        <v/>
      </c>
      <c r="N848" s="7" t="n"/>
      <c r="O848" s="11" t="n"/>
      <c r="P848" s="11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12">
        <f>IF(A848="","",IF(OR(B848="",C848="",D848="",E848="",G848="",H848="",J848="",K848=""),"必填欄位未完整",""))</f>
        <v/>
      </c>
      <c r="AB848" s="12">
        <f>IF(A848="","",A848&amp;"|"&amp;G848)</f>
        <v/>
      </c>
    </row>
    <row r="849" ht="24" customHeight="1">
      <c r="A849" s="7" t="n"/>
      <c r="B849" s="7" t="n"/>
      <c r="C849" s="7" t="n"/>
      <c r="D849" s="7" t="n"/>
      <c r="E849" s="7" t="n"/>
      <c r="F849" s="7" t="n"/>
      <c r="G849" s="7" t="n"/>
      <c r="H849" s="8" t="n"/>
      <c r="I849" s="9">
        <f>IF(H849="","",ROUND(H849/3.305785,3))</f>
        <v/>
      </c>
      <c r="J849" s="7" t="n"/>
      <c r="K849" s="7" t="n"/>
      <c r="L849" s="10">
        <f>IF(OR(J849="",K849="",K849=0),"",ROUND(J849/K849,6))</f>
        <v/>
      </c>
      <c r="M849" s="9">
        <f>IF(OR(H849="",J849="",K849="",K849=0),"",ROUND(H849*J849/K849/3.305785,3))</f>
        <v/>
      </c>
      <c r="N849" s="7" t="n"/>
      <c r="O849" s="11" t="n"/>
      <c r="P849" s="11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12">
        <f>IF(A849="","",IF(OR(B849="",C849="",D849="",E849="",G849="",H849="",J849="",K849=""),"必填欄位未完整",""))</f>
        <v/>
      </c>
      <c r="AB849" s="12">
        <f>IF(A849="","",A849&amp;"|"&amp;G849)</f>
        <v/>
      </c>
    </row>
    <row r="850" ht="24" customHeight="1">
      <c r="A850" s="7" t="n"/>
      <c r="B850" s="7" t="n"/>
      <c r="C850" s="7" t="n"/>
      <c r="D850" s="7" t="n"/>
      <c r="E850" s="7" t="n"/>
      <c r="F850" s="7" t="n"/>
      <c r="G850" s="7" t="n"/>
      <c r="H850" s="8" t="n"/>
      <c r="I850" s="9">
        <f>IF(H850="","",ROUND(H850/3.305785,3))</f>
        <v/>
      </c>
      <c r="J850" s="7" t="n"/>
      <c r="K850" s="7" t="n"/>
      <c r="L850" s="10">
        <f>IF(OR(J850="",K850="",K850=0),"",ROUND(J850/K850,6))</f>
        <v/>
      </c>
      <c r="M850" s="9">
        <f>IF(OR(H850="",J850="",K850="",K850=0),"",ROUND(H850*J850/K850/3.305785,3))</f>
        <v/>
      </c>
      <c r="N850" s="7" t="n"/>
      <c r="O850" s="11" t="n"/>
      <c r="P850" s="11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12">
        <f>IF(A850="","",IF(OR(B850="",C850="",D850="",E850="",G850="",H850="",J850="",K850=""),"必填欄位未完整",""))</f>
        <v/>
      </c>
      <c r="AB850" s="12">
        <f>IF(A850="","",A850&amp;"|"&amp;G850)</f>
        <v/>
      </c>
    </row>
    <row r="851" ht="24" customHeight="1">
      <c r="A851" s="7" t="n"/>
      <c r="B851" s="7" t="n"/>
      <c r="C851" s="7" t="n"/>
      <c r="D851" s="7" t="n"/>
      <c r="E851" s="7" t="n"/>
      <c r="F851" s="7" t="n"/>
      <c r="G851" s="7" t="n"/>
      <c r="H851" s="8" t="n"/>
      <c r="I851" s="9">
        <f>IF(H851="","",ROUND(H851/3.305785,3))</f>
        <v/>
      </c>
      <c r="J851" s="7" t="n"/>
      <c r="K851" s="7" t="n"/>
      <c r="L851" s="10">
        <f>IF(OR(J851="",K851="",K851=0),"",ROUND(J851/K851,6))</f>
        <v/>
      </c>
      <c r="M851" s="9">
        <f>IF(OR(H851="",J851="",K851="",K851=0),"",ROUND(H851*J851/K851/3.305785,3))</f>
        <v/>
      </c>
      <c r="N851" s="7" t="n"/>
      <c r="O851" s="11" t="n"/>
      <c r="P851" s="11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12">
        <f>IF(A851="","",IF(OR(B851="",C851="",D851="",E851="",G851="",H851="",J851="",K851=""),"必填欄位未完整",""))</f>
        <v/>
      </c>
      <c r="AB851" s="12">
        <f>IF(A851="","",A851&amp;"|"&amp;G851)</f>
        <v/>
      </c>
    </row>
    <row r="852" ht="24" customHeight="1">
      <c r="A852" s="7" t="n"/>
      <c r="B852" s="7" t="n"/>
      <c r="C852" s="7" t="n"/>
      <c r="D852" s="7" t="n"/>
      <c r="E852" s="7" t="n"/>
      <c r="F852" s="7" t="n"/>
      <c r="G852" s="7" t="n"/>
      <c r="H852" s="8" t="n"/>
      <c r="I852" s="9">
        <f>IF(H852="","",ROUND(H852/3.305785,3))</f>
        <v/>
      </c>
      <c r="J852" s="7" t="n"/>
      <c r="K852" s="7" t="n"/>
      <c r="L852" s="10">
        <f>IF(OR(J852="",K852="",K852=0),"",ROUND(J852/K852,6))</f>
        <v/>
      </c>
      <c r="M852" s="9">
        <f>IF(OR(H852="",J852="",K852="",K852=0),"",ROUND(H852*J852/K852/3.305785,3))</f>
        <v/>
      </c>
      <c r="N852" s="7" t="n"/>
      <c r="O852" s="11" t="n"/>
      <c r="P852" s="11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12">
        <f>IF(A852="","",IF(OR(B852="",C852="",D852="",E852="",G852="",H852="",J852="",K852=""),"必填欄位未完整",""))</f>
        <v/>
      </c>
      <c r="AB852" s="12">
        <f>IF(A852="","",A852&amp;"|"&amp;G852)</f>
        <v/>
      </c>
    </row>
    <row r="853" ht="24" customHeight="1">
      <c r="A853" s="7" t="n"/>
      <c r="B853" s="7" t="n"/>
      <c r="C853" s="7" t="n"/>
      <c r="D853" s="7" t="n"/>
      <c r="E853" s="7" t="n"/>
      <c r="F853" s="7" t="n"/>
      <c r="G853" s="7" t="n"/>
      <c r="H853" s="8" t="n"/>
      <c r="I853" s="9">
        <f>IF(H853="","",ROUND(H853/3.305785,3))</f>
        <v/>
      </c>
      <c r="J853" s="7" t="n"/>
      <c r="K853" s="7" t="n"/>
      <c r="L853" s="10">
        <f>IF(OR(J853="",K853="",K853=0),"",ROUND(J853/K853,6))</f>
        <v/>
      </c>
      <c r="M853" s="9">
        <f>IF(OR(H853="",J853="",K853="",K853=0),"",ROUND(H853*J853/K853/3.305785,3))</f>
        <v/>
      </c>
      <c r="N853" s="7" t="n"/>
      <c r="O853" s="11" t="n"/>
      <c r="P853" s="11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12">
        <f>IF(A853="","",IF(OR(B853="",C853="",D853="",E853="",G853="",H853="",J853="",K853=""),"必填欄位未完整",""))</f>
        <v/>
      </c>
      <c r="AB853" s="12">
        <f>IF(A853="","",A853&amp;"|"&amp;G853)</f>
        <v/>
      </c>
    </row>
    <row r="854" ht="24" customHeight="1">
      <c r="A854" s="7" t="n"/>
      <c r="B854" s="7" t="n"/>
      <c r="C854" s="7" t="n"/>
      <c r="D854" s="7" t="n"/>
      <c r="E854" s="7" t="n"/>
      <c r="F854" s="7" t="n"/>
      <c r="G854" s="7" t="n"/>
      <c r="H854" s="8" t="n"/>
      <c r="I854" s="9">
        <f>IF(H854="","",ROUND(H854/3.305785,3))</f>
        <v/>
      </c>
      <c r="J854" s="7" t="n"/>
      <c r="K854" s="7" t="n"/>
      <c r="L854" s="10">
        <f>IF(OR(J854="",K854="",K854=0),"",ROUND(J854/K854,6))</f>
        <v/>
      </c>
      <c r="M854" s="9">
        <f>IF(OR(H854="",J854="",K854="",K854=0),"",ROUND(H854*J854/K854/3.305785,3))</f>
        <v/>
      </c>
      <c r="N854" s="7" t="n"/>
      <c r="O854" s="11" t="n"/>
      <c r="P854" s="11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12">
        <f>IF(A854="","",IF(OR(B854="",C854="",D854="",E854="",G854="",H854="",J854="",K854=""),"必填欄位未完整",""))</f>
        <v/>
      </c>
      <c r="AB854" s="12">
        <f>IF(A854="","",A854&amp;"|"&amp;G854)</f>
        <v/>
      </c>
    </row>
    <row r="855" ht="24" customHeight="1">
      <c r="A855" s="7" t="n"/>
      <c r="B855" s="7" t="n"/>
      <c r="C855" s="7" t="n"/>
      <c r="D855" s="7" t="n"/>
      <c r="E855" s="7" t="n"/>
      <c r="F855" s="7" t="n"/>
      <c r="G855" s="7" t="n"/>
      <c r="H855" s="8" t="n"/>
      <c r="I855" s="9">
        <f>IF(H855="","",ROUND(H855/3.305785,3))</f>
        <v/>
      </c>
      <c r="J855" s="7" t="n"/>
      <c r="K855" s="7" t="n"/>
      <c r="L855" s="10">
        <f>IF(OR(J855="",K855="",K855=0),"",ROUND(J855/K855,6))</f>
        <v/>
      </c>
      <c r="M855" s="9">
        <f>IF(OR(H855="",J855="",K855="",K855=0),"",ROUND(H855*J855/K855/3.305785,3))</f>
        <v/>
      </c>
      <c r="N855" s="7" t="n"/>
      <c r="O855" s="11" t="n"/>
      <c r="P855" s="11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12">
        <f>IF(A855="","",IF(OR(B855="",C855="",D855="",E855="",G855="",H855="",J855="",K855=""),"必填欄位未完整",""))</f>
        <v/>
      </c>
      <c r="AB855" s="12">
        <f>IF(A855="","",A855&amp;"|"&amp;G855)</f>
        <v/>
      </c>
    </row>
    <row r="856" ht="24" customHeight="1">
      <c r="A856" s="7" t="n"/>
      <c r="B856" s="7" t="n"/>
      <c r="C856" s="7" t="n"/>
      <c r="D856" s="7" t="n"/>
      <c r="E856" s="7" t="n"/>
      <c r="F856" s="7" t="n"/>
      <c r="G856" s="7" t="n"/>
      <c r="H856" s="8" t="n"/>
      <c r="I856" s="9">
        <f>IF(H856="","",ROUND(H856/3.305785,3))</f>
        <v/>
      </c>
      <c r="J856" s="7" t="n"/>
      <c r="K856" s="7" t="n"/>
      <c r="L856" s="10">
        <f>IF(OR(J856="",K856="",K856=0),"",ROUND(J856/K856,6))</f>
        <v/>
      </c>
      <c r="M856" s="9">
        <f>IF(OR(H856="",J856="",K856="",K856=0),"",ROUND(H856*J856/K856/3.305785,3))</f>
        <v/>
      </c>
      <c r="N856" s="7" t="n"/>
      <c r="O856" s="11" t="n"/>
      <c r="P856" s="11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12">
        <f>IF(A856="","",IF(OR(B856="",C856="",D856="",E856="",G856="",H856="",J856="",K856=""),"必填欄位未完整",""))</f>
        <v/>
      </c>
      <c r="AB856" s="12">
        <f>IF(A856="","",A856&amp;"|"&amp;G856)</f>
        <v/>
      </c>
    </row>
    <row r="857" ht="24" customHeight="1">
      <c r="A857" s="7" t="n"/>
      <c r="B857" s="7" t="n"/>
      <c r="C857" s="7" t="n"/>
      <c r="D857" s="7" t="n"/>
      <c r="E857" s="7" t="n"/>
      <c r="F857" s="7" t="n"/>
      <c r="G857" s="7" t="n"/>
      <c r="H857" s="8" t="n"/>
      <c r="I857" s="9">
        <f>IF(H857="","",ROUND(H857/3.305785,3))</f>
        <v/>
      </c>
      <c r="J857" s="7" t="n"/>
      <c r="K857" s="7" t="n"/>
      <c r="L857" s="10">
        <f>IF(OR(J857="",K857="",K857=0),"",ROUND(J857/K857,6))</f>
        <v/>
      </c>
      <c r="M857" s="9">
        <f>IF(OR(H857="",J857="",K857="",K857=0),"",ROUND(H857*J857/K857/3.305785,3))</f>
        <v/>
      </c>
      <c r="N857" s="7" t="n"/>
      <c r="O857" s="11" t="n"/>
      <c r="P857" s="11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12">
        <f>IF(A857="","",IF(OR(B857="",C857="",D857="",E857="",G857="",H857="",J857="",K857=""),"必填欄位未完整",""))</f>
        <v/>
      </c>
      <c r="AB857" s="12">
        <f>IF(A857="","",A857&amp;"|"&amp;G857)</f>
        <v/>
      </c>
    </row>
    <row r="858" ht="24" customHeight="1">
      <c r="A858" s="7" t="n"/>
      <c r="B858" s="7" t="n"/>
      <c r="C858" s="7" t="n"/>
      <c r="D858" s="7" t="n"/>
      <c r="E858" s="7" t="n"/>
      <c r="F858" s="7" t="n"/>
      <c r="G858" s="7" t="n"/>
      <c r="H858" s="8" t="n"/>
      <c r="I858" s="9">
        <f>IF(H858="","",ROUND(H858/3.305785,3))</f>
        <v/>
      </c>
      <c r="J858" s="7" t="n"/>
      <c r="K858" s="7" t="n"/>
      <c r="L858" s="10">
        <f>IF(OR(J858="",K858="",K858=0),"",ROUND(J858/K858,6))</f>
        <v/>
      </c>
      <c r="M858" s="9">
        <f>IF(OR(H858="",J858="",K858="",K858=0),"",ROUND(H858*J858/K858/3.305785,3))</f>
        <v/>
      </c>
      <c r="N858" s="7" t="n"/>
      <c r="O858" s="11" t="n"/>
      <c r="P858" s="11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12">
        <f>IF(A858="","",IF(OR(B858="",C858="",D858="",E858="",G858="",H858="",J858="",K858=""),"必填欄位未完整",""))</f>
        <v/>
      </c>
      <c r="AB858" s="12">
        <f>IF(A858="","",A858&amp;"|"&amp;G858)</f>
        <v/>
      </c>
    </row>
    <row r="859" ht="24" customHeight="1">
      <c r="A859" s="7" t="n"/>
      <c r="B859" s="7" t="n"/>
      <c r="C859" s="7" t="n"/>
      <c r="D859" s="7" t="n"/>
      <c r="E859" s="7" t="n"/>
      <c r="F859" s="7" t="n"/>
      <c r="G859" s="7" t="n"/>
      <c r="H859" s="8" t="n"/>
      <c r="I859" s="9">
        <f>IF(H859="","",ROUND(H859/3.305785,3))</f>
        <v/>
      </c>
      <c r="J859" s="7" t="n"/>
      <c r="K859" s="7" t="n"/>
      <c r="L859" s="10">
        <f>IF(OR(J859="",K859="",K859=0),"",ROUND(J859/K859,6))</f>
        <v/>
      </c>
      <c r="M859" s="9">
        <f>IF(OR(H859="",J859="",K859="",K859=0),"",ROUND(H859*J859/K859/3.305785,3))</f>
        <v/>
      </c>
      <c r="N859" s="7" t="n"/>
      <c r="O859" s="11" t="n"/>
      <c r="P859" s="11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12">
        <f>IF(A859="","",IF(OR(B859="",C859="",D859="",E859="",G859="",H859="",J859="",K859=""),"必填欄位未完整",""))</f>
        <v/>
      </c>
      <c r="AB859" s="12">
        <f>IF(A859="","",A859&amp;"|"&amp;G859)</f>
        <v/>
      </c>
    </row>
    <row r="860" ht="24" customHeight="1">
      <c r="A860" s="7" t="n"/>
      <c r="B860" s="7" t="n"/>
      <c r="C860" s="7" t="n"/>
      <c r="D860" s="7" t="n"/>
      <c r="E860" s="7" t="n"/>
      <c r="F860" s="7" t="n"/>
      <c r="G860" s="7" t="n"/>
      <c r="H860" s="8" t="n"/>
      <c r="I860" s="9">
        <f>IF(H860="","",ROUND(H860/3.305785,3))</f>
        <v/>
      </c>
      <c r="J860" s="7" t="n"/>
      <c r="K860" s="7" t="n"/>
      <c r="L860" s="10">
        <f>IF(OR(J860="",K860="",K860=0),"",ROUND(J860/K860,6))</f>
        <v/>
      </c>
      <c r="M860" s="9">
        <f>IF(OR(H860="",J860="",K860="",K860=0),"",ROUND(H860*J860/K860/3.305785,3))</f>
        <v/>
      </c>
      <c r="N860" s="7" t="n"/>
      <c r="O860" s="11" t="n"/>
      <c r="P860" s="11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12">
        <f>IF(A860="","",IF(OR(B860="",C860="",D860="",E860="",G860="",H860="",J860="",K860=""),"必填欄位未完整",""))</f>
        <v/>
      </c>
      <c r="AB860" s="12">
        <f>IF(A860="","",A860&amp;"|"&amp;G860)</f>
        <v/>
      </c>
    </row>
    <row r="861" ht="24" customHeight="1">
      <c r="A861" s="7" t="n"/>
      <c r="B861" s="7" t="n"/>
      <c r="C861" s="7" t="n"/>
      <c r="D861" s="7" t="n"/>
      <c r="E861" s="7" t="n"/>
      <c r="F861" s="7" t="n"/>
      <c r="G861" s="7" t="n"/>
      <c r="H861" s="8" t="n"/>
      <c r="I861" s="9">
        <f>IF(H861="","",ROUND(H861/3.305785,3))</f>
        <v/>
      </c>
      <c r="J861" s="7" t="n"/>
      <c r="K861" s="7" t="n"/>
      <c r="L861" s="10">
        <f>IF(OR(J861="",K861="",K861=0),"",ROUND(J861/K861,6))</f>
        <v/>
      </c>
      <c r="M861" s="9">
        <f>IF(OR(H861="",J861="",K861="",K861=0),"",ROUND(H861*J861/K861/3.305785,3))</f>
        <v/>
      </c>
      <c r="N861" s="7" t="n"/>
      <c r="O861" s="11" t="n"/>
      <c r="P861" s="11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12">
        <f>IF(A861="","",IF(OR(B861="",C861="",D861="",E861="",G861="",H861="",J861="",K861=""),"必填欄位未完整",""))</f>
        <v/>
      </c>
      <c r="AB861" s="12">
        <f>IF(A861="","",A861&amp;"|"&amp;G861)</f>
        <v/>
      </c>
    </row>
    <row r="862" ht="24" customHeight="1">
      <c r="A862" s="7" t="n"/>
      <c r="B862" s="7" t="n"/>
      <c r="C862" s="7" t="n"/>
      <c r="D862" s="7" t="n"/>
      <c r="E862" s="7" t="n"/>
      <c r="F862" s="7" t="n"/>
      <c r="G862" s="7" t="n"/>
      <c r="H862" s="8" t="n"/>
      <c r="I862" s="9">
        <f>IF(H862="","",ROUND(H862/3.305785,3))</f>
        <v/>
      </c>
      <c r="J862" s="7" t="n"/>
      <c r="K862" s="7" t="n"/>
      <c r="L862" s="10">
        <f>IF(OR(J862="",K862="",K862=0),"",ROUND(J862/K862,6))</f>
        <v/>
      </c>
      <c r="M862" s="9">
        <f>IF(OR(H862="",J862="",K862="",K862=0),"",ROUND(H862*J862/K862/3.305785,3))</f>
        <v/>
      </c>
      <c r="N862" s="7" t="n"/>
      <c r="O862" s="11" t="n"/>
      <c r="P862" s="11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12">
        <f>IF(A862="","",IF(OR(B862="",C862="",D862="",E862="",G862="",H862="",J862="",K862=""),"必填欄位未完整",""))</f>
        <v/>
      </c>
      <c r="AB862" s="12">
        <f>IF(A862="","",A862&amp;"|"&amp;G862)</f>
        <v/>
      </c>
    </row>
    <row r="863" ht="24" customHeight="1">
      <c r="A863" s="7" t="n"/>
      <c r="B863" s="7" t="n"/>
      <c r="C863" s="7" t="n"/>
      <c r="D863" s="7" t="n"/>
      <c r="E863" s="7" t="n"/>
      <c r="F863" s="7" t="n"/>
      <c r="G863" s="7" t="n"/>
      <c r="H863" s="8" t="n"/>
      <c r="I863" s="9">
        <f>IF(H863="","",ROUND(H863/3.305785,3))</f>
        <v/>
      </c>
      <c r="J863" s="7" t="n"/>
      <c r="K863" s="7" t="n"/>
      <c r="L863" s="10">
        <f>IF(OR(J863="",K863="",K863=0),"",ROUND(J863/K863,6))</f>
        <v/>
      </c>
      <c r="M863" s="9">
        <f>IF(OR(H863="",J863="",K863="",K863=0),"",ROUND(H863*J863/K863/3.305785,3))</f>
        <v/>
      </c>
      <c r="N863" s="7" t="n"/>
      <c r="O863" s="11" t="n"/>
      <c r="P863" s="11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12">
        <f>IF(A863="","",IF(OR(B863="",C863="",D863="",E863="",G863="",H863="",J863="",K863=""),"必填欄位未完整",""))</f>
        <v/>
      </c>
      <c r="AB863" s="12">
        <f>IF(A863="","",A863&amp;"|"&amp;G863)</f>
        <v/>
      </c>
    </row>
    <row r="864" ht="24" customHeight="1">
      <c r="A864" s="7" t="n"/>
      <c r="B864" s="7" t="n"/>
      <c r="C864" s="7" t="n"/>
      <c r="D864" s="7" t="n"/>
      <c r="E864" s="7" t="n"/>
      <c r="F864" s="7" t="n"/>
      <c r="G864" s="7" t="n"/>
      <c r="H864" s="8" t="n"/>
      <c r="I864" s="9">
        <f>IF(H864="","",ROUND(H864/3.305785,3))</f>
        <v/>
      </c>
      <c r="J864" s="7" t="n"/>
      <c r="K864" s="7" t="n"/>
      <c r="L864" s="10">
        <f>IF(OR(J864="",K864="",K864=0),"",ROUND(J864/K864,6))</f>
        <v/>
      </c>
      <c r="M864" s="9">
        <f>IF(OR(H864="",J864="",K864="",K864=0),"",ROUND(H864*J864/K864/3.305785,3))</f>
        <v/>
      </c>
      <c r="N864" s="7" t="n"/>
      <c r="O864" s="11" t="n"/>
      <c r="P864" s="11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12">
        <f>IF(A864="","",IF(OR(B864="",C864="",D864="",E864="",G864="",H864="",J864="",K864=""),"必填欄位未完整",""))</f>
        <v/>
      </c>
      <c r="AB864" s="12">
        <f>IF(A864="","",A864&amp;"|"&amp;G864)</f>
        <v/>
      </c>
    </row>
    <row r="865" ht="24" customHeight="1">
      <c r="A865" s="7" t="n"/>
      <c r="B865" s="7" t="n"/>
      <c r="C865" s="7" t="n"/>
      <c r="D865" s="7" t="n"/>
      <c r="E865" s="7" t="n"/>
      <c r="F865" s="7" t="n"/>
      <c r="G865" s="7" t="n"/>
      <c r="H865" s="8" t="n"/>
      <c r="I865" s="9">
        <f>IF(H865="","",ROUND(H865/3.305785,3))</f>
        <v/>
      </c>
      <c r="J865" s="7" t="n"/>
      <c r="K865" s="7" t="n"/>
      <c r="L865" s="10">
        <f>IF(OR(J865="",K865="",K865=0),"",ROUND(J865/K865,6))</f>
        <v/>
      </c>
      <c r="M865" s="9">
        <f>IF(OR(H865="",J865="",K865="",K865=0),"",ROUND(H865*J865/K865/3.305785,3))</f>
        <v/>
      </c>
      <c r="N865" s="7" t="n"/>
      <c r="O865" s="11" t="n"/>
      <c r="P865" s="11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12">
        <f>IF(A865="","",IF(OR(B865="",C865="",D865="",E865="",G865="",H865="",J865="",K865=""),"必填欄位未完整",""))</f>
        <v/>
      </c>
      <c r="AB865" s="12">
        <f>IF(A865="","",A865&amp;"|"&amp;G865)</f>
        <v/>
      </c>
    </row>
    <row r="866" ht="24" customHeight="1">
      <c r="A866" s="7" t="n"/>
      <c r="B866" s="7" t="n"/>
      <c r="C866" s="7" t="n"/>
      <c r="D866" s="7" t="n"/>
      <c r="E866" s="7" t="n"/>
      <c r="F866" s="7" t="n"/>
      <c r="G866" s="7" t="n"/>
      <c r="H866" s="8" t="n"/>
      <c r="I866" s="9">
        <f>IF(H866="","",ROUND(H866/3.305785,3))</f>
        <v/>
      </c>
      <c r="J866" s="7" t="n"/>
      <c r="K866" s="7" t="n"/>
      <c r="L866" s="10">
        <f>IF(OR(J866="",K866="",K866=0),"",ROUND(J866/K866,6))</f>
        <v/>
      </c>
      <c r="M866" s="9">
        <f>IF(OR(H866="",J866="",K866="",K866=0),"",ROUND(H866*J866/K866/3.305785,3))</f>
        <v/>
      </c>
      <c r="N866" s="7" t="n"/>
      <c r="O866" s="11" t="n"/>
      <c r="P866" s="11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12">
        <f>IF(A866="","",IF(OR(B866="",C866="",D866="",E866="",G866="",H866="",J866="",K866=""),"必填欄位未完整",""))</f>
        <v/>
      </c>
      <c r="AB866" s="12">
        <f>IF(A866="","",A866&amp;"|"&amp;G866)</f>
        <v/>
      </c>
    </row>
    <row r="867" ht="24" customHeight="1">
      <c r="A867" s="7" t="n"/>
      <c r="B867" s="7" t="n"/>
      <c r="C867" s="7" t="n"/>
      <c r="D867" s="7" t="n"/>
      <c r="E867" s="7" t="n"/>
      <c r="F867" s="7" t="n"/>
      <c r="G867" s="7" t="n"/>
      <c r="H867" s="8" t="n"/>
      <c r="I867" s="9">
        <f>IF(H867="","",ROUND(H867/3.305785,3))</f>
        <v/>
      </c>
      <c r="J867" s="7" t="n"/>
      <c r="K867" s="7" t="n"/>
      <c r="L867" s="10">
        <f>IF(OR(J867="",K867="",K867=0),"",ROUND(J867/K867,6))</f>
        <v/>
      </c>
      <c r="M867" s="9">
        <f>IF(OR(H867="",J867="",K867="",K867=0),"",ROUND(H867*J867/K867/3.305785,3))</f>
        <v/>
      </c>
      <c r="N867" s="7" t="n"/>
      <c r="O867" s="11" t="n"/>
      <c r="P867" s="11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12">
        <f>IF(A867="","",IF(OR(B867="",C867="",D867="",E867="",G867="",H867="",J867="",K867=""),"必填欄位未完整",""))</f>
        <v/>
      </c>
      <c r="AB867" s="12">
        <f>IF(A867="","",A867&amp;"|"&amp;G867)</f>
        <v/>
      </c>
    </row>
    <row r="868" ht="24" customHeight="1">
      <c r="A868" s="7" t="n"/>
      <c r="B868" s="7" t="n"/>
      <c r="C868" s="7" t="n"/>
      <c r="D868" s="7" t="n"/>
      <c r="E868" s="7" t="n"/>
      <c r="F868" s="7" t="n"/>
      <c r="G868" s="7" t="n"/>
      <c r="H868" s="8" t="n"/>
      <c r="I868" s="9">
        <f>IF(H868="","",ROUND(H868/3.305785,3))</f>
        <v/>
      </c>
      <c r="J868" s="7" t="n"/>
      <c r="K868" s="7" t="n"/>
      <c r="L868" s="10">
        <f>IF(OR(J868="",K868="",K868=0),"",ROUND(J868/K868,6))</f>
        <v/>
      </c>
      <c r="M868" s="9">
        <f>IF(OR(H868="",J868="",K868="",K868=0),"",ROUND(H868*J868/K868/3.305785,3))</f>
        <v/>
      </c>
      <c r="N868" s="7" t="n"/>
      <c r="O868" s="11" t="n"/>
      <c r="P868" s="11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12">
        <f>IF(A868="","",IF(OR(B868="",C868="",D868="",E868="",G868="",H868="",J868="",K868=""),"必填欄位未完整",""))</f>
        <v/>
      </c>
      <c r="AB868" s="12">
        <f>IF(A868="","",A868&amp;"|"&amp;G868)</f>
        <v/>
      </c>
    </row>
    <row r="869" ht="24" customHeight="1">
      <c r="A869" s="7" t="n"/>
      <c r="B869" s="7" t="n"/>
      <c r="C869" s="7" t="n"/>
      <c r="D869" s="7" t="n"/>
      <c r="E869" s="7" t="n"/>
      <c r="F869" s="7" t="n"/>
      <c r="G869" s="7" t="n"/>
      <c r="H869" s="8" t="n"/>
      <c r="I869" s="9">
        <f>IF(H869="","",ROUND(H869/3.305785,3))</f>
        <v/>
      </c>
      <c r="J869" s="7" t="n"/>
      <c r="K869" s="7" t="n"/>
      <c r="L869" s="10">
        <f>IF(OR(J869="",K869="",K869=0),"",ROUND(J869/K869,6))</f>
        <v/>
      </c>
      <c r="M869" s="9">
        <f>IF(OR(H869="",J869="",K869="",K869=0),"",ROUND(H869*J869/K869/3.305785,3))</f>
        <v/>
      </c>
      <c r="N869" s="7" t="n"/>
      <c r="O869" s="11" t="n"/>
      <c r="P869" s="11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12">
        <f>IF(A869="","",IF(OR(B869="",C869="",D869="",E869="",G869="",H869="",J869="",K869=""),"必填欄位未完整",""))</f>
        <v/>
      </c>
      <c r="AB869" s="12">
        <f>IF(A869="","",A869&amp;"|"&amp;G869)</f>
        <v/>
      </c>
    </row>
    <row r="870" ht="24" customHeight="1">
      <c r="A870" s="7" t="n"/>
      <c r="B870" s="7" t="n"/>
      <c r="C870" s="7" t="n"/>
      <c r="D870" s="7" t="n"/>
      <c r="E870" s="7" t="n"/>
      <c r="F870" s="7" t="n"/>
      <c r="G870" s="7" t="n"/>
      <c r="H870" s="8" t="n"/>
      <c r="I870" s="9">
        <f>IF(H870="","",ROUND(H870/3.305785,3))</f>
        <v/>
      </c>
      <c r="J870" s="7" t="n"/>
      <c r="K870" s="7" t="n"/>
      <c r="L870" s="10">
        <f>IF(OR(J870="",K870="",K870=0),"",ROUND(J870/K870,6))</f>
        <v/>
      </c>
      <c r="M870" s="9">
        <f>IF(OR(H870="",J870="",K870="",K870=0),"",ROUND(H870*J870/K870/3.305785,3))</f>
        <v/>
      </c>
      <c r="N870" s="7" t="n"/>
      <c r="O870" s="11" t="n"/>
      <c r="P870" s="11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12">
        <f>IF(A870="","",IF(OR(B870="",C870="",D870="",E870="",G870="",H870="",J870="",K870=""),"必填欄位未完整",""))</f>
        <v/>
      </c>
      <c r="AB870" s="12">
        <f>IF(A870="","",A870&amp;"|"&amp;G870)</f>
        <v/>
      </c>
    </row>
    <row r="871" ht="24" customHeight="1">
      <c r="A871" s="7" t="n"/>
      <c r="B871" s="7" t="n"/>
      <c r="C871" s="7" t="n"/>
      <c r="D871" s="7" t="n"/>
      <c r="E871" s="7" t="n"/>
      <c r="F871" s="7" t="n"/>
      <c r="G871" s="7" t="n"/>
      <c r="H871" s="8" t="n"/>
      <c r="I871" s="9">
        <f>IF(H871="","",ROUND(H871/3.305785,3))</f>
        <v/>
      </c>
      <c r="J871" s="7" t="n"/>
      <c r="K871" s="7" t="n"/>
      <c r="L871" s="10">
        <f>IF(OR(J871="",K871="",K871=0),"",ROUND(J871/K871,6))</f>
        <v/>
      </c>
      <c r="M871" s="9">
        <f>IF(OR(H871="",J871="",K871="",K871=0),"",ROUND(H871*J871/K871/3.305785,3))</f>
        <v/>
      </c>
      <c r="N871" s="7" t="n"/>
      <c r="O871" s="11" t="n"/>
      <c r="P871" s="11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12">
        <f>IF(A871="","",IF(OR(B871="",C871="",D871="",E871="",G871="",H871="",J871="",K871=""),"必填欄位未完整",""))</f>
        <v/>
      </c>
      <c r="AB871" s="12">
        <f>IF(A871="","",A871&amp;"|"&amp;G871)</f>
        <v/>
      </c>
    </row>
    <row r="872" ht="24" customHeight="1">
      <c r="A872" s="7" t="n"/>
      <c r="B872" s="7" t="n"/>
      <c r="C872" s="7" t="n"/>
      <c r="D872" s="7" t="n"/>
      <c r="E872" s="7" t="n"/>
      <c r="F872" s="7" t="n"/>
      <c r="G872" s="7" t="n"/>
      <c r="H872" s="8" t="n"/>
      <c r="I872" s="9">
        <f>IF(H872="","",ROUND(H872/3.305785,3))</f>
        <v/>
      </c>
      <c r="J872" s="7" t="n"/>
      <c r="K872" s="7" t="n"/>
      <c r="L872" s="10">
        <f>IF(OR(J872="",K872="",K872=0),"",ROUND(J872/K872,6))</f>
        <v/>
      </c>
      <c r="M872" s="9">
        <f>IF(OR(H872="",J872="",K872="",K872=0),"",ROUND(H872*J872/K872/3.305785,3))</f>
        <v/>
      </c>
      <c r="N872" s="7" t="n"/>
      <c r="O872" s="11" t="n"/>
      <c r="P872" s="11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12">
        <f>IF(A872="","",IF(OR(B872="",C872="",D872="",E872="",G872="",H872="",J872="",K872=""),"必填欄位未完整",""))</f>
        <v/>
      </c>
      <c r="AB872" s="12">
        <f>IF(A872="","",A872&amp;"|"&amp;G872)</f>
        <v/>
      </c>
    </row>
    <row r="873" ht="24" customHeight="1">
      <c r="A873" s="7" t="n"/>
      <c r="B873" s="7" t="n"/>
      <c r="C873" s="7" t="n"/>
      <c r="D873" s="7" t="n"/>
      <c r="E873" s="7" t="n"/>
      <c r="F873" s="7" t="n"/>
      <c r="G873" s="7" t="n"/>
      <c r="H873" s="8" t="n"/>
      <c r="I873" s="9">
        <f>IF(H873="","",ROUND(H873/3.305785,3))</f>
        <v/>
      </c>
      <c r="J873" s="7" t="n"/>
      <c r="K873" s="7" t="n"/>
      <c r="L873" s="10">
        <f>IF(OR(J873="",K873="",K873=0),"",ROUND(J873/K873,6))</f>
        <v/>
      </c>
      <c r="M873" s="9">
        <f>IF(OR(H873="",J873="",K873="",K873=0),"",ROUND(H873*J873/K873/3.305785,3))</f>
        <v/>
      </c>
      <c r="N873" s="7" t="n"/>
      <c r="O873" s="11" t="n"/>
      <c r="P873" s="11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12">
        <f>IF(A873="","",IF(OR(B873="",C873="",D873="",E873="",G873="",H873="",J873="",K873=""),"必填欄位未完整",""))</f>
        <v/>
      </c>
      <c r="AB873" s="12">
        <f>IF(A873="","",A873&amp;"|"&amp;G873)</f>
        <v/>
      </c>
    </row>
    <row r="874" ht="24" customHeight="1">
      <c r="A874" s="7" t="n"/>
      <c r="B874" s="7" t="n"/>
      <c r="C874" s="7" t="n"/>
      <c r="D874" s="7" t="n"/>
      <c r="E874" s="7" t="n"/>
      <c r="F874" s="7" t="n"/>
      <c r="G874" s="7" t="n"/>
      <c r="H874" s="8" t="n"/>
      <c r="I874" s="9">
        <f>IF(H874="","",ROUND(H874/3.305785,3))</f>
        <v/>
      </c>
      <c r="J874" s="7" t="n"/>
      <c r="K874" s="7" t="n"/>
      <c r="L874" s="10">
        <f>IF(OR(J874="",K874="",K874=0),"",ROUND(J874/K874,6))</f>
        <v/>
      </c>
      <c r="M874" s="9">
        <f>IF(OR(H874="",J874="",K874="",K874=0),"",ROUND(H874*J874/K874/3.305785,3))</f>
        <v/>
      </c>
      <c r="N874" s="7" t="n"/>
      <c r="O874" s="11" t="n"/>
      <c r="P874" s="11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12">
        <f>IF(A874="","",IF(OR(B874="",C874="",D874="",E874="",G874="",H874="",J874="",K874=""),"必填欄位未完整",""))</f>
        <v/>
      </c>
      <c r="AB874" s="12">
        <f>IF(A874="","",A874&amp;"|"&amp;G874)</f>
        <v/>
      </c>
    </row>
    <row r="875" ht="24" customHeight="1">
      <c r="A875" s="7" t="n"/>
      <c r="B875" s="7" t="n"/>
      <c r="C875" s="7" t="n"/>
      <c r="D875" s="7" t="n"/>
      <c r="E875" s="7" t="n"/>
      <c r="F875" s="7" t="n"/>
      <c r="G875" s="7" t="n"/>
      <c r="H875" s="8" t="n"/>
      <c r="I875" s="9">
        <f>IF(H875="","",ROUND(H875/3.305785,3))</f>
        <v/>
      </c>
      <c r="J875" s="7" t="n"/>
      <c r="K875" s="7" t="n"/>
      <c r="L875" s="10">
        <f>IF(OR(J875="",K875="",K875=0),"",ROUND(J875/K875,6))</f>
        <v/>
      </c>
      <c r="M875" s="9">
        <f>IF(OR(H875="",J875="",K875="",K875=0),"",ROUND(H875*J875/K875/3.305785,3))</f>
        <v/>
      </c>
      <c r="N875" s="7" t="n"/>
      <c r="O875" s="11" t="n"/>
      <c r="P875" s="11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12">
        <f>IF(A875="","",IF(OR(B875="",C875="",D875="",E875="",G875="",H875="",J875="",K875=""),"必填欄位未完整",""))</f>
        <v/>
      </c>
      <c r="AB875" s="12">
        <f>IF(A875="","",A875&amp;"|"&amp;G875)</f>
        <v/>
      </c>
    </row>
    <row r="876" ht="24" customHeight="1">
      <c r="A876" s="7" t="n"/>
      <c r="B876" s="7" t="n"/>
      <c r="C876" s="7" t="n"/>
      <c r="D876" s="7" t="n"/>
      <c r="E876" s="7" t="n"/>
      <c r="F876" s="7" t="n"/>
      <c r="G876" s="7" t="n"/>
      <c r="H876" s="8" t="n"/>
      <c r="I876" s="9">
        <f>IF(H876="","",ROUND(H876/3.305785,3))</f>
        <v/>
      </c>
      <c r="J876" s="7" t="n"/>
      <c r="K876" s="7" t="n"/>
      <c r="L876" s="10">
        <f>IF(OR(J876="",K876="",K876=0),"",ROUND(J876/K876,6))</f>
        <v/>
      </c>
      <c r="M876" s="9">
        <f>IF(OR(H876="",J876="",K876="",K876=0),"",ROUND(H876*J876/K876/3.305785,3))</f>
        <v/>
      </c>
      <c r="N876" s="7" t="n"/>
      <c r="O876" s="11" t="n"/>
      <c r="P876" s="11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12">
        <f>IF(A876="","",IF(OR(B876="",C876="",D876="",E876="",G876="",H876="",J876="",K876=""),"必填欄位未完整",""))</f>
        <v/>
      </c>
      <c r="AB876" s="12">
        <f>IF(A876="","",A876&amp;"|"&amp;G876)</f>
        <v/>
      </c>
    </row>
    <row r="877" ht="24" customHeight="1">
      <c r="A877" s="7" t="n"/>
      <c r="B877" s="7" t="n"/>
      <c r="C877" s="7" t="n"/>
      <c r="D877" s="7" t="n"/>
      <c r="E877" s="7" t="n"/>
      <c r="F877" s="7" t="n"/>
      <c r="G877" s="7" t="n"/>
      <c r="H877" s="8" t="n"/>
      <c r="I877" s="9">
        <f>IF(H877="","",ROUND(H877/3.305785,3))</f>
        <v/>
      </c>
      <c r="J877" s="7" t="n"/>
      <c r="K877" s="7" t="n"/>
      <c r="L877" s="10">
        <f>IF(OR(J877="",K877="",K877=0),"",ROUND(J877/K877,6))</f>
        <v/>
      </c>
      <c r="M877" s="9">
        <f>IF(OR(H877="",J877="",K877="",K877=0),"",ROUND(H877*J877/K877/3.305785,3))</f>
        <v/>
      </c>
      <c r="N877" s="7" t="n"/>
      <c r="O877" s="11" t="n"/>
      <c r="P877" s="11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12">
        <f>IF(A877="","",IF(OR(B877="",C877="",D877="",E877="",G877="",H877="",J877="",K877=""),"必填欄位未完整",""))</f>
        <v/>
      </c>
      <c r="AB877" s="12">
        <f>IF(A877="","",A877&amp;"|"&amp;G877)</f>
        <v/>
      </c>
    </row>
    <row r="878" ht="24" customHeight="1">
      <c r="A878" s="7" t="n"/>
      <c r="B878" s="7" t="n"/>
      <c r="C878" s="7" t="n"/>
      <c r="D878" s="7" t="n"/>
      <c r="E878" s="7" t="n"/>
      <c r="F878" s="7" t="n"/>
      <c r="G878" s="7" t="n"/>
      <c r="H878" s="8" t="n"/>
      <c r="I878" s="9">
        <f>IF(H878="","",ROUND(H878/3.305785,3))</f>
        <v/>
      </c>
      <c r="J878" s="7" t="n"/>
      <c r="K878" s="7" t="n"/>
      <c r="L878" s="10">
        <f>IF(OR(J878="",K878="",K878=0),"",ROUND(J878/K878,6))</f>
        <v/>
      </c>
      <c r="M878" s="9">
        <f>IF(OR(H878="",J878="",K878="",K878=0),"",ROUND(H878*J878/K878/3.305785,3))</f>
        <v/>
      </c>
      <c r="N878" s="7" t="n"/>
      <c r="O878" s="11" t="n"/>
      <c r="P878" s="11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12">
        <f>IF(A878="","",IF(OR(B878="",C878="",D878="",E878="",G878="",H878="",J878="",K878=""),"必填欄位未完整",""))</f>
        <v/>
      </c>
      <c r="AB878" s="12">
        <f>IF(A878="","",A878&amp;"|"&amp;G878)</f>
        <v/>
      </c>
    </row>
    <row r="879" ht="24" customHeight="1">
      <c r="A879" s="7" t="n"/>
      <c r="B879" s="7" t="n"/>
      <c r="C879" s="7" t="n"/>
      <c r="D879" s="7" t="n"/>
      <c r="E879" s="7" t="n"/>
      <c r="F879" s="7" t="n"/>
      <c r="G879" s="7" t="n"/>
      <c r="H879" s="8" t="n"/>
      <c r="I879" s="9">
        <f>IF(H879="","",ROUND(H879/3.305785,3))</f>
        <v/>
      </c>
      <c r="J879" s="7" t="n"/>
      <c r="K879" s="7" t="n"/>
      <c r="L879" s="10">
        <f>IF(OR(J879="",K879="",K879=0),"",ROUND(J879/K879,6))</f>
        <v/>
      </c>
      <c r="M879" s="9">
        <f>IF(OR(H879="",J879="",K879="",K879=0),"",ROUND(H879*J879/K879/3.305785,3))</f>
        <v/>
      </c>
      <c r="N879" s="7" t="n"/>
      <c r="O879" s="11" t="n"/>
      <c r="P879" s="11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12">
        <f>IF(A879="","",IF(OR(B879="",C879="",D879="",E879="",G879="",H879="",J879="",K879=""),"必填欄位未完整",""))</f>
        <v/>
      </c>
      <c r="AB879" s="12">
        <f>IF(A879="","",A879&amp;"|"&amp;G879)</f>
        <v/>
      </c>
    </row>
    <row r="880" ht="24" customHeight="1">
      <c r="A880" s="7" t="n"/>
      <c r="B880" s="7" t="n"/>
      <c r="C880" s="7" t="n"/>
      <c r="D880" s="7" t="n"/>
      <c r="E880" s="7" t="n"/>
      <c r="F880" s="7" t="n"/>
      <c r="G880" s="7" t="n"/>
      <c r="H880" s="8" t="n"/>
      <c r="I880" s="9">
        <f>IF(H880="","",ROUND(H880/3.305785,3))</f>
        <v/>
      </c>
      <c r="J880" s="7" t="n"/>
      <c r="K880" s="7" t="n"/>
      <c r="L880" s="10">
        <f>IF(OR(J880="",K880="",K880=0),"",ROUND(J880/K880,6))</f>
        <v/>
      </c>
      <c r="M880" s="9">
        <f>IF(OR(H880="",J880="",K880="",K880=0),"",ROUND(H880*J880/K880/3.305785,3))</f>
        <v/>
      </c>
      <c r="N880" s="7" t="n"/>
      <c r="O880" s="11" t="n"/>
      <c r="P880" s="11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12">
        <f>IF(A880="","",IF(OR(B880="",C880="",D880="",E880="",G880="",H880="",J880="",K880=""),"必填欄位未完整",""))</f>
        <v/>
      </c>
      <c r="AB880" s="12">
        <f>IF(A880="","",A880&amp;"|"&amp;G880)</f>
        <v/>
      </c>
    </row>
    <row r="881" ht="24" customHeight="1">
      <c r="A881" s="7" t="n"/>
      <c r="B881" s="7" t="n"/>
      <c r="C881" s="7" t="n"/>
      <c r="D881" s="7" t="n"/>
      <c r="E881" s="7" t="n"/>
      <c r="F881" s="7" t="n"/>
      <c r="G881" s="7" t="n"/>
      <c r="H881" s="8" t="n"/>
      <c r="I881" s="9">
        <f>IF(H881="","",ROUND(H881/3.305785,3))</f>
        <v/>
      </c>
      <c r="J881" s="7" t="n"/>
      <c r="K881" s="7" t="n"/>
      <c r="L881" s="10">
        <f>IF(OR(J881="",K881="",K881=0),"",ROUND(J881/K881,6))</f>
        <v/>
      </c>
      <c r="M881" s="9">
        <f>IF(OR(H881="",J881="",K881="",K881=0),"",ROUND(H881*J881/K881/3.305785,3))</f>
        <v/>
      </c>
      <c r="N881" s="7" t="n"/>
      <c r="O881" s="11" t="n"/>
      <c r="P881" s="11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12">
        <f>IF(A881="","",IF(OR(B881="",C881="",D881="",E881="",G881="",H881="",J881="",K881=""),"必填欄位未完整",""))</f>
        <v/>
      </c>
      <c r="AB881" s="12">
        <f>IF(A881="","",A881&amp;"|"&amp;G881)</f>
        <v/>
      </c>
    </row>
    <row r="882" ht="24" customHeight="1">
      <c r="A882" s="7" t="n"/>
      <c r="B882" s="7" t="n"/>
      <c r="C882" s="7" t="n"/>
      <c r="D882" s="7" t="n"/>
      <c r="E882" s="7" t="n"/>
      <c r="F882" s="7" t="n"/>
      <c r="G882" s="7" t="n"/>
      <c r="H882" s="8" t="n"/>
      <c r="I882" s="9">
        <f>IF(H882="","",ROUND(H882/3.305785,3))</f>
        <v/>
      </c>
      <c r="J882" s="7" t="n"/>
      <c r="K882" s="7" t="n"/>
      <c r="L882" s="10">
        <f>IF(OR(J882="",K882="",K882=0),"",ROUND(J882/K882,6))</f>
        <v/>
      </c>
      <c r="M882" s="9">
        <f>IF(OR(H882="",J882="",K882="",K882=0),"",ROUND(H882*J882/K882/3.305785,3))</f>
        <v/>
      </c>
      <c r="N882" s="7" t="n"/>
      <c r="O882" s="11" t="n"/>
      <c r="P882" s="11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12">
        <f>IF(A882="","",IF(OR(B882="",C882="",D882="",E882="",G882="",H882="",J882="",K882=""),"必填欄位未完整",""))</f>
        <v/>
      </c>
      <c r="AB882" s="12">
        <f>IF(A882="","",A882&amp;"|"&amp;G882)</f>
        <v/>
      </c>
    </row>
    <row r="883" ht="24" customHeight="1">
      <c r="A883" s="7" t="n"/>
      <c r="B883" s="7" t="n"/>
      <c r="C883" s="7" t="n"/>
      <c r="D883" s="7" t="n"/>
      <c r="E883" s="7" t="n"/>
      <c r="F883" s="7" t="n"/>
      <c r="G883" s="7" t="n"/>
      <c r="H883" s="8" t="n"/>
      <c r="I883" s="9">
        <f>IF(H883="","",ROUND(H883/3.305785,3))</f>
        <v/>
      </c>
      <c r="J883" s="7" t="n"/>
      <c r="K883" s="7" t="n"/>
      <c r="L883" s="10">
        <f>IF(OR(J883="",K883="",K883=0),"",ROUND(J883/K883,6))</f>
        <v/>
      </c>
      <c r="M883" s="9">
        <f>IF(OR(H883="",J883="",K883="",K883=0),"",ROUND(H883*J883/K883/3.305785,3))</f>
        <v/>
      </c>
      <c r="N883" s="7" t="n"/>
      <c r="O883" s="11" t="n"/>
      <c r="P883" s="11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12">
        <f>IF(A883="","",IF(OR(B883="",C883="",D883="",E883="",G883="",H883="",J883="",K883=""),"必填欄位未完整",""))</f>
        <v/>
      </c>
      <c r="AB883" s="12">
        <f>IF(A883="","",A883&amp;"|"&amp;G883)</f>
        <v/>
      </c>
    </row>
    <row r="884" ht="24" customHeight="1">
      <c r="A884" s="7" t="n"/>
      <c r="B884" s="7" t="n"/>
      <c r="C884" s="7" t="n"/>
      <c r="D884" s="7" t="n"/>
      <c r="E884" s="7" t="n"/>
      <c r="F884" s="7" t="n"/>
      <c r="G884" s="7" t="n"/>
      <c r="H884" s="8" t="n"/>
      <c r="I884" s="9">
        <f>IF(H884="","",ROUND(H884/3.305785,3))</f>
        <v/>
      </c>
      <c r="J884" s="7" t="n"/>
      <c r="K884" s="7" t="n"/>
      <c r="L884" s="10">
        <f>IF(OR(J884="",K884="",K884=0),"",ROUND(J884/K884,6))</f>
        <v/>
      </c>
      <c r="M884" s="9">
        <f>IF(OR(H884="",J884="",K884="",K884=0),"",ROUND(H884*J884/K884/3.305785,3))</f>
        <v/>
      </c>
      <c r="N884" s="7" t="n"/>
      <c r="O884" s="11" t="n"/>
      <c r="P884" s="11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12">
        <f>IF(A884="","",IF(OR(B884="",C884="",D884="",E884="",G884="",H884="",J884="",K884=""),"必填欄位未完整",""))</f>
        <v/>
      </c>
      <c r="AB884" s="12">
        <f>IF(A884="","",A884&amp;"|"&amp;G884)</f>
        <v/>
      </c>
    </row>
    <row r="885" ht="24" customHeight="1">
      <c r="A885" s="7" t="n"/>
      <c r="B885" s="7" t="n"/>
      <c r="C885" s="7" t="n"/>
      <c r="D885" s="7" t="n"/>
      <c r="E885" s="7" t="n"/>
      <c r="F885" s="7" t="n"/>
      <c r="G885" s="7" t="n"/>
      <c r="H885" s="8" t="n"/>
      <c r="I885" s="9">
        <f>IF(H885="","",ROUND(H885/3.305785,3))</f>
        <v/>
      </c>
      <c r="J885" s="7" t="n"/>
      <c r="K885" s="7" t="n"/>
      <c r="L885" s="10">
        <f>IF(OR(J885="",K885="",K885=0),"",ROUND(J885/K885,6))</f>
        <v/>
      </c>
      <c r="M885" s="9">
        <f>IF(OR(H885="",J885="",K885="",K885=0),"",ROUND(H885*J885/K885/3.305785,3))</f>
        <v/>
      </c>
      <c r="N885" s="7" t="n"/>
      <c r="O885" s="11" t="n"/>
      <c r="P885" s="11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12">
        <f>IF(A885="","",IF(OR(B885="",C885="",D885="",E885="",G885="",H885="",J885="",K885=""),"必填欄位未完整",""))</f>
        <v/>
      </c>
      <c r="AB885" s="12">
        <f>IF(A885="","",A885&amp;"|"&amp;G885)</f>
        <v/>
      </c>
    </row>
    <row r="886" ht="24" customHeight="1">
      <c r="A886" s="7" t="n"/>
      <c r="B886" s="7" t="n"/>
      <c r="C886" s="7" t="n"/>
      <c r="D886" s="7" t="n"/>
      <c r="E886" s="7" t="n"/>
      <c r="F886" s="7" t="n"/>
      <c r="G886" s="7" t="n"/>
      <c r="H886" s="8" t="n"/>
      <c r="I886" s="9">
        <f>IF(H886="","",ROUND(H886/3.305785,3))</f>
        <v/>
      </c>
      <c r="J886" s="7" t="n"/>
      <c r="K886" s="7" t="n"/>
      <c r="L886" s="10">
        <f>IF(OR(J886="",K886="",K886=0),"",ROUND(J886/K886,6))</f>
        <v/>
      </c>
      <c r="M886" s="9">
        <f>IF(OR(H886="",J886="",K886="",K886=0),"",ROUND(H886*J886/K886/3.305785,3))</f>
        <v/>
      </c>
      <c r="N886" s="7" t="n"/>
      <c r="O886" s="11" t="n"/>
      <c r="P886" s="11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12">
        <f>IF(A886="","",IF(OR(B886="",C886="",D886="",E886="",G886="",H886="",J886="",K886=""),"必填欄位未完整",""))</f>
        <v/>
      </c>
      <c r="AB886" s="12">
        <f>IF(A886="","",A886&amp;"|"&amp;G886)</f>
        <v/>
      </c>
    </row>
    <row r="887" ht="24" customHeight="1">
      <c r="A887" s="7" t="n"/>
      <c r="B887" s="7" t="n"/>
      <c r="C887" s="7" t="n"/>
      <c r="D887" s="7" t="n"/>
      <c r="E887" s="7" t="n"/>
      <c r="F887" s="7" t="n"/>
      <c r="G887" s="7" t="n"/>
      <c r="H887" s="8" t="n"/>
      <c r="I887" s="9">
        <f>IF(H887="","",ROUND(H887/3.305785,3))</f>
        <v/>
      </c>
      <c r="J887" s="7" t="n"/>
      <c r="K887" s="7" t="n"/>
      <c r="L887" s="10">
        <f>IF(OR(J887="",K887="",K887=0),"",ROUND(J887/K887,6))</f>
        <v/>
      </c>
      <c r="M887" s="9">
        <f>IF(OR(H887="",J887="",K887="",K887=0),"",ROUND(H887*J887/K887/3.305785,3))</f>
        <v/>
      </c>
      <c r="N887" s="7" t="n"/>
      <c r="O887" s="11" t="n"/>
      <c r="P887" s="11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12">
        <f>IF(A887="","",IF(OR(B887="",C887="",D887="",E887="",G887="",H887="",J887="",K887=""),"必填欄位未完整",""))</f>
        <v/>
      </c>
      <c r="AB887" s="12">
        <f>IF(A887="","",A887&amp;"|"&amp;G887)</f>
        <v/>
      </c>
    </row>
    <row r="888" ht="24" customHeight="1">
      <c r="A888" s="7" t="n"/>
      <c r="B888" s="7" t="n"/>
      <c r="C888" s="7" t="n"/>
      <c r="D888" s="7" t="n"/>
      <c r="E888" s="7" t="n"/>
      <c r="F888" s="7" t="n"/>
      <c r="G888" s="7" t="n"/>
      <c r="H888" s="8" t="n"/>
      <c r="I888" s="9">
        <f>IF(H888="","",ROUND(H888/3.305785,3))</f>
        <v/>
      </c>
      <c r="J888" s="7" t="n"/>
      <c r="K888" s="7" t="n"/>
      <c r="L888" s="10">
        <f>IF(OR(J888="",K888="",K888=0),"",ROUND(J888/K888,6))</f>
        <v/>
      </c>
      <c r="M888" s="9">
        <f>IF(OR(H888="",J888="",K888="",K888=0),"",ROUND(H888*J888/K888/3.305785,3))</f>
        <v/>
      </c>
      <c r="N888" s="7" t="n"/>
      <c r="O888" s="11" t="n"/>
      <c r="P888" s="11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12">
        <f>IF(A888="","",IF(OR(B888="",C888="",D888="",E888="",G888="",H888="",J888="",K888=""),"必填欄位未完整",""))</f>
        <v/>
      </c>
      <c r="AB888" s="12">
        <f>IF(A888="","",A888&amp;"|"&amp;G888)</f>
        <v/>
      </c>
    </row>
    <row r="889" ht="24" customHeight="1">
      <c r="A889" s="7" t="n"/>
      <c r="B889" s="7" t="n"/>
      <c r="C889" s="7" t="n"/>
      <c r="D889" s="7" t="n"/>
      <c r="E889" s="7" t="n"/>
      <c r="F889" s="7" t="n"/>
      <c r="G889" s="7" t="n"/>
      <c r="H889" s="8" t="n"/>
      <c r="I889" s="9">
        <f>IF(H889="","",ROUND(H889/3.305785,3))</f>
        <v/>
      </c>
      <c r="J889" s="7" t="n"/>
      <c r="K889" s="7" t="n"/>
      <c r="L889" s="10">
        <f>IF(OR(J889="",K889="",K889=0),"",ROUND(J889/K889,6))</f>
        <v/>
      </c>
      <c r="M889" s="9">
        <f>IF(OR(H889="",J889="",K889="",K889=0),"",ROUND(H889*J889/K889/3.305785,3))</f>
        <v/>
      </c>
      <c r="N889" s="7" t="n"/>
      <c r="O889" s="11" t="n"/>
      <c r="P889" s="11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12">
        <f>IF(A889="","",IF(OR(B889="",C889="",D889="",E889="",G889="",H889="",J889="",K889=""),"必填欄位未完整",""))</f>
        <v/>
      </c>
      <c r="AB889" s="12">
        <f>IF(A889="","",A889&amp;"|"&amp;G889)</f>
        <v/>
      </c>
    </row>
    <row r="890" ht="24" customHeight="1">
      <c r="A890" s="7" t="n"/>
      <c r="B890" s="7" t="n"/>
      <c r="C890" s="7" t="n"/>
      <c r="D890" s="7" t="n"/>
      <c r="E890" s="7" t="n"/>
      <c r="F890" s="7" t="n"/>
      <c r="G890" s="7" t="n"/>
      <c r="H890" s="8" t="n"/>
      <c r="I890" s="9">
        <f>IF(H890="","",ROUND(H890/3.305785,3))</f>
        <v/>
      </c>
      <c r="J890" s="7" t="n"/>
      <c r="K890" s="7" t="n"/>
      <c r="L890" s="10">
        <f>IF(OR(J890="",K890="",K890=0),"",ROUND(J890/K890,6))</f>
        <v/>
      </c>
      <c r="M890" s="9">
        <f>IF(OR(H890="",J890="",K890="",K890=0),"",ROUND(H890*J890/K890/3.305785,3))</f>
        <v/>
      </c>
      <c r="N890" s="7" t="n"/>
      <c r="O890" s="11" t="n"/>
      <c r="P890" s="11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12">
        <f>IF(A890="","",IF(OR(B890="",C890="",D890="",E890="",G890="",H890="",J890="",K890=""),"必填欄位未完整",""))</f>
        <v/>
      </c>
      <c r="AB890" s="12">
        <f>IF(A890="","",A890&amp;"|"&amp;G890)</f>
        <v/>
      </c>
    </row>
    <row r="891" ht="24" customHeight="1">
      <c r="A891" s="7" t="n"/>
      <c r="B891" s="7" t="n"/>
      <c r="C891" s="7" t="n"/>
      <c r="D891" s="7" t="n"/>
      <c r="E891" s="7" t="n"/>
      <c r="F891" s="7" t="n"/>
      <c r="G891" s="7" t="n"/>
      <c r="H891" s="8" t="n"/>
      <c r="I891" s="9">
        <f>IF(H891="","",ROUND(H891/3.305785,3))</f>
        <v/>
      </c>
      <c r="J891" s="7" t="n"/>
      <c r="K891" s="7" t="n"/>
      <c r="L891" s="10">
        <f>IF(OR(J891="",K891="",K891=0),"",ROUND(J891/K891,6))</f>
        <v/>
      </c>
      <c r="M891" s="9">
        <f>IF(OR(H891="",J891="",K891="",K891=0),"",ROUND(H891*J891/K891/3.305785,3))</f>
        <v/>
      </c>
      <c r="N891" s="7" t="n"/>
      <c r="O891" s="11" t="n"/>
      <c r="P891" s="11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12">
        <f>IF(A891="","",IF(OR(B891="",C891="",D891="",E891="",G891="",H891="",J891="",K891=""),"必填欄位未完整",""))</f>
        <v/>
      </c>
      <c r="AB891" s="12">
        <f>IF(A891="","",A891&amp;"|"&amp;G891)</f>
        <v/>
      </c>
    </row>
    <row r="892" ht="24" customHeight="1">
      <c r="A892" s="7" t="n"/>
      <c r="B892" s="7" t="n"/>
      <c r="C892" s="7" t="n"/>
      <c r="D892" s="7" t="n"/>
      <c r="E892" s="7" t="n"/>
      <c r="F892" s="7" t="n"/>
      <c r="G892" s="7" t="n"/>
      <c r="H892" s="8" t="n"/>
      <c r="I892" s="9">
        <f>IF(H892="","",ROUND(H892/3.305785,3))</f>
        <v/>
      </c>
      <c r="J892" s="7" t="n"/>
      <c r="K892" s="7" t="n"/>
      <c r="L892" s="10">
        <f>IF(OR(J892="",K892="",K892=0),"",ROUND(J892/K892,6))</f>
        <v/>
      </c>
      <c r="M892" s="9">
        <f>IF(OR(H892="",J892="",K892="",K892=0),"",ROUND(H892*J892/K892/3.305785,3))</f>
        <v/>
      </c>
      <c r="N892" s="7" t="n"/>
      <c r="O892" s="11" t="n"/>
      <c r="P892" s="11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12">
        <f>IF(A892="","",IF(OR(B892="",C892="",D892="",E892="",G892="",H892="",J892="",K892=""),"必填欄位未完整",""))</f>
        <v/>
      </c>
      <c r="AB892" s="12">
        <f>IF(A892="","",A892&amp;"|"&amp;G892)</f>
        <v/>
      </c>
    </row>
    <row r="893" ht="24" customHeight="1">
      <c r="A893" s="7" t="n"/>
      <c r="B893" s="7" t="n"/>
      <c r="C893" s="7" t="n"/>
      <c r="D893" s="7" t="n"/>
      <c r="E893" s="7" t="n"/>
      <c r="F893" s="7" t="n"/>
      <c r="G893" s="7" t="n"/>
      <c r="H893" s="8" t="n"/>
      <c r="I893" s="9">
        <f>IF(H893="","",ROUND(H893/3.305785,3))</f>
        <v/>
      </c>
      <c r="J893" s="7" t="n"/>
      <c r="K893" s="7" t="n"/>
      <c r="L893" s="10">
        <f>IF(OR(J893="",K893="",K893=0),"",ROUND(J893/K893,6))</f>
        <v/>
      </c>
      <c r="M893" s="9">
        <f>IF(OR(H893="",J893="",K893="",K893=0),"",ROUND(H893*J893/K893/3.305785,3))</f>
        <v/>
      </c>
      <c r="N893" s="7" t="n"/>
      <c r="O893" s="11" t="n"/>
      <c r="P893" s="11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12">
        <f>IF(A893="","",IF(OR(B893="",C893="",D893="",E893="",G893="",H893="",J893="",K893=""),"必填欄位未完整",""))</f>
        <v/>
      </c>
      <c r="AB893" s="12">
        <f>IF(A893="","",A893&amp;"|"&amp;G893)</f>
        <v/>
      </c>
    </row>
    <row r="894" ht="24" customHeight="1">
      <c r="A894" s="7" t="n"/>
      <c r="B894" s="7" t="n"/>
      <c r="C894" s="7" t="n"/>
      <c r="D894" s="7" t="n"/>
      <c r="E894" s="7" t="n"/>
      <c r="F894" s="7" t="n"/>
      <c r="G894" s="7" t="n"/>
      <c r="H894" s="8" t="n"/>
      <c r="I894" s="9">
        <f>IF(H894="","",ROUND(H894/3.305785,3))</f>
        <v/>
      </c>
      <c r="J894" s="7" t="n"/>
      <c r="K894" s="7" t="n"/>
      <c r="L894" s="10">
        <f>IF(OR(J894="",K894="",K894=0),"",ROUND(J894/K894,6))</f>
        <v/>
      </c>
      <c r="M894" s="9">
        <f>IF(OR(H894="",J894="",K894="",K894=0),"",ROUND(H894*J894/K894/3.305785,3))</f>
        <v/>
      </c>
      <c r="N894" s="7" t="n"/>
      <c r="O894" s="11" t="n"/>
      <c r="P894" s="11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12">
        <f>IF(A894="","",IF(OR(B894="",C894="",D894="",E894="",G894="",H894="",J894="",K894=""),"必填欄位未完整",""))</f>
        <v/>
      </c>
      <c r="AB894" s="12">
        <f>IF(A894="","",A894&amp;"|"&amp;G894)</f>
        <v/>
      </c>
    </row>
    <row r="895" ht="24" customHeight="1">
      <c r="A895" s="7" t="n"/>
      <c r="B895" s="7" t="n"/>
      <c r="C895" s="7" t="n"/>
      <c r="D895" s="7" t="n"/>
      <c r="E895" s="7" t="n"/>
      <c r="F895" s="7" t="n"/>
      <c r="G895" s="7" t="n"/>
      <c r="H895" s="8" t="n"/>
      <c r="I895" s="9">
        <f>IF(H895="","",ROUND(H895/3.305785,3))</f>
        <v/>
      </c>
      <c r="J895" s="7" t="n"/>
      <c r="K895" s="7" t="n"/>
      <c r="L895" s="10">
        <f>IF(OR(J895="",K895="",K895=0),"",ROUND(J895/K895,6))</f>
        <v/>
      </c>
      <c r="M895" s="9">
        <f>IF(OR(H895="",J895="",K895="",K895=0),"",ROUND(H895*J895/K895/3.305785,3))</f>
        <v/>
      </c>
      <c r="N895" s="7" t="n"/>
      <c r="O895" s="11" t="n"/>
      <c r="P895" s="11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12">
        <f>IF(A895="","",IF(OR(B895="",C895="",D895="",E895="",G895="",H895="",J895="",K895=""),"必填欄位未完整",""))</f>
        <v/>
      </c>
      <c r="AB895" s="12">
        <f>IF(A895="","",A895&amp;"|"&amp;G895)</f>
        <v/>
      </c>
    </row>
    <row r="896" ht="24" customHeight="1">
      <c r="A896" s="7" t="n"/>
      <c r="B896" s="7" t="n"/>
      <c r="C896" s="7" t="n"/>
      <c r="D896" s="7" t="n"/>
      <c r="E896" s="7" t="n"/>
      <c r="F896" s="7" t="n"/>
      <c r="G896" s="7" t="n"/>
      <c r="H896" s="8" t="n"/>
      <c r="I896" s="9">
        <f>IF(H896="","",ROUND(H896/3.305785,3))</f>
        <v/>
      </c>
      <c r="J896" s="7" t="n"/>
      <c r="K896" s="7" t="n"/>
      <c r="L896" s="10">
        <f>IF(OR(J896="",K896="",K896=0),"",ROUND(J896/K896,6))</f>
        <v/>
      </c>
      <c r="M896" s="9">
        <f>IF(OR(H896="",J896="",K896="",K896=0),"",ROUND(H896*J896/K896/3.305785,3))</f>
        <v/>
      </c>
      <c r="N896" s="7" t="n"/>
      <c r="O896" s="11" t="n"/>
      <c r="P896" s="11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12">
        <f>IF(A896="","",IF(OR(B896="",C896="",D896="",E896="",G896="",H896="",J896="",K896=""),"必填欄位未完整",""))</f>
        <v/>
      </c>
      <c r="AB896" s="12">
        <f>IF(A896="","",A896&amp;"|"&amp;G896)</f>
        <v/>
      </c>
    </row>
    <row r="897" ht="24" customHeight="1">
      <c r="A897" s="7" t="n"/>
      <c r="B897" s="7" t="n"/>
      <c r="C897" s="7" t="n"/>
      <c r="D897" s="7" t="n"/>
      <c r="E897" s="7" t="n"/>
      <c r="F897" s="7" t="n"/>
      <c r="G897" s="7" t="n"/>
      <c r="H897" s="8" t="n"/>
      <c r="I897" s="9">
        <f>IF(H897="","",ROUND(H897/3.305785,3))</f>
        <v/>
      </c>
      <c r="J897" s="7" t="n"/>
      <c r="K897" s="7" t="n"/>
      <c r="L897" s="10">
        <f>IF(OR(J897="",K897="",K897=0),"",ROUND(J897/K897,6))</f>
        <v/>
      </c>
      <c r="M897" s="9">
        <f>IF(OR(H897="",J897="",K897="",K897=0),"",ROUND(H897*J897/K897/3.305785,3))</f>
        <v/>
      </c>
      <c r="N897" s="7" t="n"/>
      <c r="O897" s="11" t="n"/>
      <c r="P897" s="11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12">
        <f>IF(A897="","",IF(OR(B897="",C897="",D897="",E897="",G897="",H897="",J897="",K897=""),"必填欄位未完整",""))</f>
        <v/>
      </c>
      <c r="AB897" s="12">
        <f>IF(A897="","",A897&amp;"|"&amp;G897)</f>
        <v/>
      </c>
    </row>
    <row r="898" ht="24" customHeight="1">
      <c r="A898" s="7" t="n"/>
      <c r="B898" s="7" t="n"/>
      <c r="C898" s="7" t="n"/>
      <c r="D898" s="7" t="n"/>
      <c r="E898" s="7" t="n"/>
      <c r="F898" s="7" t="n"/>
      <c r="G898" s="7" t="n"/>
      <c r="H898" s="8" t="n"/>
      <c r="I898" s="9">
        <f>IF(H898="","",ROUND(H898/3.305785,3))</f>
        <v/>
      </c>
      <c r="J898" s="7" t="n"/>
      <c r="K898" s="7" t="n"/>
      <c r="L898" s="10">
        <f>IF(OR(J898="",K898="",K898=0),"",ROUND(J898/K898,6))</f>
        <v/>
      </c>
      <c r="M898" s="9">
        <f>IF(OR(H898="",J898="",K898="",K898=0),"",ROUND(H898*J898/K898/3.305785,3))</f>
        <v/>
      </c>
      <c r="N898" s="7" t="n"/>
      <c r="O898" s="11" t="n"/>
      <c r="P898" s="11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12">
        <f>IF(A898="","",IF(OR(B898="",C898="",D898="",E898="",G898="",H898="",J898="",K898=""),"必填欄位未完整",""))</f>
        <v/>
      </c>
      <c r="AB898" s="12">
        <f>IF(A898="","",A898&amp;"|"&amp;G898)</f>
        <v/>
      </c>
    </row>
    <row r="899" ht="24" customHeight="1">
      <c r="A899" s="7" t="n"/>
      <c r="B899" s="7" t="n"/>
      <c r="C899" s="7" t="n"/>
      <c r="D899" s="7" t="n"/>
      <c r="E899" s="7" t="n"/>
      <c r="F899" s="7" t="n"/>
      <c r="G899" s="7" t="n"/>
      <c r="H899" s="8" t="n"/>
      <c r="I899" s="9">
        <f>IF(H899="","",ROUND(H899/3.305785,3))</f>
        <v/>
      </c>
      <c r="J899" s="7" t="n"/>
      <c r="K899" s="7" t="n"/>
      <c r="L899" s="10">
        <f>IF(OR(J899="",K899="",K899=0),"",ROUND(J899/K899,6))</f>
        <v/>
      </c>
      <c r="M899" s="9">
        <f>IF(OR(H899="",J899="",K899="",K899=0),"",ROUND(H899*J899/K899/3.305785,3))</f>
        <v/>
      </c>
      <c r="N899" s="7" t="n"/>
      <c r="O899" s="11" t="n"/>
      <c r="P899" s="11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12">
        <f>IF(A899="","",IF(OR(B899="",C899="",D899="",E899="",G899="",H899="",J899="",K899=""),"必填欄位未完整",""))</f>
        <v/>
      </c>
      <c r="AB899" s="12">
        <f>IF(A899="","",A899&amp;"|"&amp;G899)</f>
        <v/>
      </c>
    </row>
    <row r="900" ht="24" customHeight="1">
      <c r="A900" s="7" t="n"/>
      <c r="B900" s="7" t="n"/>
      <c r="C900" s="7" t="n"/>
      <c r="D900" s="7" t="n"/>
      <c r="E900" s="7" t="n"/>
      <c r="F900" s="7" t="n"/>
      <c r="G900" s="7" t="n"/>
      <c r="H900" s="8" t="n"/>
      <c r="I900" s="9">
        <f>IF(H900="","",ROUND(H900/3.305785,3))</f>
        <v/>
      </c>
      <c r="J900" s="7" t="n"/>
      <c r="K900" s="7" t="n"/>
      <c r="L900" s="10">
        <f>IF(OR(J900="",K900="",K900=0),"",ROUND(J900/K900,6))</f>
        <v/>
      </c>
      <c r="M900" s="9">
        <f>IF(OR(H900="",J900="",K900="",K900=0),"",ROUND(H900*J900/K900/3.305785,3))</f>
        <v/>
      </c>
      <c r="N900" s="7" t="n"/>
      <c r="O900" s="11" t="n"/>
      <c r="P900" s="11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12">
        <f>IF(A900="","",IF(OR(B900="",C900="",D900="",E900="",G900="",H900="",J900="",K900=""),"必填欄位未完整",""))</f>
        <v/>
      </c>
      <c r="AB900" s="12">
        <f>IF(A900="","",A900&amp;"|"&amp;G900)</f>
        <v/>
      </c>
    </row>
    <row r="901" ht="24" customHeight="1">
      <c r="A901" s="7" t="n"/>
      <c r="B901" s="7" t="n"/>
      <c r="C901" s="7" t="n"/>
      <c r="D901" s="7" t="n"/>
      <c r="E901" s="7" t="n"/>
      <c r="F901" s="7" t="n"/>
      <c r="G901" s="7" t="n"/>
      <c r="H901" s="8" t="n"/>
      <c r="I901" s="9">
        <f>IF(H901="","",ROUND(H901/3.305785,3))</f>
        <v/>
      </c>
      <c r="J901" s="7" t="n"/>
      <c r="K901" s="7" t="n"/>
      <c r="L901" s="10">
        <f>IF(OR(J901="",K901="",K901=0),"",ROUND(J901/K901,6))</f>
        <v/>
      </c>
      <c r="M901" s="9">
        <f>IF(OR(H901="",J901="",K901="",K901=0),"",ROUND(H901*J901/K901/3.305785,3))</f>
        <v/>
      </c>
      <c r="N901" s="7" t="n"/>
      <c r="O901" s="11" t="n"/>
      <c r="P901" s="11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12">
        <f>IF(A901="","",IF(OR(B901="",C901="",D901="",E901="",G901="",H901="",J901="",K901=""),"必填欄位未完整",""))</f>
        <v/>
      </c>
      <c r="AB901" s="12">
        <f>IF(A901="","",A901&amp;"|"&amp;G901)</f>
        <v/>
      </c>
    </row>
    <row r="902" ht="24" customHeight="1">
      <c r="A902" s="7" t="n"/>
      <c r="B902" s="7" t="n"/>
      <c r="C902" s="7" t="n"/>
      <c r="D902" s="7" t="n"/>
      <c r="E902" s="7" t="n"/>
      <c r="F902" s="7" t="n"/>
      <c r="G902" s="7" t="n"/>
      <c r="H902" s="8" t="n"/>
      <c r="I902" s="9">
        <f>IF(H902="","",ROUND(H902/3.305785,3))</f>
        <v/>
      </c>
      <c r="J902" s="7" t="n"/>
      <c r="K902" s="7" t="n"/>
      <c r="L902" s="10">
        <f>IF(OR(J902="",K902="",K902=0),"",ROUND(J902/K902,6))</f>
        <v/>
      </c>
      <c r="M902" s="9">
        <f>IF(OR(H902="",J902="",K902="",K902=0),"",ROUND(H902*J902/K902/3.305785,3))</f>
        <v/>
      </c>
      <c r="N902" s="7" t="n"/>
      <c r="O902" s="11" t="n"/>
      <c r="P902" s="11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12">
        <f>IF(A902="","",IF(OR(B902="",C902="",D902="",E902="",G902="",H902="",J902="",K902=""),"必填欄位未完整",""))</f>
        <v/>
      </c>
      <c r="AB902" s="12">
        <f>IF(A902="","",A902&amp;"|"&amp;G902)</f>
        <v/>
      </c>
    </row>
    <row r="903" ht="24" customHeight="1">
      <c r="A903" s="7" t="n"/>
      <c r="B903" s="7" t="n"/>
      <c r="C903" s="7" t="n"/>
      <c r="D903" s="7" t="n"/>
      <c r="E903" s="7" t="n"/>
      <c r="F903" s="7" t="n"/>
      <c r="G903" s="7" t="n"/>
      <c r="H903" s="8" t="n"/>
      <c r="I903" s="9">
        <f>IF(H903="","",ROUND(H903/3.305785,3))</f>
        <v/>
      </c>
      <c r="J903" s="7" t="n"/>
      <c r="K903" s="7" t="n"/>
      <c r="L903" s="10">
        <f>IF(OR(J903="",K903="",K903=0),"",ROUND(J903/K903,6))</f>
        <v/>
      </c>
      <c r="M903" s="9">
        <f>IF(OR(H903="",J903="",K903="",K903=0),"",ROUND(H903*J903/K903/3.305785,3))</f>
        <v/>
      </c>
      <c r="N903" s="7" t="n"/>
      <c r="O903" s="11" t="n"/>
      <c r="P903" s="11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12">
        <f>IF(A903="","",IF(OR(B903="",C903="",D903="",E903="",G903="",H903="",J903="",K903=""),"必填欄位未完整",""))</f>
        <v/>
      </c>
      <c r="AB903" s="12">
        <f>IF(A903="","",A903&amp;"|"&amp;G903)</f>
        <v/>
      </c>
    </row>
    <row r="904" ht="24" customHeight="1">
      <c r="A904" s="7" t="n"/>
      <c r="B904" s="7" t="n"/>
      <c r="C904" s="7" t="n"/>
      <c r="D904" s="7" t="n"/>
      <c r="E904" s="7" t="n"/>
      <c r="F904" s="7" t="n"/>
      <c r="G904" s="7" t="n"/>
      <c r="H904" s="8" t="n"/>
      <c r="I904" s="9">
        <f>IF(H904="","",ROUND(H904/3.305785,3))</f>
        <v/>
      </c>
      <c r="J904" s="7" t="n"/>
      <c r="K904" s="7" t="n"/>
      <c r="L904" s="10">
        <f>IF(OR(J904="",K904="",K904=0),"",ROUND(J904/K904,6))</f>
        <v/>
      </c>
      <c r="M904" s="9">
        <f>IF(OR(H904="",J904="",K904="",K904=0),"",ROUND(H904*J904/K904/3.305785,3))</f>
        <v/>
      </c>
      <c r="N904" s="7" t="n"/>
      <c r="O904" s="11" t="n"/>
      <c r="P904" s="11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12">
        <f>IF(A904="","",IF(OR(B904="",C904="",D904="",E904="",G904="",H904="",J904="",K904=""),"必填欄位未完整",""))</f>
        <v/>
      </c>
      <c r="AB904" s="12">
        <f>IF(A904="","",A904&amp;"|"&amp;G904)</f>
        <v/>
      </c>
    </row>
    <row r="905" ht="24" customHeight="1">
      <c r="A905" s="7" t="n"/>
      <c r="B905" s="7" t="n"/>
      <c r="C905" s="7" t="n"/>
      <c r="D905" s="7" t="n"/>
      <c r="E905" s="7" t="n"/>
      <c r="F905" s="7" t="n"/>
      <c r="G905" s="7" t="n"/>
      <c r="H905" s="8" t="n"/>
      <c r="I905" s="9">
        <f>IF(H905="","",ROUND(H905/3.305785,3))</f>
        <v/>
      </c>
      <c r="J905" s="7" t="n"/>
      <c r="K905" s="7" t="n"/>
      <c r="L905" s="10">
        <f>IF(OR(J905="",K905="",K905=0),"",ROUND(J905/K905,6))</f>
        <v/>
      </c>
      <c r="M905" s="9">
        <f>IF(OR(H905="",J905="",K905="",K905=0),"",ROUND(H905*J905/K905/3.305785,3))</f>
        <v/>
      </c>
      <c r="N905" s="7" t="n"/>
      <c r="O905" s="11" t="n"/>
      <c r="P905" s="11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12">
        <f>IF(A905="","",IF(OR(B905="",C905="",D905="",E905="",G905="",H905="",J905="",K905=""),"必填欄位未完整",""))</f>
        <v/>
      </c>
      <c r="AB905" s="12">
        <f>IF(A905="","",A905&amp;"|"&amp;G905)</f>
        <v/>
      </c>
    </row>
    <row r="906" ht="24" customHeight="1">
      <c r="A906" s="7" t="n"/>
      <c r="B906" s="7" t="n"/>
      <c r="C906" s="7" t="n"/>
      <c r="D906" s="7" t="n"/>
      <c r="E906" s="7" t="n"/>
      <c r="F906" s="7" t="n"/>
      <c r="G906" s="7" t="n"/>
      <c r="H906" s="8" t="n"/>
      <c r="I906" s="9">
        <f>IF(H906="","",ROUND(H906/3.305785,3))</f>
        <v/>
      </c>
      <c r="J906" s="7" t="n"/>
      <c r="K906" s="7" t="n"/>
      <c r="L906" s="10">
        <f>IF(OR(J906="",K906="",K906=0),"",ROUND(J906/K906,6))</f>
        <v/>
      </c>
      <c r="M906" s="9">
        <f>IF(OR(H906="",J906="",K906="",K906=0),"",ROUND(H906*J906/K906/3.305785,3))</f>
        <v/>
      </c>
      <c r="N906" s="7" t="n"/>
      <c r="O906" s="11" t="n"/>
      <c r="P906" s="11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12">
        <f>IF(A906="","",IF(OR(B906="",C906="",D906="",E906="",G906="",H906="",J906="",K906=""),"必填欄位未完整",""))</f>
        <v/>
      </c>
      <c r="AB906" s="12">
        <f>IF(A906="","",A906&amp;"|"&amp;G906)</f>
        <v/>
      </c>
    </row>
    <row r="907" ht="24" customHeight="1">
      <c r="A907" s="7" t="n"/>
      <c r="B907" s="7" t="n"/>
      <c r="C907" s="7" t="n"/>
      <c r="D907" s="7" t="n"/>
      <c r="E907" s="7" t="n"/>
      <c r="F907" s="7" t="n"/>
      <c r="G907" s="7" t="n"/>
      <c r="H907" s="8" t="n"/>
      <c r="I907" s="9">
        <f>IF(H907="","",ROUND(H907/3.305785,3))</f>
        <v/>
      </c>
      <c r="J907" s="7" t="n"/>
      <c r="K907" s="7" t="n"/>
      <c r="L907" s="10">
        <f>IF(OR(J907="",K907="",K907=0),"",ROUND(J907/K907,6))</f>
        <v/>
      </c>
      <c r="M907" s="9">
        <f>IF(OR(H907="",J907="",K907="",K907=0),"",ROUND(H907*J907/K907/3.305785,3))</f>
        <v/>
      </c>
      <c r="N907" s="7" t="n"/>
      <c r="O907" s="11" t="n"/>
      <c r="P907" s="11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12">
        <f>IF(A907="","",IF(OR(B907="",C907="",D907="",E907="",G907="",H907="",J907="",K907=""),"必填欄位未完整",""))</f>
        <v/>
      </c>
      <c r="AB907" s="12">
        <f>IF(A907="","",A907&amp;"|"&amp;G907)</f>
        <v/>
      </c>
    </row>
    <row r="908" ht="24" customHeight="1">
      <c r="A908" s="7" t="n"/>
      <c r="B908" s="7" t="n"/>
      <c r="C908" s="7" t="n"/>
      <c r="D908" s="7" t="n"/>
      <c r="E908" s="7" t="n"/>
      <c r="F908" s="7" t="n"/>
      <c r="G908" s="7" t="n"/>
      <c r="H908" s="8" t="n"/>
      <c r="I908" s="9">
        <f>IF(H908="","",ROUND(H908/3.305785,3))</f>
        <v/>
      </c>
      <c r="J908" s="7" t="n"/>
      <c r="K908" s="7" t="n"/>
      <c r="L908" s="10">
        <f>IF(OR(J908="",K908="",K908=0),"",ROUND(J908/K908,6))</f>
        <v/>
      </c>
      <c r="M908" s="9">
        <f>IF(OR(H908="",J908="",K908="",K908=0),"",ROUND(H908*J908/K908/3.305785,3))</f>
        <v/>
      </c>
      <c r="N908" s="7" t="n"/>
      <c r="O908" s="11" t="n"/>
      <c r="P908" s="11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12">
        <f>IF(A908="","",IF(OR(B908="",C908="",D908="",E908="",G908="",H908="",J908="",K908=""),"必填欄位未完整",""))</f>
        <v/>
      </c>
      <c r="AB908" s="12">
        <f>IF(A908="","",A908&amp;"|"&amp;G908)</f>
        <v/>
      </c>
    </row>
    <row r="909" ht="24" customHeight="1">
      <c r="A909" s="7" t="n"/>
      <c r="B909" s="7" t="n"/>
      <c r="C909" s="7" t="n"/>
      <c r="D909" s="7" t="n"/>
      <c r="E909" s="7" t="n"/>
      <c r="F909" s="7" t="n"/>
      <c r="G909" s="7" t="n"/>
      <c r="H909" s="8" t="n"/>
      <c r="I909" s="9">
        <f>IF(H909="","",ROUND(H909/3.305785,3))</f>
        <v/>
      </c>
      <c r="J909" s="7" t="n"/>
      <c r="K909" s="7" t="n"/>
      <c r="L909" s="10">
        <f>IF(OR(J909="",K909="",K909=0),"",ROUND(J909/K909,6))</f>
        <v/>
      </c>
      <c r="M909" s="9">
        <f>IF(OR(H909="",J909="",K909="",K909=0),"",ROUND(H909*J909/K909/3.305785,3))</f>
        <v/>
      </c>
      <c r="N909" s="7" t="n"/>
      <c r="O909" s="11" t="n"/>
      <c r="P909" s="11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12">
        <f>IF(A909="","",IF(OR(B909="",C909="",D909="",E909="",G909="",H909="",J909="",K909=""),"必填欄位未完整",""))</f>
        <v/>
      </c>
      <c r="AB909" s="12">
        <f>IF(A909="","",A909&amp;"|"&amp;G909)</f>
        <v/>
      </c>
    </row>
    <row r="910" ht="24" customHeight="1">
      <c r="A910" s="7" t="n"/>
      <c r="B910" s="7" t="n"/>
      <c r="C910" s="7" t="n"/>
      <c r="D910" s="7" t="n"/>
      <c r="E910" s="7" t="n"/>
      <c r="F910" s="7" t="n"/>
      <c r="G910" s="7" t="n"/>
      <c r="H910" s="8" t="n"/>
      <c r="I910" s="9">
        <f>IF(H910="","",ROUND(H910/3.305785,3))</f>
        <v/>
      </c>
      <c r="J910" s="7" t="n"/>
      <c r="K910" s="7" t="n"/>
      <c r="L910" s="10">
        <f>IF(OR(J910="",K910="",K910=0),"",ROUND(J910/K910,6))</f>
        <v/>
      </c>
      <c r="M910" s="9">
        <f>IF(OR(H910="",J910="",K910="",K910=0),"",ROUND(H910*J910/K910/3.305785,3))</f>
        <v/>
      </c>
      <c r="N910" s="7" t="n"/>
      <c r="O910" s="11" t="n"/>
      <c r="P910" s="11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12">
        <f>IF(A910="","",IF(OR(B910="",C910="",D910="",E910="",G910="",H910="",J910="",K910=""),"必填欄位未完整",""))</f>
        <v/>
      </c>
      <c r="AB910" s="12">
        <f>IF(A910="","",A910&amp;"|"&amp;G910)</f>
        <v/>
      </c>
    </row>
    <row r="911" ht="24" customHeight="1">
      <c r="A911" s="7" t="n"/>
      <c r="B911" s="7" t="n"/>
      <c r="C911" s="7" t="n"/>
      <c r="D911" s="7" t="n"/>
      <c r="E911" s="7" t="n"/>
      <c r="F911" s="7" t="n"/>
      <c r="G911" s="7" t="n"/>
      <c r="H911" s="8" t="n"/>
      <c r="I911" s="9">
        <f>IF(H911="","",ROUND(H911/3.305785,3))</f>
        <v/>
      </c>
      <c r="J911" s="7" t="n"/>
      <c r="K911" s="7" t="n"/>
      <c r="L911" s="10">
        <f>IF(OR(J911="",K911="",K911=0),"",ROUND(J911/K911,6))</f>
        <v/>
      </c>
      <c r="M911" s="9">
        <f>IF(OR(H911="",J911="",K911="",K911=0),"",ROUND(H911*J911/K911/3.305785,3))</f>
        <v/>
      </c>
      <c r="N911" s="7" t="n"/>
      <c r="O911" s="11" t="n"/>
      <c r="P911" s="11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12">
        <f>IF(A911="","",IF(OR(B911="",C911="",D911="",E911="",G911="",H911="",J911="",K911=""),"必填欄位未完整",""))</f>
        <v/>
      </c>
      <c r="AB911" s="12">
        <f>IF(A911="","",A911&amp;"|"&amp;G911)</f>
        <v/>
      </c>
    </row>
    <row r="912" ht="24" customHeight="1">
      <c r="A912" s="7" t="n"/>
      <c r="B912" s="7" t="n"/>
      <c r="C912" s="7" t="n"/>
      <c r="D912" s="7" t="n"/>
      <c r="E912" s="7" t="n"/>
      <c r="F912" s="7" t="n"/>
      <c r="G912" s="7" t="n"/>
      <c r="H912" s="8" t="n"/>
      <c r="I912" s="9">
        <f>IF(H912="","",ROUND(H912/3.305785,3))</f>
        <v/>
      </c>
      <c r="J912" s="7" t="n"/>
      <c r="K912" s="7" t="n"/>
      <c r="L912" s="10">
        <f>IF(OR(J912="",K912="",K912=0),"",ROUND(J912/K912,6))</f>
        <v/>
      </c>
      <c r="M912" s="9">
        <f>IF(OR(H912="",J912="",K912="",K912=0),"",ROUND(H912*J912/K912/3.305785,3))</f>
        <v/>
      </c>
      <c r="N912" s="7" t="n"/>
      <c r="O912" s="11" t="n"/>
      <c r="P912" s="11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12">
        <f>IF(A912="","",IF(OR(B912="",C912="",D912="",E912="",G912="",H912="",J912="",K912=""),"必填欄位未完整",""))</f>
        <v/>
      </c>
      <c r="AB912" s="12">
        <f>IF(A912="","",A912&amp;"|"&amp;G912)</f>
        <v/>
      </c>
    </row>
    <row r="913" ht="24" customHeight="1">
      <c r="A913" s="7" t="n"/>
      <c r="B913" s="7" t="n"/>
      <c r="C913" s="7" t="n"/>
      <c r="D913" s="7" t="n"/>
      <c r="E913" s="7" t="n"/>
      <c r="F913" s="7" t="n"/>
      <c r="G913" s="7" t="n"/>
      <c r="H913" s="8" t="n"/>
      <c r="I913" s="9">
        <f>IF(H913="","",ROUND(H913/3.305785,3))</f>
        <v/>
      </c>
      <c r="J913" s="7" t="n"/>
      <c r="K913" s="7" t="n"/>
      <c r="L913" s="10">
        <f>IF(OR(J913="",K913="",K913=0),"",ROUND(J913/K913,6))</f>
        <v/>
      </c>
      <c r="M913" s="9">
        <f>IF(OR(H913="",J913="",K913="",K913=0),"",ROUND(H913*J913/K913/3.305785,3))</f>
        <v/>
      </c>
      <c r="N913" s="7" t="n"/>
      <c r="O913" s="11" t="n"/>
      <c r="P913" s="11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12">
        <f>IF(A913="","",IF(OR(B913="",C913="",D913="",E913="",G913="",H913="",J913="",K913=""),"必填欄位未完整",""))</f>
        <v/>
      </c>
      <c r="AB913" s="12">
        <f>IF(A913="","",A913&amp;"|"&amp;G913)</f>
        <v/>
      </c>
    </row>
    <row r="914" ht="24" customHeight="1">
      <c r="A914" s="7" t="n"/>
      <c r="B914" s="7" t="n"/>
      <c r="C914" s="7" t="n"/>
      <c r="D914" s="7" t="n"/>
      <c r="E914" s="7" t="n"/>
      <c r="F914" s="7" t="n"/>
      <c r="G914" s="7" t="n"/>
      <c r="H914" s="8" t="n"/>
      <c r="I914" s="9">
        <f>IF(H914="","",ROUND(H914/3.305785,3))</f>
        <v/>
      </c>
      <c r="J914" s="7" t="n"/>
      <c r="K914" s="7" t="n"/>
      <c r="L914" s="10">
        <f>IF(OR(J914="",K914="",K914=0),"",ROUND(J914/K914,6))</f>
        <v/>
      </c>
      <c r="M914" s="9">
        <f>IF(OR(H914="",J914="",K914="",K914=0),"",ROUND(H914*J914/K914/3.305785,3))</f>
        <v/>
      </c>
      <c r="N914" s="7" t="n"/>
      <c r="O914" s="11" t="n"/>
      <c r="P914" s="11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12">
        <f>IF(A914="","",IF(OR(B914="",C914="",D914="",E914="",G914="",H914="",J914="",K914=""),"必填欄位未完整",""))</f>
        <v/>
      </c>
      <c r="AB914" s="12">
        <f>IF(A914="","",A914&amp;"|"&amp;G914)</f>
        <v/>
      </c>
    </row>
    <row r="915" ht="24" customHeight="1">
      <c r="A915" s="7" t="n"/>
      <c r="B915" s="7" t="n"/>
      <c r="C915" s="7" t="n"/>
      <c r="D915" s="7" t="n"/>
      <c r="E915" s="7" t="n"/>
      <c r="F915" s="7" t="n"/>
      <c r="G915" s="7" t="n"/>
      <c r="H915" s="8" t="n"/>
      <c r="I915" s="9">
        <f>IF(H915="","",ROUND(H915/3.305785,3))</f>
        <v/>
      </c>
      <c r="J915" s="7" t="n"/>
      <c r="K915" s="7" t="n"/>
      <c r="L915" s="10">
        <f>IF(OR(J915="",K915="",K915=0),"",ROUND(J915/K915,6))</f>
        <v/>
      </c>
      <c r="M915" s="9">
        <f>IF(OR(H915="",J915="",K915="",K915=0),"",ROUND(H915*J915/K915/3.305785,3))</f>
        <v/>
      </c>
      <c r="N915" s="7" t="n"/>
      <c r="O915" s="11" t="n"/>
      <c r="P915" s="11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12">
        <f>IF(A915="","",IF(OR(B915="",C915="",D915="",E915="",G915="",H915="",J915="",K915=""),"必填欄位未完整",""))</f>
        <v/>
      </c>
      <c r="AB915" s="12">
        <f>IF(A915="","",A915&amp;"|"&amp;G915)</f>
        <v/>
      </c>
    </row>
    <row r="916" ht="24" customHeight="1">
      <c r="A916" s="7" t="n"/>
      <c r="B916" s="7" t="n"/>
      <c r="C916" s="7" t="n"/>
      <c r="D916" s="7" t="n"/>
      <c r="E916" s="7" t="n"/>
      <c r="F916" s="7" t="n"/>
      <c r="G916" s="7" t="n"/>
      <c r="H916" s="8" t="n"/>
      <c r="I916" s="9">
        <f>IF(H916="","",ROUND(H916/3.305785,3))</f>
        <v/>
      </c>
      <c r="J916" s="7" t="n"/>
      <c r="K916" s="7" t="n"/>
      <c r="L916" s="10">
        <f>IF(OR(J916="",K916="",K916=0),"",ROUND(J916/K916,6))</f>
        <v/>
      </c>
      <c r="M916" s="9">
        <f>IF(OR(H916="",J916="",K916="",K916=0),"",ROUND(H916*J916/K916/3.305785,3))</f>
        <v/>
      </c>
      <c r="N916" s="7" t="n"/>
      <c r="O916" s="11" t="n"/>
      <c r="P916" s="11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12">
        <f>IF(A916="","",IF(OR(B916="",C916="",D916="",E916="",G916="",H916="",J916="",K916=""),"必填欄位未完整",""))</f>
        <v/>
      </c>
      <c r="AB916" s="12">
        <f>IF(A916="","",A916&amp;"|"&amp;G916)</f>
        <v/>
      </c>
    </row>
    <row r="917" ht="24" customHeight="1">
      <c r="A917" s="7" t="n"/>
      <c r="B917" s="7" t="n"/>
      <c r="C917" s="7" t="n"/>
      <c r="D917" s="7" t="n"/>
      <c r="E917" s="7" t="n"/>
      <c r="F917" s="7" t="n"/>
      <c r="G917" s="7" t="n"/>
      <c r="H917" s="8" t="n"/>
      <c r="I917" s="9">
        <f>IF(H917="","",ROUND(H917/3.305785,3))</f>
        <v/>
      </c>
      <c r="J917" s="7" t="n"/>
      <c r="K917" s="7" t="n"/>
      <c r="L917" s="10">
        <f>IF(OR(J917="",K917="",K917=0),"",ROUND(J917/K917,6))</f>
        <v/>
      </c>
      <c r="M917" s="9">
        <f>IF(OR(H917="",J917="",K917="",K917=0),"",ROUND(H917*J917/K917/3.305785,3))</f>
        <v/>
      </c>
      <c r="N917" s="7" t="n"/>
      <c r="O917" s="11" t="n"/>
      <c r="P917" s="11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12">
        <f>IF(A917="","",IF(OR(B917="",C917="",D917="",E917="",G917="",H917="",J917="",K917=""),"必填欄位未完整",""))</f>
        <v/>
      </c>
      <c r="AB917" s="12">
        <f>IF(A917="","",A917&amp;"|"&amp;G917)</f>
        <v/>
      </c>
    </row>
    <row r="918" ht="24" customHeight="1">
      <c r="A918" s="7" t="n"/>
      <c r="B918" s="7" t="n"/>
      <c r="C918" s="7" t="n"/>
      <c r="D918" s="7" t="n"/>
      <c r="E918" s="7" t="n"/>
      <c r="F918" s="7" t="n"/>
      <c r="G918" s="7" t="n"/>
      <c r="H918" s="8" t="n"/>
      <c r="I918" s="9">
        <f>IF(H918="","",ROUND(H918/3.305785,3))</f>
        <v/>
      </c>
      <c r="J918" s="7" t="n"/>
      <c r="K918" s="7" t="n"/>
      <c r="L918" s="10">
        <f>IF(OR(J918="",K918="",K918=0),"",ROUND(J918/K918,6))</f>
        <v/>
      </c>
      <c r="M918" s="9">
        <f>IF(OR(H918="",J918="",K918="",K918=0),"",ROUND(H918*J918/K918/3.305785,3))</f>
        <v/>
      </c>
      <c r="N918" s="7" t="n"/>
      <c r="O918" s="11" t="n"/>
      <c r="P918" s="11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12">
        <f>IF(A918="","",IF(OR(B918="",C918="",D918="",E918="",G918="",H918="",J918="",K918=""),"必填欄位未完整",""))</f>
        <v/>
      </c>
      <c r="AB918" s="12">
        <f>IF(A918="","",A918&amp;"|"&amp;G918)</f>
        <v/>
      </c>
    </row>
    <row r="919" ht="24" customHeight="1">
      <c r="A919" s="7" t="n"/>
      <c r="B919" s="7" t="n"/>
      <c r="C919" s="7" t="n"/>
      <c r="D919" s="7" t="n"/>
      <c r="E919" s="7" t="n"/>
      <c r="F919" s="7" t="n"/>
      <c r="G919" s="7" t="n"/>
      <c r="H919" s="8" t="n"/>
      <c r="I919" s="9">
        <f>IF(H919="","",ROUND(H919/3.305785,3))</f>
        <v/>
      </c>
      <c r="J919" s="7" t="n"/>
      <c r="K919" s="7" t="n"/>
      <c r="L919" s="10">
        <f>IF(OR(J919="",K919="",K919=0),"",ROUND(J919/K919,6))</f>
        <v/>
      </c>
      <c r="M919" s="9">
        <f>IF(OR(H919="",J919="",K919="",K919=0),"",ROUND(H919*J919/K919/3.305785,3))</f>
        <v/>
      </c>
      <c r="N919" s="7" t="n"/>
      <c r="O919" s="11" t="n"/>
      <c r="P919" s="11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12">
        <f>IF(A919="","",IF(OR(B919="",C919="",D919="",E919="",G919="",H919="",J919="",K919=""),"必填欄位未完整",""))</f>
        <v/>
      </c>
      <c r="AB919" s="12">
        <f>IF(A919="","",A919&amp;"|"&amp;G919)</f>
        <v/>
      </c>
    </row>
    <row r="920" ht="24" customHeight="1">
      <c r="A920" s="7" t="n"/>
      <c r="B920" s="7" t="n"/>
      <c r="C920" s="7" t="n"/>
      <c r="D920" s="7" t="n"/>
      <c r="E920" s="7" t="n"/>
      <c r="F920" s="7" t="n"/>
      <c r="G920" s="7" t="n"/>
      <c r="H920" s="8" t="n"/>
      <c r="I920" s="9">
        <f>IF(H920="","",ROUND(H920/3.305785,3))</f>
        <v/>
      </c>
      <c r="J920" s="7" t="n"/>
      <c r="K920" s="7" t="n"/>
      <c r="L920" s="10">
        <f>IF(OR(J920="",K920="",K920=0),"",ROUND(J920/K920,6))</f>
        <v/>
      </c>
      <c r="M920" s="9">
        <f>IF(OR(H920="",J920="",K920="",K920=0),"",ROUND(H920*J920/K920/3.305785,3))</f>
        <v/>
      </c>
      <c r="N920" s="7" t="n"/>
      <c r="O920" s="11" t="n"/>
      <c r="P920" s="11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12">
        <f>IF(A920="","",IF(OR(B920="",C920="",D920="",E920="",G920="",H920="",J920="",K920=""),"必填欄位未完整",""))</f>
        <v/>
      </c>
      <c r="AB920" s="12">
        <f>IF(A920="","",A920&amp;"|"&amp;G920)</f>
        <v/>
      </c>
    </row>
    <row r="921" ht="24" customHeight="1">
      <c r="A921" s="7" t="n"/>
      <c r="B921" s="7" t="n"/>
      <c r="C921" s="7" t="n"/>
      <c r="D921" s="7" t="n"/>
      <c r="E921" s="7" t="n"/>
      <c r="F921" s="7" t="n"/>
      <c r="G921" s="7" t="n"/>
      <c r="H921" s="8" t="n"/>
      <c r="I921" s="9">
        <f>IF(H921="","",ROUND(H921/3.305785,3))</f>
        <v/>
      </c>
      <c r="J921" s="7" t="n"/>
      <c r="K921" s="7" t="n"/>
      <c r="L921" s="10">
        <f>IF(OR(J921="",K921="",K921=0),"",ROUND(J921/K921,6))</f>
        <v/>
      </c>
      <c r="M921" s="9">
        <f>IF(OR(H921="",J921="",K921="",K921=0),"",ROUND(H921*J921/K921/3.305785,3))</f>
        <v/>
      </c>
      <c r="N921" s="7" t="n"/>
      <c r="O921" s="11" t="n"/>
      <c r="P921" s="11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12">
        <f>IF(A921="","",IF(OR(B921="",C921="",D921="",E921="",G921="",H921="",J921="",K921=""),"必填欄位未完整",""))</f>
        <v/>
      </c>
      <c r="AB921" s="12">
        <f>IF(A921="","",A921&amp;"|"&amp;G921)</f>
        <v/>
      </c>
    </row>
    <row r="922" ht="24" customHeight="1">
      <c r="A922" s="7" t="n"/>
      <c r="B922" s="7" t="n"/>
      <c r="C922" s="7" t="n"/>
      <c r="D922" s="7" t="n"/>
      <c r="E922" s="7" t="n"/>
      <c r="F922" s="7" t="n"/>
      <c r="G922" s="7" t="n"/>
      <c r="H922" s="8" t="n"/>
      <c r="I922" s="9">
        <f>IF(H922="","",ROUND(H922/3.305785,3))</f>
        <v/>
      </c>
      <c r="J922" s="7" t="n"/>
      <c r="K922" s="7" t="n"/>
      <c r="L922" s="10">
        <f>IF(OR(J922="",K922="",K922=0),"",ROUND(J922/K922,6))</f>
        <v/>
      </c>
      <c r="M922" s="9">
        <f>IF(OR(H922="",J922="",K922="",K922=0),"",ROUND(H922*J922/K922/3.305785,3))</f>
        <v/>
      </c>
      <c r="N922" s="7" t="n"/>
      <c r="O922" s="11" t="n"/>
      <c r="P922" s="11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12">
        <f>IF(A922="","",IF(OR(B922="",C922="",D922="",E922="",G922="",H922="",J922="",K922=""),"必填欄位未完整",""))</f>
        <v/>
      </c>
      <c r="AB922" s="12">
        <f>IF(A922="","",A922&amp;"|"&amp;G922)</f>
        <v/>
      </c>
    </row>
    <row r="923" ht="24" customHeight="1">
      <c r="A923" s="7" t="n"/>
      <c r="B923" s="7" t="n"/>
      <c r="C923" s="7" t="n"/>
      <c r="D923" s="7" t="n"/>
      <c r="E923" s="7" t="n"/>
      <c r="F923" s="7" t="n"/>
      <c r="G923" s="7" t="n"/>
      <c r="H923" s="8" t="n"/>
      <c r="I923" s="9">
        <f>IF(H923="","",ROUND(H923/3.305785,3))</f>
        <v/>
      </c>
      <c r="J923" s="7" t="n"/>
      <c r="K923" s="7" t="n"/>
      <c r="L923" s="10">
        <f>IF(OR(J923="",K923="",K923=0),"",ROUND(J923/K923,6))</f>
        <v/>
      </c>
      <c r="M923" s="9">
        <f>IF(OR(H923="",J923="",K923="",K923=0),"",ROUND(H923*J923/K923/3.305785,3))</f>
        <v/>
      </c>
      <c r="N923" s="7" t="n"/>
      <c r="O923" s="11" t="n"/>
      <c r="P923" s="11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12">
        <f>IF(A923="","",IF(OR(B923="",C923="",D923="",E923="",G923="",H923="",J923="",K923=""),"必填欄位未完整",""))</f>
        <v/>
      </c>
      <c r="AB923" s="12">
        <f>IF(A923="","",A923&amp;"|"&amp;G923)</f>
        <v/>
      </c>
    </row>
    <row r="924" ht="24" customHeight="1">
      <c r="A924" s="7" t="n"/>
      <c r="B924" s="7" t="n"/>
      <c r="C924" s="7" t="n"/>
      <c r="D924" s="7" t="n"/>
      <c r="E924" s="7" t="n"/>
      <c r="F924" s="7" t="n"/>
      <c r="G924" s="7" t="n"/>
      <c r="H924" s="8" t="n"/>
      <c r="I924" s="9">
        <f>IF(H924="","",ROUND(H924/3.305785,3))</f>
        <v/>
      </c>
      <c r="J924" s="7" t="n"/>
      <c r="K924" s="7" t="n"/>
      <c r="L924" s="10">
        <f>IF(OR(J924="",K924="",K924=0),"",ROUND(J924/K924,6))</f>
        <v/>
      </c>
      <c r="M924" s="9">
        <f>IF(OR(H924="",J924="",K924="",K924=0),"",ROUND(H924*J924/K924/3.305785,3))</f>
        <v/>
      </c>
      <c r="N924" s="7" t="n"/>
      <c r="O924" s="11" t="n"/>
      <c r="P924" s="11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12">
        <f>IF(A924="","",IF(OR(B924="",C924="",D924="",E924="",G924="",H924="",J924="",K924=""),"必填欄位未完整",""))</f>
        <v/>
      </c>
      <c r="AB924" s="12">
        <f>IF(A924="","",A924&amp;"|"&amp;G924)</f>
        <v/>
      </c>
    </row>
    <row r="925" ht="24" customHeight="1">
      <c r="A925" s="7" t="n"/>
      <c r="B925" s="7" t="n"/>
      <c r="C925" s="7" t="n"/>
      <c r="D925" s="7" t="n"/>
      <c r="E925" s="7" t="n"/>
      <c r="F925" s="7" t="n"/>
      <c r="G925" s="7" t="n"/>
      <c r="H925" s="8" t="n"/>
      <c r="I925" s="9">
        <f>IF(H925="","",ROUND(H925/3.305785,3))</f>
        <v/>
      </c>
      <c r="J925" s="7" t="n"/>
      <c r="K925" s="7" t="n"/>
      <c r="L925" s="10">
        <f>IF(OR(J925="",K925="",K925=0),"",ROUND(J925/K925,6))</f>
        <v/>
      </c>
      <c r="M925" s="9">
        <f>IF(OR(H925="",J925="",K925="",K925=0),"",ROUND(H925*J925/K925/3.305785,3))</f>
        <v/>
      </c>
      <c r="N925" s="7" t="n"/>
      <c r="O925" s="11" t="n"/>
      <c r="P925" s="11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12">
        <f>IF(A925="","",IF(OR(B925="",C925="",D925="",E925="",G925="",H925="",J925="",K925=""),"必填欄位未完整",""))</f>
        <v/>
      </c>
      <c r="AB925" s="12">
        <f>IF(A925="","",A925&amp;"|"&amp;G925)</f>
        <v/>
      </c>
    </row>
    <row r="926" ht="24" customHeight="1">
      <c r="A926" s="7" t="n"/>
      <c r="B926" s="7" t="n"/>
      <c r="C926" s="7" t="n"/>
      <c r="D926" s="7" t="n"/>
      <c r="E926" s="7" t="n"/>
      <c r="F926" s="7" t="n"/>
      <c r="G926" s="7" t="n"/>
      <c r="H926" s="8" t="n"/>
      <c r="I926" s="9">
        <f>IF(H926="","",ROUND(H926/3.305785,3))</f>
        <v/>
      </c>
      <c r="J926" s="7" t="n"/>
      <c r="K926" s="7" t="n"/>
      <c r="L926" s="10">
        <f>IF(OR(J926="",K926="",K926=0),"",ROUND(J926/K926,6))</f>
        <v/>
      </c>
      <c r="M926" s="9">
        <f>IF(OR(H926="",J926="",K926="",K926=0),"",ROUND(H926*J926/K926/3.305785,3))</f>
        <v/>
      </c>
      <c r="N926" s="7" t="n"/>
      <c r="O926" s="11" t="n"/>
      <c r="P926" s="11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12">
        <f>IF(A926="","",IF(OR(B926="",C926="",D926="",E926="",G926="",H926="",J926="",K926=""),"必填欄位未完整",""))</f>
        <v/>
      </c>
      <c r="AB926" s="12">
        <f>IF(A926="","",A926&amp;"|"&amp;G926)</f>
        <v/>
      </c>
    </row>
    <row r="927" ht="24" customHeight="1">
      <c r="A927" s="7" t="n"/>
      <c r="B927" s="7" t="n"/>
      <c r="C927" s="7" t="n"/>
      <c r="D927" s="7" t="n"/>
      <c r="E927" s="7" t="n"/>
      <c r="F927" s="7" t="n"/>
      <c r="G927" s="7" t="n"/>
      <c r="H927" s="8" t="n"/>
      <c r="I927" s="9">
        <f>IF(H927="","",ROUND(H927/3.305785,3))</f>
        <v/>
      </c>
      <c r="J927" s="7" t="n"/>
      <c r="K927" s="7" t="n"/>
      <c r="L927" s="10">
        <f>IF(OR(J927="",K927="",K927=0),"",ROUND(J927/K927,6))</f>
        <v/>
      </c>
      <c r="M927" s="9">
        <f>IF(OR(H927="",J927="",K927="",K927=0),"",ROUND(H927*J927/K927/3.305785,3))</f>
        <v/>
      </c>
      <c r="N927" s="7" t="n"/>
      <c r="O927" s="11" t="n"/>
      <c r="P927" s="11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12">
        <f>IF(A927="","",IF(OR(B927="",C927="",D927="",E927="",G927="",H927="",J927="",K927=""),"必填欄位未完整",""))</f>
        <v/>
      </c>
      <c r="AB927" s="12">
        <f>IF(A927="","",A927&amp;"|"&amp;G927)</f>
        <v/>
      </c>
    </row>
    <row r="928" ht="24" customHeight="1">
      <c r="A928" s="7" t="n"/>
      <c r="B928" s="7" t="n"/>
      <c r="C928" s="7" t="n"/>
      <c r="D928" s="7" t="n"/>
      <c r="E928" s="7" t="n"/>
      <c r="F928" s="7" t="n"/>
      <c r="G928" s="7" t="n"/>
      <c r="H928" s="8" t="n"/>
      <c r="I928" s="9">
        <f>IF(H928="","",ROUND(H928/3.305785,3))</f>
        <v/>
      </c>
      <c r="J928" s="7" t="n"/>
      <c r="K928" s="7" t="n"/>
      <c r="L928" s="10">
        <f>IF(OR(J928="",K928="",K928=0),"",ROUND(J928/K928,6))</f>
        <v/>
      </c>
      <c r="M928" s="9">
        <f>IF(OR(H928="",J928="",K928="",K928=0),"",ROUND(H928*J928/K928/3.305785,3))</f>
        <v/>
      </c>
      <c r="N928" s="7" t="n"/>
      <c r="O928" s="11" t="n"/>
      <c r="P928" s="11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12">
        <f>IF(A928="","",IF(OR(B928="",C928="",D928="",E928="",G928="",H928="",J928="",K928=""),"必填欄位未完整",""))</f>
        <v/>
      </c>
      <c r="AB928" s="12">
        <f>IF(A928="","",A928&amp;"|"&amp;G928)</f>
        <v/>
      </c>
    </row>
    <row r="929" ht="24" customHeight="1">
      <c r="A929" s="7" t="n"/>
      <c r="B929" s="7" t="n"/>
      <c r="C929" s="7" t="n"/>
      <c r="D929" s="7" t="n"/>
      <c r="E929" s="7" t="n"/>
      <c r="F929" s="7" t="n"/>
      <c r="G929" s="7" t="n"/>
      <c r="H929" s="8" t="n"/>
      <c r="I929" s="9">
        <f>IF(H929="","",ROUND(H929/3.305785,3))</f>
        <v/>
      </c>
      <c r="J929" s="7" t="n"/>
      <c r="K929" s="7" t="n"/>
      <c r="L929" s="10">
        <f>IF(OR(J929="",K929="",K929=0),"",ROUND(J929/K929,6))</f>
        <v/>
      </c>
      <c r="M929" s="9">
        <f>IF(OR(H929="",J929="",K929="",K929=0),"",ROUND(H929*J929/K929/3.305785,3))</f>
        <v/>
      </c>
      <c r="N929" s="7" t="n"/>
      <c r="O929" s="11" t="n"/>
      <c r="P929" s="11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12">
        <f>IF(A929="","",IF(OR(B929="",C929="",D929="",E929="",G929="",H929="",J929="",K929=""),"必填欄位未完整",""))</f>
        <v/>
      </c>
      <c r="AB929" s="12">
        <f>IF(A929="","",A929&amp;"|"&amp;G929)</f>
        <v/>
      </c>
    </row>
    <row r="930" ht="24" customHeight="1">
      <c r="A930" s="7" t="n"/>
      <c r="B930" s="7" t="n"/>
      <c r="C930" s="7" t="n"/>
      <c r="D930" s="7" t="n"/>
      <c r="E930" s="7" t="n"/>
      <c r="F930" s="7" t="n"/>
      <c r="G930" s="7" t="n"/>
      <c r="H930" s="8" t="n"/>
      <c r="I930" s="9">
        <f>IF(H930="","",ROUND(H930/3.305785,3))</f>
        <v/>
      </c>
      <c r="J930" s="7" t="n"/>
      <c r="K930" s="7" t="n"/>
      <c r="L930" s="10">
        <f>IF(OR(J930="",K930="",K930=0),"",ROUND(J930/K930,6))</f>
        <v/>
      </c>
      <c r="M930" s="9">
        <f>IF(OR(H930="",J930="",K930="",K930=0),"",ROUND(H930*J930/K930/3.305785,3))</f>
        <v/>
      </c>
      <c r="N930" s="7" t="n"/>
      <c r="O930" s="11" t="n"/>
      <c r="P930" s="11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12">
        <f>IF(A930="","",IF(OR(B930="",C930="",D930="",E930="",G930="",H930="",J930="",K930=""),"必填欄位未完整",""))</f>
        <v/>
      </c>
      <c r="AB930" s="12">
        <f>IF(A930="","",A930&amp;"|"&amp;G930)</f>
        <v/>
      </c>
    </row>
    <row r="931" ht="24" customHeight="1">
      <c r="A931" s="7" t="n"/>
      <c r="B931" s="7" t="n"/>
      <c r="C931" s="7" t="n"/>
      <c r="D931" s="7" t="n"/>
      <c r="E931" s="7" t="n"/>
      <c r="F931" s="7" t="n"/>
      <c r="G931" s="7" t="n"/>
      <c r="H931" s="8" t="n"/>
      <c r="I931" s="9">
        <f>IF(H931="","",ROUND(H931/3.305785,3))</f>
        <v/>
      </c>
      <c r="J931" s="7" t="n"/>
      <c r="K931" s="7" t="n"/>
      <c r="L931" s="10">
        <f>IF(OR(J931="",K931="",K931=0),"",ROUND(J931/K931,6))</f>
        <v/>
      </c>
      <c r="M931" s="9">
        <f>IF(OR(H931="",J931="",K931="",K931=0),"",ROUND(H931*J931/K931/3.305785,3))</f>
        <v/>
      </c>
      <c r="N931" s="7" t="n"/>
      <c r="O931" s="11" t="n"/>
      <c r="P931" s="11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12">
        <f>IF(A931="","",IF(OR(B931="",C931="",D931="",E931="",G931="",H931="",J931="",K931=""),"必填欄位未完整",""))</f>
        <v/>
      </c>
      <c r="AB931" s="12">
        <f>IF(A931="","",A931&amp;"|"&amp;G931)</f>
        <v/>
      </c>
    </row>
    <row r="932" ht="24" customHeight="1">
      <c r="A932" s="7" t="n"/>
      <c r="B932" s="7" t="n"/>
      <c r="C932" s="7" t="n"/>
      <c r="D932" s="7" t="n"/>
      <c r="E932" s="7" t="n"/>
      <c r="F932" s="7" t="n"/>
      <c r="G932" s="7" t="n"/>
      <c r="H932" s="8" t="n"/>
      <c r="I932" s="9">
        <f>IF(H932="","",ROUND(H932/3.305785,3))</f>
        <v/>
      </c>
      <c r="J932" s="7" t="n"/>
      <c r="K932" s="7" t="n"/>
      <c r="L932" s="10">
        <f>IF(OR(J932="",K932="",K932=0),"",ROUND(J932/K932,6))</f>
        <v/>
      </c>
      <c r="M932" s="9">
        <f>IF(OR(H932="",J932="",K932="",K932=0),"",ROUND(H932*J932/K932/3.305785,3))</f>
        <v/>
      </c>
      <c r="N932" s="7" t="n"/>
      <c r="O932" s="11" t="n"/>
      <c r="P932" s="11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12">
        <f>IF(A932="","",IF(OR(B932="",C932="",D932="",E932="",G932="",H932="",J932="",K932=""),"必填欄位未完整",""))</f>
        <v/>
      </c>
      <c r="AB932" s="12">
        <f>IF(A932="","",A932&amp;"|"&amp;G932)</f>
        <v/>
      </c>
    </row>
    <row r="933" ht="24" customHeight="1">
      <c r="A933" s="7" t="n"/>
      <c r="B933" s="7" t="n"/>
      <c r="C933" s="7" t="n"/>
      <c r="D933" s="7" t="n"/>
      <c r="E933" s="7" t="n"/>
      <c r="F933" s="7" t="n"/>
      <c r="G933" s="7" t="n"/>
      <c r="H933" s="8" t="n"/>
      <c r="I933" s="9">
        <f>IF(H933="","",ROUND(H933/3.305785,3))</f>
        <v/>
      </c>
      <c r="J933" s="7" t="n"/>
      <c r="K933" s="7" t="n"/>
      <c r="L933" s="10">
        <f>IF(OR(J933="",K933="",K933=0),"",ROUND(J933/K933,6))</f>
        <v/>
      </c>
      <c r="M933" s="9">
        <f>IF(OR(H933="",J933="",K933="",K933=0),"",ROUND(H933*J933/K933/3.305785,3))</f>
        <v/>
      </c>
      <c r="N933" s="7" t="n"/>
      <c r="O933" s="11" t="n"/>
      <c r="P933" s="11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12">
        <f>IF(A933="","",IF(OR(B933="",C933="",D933="",E933="",G933="",H933="",J933="",K933=""),"必填欄位未完整",""))</f>
        <v/>
      </c>
      <c r="AB933" s="12">
        <f>IF(A933="","",A933&amp;"|"&amp;G933)</f>
        <v/>
      </c>
    </row>
    <row r="934" ht="24" customHeight="1">
      <c r="A934" s="7" t="n"/>
      <c r="B934" s="7" t="n"/>
      <c r="C934" s="7" t="n"/>
      <c r="D934" s="7" t="n"/>
      <c r="E934" s="7" t="n"/>
      <c r="F934" s="7" t="n"/>
      <c r="G934" s="7" t="n"/>
      <c r="H934" s="8" t="n"/>
      <c r="I934" s="9">
        <f>IF(H934="","",ROUND(H934/3.305785,3))</f>
        <v/>
      </c>
      <c r="J934" s="7" t="n"/>
      <c r="K934" s="7" t="n"/>
      <c r="L934" s="10">
        <f>IF(OR(J934="",K934="",K934=0),"",ROUND(J934/K934,6))</f>
        <v/>
      </c>
      <c r="M934" s="9">
        <f>IF(OR(H934="",J934="",K934="",K934=0),"",ROUND(H934*J934/K934/3.305785,3))</f>
        <v/>
      </c>
      <c r="N934" s="7" t="n"/>
      <c r="O934" s="11" t="n"/>
      <c r="P934" s="11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12">
        <f>IF(A934="","",IF(OR(B934="",C934="",D934="",E934="",G934="",H934="",J934="",K934=""),"必填欄位未完整",""))</f>
        <v/>
      </c>
      <c r="AB934" s="12">
        <f>IF(A934="","",A934&amp;"|"&amp;G934)</f>
        <v/>
      </c>
    </row>
    <row r="935" ht="24" customHeight="1">
      <c r="A935" s="7" t="n"/>
      <c r="B935" s="7" t="n"/>
      <c r="C935" s="7" t="n"/>
      <c r="D935" s="7" t="n"/>
      <c r="E935" s="7" t="n"/>
      <c r="F935" s="7" t="n"/>
      <c r="G935" s="7" t="n"/>
      <c r="H935" s="8" t="n"/>
      <c r="I935" s="9">
        <f>IF(H935="","",ROUND(H935/3.305785,3))</f>
        <v/>
      </c>
      <c r="J935" s="7" t="n"/>
      <c r="K935" s="7" t="n"/>
      <c r="L935" s="10">
        <f>IF(OR(J935="",K935="",K935=0),"",ROUND(J935/K935,6))</f>
        <v/>
      </c>
      <c r="M935" s="9">
        <f>IF(OR(H935="",J935="",K935="",K935=0),"",ROUND(H935*J935/K935/3.305785,3))</f>
        <v/>
      </c>
      <c r="N935" s="7" t="n"/>
      <c r="O935" s="11" t="n"/>
      <c r="P935" s="11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12">
        <f>IF(A935="","",IF(OR(B935="",C935="",D935="",E935="",G935="",H935="",J935="",K935=""),"必填欄位未完整",""))</f>
        <v/>
      </c>
      <c r="AB935" s="12">
        <f>IF(A935="","",A935&amp;"|"&amp;G935)</f>
        <v/>
      </c>
    </row>
    <row r="936" ht="24" customHeight="1">
      <c r="A936" s="7" t="n"/>
      <c r="B936" s="7" t="n"/>
      <c r="C936" s="7" t="n"/>
      <c r="D936" s="7" t="n"/>
      <c r="E936" s="7" t="n"/>
      <c r="F936" s="7" t="n"/>
      <c r="G936" s="7" t="n"/>
      <c r="H936" s="8" t="n"/>
      <c r="I936" s="9">
        <f>IF(H936="","",ROUND(H936/3.305785,3))</f>
        <v/>
      </c>
      <c r="J936" s="7" t="n"/>
      <c r="K936" s="7" t="n"/>
      <c r="L936" s="10">
        <f>IF(OR(J936="",K936="",K936=0),"",ROUND(J936/K936,6))</f>
        <v/>
      </c>
      <c r="M936" s="9">
        <f>IF(OR(H936="",J936="",K936="",K936=0),"",ROUND(H936*J936/K936/3.305785,3))</f>
        <v/>
      </c>
      <c r="N936" s="7" t="n"/>
      <c r="O936" s="11" t="n"/>
      <c r="P936" s="11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12">
        <f>IF(A936="","",IF(OR(B936="",C936="",D936="",E936="",G936="",H936="",J936="",K936=""),"必填欄位未完整",""))</f>
        <v/>
      </c>
      <c r="AB936" s="12">
        <f>IF(A936="","",A936&amp;"|"&amp;G936)</f>
        <v/>
      </c>
    </row>
    <row r="937" ht="24" customHeight="1">
      <c r="A937" s="7" t="n"/>
      <c r="B937" s="7" t="n"/>
      <c r="C937" s="7" t="n"/>
      <c r="D937" s="7" t="n"/>
      <c r="E937" s="7" t="n"/>
      <c r="F937" s="7" t="n"/>
      <c r="G937" s="7" t="n"/>
      <c r="H937" s="8" t="n"/>
      <c r="I937" s="9">
        <f>IF(H937="","",ROUND(H937/3.305785,3))</f>
        <v/>
      </c>
      <c r="J937" s="7" t="n"/>
      <c r="K937" s="7" t="n"/>
      <c r="L937" s="10">
        <f>IF(OR(J937="",K937="",K937=0),"",ROUND(J937/K937,6))</f>
        <v/>
      </c>
      <c r="M937" s="9">
        <f>IF(OR(H937="",J937="",K937="",K937=0),"",ROUND(H937*J937/K937/3.305785,3))</f>
        <v/>
      </c>
      <c r="N937" s="7" t="n"/>
      <c r="O937" s="11" t="n"/>
      <c r="P937" s="11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12">
        <f>IF(A937="","",IF(OR(B937="",C937="",D937="",E937="",G937="",H937="",J937="",K937=""),"必填欄位未完整",""))</f>
        <v/>
      </c>
      <c r="AB937" s="12">
        <f>IF(A937="","",A937&amp;"|"&amp;G937)</f>
        <v/>
      </c>
    </row>
    <row r="938" ht="24" customHeight="1">
      <c r="A938" s="7" t="n"/>
      <c r="B938" s="7" t="n"/>
      <c r="C938" s="7" t="n"/>
      <c r="D938" s="7" t="n"/>
      <c r="E938" s="7" t="n"/>
      <c r="F938" s="7" t="n"/>
      <c r="G938" s="7" t="n"/>
      <c r="H938" s="8" t="n"/>
      <c r="I938" s="9">
        <f>IF(H938="","",ROUND(H938/3.305785,3))</f>
        <v/>
      </c>
      <c r="J938" s="7" t="n"/>
      <c r="K938" s="7" t="n"/>
      <c r="L938" s="10">
        <f>IF(OR(J938="",K938="",K938=0),"",ROUND(J938/K938,6))</f>
        <v/>
      </c>
      <c r="M938" s="9">
        <f>IF(OR(H938="",J938="",K938="",K938=0),"",ROUND(H938*J938/K938/3.305785,3))</f>
        <v/>
      </c>
      <c r="N938" s="7" t="n"/>
      <c r="O938" s="11" t="n"/>
      <c r="P938" s="11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12">
        <f>IF(A938="","",IF(OR(B938="",C938="",D938="",E938="",G938="",H938="",J938="",K938=""),"必填欄位未完整",""))</f>
        <v/>
      </c>
      <c r="AB938" s="12">
        <f>IF(A938="","",A938&amp;"|"&amp;G938)</f>
        <v/>
      </c>
    </row>
    <row r="939" ht="24" customHeight="1">
      <c r="A939" s="7" t="n"/>
      <c r="B939" s="7" t="n"/>
      <c r="C939" s="7" t="n"/>
      <c r="D939" s="7" t="n"/>
      <c r="E939" s="7" t="n"/>
      <c r="F939" s="7" t="n"/>
      <c r="G939" s="7" t="n"/>
      <c r="H939" s="8" t="n"/>
      <c r="I939" s="9">
        <f>IF(H939="","",ROUND(H939/3.305785,3))</f>
        <v/>
      </c>
      <c r="J939" s="7" t="n"/>
      <c r="K939" s="7" t="n"/>
      <c r="L939" s="10">
        <f>IF(OR(J939="",K939="",K939=0),"",ROUND(J939/K939,6))</f>
        <v/>
      </c>
      <c r="M939" s="9">
        <f>IF(OR(H939="",J939="",K939="",K939=0),"",ROUND(H939*J939/K939/3.305785,3))</f>
        <v/>
      </c>
      <c r="N939" s="7" t="n"/>
      <c r="O939" s="11" t="n"/>
      <c r="P939" s="11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12">
        <f>IF(A939="","",IF(OR(B939="",C939="",D939="",E939="",G939="",H939="",J939="",K939=""),"必填欄位未完整",""))</f>
        <v/>
      </c>
      <c r="AB939" s="12">
        <f>IF(A939="","",A939&amp;"|"&amp;G939)</f>
        <v/>
      </c>
    </row>
    <row r="940" ht="24" customHeight="1">
      <c r="A940" s="7" t="n"/>
      <c r="B940" s="7" t="n"/>
      <c r="C940" s="7" t="n"/>
      <c r="D940" s="7" t="n"/>
      <c r="E940" s="7" t="n"/>
      <c r="F940" s="7" t="n"/>
      <c r="G940" s="7" t="n"/>
      <c r="H940" s="8" t="n"/>
      <c r="I940" s="9">
        <f>IF(H940="","",ROUND(H940/3.305785,3))</f>
        <v/>
      </c>
      <c r="J940" s="7" t="n"/>
      <c r="K940" s="7" t="n"/>
      <c r="L940" s="10">
        <f>IF(OR(J940="",K940="",K940=0),"",ROUND(J940/K940,6))</f>
        <v/>
      </c>
      <c r="M940" s="9">
        <f>IF(OR(H940="",J940="",K940="",K940=0),"",ROUND(H940*J940/K940/3.305785,3))</f>
        <v/>
      </c>
      <c r="N940" s="7" t="n"/>
      <c r="O940" s="11" t="n"/>
      <c r="P940" s="11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12">
        <f>IF(A940="","",IF(OR(B940="",C940="",D940="",E940="",G940="",H940="",J940="",K940=""),"必填欄位未完整",""))</f>
        <v/>
      </c>
      <c r="AB940" s="12">
        <f>IF(A940="","",A940&amp;"|"&amp;G940)</f>
        <v/>
      </c>
    </row>
    <row r="941" ht="24" customHeight="1">
      <c r="A941" s="7" t="n"/>
      <c r="B941" s="7" t="n"/>
      <c r="C941" s="7" t="n"/>
      <c r="D941" s="7" t="n"/>
      <c r="E941" s="7" t="n"/>
      <c r="F941" s="7" t="n"/>
      <c r="G941" s="7" t="n"/>
      <c r="H941" s="8" t="n"/>
      <c r="I941" s="9">
        <f>IF(H941="","",ROUND(H941/3.305785,3))</f>
        <v/>
      </c>
      <c r="J941" s="7" t="n"/>
      <c r="K941" s="7" t="n"/>
      <c r="L941" s="10">
        <f>IF(OR(J941="",K941="",K941=0),"",ROUND(J941/K941,6))</f>
        <v/>
      </c>
      <c r="M941" s="9">
        <f>IF(OR(H941="",J941="",K941="",K941=0),"",ROUND(H941*J941/K941/3.305785,3))</f>
        <v/>
      </c>
      <c r="N941" s="7" t="n"/>
      <c r="O941" s="11" t="n"/>
      <c r="P941" s="11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12">
        <f>IF(A941="","",IF(OR(B941="",C941="",D941="",E941="",G941="",H941="",J941="",K941=""),"必填欄位未完整",""))</f>
        <v/>
      </c>
      <c r="AB941" s="12">
        <f>IF(A941="","",A941&amp;"|"&amp;G941)</f>
        <v/>
      </c>
    </row>
    <row r="942" ht="24" customHeight="1">
      <c r="A942" s="7" t="n"/>
      <c r="B942" s="7" t="n"/>
      <c r="C942" s="7" t="n"/>
      <c r="D942" s="7" t="n"/>
      <c r="E942" s="7" t="n"/>
      <c r="F942" s="7" t="n"/>
      <c r="G942" s="7" t="n"/>
      <c r="H942" s="8" t="n"/>
      <c r="I942" s="9">
        <f>IF(H942="","",ROUND(H942/3.305785,3))</f>
        <v/>
      </c>
      <c r="J942" s="7" t="n"/>
      <c r="K942" s="7" t="n"/>
      <c r="L942" s="10">
        <f>IF(OR(J942="",K942="",K942=0),"",ROUND(J942/K942,6))</f>
        <v/>
      </c>
      <c r="M942" s="9">
        <f>IF(OR(H942="",J942="",K942="",K942=0),"",ROUND(H942*J942/K942/3.305785,3))</f>
        <v/>
      </c>
      <c r="N942" s="7" t="n"/>
      <c r="O942" s="11" t="n"/>
      <c r="P942" s="11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12">
        <f>IF(A942="","",IF(OR(B942="",C942="",D942="",E942="",G942="",H942="",J942="",K942=""),"必填欄位未完整",""))</f>
        <v/>
      </c>
      <c r="AB942" s="12">
        <f>IF(A942="","",A942&amp;"|"&amp;G942)</f>
        <v/>
      </c>
    </row>
    <row r="943" ht="24" customHeight="1">
      <c r="A943" s="7" t="n"/>
      <c r="B943" s="7" t="n"/>
      <c r="C943" s="7" t="n"/>
      <c r="D943" s="7" t="n"/>
      <c r="E943" s="7" t="n"/>
      <c r="F943" s="7" t="n"/>
      <c r="G943" s="7" t="n"/>
      <c r="H943" s="8" t="n"/>
      <c r="I943" s="9">
        <f>IF(H943="","",ROUND(H943/3.305785,3))</f>
        <v/>
      </c>
      <c r="J943" s="7" t="n"/>
      <c r="K943" s="7" t="n"/>
      <c r="L943" s="10">
        <f>IF(OR(J943="",K943="",K943=0),"",ROUND(J943/K943,6))</f>
        <v/>
      </c>
      <c r="M943" s="9">
        <f>IF(OR(H943="",J943="",K943="",K943=0),"",ROUND(H943*J943/K943/3.305785,3))</f>
        <v/>
      </c>
      <c r="N943" s="7" t="n"/>
      <c r="O943" s="11" t="n"/>
      <c r="P943" s="11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12">
        <f>IF(A943="","",IF(OR(B943="",C943="",D943="",E943="",G943="",H943="",J943="",K943=""),"必填欄位未完整",""))</f>
        <v/>
      </c>
      <c r="AB943" s="12">
        <f>IF(A943="","",A943&amp;"|"&amp;G943)</f>
        <v/>
      </c>
    </row>
    <row r="944" ht="24" customHeight="1">
      <c r="A944" s="7" t="n"/>
      <c r="B944" s="7" t="n"/>
      <c r="C944" s="7" t="n"/>
      <c r="D944" s="7" t="n"/>
      <c r="E944" s="7" t="n"/>
      <c r="F944" s="7" t="n"/>
      <c r="G944" s="7" t="n"/>
      <c r="H944" s="8" t="n"/>
      <c r="I944" s="9">
        <f>IF(H944="","",ROUND(H944/3.305785,3))</f>
        <v/>
      </c>
      <c r="J944" s="7" t="n"/>
      <c r="K944" s="7" t="n"/>
      <c r="L944" s="10">
        <f>IF(OR(J944="",K944="",K944=0),"",ROUND(J944/K944,6))</f>
        <v/>
      </c>
      <c r="M944" s="9">
        <f>IF(OR(H944="",J944="",K944="",K944=0),"",ROUND(H944*J944/K944/3.305785,3))</f>
        <v/>
      </c>
      <c r="N944" s="7" t="n"/>
      <c r="O944" s="11" t="n"/>
      <c r="P944" s="11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12">
        <f>IF(A944="","",IF(OR(B944="",C944="",D944="",E944="",G944="",H944="",J944="",K944=""),"必填欄位未完整",""))</f>
        <v/>
      </c>
      <c r="AB944" s="12">
        <f>IF(A944="","",A944&amp;"|"&amp;G944)</f>
        <v/>
      </c>
    </row>
    <row r="945" ht="24" customHeight="1">
      <c r="A945" s="7" t="n"/>
      <c r="B945" s="7" t="n"/>
      <c r="C945" s="7" t="n"/>
      <c r="D945" s="7" t="n"/>
      <c r="E945" s="7" t="n"/>
      <c r="F945" s="7" t="n"/>
      <c r="G945" s="7" t="n"/>
      <c r="H945" s="8" t="n"/>
      <c r="I945" s="9">
        <f>IF(H945="","",ROUND(H945/3.305785,3))</f>
        <v/>
      </c>
      <c r="J945" s="7" t="n"/>
      <c r="K945" s="7" t="n"/>
      <c r="L945" s="10">
        <f>IF(OR(J945="",K945="",K945=0),"",ROUND(J945/K945,6))</f>
        <v/>
      </c>
      <c r="M945" s="9">
        <f>IF(OR(H945="",J945="",K945="",K945=0),"",ROUND(H945*J945/K945/3.305785,3))</f>
        <v/>
      </c>
      <c r="N945" s="7" t="n"/>
      <c r="O945" s="11" t="n"/>
      <c r="P945" s="11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12">
        <f>IF(A945="","",IF(OR(B945="",C945="",D945="",E945="",G945="",H945="",J945="",K945=""),"必填欄位未完整",""))</f>
        <v/>
      </c>
      <c r="AB945" s="12">
        <f>IF(A945="","",A945&amp;"|"&amp;G945)</f>
        <v/>
      </c>
    </row>
    <row r="946" ht="24" customHeight="1">
      <c r="A946" s="7" t="n"/>
      <c r="B946" s="7" t="n"/>
      <c r="C946" s="7" t="n"/>
      <c r="D946" s="7" t="n"/>
      <c r="E946" s="7" t="n"/>
      <c r="F946" s="7" t="n"/>
      <c r="G946" s="7" t="n"/>
      <c r="H946" s="8" t="n"/>
      <c r="I946" s="9">
        <f>IF(H946="","",ROUND(H946/3.305785,3))</f>
        <v/>
      </c>
      <c r="J946" s="7" t="n"/>
      <c r="K946" s="7" t="n"/>
      <c r="L946" s="10">
        <f>IF(OR(J946="",K946="",K946=0),"",ROUND(J946/K946,6))</f>
        <v/>
      </c>
      <c r="M946" s="9">
        <f>IF(OR(H946="",J946="",K946="",K946=0),"",ROUND(H946*J946/K946/3.305785,3))</f>
        <v/>
      </c>
      <c r="N946" s="7" t="n"/>
      <c r="O946" s="11" t="n"/>
      <c r="P946" s="11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12">
        <f>IF(A946="","",IF(OR(B946="",C946="",D946="",E946="",G946="",H946="",J946="",K946=""),"必填欄位未完整",""))</f>
        <v/>
      </c>
      <c r="AB946" s="12">
        <f>IF(A946="","",A946&amp;"|"&amp;G946)</f>
        <v/>
      </c>
    </row>
    <row r="947" ht="24" customHeight="1">
      <c r="A947" s="7" t="n"/>
      <c r="B947" s="7" t="n"/>
      <c r="C947" s="7" t="n"/>
      <c r="D947" s="7" t="n"/>
      <c r="E947" s="7" t="n"/>
      <c r="F947" s="7" t="n"/>
      <c r="G947" s="7" t="n"/>
      <c r="H947" s="8" t="n"/>
      <c r="I947" s="9">
        <f>IF(H947="","",ROUND(H947/3.305785,3))</f>
        <v/>
      </c>
      <c r="J947" s="7" t="n"/>
      <c r="K947" s="7" t="n"/>
      <c r="L947" s="10">
        <f>IF(OR(J947="",K947="",K947=0),"",ROUND(J947/K947,6))</f>
        <v/>
      </c>
      <c r="M947" s="9">
        <f>IF(OR(H947="",J947="",K947="",K947=0),"",ROUND(H947*J947/K947/3.305785,3))</f>
        <v/>
      </c>
      <c r="N947" s="7" t="n"/>
      <c r="O947" s="11" t="n"/>
      <c r="P947" s="11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12">
        <f>IF(A947="","",IF(OR(B947="",C947="",D947="",E947="",G947="",H947="",J947="",K947=""),"必填欄位未完整",""))</f>
        <v/>
      </c>
      <c r="AB947" s="12">
        <f>IF(A947="","",A947&amp;"|"&amp;G947)</f>
        <v/>
      </c>
    </row>
    <row r="948" ht="24" customHeight="1">
      <c r="A948" s="7" t="n"/>
      <c r="B948" s="7" t="n"/>
      <c r="C948" s="7" t="n"/>
      <c r="D948" s="7" t="n"/>
      <c r="E948" s="7" t="n"/>
      <c r="F948" s="7" t="n"/>
      <c r="G948" s="7" t="n"/>
      <c r="H948" s="8" t="n"/>
      <c r="I948" s="9">
        <f>IF(H948="","",ROUND(H948/3.305785,3))</f>
        <v/>
      </c>
      <c r="J948" s="7" t="n"/>
      <c r="K948" s="7" t="n"/>
      <c r="L948" s="10">
        <f>IF(OR(J948="",K948="",K948=0),"",ROUND(J948/K948,6))</f>
        <v/>
      </c>
      <c r="M948" s="9">
        <f>IF(OR(H948="",J948="",K948="",K948=0),"",ROUND(H948*J948/K948/3.305785,3))</f>
        <v/>
      </c>
      <c r="N948" s="7" t="n"/>
      <c r="O948" s="11" t="n"/>
      <c r="P948" s="11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12">
        <f>IF(A948="","",IF(OR(B948="",C948="",D948="",E948="",G948="",H948="",J948="",K948=""),"必填欄位未完整",""))</f>
        <v/>
      </c>
      <c r="AB948" s="12">
        <f>IF(A948="","",A948&amp;"|"&amp;G948)</f>
        <v/>
      </c>
    </row>
    <row r="949" ht="24" customHeight="1">
      <c r="A949" s="7" t="n"/>
      <c r="B949" s="7" t="n"/>
      <c r="C949" s="7" t="n"/>
      <c r="D949" s="7" t="n"/>
      <c r="E949" s="7" t="n"/>
      <c r="F949" s="7" t="n"/>
      <c r="G949" s="7" t="n"/>
      <c r="H949" s="8" t="n"/>
      <c r="I949" s="9">
        <f>IF(H949="","",ROUND(H949/3.305785,3))</f>
        <v/>
      </c>
      <c r="J949" s="7" t="n"/>
      <c r="K949" s="7" t="n"/>
      <c r="L949" s="10">
        <f>IF(OR(J949="",K949="",K949=0),"",ROUND(J949/K949,6))</f>
        <v/>
      </c>
      <c r="M949" s="9">
        <f>IF(OR(H949="",J949="",K949="",K949=0),"",ROUND(H949*J949/K949/3.305785,3))</f>
        <v/>
      </c>
      <c r="N949" s="7" t="n"/>
      <c r="O949" s="11" t="n"/>
      <c r="P949" s="11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12">
        <f>IF(A949="","",IF(OR(B949="",C949="",D949="",E949="",G949="",H949="",J949="",K949=""),"必填欄位未完整",""))</f>
        <v/>
      </c>
      <c r="AB949" s="12">
        <f>IF(A949="","",A949&amp;"|"&amp;G949)</f>
        <v/>
      </c>
    </row>
    <row r="950" ht="24" customHeight="1">
      <c r="A950" s="7" t="n"/>
      <c r="B950" s="7" t="n"/>
      <c r="C950" s="7" t="n"/>
      <c r="D950" s="7" t="n"/>
      <c r="E950" s="7" t="n"/>
      <c r="F950" s="7" t="n"/>
      <c r="G950" s="7" t="n"/>
      <c r="H950" s="8" t="n"/>
      <c r="I950" s="9">
        <f>IF(H950="","",ROUND(H950/3.305785,3))</f>
        <v/>
      </c>
      <c r="J950" s="7" t="n"/>
      <c r="K950" s="7" t="n"/>
      <c r="L950" s="10">
        <f>IF(OR(J950="",K950="",K950=0),"",ROUND(J950/K950,6))</f>
        <v/>
      </c>
      <c r="M950" s="9">
        <f>IF(OR(H950="",J950="",K950="",K950=0),"",ROUND(H950*J950/K950/3.305785,3))</f>
        <v/>
      </c>
      <c r="N950" s="7" t="n"/>
      <c r="O950" s="11" t="n"/>
      <c r="P950" s="11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12">
        <f>IF(A950="","",IF(OR(B950="",C950="",D950="",E950="",G950="",H950="",J950="",K950=""),"必填欄位未完整",""))</f>
        <v/>
      </c>
      <c r="AB950" s="12">
        <f>IF(A950="","",A950&amp;"|"&amp;G950)</f>
        <v/>
      </c>
    </row>
    <row r="951" ht="24" customHeight="1">
      <c r="A951" s="7" t="n"/>
      <c r="B951" s="7" t="n"/>
      <c r="C951" s="7" t="n"/>
      <c r="D951" s="7" t="n"/>
      <c r="E951" s="7" t="n"/>
      <c r="F951" s="7" t="n"/>
      <c r="G951" s="7" t="n"/>
      <c r="H951" s="8" t="n"/>
      <c r="I951" s="9">
        <f>IF(H951="","",ROUND(H951/3.305785,3))</f>
        <v/>
      </c>
      <c r="J951" s="7" t="n"/>
      <c r="K951" s="7" t="n"/>
      <c r="L951" s="10">
        <f>IF(OR(J951="",K951="",K951=0),"",ROUND(J951/K951,6))</f>
        <v/>
      </c>
      <c r="M951" s="9">
        <f>IF(OR(H951="",J951="",K951="",K951=0),"",ROUND(H951*J951/K951/3.305785,3))</f>
        <v/>
      </c>
      <c r="N951" s="7" t="n"/>
      <c r="O951" s="11" t="n"/>
      <c r="P951" s="11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12">
        <f>IF(A951="","",IF(OR(B951="",C951="",D951="",E951="",G951="",H951="",J951="",K951=""),"必填欄位未完整",""))</f>
        <v/>
      </c>
      <c r="AB951" s="12">
        <f>IF(A951="","",A951&amp;"|"&amp;G951)</f>
        <v/>
      </c>
    </row>
    <row r="952" ht="24" customHeight="1">
      <c r="A952" s="7" t="n"/>
      <c r="B952" s="7" t="n"/>
      <c r="C952" s="7" t="n"/>
      <c r="D952" s="7" t="n"/>
      <c r="E952" s="7" t="n"/>
      <c r="F952" s="7" t="n"/>
      <c r="G952" s="7" t="n"/>
      <c r="H952" s="8" t="n"/>
      <c r="I952" s="9">
        <f>IF(H952="","",ROUND(H952/3.305785,3))</f>
        <v/>
      </c>
      <c r="J952" s="7" t="n"/>
      <c r="K952" s="7" t="n"/>
      <c r="L952" s="10">
        <f>IF(OR(J952="",K952="",K952=0),"",ROUND(J952/K952,6))</f>
        <v/>
      </c>
      <c r="M952" s="9">
        <f>IF(OR(H952="",J952="",K952="",K952=0),"",ROUND(H952*J952/K952/3.305785,3))</f>
        <v/>
      </c>
      <c r="N952" s="7" t="n"/>
      <c r="O952" s="11" t="n"/>
      <c r="P952" s="11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12">
        <f>IF(A952="","",IF(OR(B952="",C952="",D952="",E952="",G952="",H952="",J952="",K952=""),"必填欄位未完整",""))</f>
        <v/>
      </c>
      <c r="AB952" s="12">
        <f>IF(A952="","",A952&amp;"|"&amp;G952)</f>
        <v/>
      </c>
    </row>
    <row r="953" ht="24" customHeight="1">
      <c r="A953" s="7" t="n"/>
      <c r="B953" s="7" t="n"/>
      <c r="C953" s="7" t="n"/>
      <c r="D953" s="7" t="n"/>
      <c r="E953" s="7" t="n"/>
      <c r="F953" s="7" t="n"/>
      <c r="G953" s="7" t="n"/>
      <c r="H953" s="8" t="n"/>
      <c r="I953" s="9">
        <f>IF(H953="","",ROUND(H953/3.305785,3))</f>
        <v/>
      </c>
      <c r="J953" s="7" t="n"/>
      <c r="K953" s="7" t="n"/>
      <c r="L953" s="10">
        <f>IF(OR(J953="",K953="",K953=0),"",ROUND(J953/K953,6))</f>
        <v/>
      </c>
      <c r="M953" s="9">
        <f>IF(OR(H953="",J953="",K953="",K953=0),"",ROUND(H953*J953/K953/3.305785,3))</f>
        <v/>
      </c>
      <c r="N953" s="7" t="n"/>
      <c r="O953" s="11" t="n"/>
      <c r="P953" s="11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12">
        <f>IF(A953="","",IF(OR(B953="",C953="",D953="",E953="",G953="",H953="",J953="",K953=""),"必填欄位未完整",""))</f>
        <v/>
      </c>
      <c r="AB953" s="12">
        <f>IF(A953="","",A953&amp;"|"&amp;G953)</f>
        <v/>
      </c>
    </row>
    <row r="954" ht="24" customHeight="1">
      <c r="A954" s="7" t="n"/>
      <c r="B954" s="7" t="n"/>
      <c r="C954" s="7" t="n"/>
      <c r="D954" s="7" t="n"/>
      <c r="E954" s="7" t="n"/>
      <c r="F954" s="7" t="n"/>
      <c r="G954" s="7" t="n"/>
      <c r="H954" s="8" t="n"/>
      <c r="I954" s="9">
        <f>IF(H954="","",ROUND(H954/3.305785,3))</f>
        <v/>
      </c>
      <c r="J954" s="7" t="n"/>
      <c r="K954" s="7" t="n"/>
      <c r="L954" s="10">
        <f>IF(OR(J954="",K954="",K954=0),"",ROUND(J954/K954,6))</f>
        <v/>
      </c>
      <c r="M954" s="9">
        <f>IF(OR(H954="",J954="",K954="",K954=0),"",ROUND(H954*J954/K954/3.305785,3))</f>
        <v/>
      </c>
      <c r="N954" s="7" t="n"/>
      <c r="O954" s="11" t="n"/>
      <c r="P954" s="11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12">
        <f>IF(A954="","",IF(OR(B954="",C954="",D954="",E954="",G954="",H954="",J954="",K954=""),"必填欄位未完整",""))</f>
        <v/>
      </c>
      <c r="AB954" s="12">
        <f>IF(A954="","",A954&amp;"|"&amp;G954)</f>
        <v/>
      </c>
    </row>
    <row r="955" ht="24" customHeight="1">
      <c r="A955" s="7" t="n"/>
      <c r="B955" s="7" t="n"/>
      <c r="C955" s="7" t="n"/>
      <c r="D955" s="7" t="n"/>
      <c r="E955" s="7" t="n"/>
      <c r="F955" s="7" t="n"/>
      <c r="G955" s="7" t="n"/>
      <c r="H955" s="8" t="n"/>
      <c r="I955" s="9">
        <f>IF(H955="","",ROUND(H955/3.305785,3))</f>
        <v/>
      </c>
      <c r="J955" s="7" t="n"/>
      <c r="K955" s="7" t="n"/>
      <c r="L955" s="10">
        <f>IF(OR(J955="",K955="",K955=0),"",ROUND(J955/K955,6))</f>
        <v/>
      </c>
      <c r="M955" s="9">
        <f>IF(OR(H955="",J955="",K955="",K955=0),"",ROUND(H955*J955/K955/3.305785,3))</f>
        <v/>
      </c>
      <c r="N955" s="7" t="n"/>
      <c r="O955" s="11" t="n"/>
      <c r="P955" s="11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12">
        <f>IF(A955="","",IF(OR(B955="",C955="",D955="",E955="",G955="",H955="",J955="",K955=""),"必填欄位未完整",""))</f>
        <v/>
      </c>
      <c r="AB955" s="12">
        <f>IF(A955="","",A955&amp;"|"&amp;G955)</f>
        <v/>
      </c>
    </row>
    <row r="956" ht="24" customHeight="1">
      <c r="A956" s="7" t="n"/>
      <c r="B956" s="7" t="n"/>
      <c r="C956" s="7" t="n"/>
      <c r="D956" s="7" t="n"/>
      <c r="E956" s="7" t="n"/>
      <c r="F956" s="7" t="n"/>
      <c r="G956" s="7" t="n"/>
      <c r="H956" s="8" t="n"/>
      <c r="I956" s="9">
        <f>IF(H956="","",ROUND(H956/3.305785,3))</f>
        <v/>
      </c>
      <c r="J956" s="7" t="n"/>
      <c r="K956" s="7" t="n"/>
      <c r="L956" s="10">
        <f>IF(OR(J956="",K956="",K956=0),"",ROUND(J956/K956,6))</f>
        <v/>
      </c>
      <c r="M956" s="9">
        <f>IF(OR(H956="",J956="",K956="",K956=0),"",ROUND(H956*J956/K956/3.305785,3))</f>
        <v/>
      </c>
      <c r="N956" s="7" t="n"/>
      <c r="O956" s="11" t="n"/>
      <c r="P956" s="11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12">
        <f>IF(A956="","",IF(OR(B956="",C956="",D956="",E956="",G956="",H956="",J956="",K956=""),"必填欄位未完整",""))</f>
        <v/>
      </c>
      <c r="AB956" s="12">
        <f>IF(A956="","",A956&amp;"|"&amp;G956)</f>
        <v/>
      </c>
    </row>
    <row r="957" ht="24" customHeight="1">
      <c r="A957" s="7" t="n"/>
      <c r="B957" s="7" t="n"/>
      <c r="C957" s="7" t="n"/>
      <c r="D957" s="7" t="n"/>
      <c r="E957" s="7" t="n"/>
      <c r="F957" s="7" t="n"/>
      <c r="G957" s="7" t="n"/>
      <c r="H957" s="8" t="n"/>
      <c r="I957" s="9">
        <f>IF(H957="","",ROUND(H957/3.305785,3))</f>
        <v/>
      </c>
      <c r="J957" s="7" t="n"/>
      <c r="K957" s="7" t="n"/>
      <c r="L957" s="10">
        <f>IF(OR(J957="",K957="",K957=0),"",ROUND(J957/K957,6))</f>
        <v/>
      </c>
      <c r="M957" s="9">
        <f>IF(OR(H957="",J957="",K957="",K957=0),"",ROUND(H957*J957/K957/3.305785,3))</f>
        <v/>
      </c>
      <c r="N957" s="7" t="n"/>
      <c r="O957" s="11" t="n"/>
      <c r="P957" s="11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12">
        <f>IF(A957="","",IF(OR(B957="",C957="",D957="",E957="",G957="",H957="",J957="",K957=""),"必填欄位未完整",""))</f>
        <v/>
      </c>
      <c r="AB957" s="12">
        <f>IF(A957="","",A957&amp;"|"&amp;G957)</f>
        <v/>
      </c>
    </row>
    <row r="958" ht="24" customHeight="1">
      <c r="A958" s="7" t="n"/>
      <c r="B958" s="7" t="n"/>
      <c r="C958" s="7" t="n"/>
      <c r="D958" s="7" t="n"/>
      <c r="E958" s="7" t="n"/>
      <c r="F958" s="7" t="n"/>
      <c r="G958" s="7" t="n"/>
      <c r="H958" s="8" t="n"/>
      <c r="I958" s="9">
        <f>IF(H958="","",ROUND(H958/3.305785,3))</f>
        <v/>
      </c>
      <c r="J958" s="7" t="n"/>
      <c r="K958" s="7" t="n"/>
      <c r="L958" s="10">
        <f>IF(OR(J958="",K958="",K958=0),"",ROUND(J958/K958,6))</f>
        <v/>
      </c>
      <c r="M958" s="9">
        <f>IF(OR(H958="",J958="",K958="",K958=0),"",ROUND(H958*J958/K958/3.305785,3))</f>
        <v/>
      </c>
      <c r="N958" s="7" t="n"/>
      <c r="O958" s="11" t="n"/>
      <c r="P958" s="11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12">
        <f>IF(A958="","",IF(OR(B958="",C958="",D958="",E958="",G958="",H958="",J958="",K958=""),"必填欄位未完整",""))</f>
        <v/>
      </c>
      <c r="AB958" s="12">
        <f>IF(A958="","",A958&amp;"|"&amp;G958)</f>
        <v/>
      </c>
    </row>
    <row r="959" ht="24" customHeight="1">
      <c r="A959" s="7" t="n"/>
      <c r="B959" s="7" t="n"/>
      <c r="C959" s="7" t="n"/>
      <c r="D959" s="7" t="n"/>
      <c r="E959" s="7" t="n"/>
      <c r="F959" s="7" t="n"/>
      <c r="G959" s="7" t="n"/>
      <c r="H959" s="8" t="n"/>
      <c r="I959" s="9">
        <f>IF(H959="","",ROUND(H959/3.305785,3))</f>
        <v/>
      </c>
      <c r="J959" s="7" t="n"/>
      <c r="K959" s="7" t="n"/>
      <c r="L959" s="10">
        <f>IF(OR(J959="",K959="",K959=0),"",ROUND(J959/K959,6))</f>
        <v/>
      </c>
      <c r="M959" s="9">
        <f>IF(OR(H959="",J959="",K959="",K959=0),"",ROUND(H959*J959/K959/3.305785,3))</f>
        <v/>
      </c>
      <c r="N959" s="7" t="n"/>
      <c r="O959" s="11" t="n"/>
      <c r="P959" s="11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12">
        <f>IF(A959="","",IF(OR(B959="",C959="",D959="",E959="",G959="",H959="",J959="",K959=""),"必填欄位未完整",""))</f>
        <v/>
      </c>
      <c r="AB959" s="12">
        <f>IF(A959="","",A959&amp;"|"&amp;G959)</f>
        <v/>
      </c>
    </row>
    <row r="960" ht="24" customHeight="1">
      <c r="A960" s="7" t="n"/>
      <c r="B960" s="7" t="n"/>
      <c r="C960" s="7" t="n"/>
      <c r="D960" s="7" t="n"/>
      <c r="E960" s="7" t="n"/>
      <c r="F960" s="7" t="n"/>
      <c r="G960" s="7" t="n"/>
      <c r="H960" s="8" t="n"/>
      <c r="I960" s="9">
        <f>IF(H960="","",ROUND(H960/3.305785,3))</f>
        <v/>
      </c>
      <c r="J960" s="7" t="n"/>
      <c r="K960" s="7" t="n"/>
      <c r="L960" s="10">
        <f>IF(OR(J960="",K960="",K960=0),"",ROUND(J960/K960,6))</f>
        <v/>
      </c>
      <c r="M960" s="9">
        <f>IF(OR(H960="",J960="",K960="",K960=0),"",ROUND(H960*J960/K960/3.305785,3))</f>
        <v/>
      </c>
      <c r="N960" s="7" t="n"/>
      <c r="O960" s="11" t="n"/>
      <c r="P960" s="11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12">
        <f>IF(A960="","",IF(OR(B960="",C960="",D960="",E960="",G960="",H960="",J960="",K960=""),"必填欄位未完整",""))</f>
        <v/>
      </c>
      <c r="AB960" s="12">
        <f>IF(A960="","",A960&amp;"|"&amp;G960)</f>
        <v/>
      </c>
    </row>
    <row r="961" ht="24" customHeight="1">
      <c r="A961" s="7" t="n"/>
      <c r="B961" s="7" t="n"/>
      <c r="C961" s="7" t="n"/>
      <c r="D961" s="7" t="n"/>
      <c r="E961" s="7" t="n"/>
      <c r="F961" s="7" t="n"/>
      <c r="G961" s="7" t="n"/>
      <c r="H961" s="8" t="n"/>
      <c r="I961" s="9">
        <f>IF(H961="","",ROUND(H961/3.305785,3))</f>
        <v/>
      </c>
      <c r="J961" s="7" t="n"/>
      <c r="K961" s="7" t="n"/>
      <c r="L961" s="10">
        <f>IF(OR(J961="",K961="",K961=0),"",ROUND(J961/K961,6))</f>
        <v/>
      </c>
      <c r="M961" s="9">
        <f>IF(OR(H961="",J961="",K961="",K961=0),"",ROUND(H961*J961/K961/3.305785,3))</f>
        <v/>
      </c>
      <c r="N961" s="7" t="n"/>
      <c r="O961" s="11" t="n"/>
      <c r="P961" s="11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12">
        <f>IF(A961="","",IF(OR(B961="",C961="",D961="",E961="",G961="",H961="",J961="",K961=""),"必填欄位未完整",""))</f>
        <v/>
      </c>
      <c r="AB961" s="12">
        <f>IF(A961="","",A961&amp;"|"&amp;G961)</f>
        <v/>
      </c>
    </row>
    <row r="962" ht="24" customHeight="1">
      <c r="A962" s="7" t="n"/>
      <c r="B962" s="7" t="n"/>
      <c r="C962" s="7" t="n"/>
      <c r="D962" s="7" t="n"/>
      <c r="E962" s="7" t="n"/>
      <c r="F962" s="7" t="n"/>
      <c r="G962" s="7" t="n"/>
      <c r="H962" s="8" t="n"/>
      <c r="I962" s="9">
        <f>IF(H962="","",ROUND(H962/3.305785,3))</f>
        <v/>
      </c>
      <c r="J962" s="7" t="n"/>
      <c r="K962" s="7" t="n"/>
      <c r="L962" s="10">
        <f>IF(OR(J962="",K962="",K962=0),"",ROUND(J962/K962,6))</f>
        <v/>
      </c>
      <c r="M962" s="9">
        <f>IF(OR(H962="",J962="",K962="",K962=0),"",ROUND(H962*J962/K962/3.305785,3))</f>
        <v/>
      </c>
      <c r="N962" s="7" t="n"/>
      <c r="O962" s="11" t="n"/>
      <c r="P962" s="11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12">
        <f>IF(A962="","",IF(OR(B962="",C962="",D962="",E962="",G962="",H962="",J962="",K962=""),"必填欄位未完整",""))</f>
        <v/>
      </c>
      <c r="AB962" s="12">
        <f>IF(A962="","",A962&amp;"|"&amp;G962)</f>
        <v/>
      </c>
    </row>
    <row r="963" ht="24" customHeight="1">
      <c r="A963" s="7" t="n"/>
      <c r="B963" s="7" t="n"/>
      <c r="C963" s="7" t="n"/>
      <c r="D963" s="7" t="n"/>
      <c r="E963" s="7" t="n"/>
      <c r="F963" s="7" t="n"/>
      <c r="G963" s="7" t="n"/>
      <c r="H963" s="8" t="n"/>
      <c r="I963" s="9">
        <f>IF(H963="","",ROUND(H963/3.305785,3))</f>
        <v/>
      </c>
      <c r="J963" s="7" t="n"/>
      <c r="K963" s="7" t="n"/>
      <c r="L963" s="10">
        <f>IF(OR(J963="",K963="",K963=0),"",ROUND(J963/K963,6))</f>
        <v/>
      </c>
      <c r="M963" s="9">
        <f>IF(OR(H963="",J963="",K963="",K963=0),"",ROUND(H963*J963/K963/3.305785,3))</f>
        <v/>
      </c>
      <c r="N963" s="7" t="n"/>
      <c r="O963" s="11" t="n"/>
      <c r="P963" s="11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12">
        <f>IF(A963="","",IF(OR(B963="",C963="",D963="",E963="",G963="",H963="",J963="",K963=""),"必填欄位未完整",""))</f>
        <v/>
      </c>
      <c r="AB963" s="12">
        <f>IF(A963="","",A963&amp;"|"&amp;G963)</f>
        <v/>
      </c>
    </row>
    <row r="964" ht="24" customHeight="1">
      <c r="A964" s="7" t="n"/>
      <c r="B964" s="7" t="n"/>
      <c r="C964" s="7" t="n"/>
      <c r="D964" s="7" t="n"/>
      <c r="E964" s="7" t="n"/>
      <c r="F964" s="7" t="n"/>
      <c r="G964" s="7" t="n"/>
      <c r="H964" s="8" t="n"/>
      <c r="I964" s="9">
        <f>IF(H964="","",ROUND(H964/3.305785,3))</f>
        <v/>
      </c>
      <c r="J964" s="7" t="n"/>
      <c r="K964" s="7" t="n"/>
      <c r="L964" s="10">
        <f>IF(OR(J964="",K964="",K964=0),"",ROUND(J964/K964,6))</f>
        <v/>
      </c>
      <c r="M964" s="9">
        <f>IF(OR(H964="",J964="",K964="",K964=0),"",ROUND(H964*J964/K964/3.305785,3))</f>
        <v/>
      </c>
      <c r="N964" s="7" t="n"/>
      <c r="O964" s="11" t="n"/>
      <c r="P964" s="11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12">
        <f>IF(A964="","",IF(OR(B964="",C964="",D964="",E964="",G964="",H964="",J964="",K964=""),"必填欄位未完整",""))</f>
        <v/>
      </c>
      <c r="AB964" s="12">
        <f>IF(A964="","",A964&amp;"|"&amp;G964)</f>
        <v/>
      </c>
    </row>
    <row r="965" ht="24" customHeight="1">
      <c r="A965" s="7" t="n"/>
      <c r="B965" s="7" t="n"/>
      <c r="C965" s="7" t="n"/>
      <c r="D965" s="7" t="n"/>
      <c r="E965" s="7" t="n"/>
      <c r="F965" s="7" t="n"/>
      <c r="G965" s="7" t="n"/>
      <c r="H965" s="8" t="n"/>
      <c r="I965" s="9">
        <f>IF(H965="","",ROUND(H965/3.305785,3))</f>
        <v/>
      </c>
      <c r="J965" s="7" t="n"/>
      <c r="K965" s="7" t="n"/>
      <c r="L965" s="10">
        <f>IF(OR(J965="",K965="",K965=0),"",ROUND(J965/K965,6))</f>
        <v/>
      </c>
      <c r="M965" s="9">
        <f>IF(OR(H965="",J965="",K965="",K965=0),"",ROUND(H965*J965/K965/3.305785,3))</f>
        <v/>
      </c>
      <c r="N965" s="7" t="n"/>
      <c r="O965" s="11" t="n"/>
      <c r="P965" s="11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12">
        <f>IF(A965="","",IF(OR(B965="",C965="",D965="",E965="",G965="",H965="",J965="",K965=""),"必填欄位未完整",""))</f>
        <v/>
      </c>
      <c r="AB965" s="12">
        <f>IF(A965="","",A965&amp;"|"&amp;G965)</f>
        <v/>
      </c>
    </row>
    <row r="966" ht="24" customHeight="1">
      <c r="A966" s="7" t="n"/>
      <c r="B966" s="7" t="n"/>
      <c r="C966" s="7" t="n"/>
      <c r="D966" s="7" t="n"/>
      <c r="E966" s="7" t="n"/>
      <c r="F966" s="7" t="n"/>
      <c r="G966" s="7" t="n"/>
      <c r="H966" s="8" t="n"/>
      <c r="I966" s="9">
        <f>IF(H966="","",ROUND(H966/3.305785,3))</f>
        <v/>
      </c>
      <c r="J966" s="7" t="n"/>
      <c r="K966" s="7" t="n"/>
      <c r="L966" s="10">
        <f>IF(OR(J966="",K966="",K966=0),"",ROUND(J966/K966,6))</f>
        <v/>
      </c>
      <c r="M966" s="9">
        <f>IF(OR(H966="",J966="",K966="",K966=0),"",ROUND(H966*J966/K966/3.305785,3))</f>
        <v/>
      </c>
      <c r="N966" s="7" t="n"/>
      <c r="O966" s="11" t="n"/>
      <c r="P966" s="11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12">
        <f>IF(A966="","",IF(OR(B966="",C966="",D966="",E966="",G966="",H966="",J966="",K966=""),"必填欄位未完整",""))</f>
        <v/>
      </c>
      <c r="AB966" s="12">
        <f>IF(A966="","",A966&amp;"|"&amp;G966)</f>
        <v/>
      </c>
    </row>
    <row r="967" ht="24" customHeight="1">
      <c r="A967" s="7" t="n"/>
      <c r="B967" s="7" t="n"/>
      <c r="C967" s="7" t="n"/>
      <c r="D967" s="7" t="n"/>
      <c r="E967" s="7" t="n"/>
      <c r="F967" s="7" t="n"/>
      <c r="G967" s="7" t="n"/>
      <c r="H967" s="8" t="n"/>
      <c r="I967" s="9">
        <f>IF(H967="","",ROUND(H967/3.305785,3))</f>
        <v/>
      </c>
      <c r="J967" s="7" t="n"/>
      <c r="K967" s="7" t="n"/>
      <c r="L967" s="10">
        <f>IF(OR(J967="",K967="",K967=0),"",ROUND(J967/K967,6))</f>
        <v/>
      </c>
      <c r="M967" s="9">
        <f>IF(OR(H967="",J967="",K967="",K967=0),"",ROUND(H967*J967/K967/3.305785,3))</f>
        <v/>
      </c>
      <c r="N967" s="7" t="n"/>
      <c r="O967" s="11" t="n"/>
      <c r="P967" s="11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12">
        <f>IF(A967="","",IF(OR(B967="",C967="",D967="",E967="",G967="",H967="",J967="",K967=""),"必填欄位未完整",""))</f>
        <v/>
      </c>
      <c r="AB967" s="12">
        <f>IF(A967="","",A967&amp;"|"&amp;G967)</f>
        <v/>
      </c>
    </row>
    <row r="968" ht="24" customHeight="1">
      <c r="A968" s="7" t="n"/>
      <c r="B968" s="7" t="n"/>
      <c r="C968" s="7" t="n"/>
      <c r="D968" s="7" t="n"/>
      <c r="E968" s="7" t="n"/>
      <c r="F968" s="7" t="n"/>
      <c r="G968" s="7" t="n"/>
      <c r="H968" s="8" t="n"/>
      <c r="I968" s="9">
        <f>IF(H968="","",ROUND(H968/3.305785,3))</f>
        <v/>
      </c>
      <c r="J968" s="7" t="n"/>
      <c r="K968" s="7" t="n"/>
      <c r="L968" s="10">
        <f>IF(OR(J968="",K968="",K968=0),"",ROUND(J968/K968,6))</f>
        <v/>
      </c>
      <c r="M968" s="9">
        <f>IF(OR(H968="",J968="",K968="",K968=0),"",ROUND(H968*J968/K968/3.305785,3))</f>
        <v/>
      </c>
      <c r="N968" s="7" t="n"/>
      <c r="O968" s="11" t="n"/>
      <c r="P968" s="11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12">
        <f>IF(A968="","",IF(OR(B968="",C968="",D968="",E968="",G968="",H968="",J968="",K968=""),"必填欄位未完整",""))</f>
        <v/>
      </c>
      <c r="AB968" s="12">
        <f>IF(A968="","",A968&amp;"|"&amp;G968)</f>
        <v/>
      </c>
    </row>
    <row r="969" ht="24" customHeight="1">
      <c r="A969" s="7" t="n"/>
      <c r="B969" s="7" t="n"/>
      <c r="C969" s="7" t="n"/>
      <c r="D969" s="7" t="n"/>
      <c r="E969" s="7" t="n"/>
      <c r="F969" s="7" t="n"/>
      <c r="G969" s="7" t="n"/>
      <c r="H969" s="8" t="n"/>
      <c r="I969" s="9">
        <f>IF(H969="","",ROUND(H969/3.305785,3))</f>
        <v/>
      </c>
      <c r="J969" s="7" t="n"/>
      <c r="K969" s="7" t="n"/>
      <c r="L969" s="10">
        <f>IF(OR(J969="",K969="",K969=0),"",ROUND(J969/K969,6))</f>
        <v/>
      </c>
      <c r="M969" s="9">
        <f>IF(OR(H969="",J969="",K969="",K969=0),"",ROUND(H969*J969/K969/3.305785,3))</f>
        <v/>
      </c>
      <c r="N969" s="7" t="n"/>
      <c r="O969" s="11" t="n"/>
      <c r="P969" s="11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12">
        <f>IF(A969="","",IF(OR(B969="",C969="",D969="",E969="",G969="",H969="",J969="",K969=""),"必填欄位未完整",""))</f>
        <v/>
      </c>
      <c r="AB969" s="12">
        <f>IF(A969="","",A969&amp;"|"&amp;G969)</f>
        <v/>
      </c>
    </row>
    <row r="970" ht="24" customHeight="1">
      <c r="A970" s="7" t="n"/>
      <c r="B970" s="7" t="n"/>
      <c r="C970" s="7" t="n"/>
      <c r="D970" s="7" t="n"/>
      <c r="E970" s="7" t="n"/>
      <c r="F970" s="7" t="n"/>
      <c r="G970" s="7" t="n"/>
      <c r="H970" s="8" t="n"/>
      <c r="I970" s="9">
        <f>IF(H970="","",ROUND(H970/3.305785,3))</f>
        <v/>
      </c>
      <c r="J970" s="7" t="n"/>
      <c r="K970" s="7" t="n"/>
      <c r="L970" s="10">
        <f>IF(OR(J970="",K970="",K970=0),"",ROUND(J970/K970,6))</f>
        <v/>
      </c>
      <c r="M970" s="9">
        <f>IF(OR(H970="",J970="",K970="",K970=0),"",ROUND(H970*J970/K970/3.305785,3))</f>
        <v/>
      </c>
      <c r="N970" s="7" t="n"/>
      <c r="O970" s="11" t="n"/>
      <c r="P970" s="11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12">
        <f>IF(A970="","",IF(OR(B970="",C970="",D970="",E970="",G970="",H970="",J970="",K970=""),"必填欄位未完整",""))</f>
        <v/>
      </c>
      <c r="AB970" s="12">
        <f>IF(A970="","",A970&amp;"|"&amp;G970)</f>
        <v/>
      </c>
    </row>
    <row r="971" ht="24" customHeight="1">
      <c r="A971" s="7" t="n"/>
      <c r="B971" s="7" t="n"/>
      <c r="C971" s="7" t="n"/>
      <c r="D971" s="7" t="n"/>
      <c r="E971" s="7" t="n"/>
      <c r="F971" s="7" t="n"/>
      <c r="G971" s="7" t="n"/>
      <c r="H971" s="8" t="n"/>
      <c r="I971" s="9">
        <f>IF(H971="","",ROUND(H971/3.305785,3))</f>
        <v/>
      </c>
      <c r="J971" s="7" t="n"/>
      <c r="K971" s="7" t="n"/>
      <c r="L971" s="10">
        <f>IF(OR(J971="",K971="",K971=0),"",ROUND(J971/K971,6))</f>
        <v/>
      </c>
      <c r="M971" s="9">
        <f>IF(OR(H971="",J971="",K971="",K971=0),"",ROUND(H971*J971/K971/3.305785,3))</f>
        <v/>
      </c>
      <c r="N971" s="7" t="n"/>
      <c r="O971" s="11" t="n"/>
      <c r="P971" s="11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12">
        <f>IF(A971="","",IF(OR(B971="",C971="",D971="",E971="",G971="",H971="",J971="",K971=""),"必填欄位未完整",""))</f>
        <v/>
      </c>
      <c r="AB971" s="12">
        <f>IF(A971="","",A971&amp;"|"&amp;G971)</f>
        <v/>
      </c>
    </row>
    <row r="972" ht="24" customHeight="1">
      <c r="A972" s="7" t="n"/>
      <c r="B972" s="7" t="n"/>
      <c r="C972" s="7" t="n"/>
      <c r="D972" s="7" t="n"/>
      <c r="E972" s="7" t="n"/>
      <c r="F972" s="7" t="n"/>
      <c r="G972" s="7" t="n"/>
      <c r="H972" s="8" t="n"/>
      <c r="I972" s="9">
        <f>IF(H972="","",ROUND(H972/3.305785,3))</f>
        <v/>
      </c>
      <c r="J972" s="7" t="n"/>
      <c r="K972" s="7" t="n"/>
      <c r="L972" s="10">
        <f>IF(OR(J972="",K972="",K972=0),"",ROUND(J972/K972,6))</f>
        <v/>
      </c>
      <c r="M972" s="9">
        <f>IF(OR(H972="",J972="",K972="",K972=0),"",ROUND(H972*J972/K972/3.305785,3))</f>
        <v/>
      </c>
      <c r="N972" s="7" t="n"/>
      <c r="O972" s="11" t="n"/>
      <c r="P972" s="11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12">
        <f>IF(A972="","",IF(OR(B972="",C972="",D972="",E972="",G972="",H972="",J972="",K972=""),"必填欄位未完整",""))</f>
        <v/>
      </c>
      <c r="AB972" s="12">
        <f>IF(A972="","",A972&amp;"|"&amp;G972)</f>
        <v/>
      </c>
    </row>
    <row r="973" ht="24" customHeight="1">
      <c r="A973" s="7" t="n"/>
      <c r="B973" s="7" t="n"/>
      <c r="C973" s="7" t="n"/>
      <c r="D973" s="7" t="n"/>
      <c r="E973" s="7" t="n"/>
      <c r="F973" s="7" t="n"/>
      <c r="G973" s="7" t="n"/>
      <c r="H973" s="8" t="n"/>
      <c r="I973" s="9">
        <f>IF(H973="","",ROUND(H973/3.305785,3))</f>
        <v/>
      </c>
      <c r="J973" s="7" t="n"/>
      <c r="K973" s="7" t="n"/>
      <c r="L973" s="10">
        <f>IF(OR(J973="",K973="",K973=0),"",ROUND(J973/K973,6))</f>
        <v/>
      </c>
      <c r="M973" s="9">
        <f>IF(OR(H973="",J973="",K973="",K973=0),"",ROUND(H973*J973/K973/3.305785,3))</f>
        <v/>
      </c>
      <c r="N973" s="7" t="n"/>
      <c r="O973" s="11" t="n"/>
      <c r="P973" s="11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12">
        <f>IF(A973="","",IF(OR(B973="",C973="",D973="",E973="",G973="",H973="",J973="",K973=""),"必填欄位未完整",""))</f>
        <v/>
      </c>
      <c r="AB973" s="12">
        <f>IF(A973="","",A973&amp;"|"&amp;G973)</f>
        <v/>
      </c>
    </row>
    <row r="974" ht="24" customHeight="1">
      <c r="A974" s="7" t="n"/>
      <c r="B974" s="7" t="n"/>
      <c r="C974" s="7" t="n"/>
      <c r="D974" s="7" t="n"/>
      <c r="E974" s="7" t="n"/>
      <c r="F974" s="7" t="n"/>
      <c r="G974" s="7" t="n"/>
      <c r="H974" s="8" t="n"/>
      <c r="I974" s="9">
        <f>IF(H974="","",ROUND(H974/3.305785,3))</f>
        <v/>
      </c>
      <c r="J974" s="7" t="n"/>
      <c r="K974" s="7" t="n"/>
      <c r="L974" s="10">
        <f>IF(OR(J974="",K974="",K974=0),"",ROUND(J974/K974,6))</f>
        <v/>
      </c>
      <c r="M974" s="9">
        <f>IF(OR(H974="",J974="",K974="",K974=0),"",ROUND(H974*J974/K974/3.305785,3))</f>
        <v/>
      </c>
      <c r="N974" s="7" t="n"/>
      <c r="O974" s="11" t="n"/>
      <c r="P974" s="11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12">
        <f>IF(A974="","",IF(OR(B974="",C974="",D974="",E974="",G974="",H974="",J974="",K974=""),"必填欄位未完整",""))</f>
        <v/>
      </c>
      <c r="AB974" s="12">
        <f>IF(A974="","",A974&amp;"|"&amp;G974)</f>
        <v/>
      </c>
    </row>
    <row r="975" ht="24" customHeight="1">
      <c r="A975" s="7" t="n"/>
      <c r="B975" s="7" t="n"/>
      <c r="C975" s="7" t="n"/>
      <c r="D975" s="7" t="n"/>
      <c r="E975" s="7" t="n"/>
      <c r="F975" s="7" t="n"/>
      <c r="G975" s="7" t="n"/>
      <c r="H975" s="8" t="n"/>
      <c r="I975" s="9">
        <f>IF(H975="","",ROUND(H975/3.305785,3))</f>
        <v/>
      </c>
      <c r="J975" s="7" t="n"/>
      <c r="K975" s="7" t="n"/>
      <c r="L975" s="10">
        <f>IF(OR(J975="",K975="",K975=0),"",ROUND(J975/K975,6))</f>
        <v/>
      </c>
      <c r="M975" s="9">
        <f>IF(OR(H975="",J975="",K975="",K975=0),"",ROUND(H975*J975/K975/3.305785,3))</f>
        <v/>
      </c>
      <c r="N975" s="7" t="n"/>
      <c r="O975" s="11" t="n"/>
      <c r="P975" s="11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12">
        <f>IF(A975="","",IF(OR(B975="",C975="",D975="",E975="",G975="",H975="",J975="",K975=""),"必填欄位未完整",""))</f>
        <v/>
      </c>
      <c r="AB975" s="12">
        <f>IF(A975="","",A975&amp;"|"&amp;G975)</f>
        <v/>
      </c>
    </row>
    <row r="976" ht="24" customHeight="1">
      <c r="A976" s="7" t="n"/>
      <c r="B976" s="7" t="n"/>
      <c r="C976" s="7" t="n"/>
      <c r="D976" s="7" t="n"/>
      <c r="E976" s="7" t="n"/>
      <c r="F976" s="7" t="n"/>
      <c r="G976" s="7" t="n"/>
      <c r="H976" s="8" t="n"/>
      <c r="I976" s="9">
        <f>IF(H976="","",ROUND(H976/3.305785,3))</f>
        <v/>
      </c>
      <c r="J976" s="7" t="n"/>
      <c r="K976" s="7" t="n"/>
      <c r="L976" s="10">
        <f>IF(OR(J976="",K976="",K976=0),"",ROUND(J976/K976,6))</f>
        <v/>
      </c>
      <c r="M976" s="9">
        <f>IF(OR(H976="",J976="",K976="",K976=0),"",ROUND(H976*J976/K976/3.305785,3))</f>
        <v/>
      </c>
      <c r="N976" s="7" t="n"/>
      <c r="O976" s="11" t="n"/>
      <c r="P976" s="11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12">
        <f>IF(A976="","",IF(OR(B976="",C976="",D976="",E976="",G976="",H976="",J976="",K976=""),"必填欄位未完整",""))</f>
        <v/>
      </c>
      <c r="AB976" s="12">
        <f>IF(A976="","",A976&amp;"|"&amp;G976)</f>
        <v/>
      </c>
    </row>
    <row r="977" ht="24" customHeight="1">
      <c r="A977" s="7" t="n"/>
      <c r="B977" s="7" t="n"/>
      <c r="C977" s="7" t="n"/>
      <c r="D977" s="7" t="n"/>
      <c r="E977" s="7" t="n"/>
      <c r="F977" s="7" t="n"/>
      <c r="G977" s="7" t="n"/>
      <c r="H977" s="8" t="n"/>
      <c r="I977" s="9">
        <f>IF(H977="","",ROUND(H977/3.305785,3))</f>
        <v/>
      </c>
      <c r="J977" s="7" t="n"/>
      <c r="K977" s="7" t="n"/>
      <c r="L977" s="10">
        <f>IF(OR(J977="",K977="",K977=0),"",ROUND(J977/K977,6))</f>
        <v/>
      </c>
      <c r="M977" s="9">
        <f>IF(OR(H977="",J977="",K977="",K977=0),"",ROUND(H977*J977/K977/3.305785,3))</f>
        <v/>
      </c>
      <c r="N977" s="7" t="n"/>
      <c r="O977" s="11" t="n"/>
      <c r="P977" s="11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12">
        <f>IF(A977="","",IF(OR(B977="",C977="",D977="",E977="",G977="",H977="",J977="",K977=""),"必填欄位未完整",""))</f>
        <v/>
      </c>
      <c r="AB977" s="12">
        <f>IF(A977="","",A977&amp;"|"&amp;G977)</f>
        <v/>
      </c>
    </row>
    <row r="978" ht="24" customHeight="1">
      <c r="A978" s="7" t="n"/>
      <c r="B978" s="7" t="n"/>
      <c r="C978" s="7" t="n"/>
      <c r="D978" s="7" t="n"/>
      <c r="E978" s="7" t="n"/>
      <c r="F978" s="7" t="n"/>
      <c r="G978" s="7" t="n"/>
      <c r="H978" s="8" t="n"/>
      <c r="I978" s="9">
        <f>IF(H978="","",ROUND(H978/3.305785,3))</f>
        <v/>
      </c>
      <c r="J978" s="7" t="n"/>
      <c r="K978" s="7" t="n"/>
      <c r="L978" s="10">
        <f>IF(OR(J978="",K978="",K978=0),"",ROUND(J978/K978,6))</f>
        <v/>
      </c>
      <c r="M978" s="9">
        <f>IF(OR(H978="",J978="",K978="",K978=0),"",ROUND(H978*J978/K978/3.305785,3))</f>
        <v/>
      </c>
      <c r="N978" s="7" t="n"/>
      <c r="O978" s="11" t="n"/>
      <c r="P978" s="11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12">
        <f>IF(A978="","",IF(OR(B978="",C978="",D978="",E978="",G978="",H978="",J978="",K978=""),"必填欄位未完整",""))</f>
        <v/>
      </c>
      <c r="AB978" s="12">
        <f>IF(A978="","",A978&amp;"|"&amp;G978)</f>
        <v/>
      </c>
    </row>
    <row r="979" ht="24" customHeight="1">
      <c r="A979" s="7" t="n"/>
      <c r="B979" s="7" t="n"/>
      <c r="C979" s="7" t="n"/>
      <c r="D979" s="7" t="n"/>
      <c r="E979" s="7" t="n"/>
      <c r="F979" s="7" t="n"/>
      <c r="G979" s="7" t="n"/>
      <c r="H979" s="8" t="n"/>
      <c r="I979" s="9">
        <f>IF(H979="","",ROUND(H979/3.305785,3))</f>
        <v/>
      </c>
      <c r="J979" s="7" t="n"/>
      <c r="K979" s="7" t="n"/>
      <c r="L979" s="10">
        <f>IF(OR(J979="",K979="",K979=0),"",ROUND(J979/K979,6))</f>
        <v/>
      </c>
      <c r="M979" s="9">
        <f>IF(OR(H979="",J979="",K979="",K979=0),"",ROUND(H979*J979/K979/3.305785,3))</f>
        <v/>
      </c>
      <c r="N979" s="7" t="n"/>
      <c r="O979" s="11" t="n"/>
      <c r="P979" s="11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12">
        <f>IF(A979="","",IF(OR(B979="",C979="",D979="",E979="",G979="",H979="",J979="",K979=""),"必填欄位未完整",""))</f>
        <v/>
      </c>
      <c r="AB979" s="12">
        <f>IF(A979="","",A979&amp;"|"&amp;G979)</f>
        <v/>
      </c>
    </row>
    <row r="980" ht="24" customHeight="1">
      <c r="A980" s="7" t="n"/>
      <c r="B980" s="7" t="n"/>
      <c r="C980" s="7" t="n"/>
      <c r="D980" s="7" t="n"/>
      <c r="E980" s="7" t="n"/>
      <c r="F980" s="7" t="n"/>
      <c r="G980" s="7" t="n"/>
      <c r="H980" s="8" t="n"/>
      <c r="I980" s="9">
        <f>IF(H980="","",ROUND(H980/3.305785,3))</f>
        <v/>
      </c>
      <c r="J980" s="7" t="n"/>
      <c r="K980" s="7" t="n"/>
      <c r="L980" s="10">
        <f>IF(OR(J980="",K980="",K980=0),"",ROUND(J980/K980,6))</f>
        <v/>
      </c>
      <c r="M980" s="9">
        <f>IF(OR(H980="",J980="",K980="",K980=0),"",ROUND(H980*J980/K980/3.305785,3))</f>
        <v/>
      </c>
      <c r="N980" s="7" t="n"/>
      <c r="O980" s="11" t="n"/>
      <c r="P980" s="11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12">
        <f>IF(A980="","",IF(OR(B980="",C980="",D980="",E980="",G980="",H980="",J980="",K980=""),"必填欄位未完整",""))</f>
        <v/>
      </c>
      <c r="AB980" s="12">
        <f>IF(A980="","",A980&amp;"|"&amp;G980)</f>
        <v/>
      </c>
    </row>
    <row r="981" ht="24" customHeight="1">
      <c r="A981" s="7" t="n"/>
      <c r="B981" s="7" t="n"/>
      <c r="C981" s="7" t="n"/>
      <c r="D981" s="7" t="n"/>
      <c r="E981" s="7" t="n"/>
      <c r="F981" s="7" t="n"/>
      <c r="G981" s="7" t="n"/>
      <c r="H981" s="8" t="n"/>
      <c r="I981" s="9">
        <f>IF(H981="","",ROUND(H981/3.305785,3))</f>
        <v/>
      </c>
      <c r="J981" s="7" t="n"/>
      <c r="K981" s="7" t="n"/>
      <c r="L981" s="10">
        <f>IF(OR(J981="",K981="",K981=0),"",ROUND(J981/K981,6))</f>
        <v/>
      </c>
      <c r="M981" s="9">
        <f>IF(OR(H981="",J981="",K981="",K981=0),"",ROUND(H981*J981/K981/3.305785,3))</f>
        <v/>
      </c>
      <c r="N981" s="7" t="n"/>
      <c r="O981" s="11" t="n"/>
      <c r="P981" s="11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12">
        <f>IF(A981="","",IF(OR(B981="",C981="",D981="",E981="",G981="",H981="",J981="",K981=""),"必填欄位未完整",""))</f>
        <v/>
      </c>
      <c r="AB981" s="12">
        <f>IF(A981="","",A981&amp;"|"&amp;G981)</f>
        <v/>
      </c>
    </row>
    <row r="982" ht="24" customHeight="1">
      <c r="A982" s="7" t="n"/>
      <c r="B982" s="7" t="n"/>
      <c r="C982" s="7" t="n"/>
      <c r="D982" s="7" t="n"/>
      <c r="E982" s="7" t="n"/>
      <c r="F982" s="7" t="n"/>
      <c r="G982" s="7" t="n"/>
      <c r="H982" s="8" t="n"/>
      <c r="I982" s="9">
        <f>IF(H982="","",ROUND(H982/3.305785,3))</f>
        <v/>
      </c>
      <c r="J982" s="7" t="n"/>
      <c r="K982" s="7" t="n"/>
      <c r="L982" s="10">
        <f>IF(OR(J982="",K982="",K982=0),"",ROUND(J982/K982,6))</f>
        <v/>
      </c>
      <c r="M982" s="9">
        <f>IF(OR(H982="",J982="",K982="",K982=0),"",ROUND(H982*J982/K982/3.305785,3))</f>
        <v/>
      </c>
      <c r="N982" s="7" t="n"/>
      <c r="O982" s="11" t="n"/>
      <c r="P982" s="11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12">
        <f>IF(A982="","",IF(OR(B982="",C982="",D982="",E982="",G982="",H982="",J982="",K982=""),"必填欄位未完整",""))</f>
        <v/>
      </c>
      <c r="AB982" s="12">
        <f>IF(A982="","",A982&amp;"|"&amp;G982)</f>
        <v/>
      </c>
    </row>
    <row r="983" ht="24" customHeight="1">
      <c r="A983" s="7" t="n"/>
      <c r="B983" s="7" t="n"/>
      <c r="C983" s="7" t="n"/>
      <c r="D983" s="7" t="n"/>
      <c r="E983" s="7" t="n"/>
      <c r="F983" s="7" t="n"/>
      <c r="G983" s="7" t="n"/>
      <c r="H983" s="8" t="n"/>
      <c r="I983" s="9">
        <f>IF(H983="","",ROUND(H983/3.305785,3))</f>
        <v/>
      </c>
      <c r="J983" s="7" t="n"/>
      <c r="K983" s="7" t="n"/>
      <c r="L983" s="10">
        <f>IF(OR(J983="",K983="",K983=0),"",ROUND(J983/K983,6))</f>
        <v/>
      </c>
      <c r="M983" s="9">
        <f>IF(OR(H983="",J983="",K983="",K983=0),"",ROUND(H983*J983/K983/3.305785,3))</f>
        <v/>
      </c>
      <c r="N983" s="7" t="n"/>
      <c r="O983" s="11" t="n"/>
      <c r="P983" s="11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12">
        <f>IF(A983="","",IF(OR(B983="",C983="",D983="",E983="",G983="",H983="",J983="",K983=""),"必填欄位未完整",""))</f>
        <v/>
      </c>
      <c r="AB983" s="12">
        <f>IF(A983="","",A983&amp;"|"&amp;G983)</f>
        <v/>
      </c>
    </row>
    <row r="984" ht="24" customHeight="1">
      <c r="A984" s="7" t="n"/>
      <c r="B984" s="7" t="n"/>
      <c r="C984" s="7" t="n"/>
      <c r="D984" s="7" t="n"/>
      <c r="E984" s="7" t="n"/>
      <c r="F984" s="7" t="n"/>
      <c r="G984" s="7" t="n"/>
      <c r="H984" s="8" t="n"/>
      <c r="I984" s="9">
        <f>IF(H984="","",ROUND(H984/3.305785,3))</f>
        <v/>
      </c>
      <c r="J984" s="7" t="n"/>
      <c r="K984" s="7" t="n"/>
      <c r="L984" s="10">
        <f>IF(OR(J984="",K984="",K984=0),"",ROUND(J984/K984,6))</f>
        <v/>
      </c>
      <c r="M984" s="9">
        <f>IF(OR(H984="",J984="",K984="",K984=0),"",ROUND(H984*J984/K984/3.305785,3))</f>
        <v/>
      </c>
      <c r="N984" s="7" t="n"/>
      <c r="O984" s="11" t="n"/>
      <c r="P984" s="11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12">
        <f>IF(A984="","",IF(OR(B984="",C984="",D984="",E984="",G984="",H984="",J984="",K984=""),"必填欄位未完整",""))</f>
        <v/>
      </c>
      <c r="AB984" s="12">
        <f>IF(A984="","",A984&amp;"|"&amp;G984)</f>
        <v/>
      </c>
    </row>
    <row r="985" ht="24" customHeight="1">
      <c r="A985" s="7" t="n"/>
      <c r="B985" s="7" t="n"/>
      <c r="C985" s="7" t="n"/>
      <c r="D985" s="7" t="n"/>
      <c r="E985" s="7" t="n"/>
      <c r="F985" s="7" t="n"/>
      <c r="G985" s="7" t="n"/>
      <c r="H985" s="8" t="n"/>
      <c r="I985" s="9">
        <f>IF(H985="","",ROUND(H985/3.305785,3))</f>
        <v/>
      </c>
      <c r="J985" s="7" t="n"/>
      <c r="K985" s="7" t="n"/>
      <c r="L985" s="10">
        <f>IF(OR(J985="",K985="",K985=0),"",ROUND(J985/K985,6))</f>
        <v/>
      </c>
      <c r="M985" s="9">
        <f>IF(OR(H985="",J985="",K985="",K985=0),"",ROUND(H985*J985/K985/3.305785,3))</f>
        <v/>
      </c>
      <c r="N985" s="7" t="n"/>
      <c r="O985" s="11" t="n"/>
      <c r="P985" s="11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12">
        <f>IF(A985="","",IF(OR(B985="",C985="",D985="",E985="",G985="",H985="",J985="",K985=""),"必填欄位未完整",""))</f>
        <v/>
      </c>
      <c r="AB985" s="12">
        <f>IF(A985="","",A985&amp;"|"&amp;G985)</f>
        <v/>
      </c>
    </row>
    <row r="986" ht="24" customHeight="1">
      <c r="A986" s="7" t="n"/>
      <c r="B986" s="7" t="n"/>
      <c r="C986" s="7" t="n"/>
      <c r="D986" s="7" t="n"/>
      <c r="E986" s="7" t="n"/>
      <c r="F986" s="7" t="n"/>
      <c r="G986" s="7" t="n"/>
      <c r="H986" s="8" t="n"/>
      <c r="I986" s="9">
        <f>IF(H986="","",ROUND(H986/3.305785,3))</f>
        <v/>
      </c>
      <c r="J986" s="7" t="n"/>
      <c r="K986" s="7" t="n"/>
      <c r="L986" s="10">
        <f>IF(OR(J986="",K986="",K986=0),"",ROUND(J986/K986,6))</f>
        <v/>
      </c>
      <c r="M986" s="9">
        <f>IF(OR(H986="",J986="",K986="",K986=0),"",ROUND(H986*J986/K986/3.305785,3))</f>
        <v/>
      </c>
      <c r="N986" s="7" t="n"/>
      <c r="O986" s="11" t="n"/>
      <c r="P986" s="11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12">
        <f>IF(A986="","",IF(OR(B986="",C986="",D986="",E986="",G986="",H986="",J986="",K986=""),"必填欄位未完整",""))</f>
        <v/>
      </c>
      <c r="AB986" s="12">
        <f>IF(A986="","",A986&amp;"|"&amp;G986)</f>
        <v/>
      </c>
    </row>
    <row r="987" ht="24" customHeight="1">
      <c r="A987" s="7" t="n"/>
      <c r="B987" s="7" t="n"/>
      <c r="C987" s="7" t="n"/>
      <c r="D987" s="7" t="n"/>
      <c r="E987" s="7" t="n"/>
      <c r="F987" s="7" t="n"/>
      <c r="G987" s="7" t="n"/>
      <c r="H987" s="8" t="n"/>
      <c r="I987" s="9">
        <f>IF(H987="","",ROUND(H987/3.305785,3))</f>
        <v/>
      </c>
      <c r="J987" s="7" t="n"/>
      <c r="K987" s="7" t="n"/>
      <c r="L987" s="10">
        <f>IF(OR(J987="",K987="",K987=0),"",ROUND(J987/K987,6))</f>
        <v/>
      </c>
      <c r="M987" s="9">
        <f>IF(OR(H987="",J987="",K987="",K987=0),"",ROUND(H987*J987/K987/3.305785,3))</f>
        <v/>
      </c>
      <c r="N987" s="7" t="n"/>
      <c r="O987" s="11" t="n"/>
      <c r="P987" s="11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12">
        <f>IF(A987="","",IF(OR(B987="",C987="",D987="",E987="",G987="",H987="",J987="",K987=""),"必填欄位未完整",""))</f>
        <v/>
      </c>
      <c r="AB987" s="12">
        <f>IF(A987="","",A987&amp;"|"&amp;G987)</f>
        <v/>
      </c>
    </row>
    <row r="988" ht="24" customHeight="1">
      <c r="A988" s="7" t="n"/>
      <c r="B988" s="7" t="n"/>
      <c r="C988" s="7" t="n"/>
      <c r="D988" s="7" t="n"/>
      <c r="E988" s="7" t="n"/>
      <c r="F988" s="7" t="n"/>
      <c r="G988" s="7" t="n"/>
      <c r="H988" s="8" t="n"/>
      <c r="I988" s="9">
        <f>IF(H988="","",ROUND(H988/3.305785,3))</f>
        <v/>
      </c>
      <c r="J988" s="7" t="n"/>
      <c r="K988" s="7" t="n"/>
      <c r="L988" s="10">
        <f>IF(OR(J988="",K988="",K988=0),"",ROUND(J988/K988,6))</f>
        <v/>
      </c>
      <c r="M988" s="9">
        <f>IF(OR(H988="",J988="",K988="",K988=0),"",ROUND(H988*J988/K988/3.305785,3))</f>
        <v/>
      </c>
      <c r="N988" s="7" t="n"/>
      <c r="O988" s="11" t="n"/>
      <c r="P988" s="11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12">
        <f>IF(A988="","",IF(OR(B988="",C988="",D988="",E988="",G988="",H988="",J988="",K988=""),"必填欄位未完整",""))</f>
        <v/>
      </c>
      <c r="AB988" s="12">
        <f>IF(A988="","",A988&amp;"|"&amp;G988)</f>
        <v/>
      </c>
    </row>
    <row r="989" ht="24" customHeight="1">
      <c r="A989" s="7" t="n"/>
      <c r="B989" s="7" t="n"/>
      <c r="C989" s="7" t="n"/>
      <c r="D989" s="7" t="n"/>
      <c r="E989" s="7" t="n"/>
      <c r="F989" s="7" t="n"/>
      <c r="G989" s="7" t="n"/>
      <c r="H989" s="8" t="n"/>
      <c r="I989" s="9">
        <f>IF(H989="","",ROUND(H989/3.305785,3))</f>
        <v/>
      </c>
      <c r="J989" s="7" t="n"/>
      <c r="K989" s="7" t="n"/>
      <c r="L989" s="10">
        <f>IF(OR(J989="",K989="",K989=0),"",ROUND(J989/K989,6))</f>
        <v/>
      </c>
      <c r="M989" s="9">
        <f>IF(OR(H989="",J989="",K989="",K989=0),"",ROUND(H989*J989/K989/3.305785,3))</f>
        <v/>
      </c>
      <c r="N989" s="7" t="n"/>
      <c r="O989" s="11" t="n"/>
      <c r="P989" s="11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12">
        <f>IF(A989="","",IF(OR(B989="",C989="",D989="",E989="",G989="",H989="",J989="",K989=""),"必填欄位未完整",""))</f>
        <v/>
      </c>
      <c r="AB989" s="12">
        <f>IF(A989="","",A989&amp;"|"&amp;G989)</f>
        <v/>
      </c>
    </row>
    <row r="990" ht="24" customHeight="1">
      <c r="A990" s="7" t="n"/>
      <c r="B990" s="7" t="n"/>
      <c r="C990" s="7" t="n"/>
      <c r="D990" s="7" t="n"/>
      <c r="E990" s="7" t="n"/>
      <c r="F990" s="7" t="n"/>
      <c r="G990" s="7" t="n"/>
      <c r="H990" s="8" t="n"/>
      <c r="I990" s="9">
        <f>IF(H990="","",ROUND(H990/3.305785,3))</f>
        <v/>
      </c>
      <c r="J990" s="7" t="n"/>
      <c r="K990" s="7" t="n"/>
      <c r="L990" s="10">
        <f>IF(OR(J990="",K990="",K990=0),"",ROUND(J990/K990,6))</f>
        <v/>
      </c>
      <c r="M990" s="9">
        <f>IF(OR(H990="",J990="",K990="",K990=0),"",ROUND(H990*J990/K990/3.305785,3))</f>
        <v/>
      </c>
      <c r="N990" s="7" t="n"/>
      <c r="O990" s="11" t="n"/>
      <c r="P990" s="11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12">
        <f>IF(A990="","",IF(OR(B990="",C990="",D990="",E990="",G990="",H990="",J990="",K990=""),"必填欄位未完整",""))</f>
        <v/>
      </c>
      <c r="AB990" s="12">
        <f>IF(A990="","",A990&amp;"|"&amp;G990)</f>
        <v/>
      </c>
    </row>
    <row r="991" ht="24" customHeight="1">
      <c r="A991" s="7" t="n"/>
      <c r="B991" s="7" t="n"/>
      <c r="C991" s="7" t="n"/>
      <c r="D991" s="7" t="n"/>
      <c r="E991" s="7" t="n"/>
      <c r="F991" s="7" t="n"/>
      <c r="G991" s="7" t="n"/>
      <c r="H991" s="8" t="n"/>
      <c r="I991" s="9">
        <f>IF(H991="","",ROUND(H991/3.305785,3))</f>
        <v/>
      </c>
      <c r="J991" s="7" t="n"/>
      <c r="K991" s="7" t="n"/>
      <c r="L991" s="10">
        <f>IF(OR(J991="",K991="",K991=0),"",ROUND(J991/K991,6))</f>
        <v/>
      </c>
      <c r="M991" s="9">
        <f>IF(OR(H991="",J991="",K991="",K991=0),"",ROUND(H991*J991/K991/3.305785,3))</f>
        <v/>
      </c>
      <c r="N991" s="7" t="n"/>
      <c r="O991" s="11" t="n"/>
      <c r="P991" s="11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12">
        <f>IF(A991="","",IF(OR(B991="",C991="",D991="",E991="",G991="",H991="",J991="",K991=""),"必填欄位未完整",""))</f>
        <v/>
      </c>
      <c r="AB991" s="12">
        <f>IF(A991="","",A991&amp;"|"&amp;G991)</f>
        <v/>
      </c>
    </row>
    <row r="992" ht="24" customHeight="1">
      <c r="A992" s="7" t="n"/>
      <c r="B992" s="7" t="n"/>
      <c r="C992" s="7" t="n"/>
      <c r="D992" s="7" t="n"/>
      <c r="E992" s="7" t="n"/>
      <c r="F992" s="7" t="n"/>
      <c r="G992" s="7" t="n"/>
      <c r="H992" s="8" t="n"/>
      <c r="I992" s="9">
        <f>IF(H992="","",ROUND(H992/3.305785,3))</f>
        <v/>
      </c>
      <c r="J992" s="7" t="n"/>
      <c r="K992" s="7" t="n"/>
      <c r="L992" s="10">
        <f>IF(OR(J992="",K992="",K992=0),"",ROUND(J992/K992,6))</f>
        <v/>
      </c>
      <c r="M992" s="9">
        <f>IF(OR(H992="",J992="",K992="",K992=0),"",ROUND(H992*J992/K992/3.305785,3))</f>
        <v/>
      </c>
      <c r="N992" s="7" t="n"/>
      <c r="O992" s="11" t="n"/>
      <c r="P992" s="11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12">
        <f>IF(A992="","",IF(OR(B992="",C992="",D992="",E992="",G992="",H992="",J992="",K992=""),"必填欄位未完整",""))</f>
        <v/>
      </c>
      <c r="AB992" s="12">
        <f>IF(A992="","",A992&amp;"|"&amp;G992)</f>
        <v/>
      </c>
    </row>
    <row r="993" ht="24" customHeight="1">
      <c r="A993" s="7" t="n"/>
      <c r="B993" s="7" t="n"/>
      <c r="C993" s="7" t="n"/>
      <c r="D993" s="7" t="n"/>
      <c r="E993" s="7" t="n"/>
      <c r="F993" s="7" t="n"/>
      <c r="G993" s="7" t="n"/>
      <c r="H993" s="8" t="n"/>
      <c r="I993" s="9">
        <f>IF(H993="","",ROUND(H993/3.305785,3))</f>
        <v/>
      </c>
      <c r="J993" s="7" t="n"/>
      <c r="K993" s="7" t="n"/>
      <c r="L993" s="10">
        <f>IF(OR(J993="",K993="",K993=0),"",ROUND(J993/K993,6))</f>
        <v/>
      </c>
      <c r="M993" s="9">
        <f>IF(OR(H993="",J993="",K993="",K993=0),"",ROUND(H993*J993/K993/3.305785,3))</f>
        <v/>
      </c>
      <c r="N993" s="7" t="n"/>
      <c r="O993" s="11" t="n"/>
      <c r="P993" s="11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12">
        <f>IF(A993="","",IF(OR(B993="",C993="",D993="",E993="",G993="",H993="",J993="",K993=""),"必填欄位未完整",""))</f>
        <v/>
      </c>
      <c r="AB993" s="12">
        <f>IF(A993="","",A993&amp;"|"&amp;G993)</f>
        <v/>
      </c>
    </row>
    <row r="994" ht="24" customHeight="1">
      <c r="A994" s="7" t="n"/>
      <c r="B994" s="7" t="n"/>
      <c r="C994" s="7" t="n"/>
      <c r="D994" s="7" t="n"/>
      <c r="E994" s="7" t="n"/>
      <c r="F994" s="7" t="n"/>
      <c r="G994" s="7" t="n"/>
      <c r="H994" s="8" t="n"/>
      <c r="I994" s="9">
        <f>IF(H994="","",ROUND(H994/3.305785,3))</f>
        <v/>
      </c>
      <c r="J994" s="7" t="n"/>
      <c r="K994" s="7" t="n"/>
      <c r="L994" s="10">
        <f>IF(OR(J994="",K994="",K994=0),"",ROUND(J994/K994,6))</f>
        <v/>
      </c>
      <c r="M994" s="9">
        <f>IF(OR(H994="",J994="",K994="",K994=0),"",ROUND(H994*J994/K994/3.305785,3))</f>
        <v/>
      </c>
      <c r="N994" s="7" t="n"/>
      <c r="O994" s="11" t="n"/>
      <c r="P994" s="11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12">
        <f>IF(A994="","",IF(OR(B994="",C994="",D994="",E994="",G994="",H994="",J994="",K994=""),"必填欄位未完整",""))</f>
        <v/>
      </c>
      <c r="AB994" s="12">
        <f>IF(A994="","",A994&amp;"|"&amp;G994)</f>
        <v/>
      </c>
    </row>
    <row r="995" ht="24" customHeight="1">
      <c r="A995" s="7" t="n"/>
      <c r="B995" s="7" t="n"/>
      <c r="C995" s="7" t="n"/>
      <c r="D995" s="7" t="n"/>
      <c r="E995" s="7" t="n"/>
      <c r="F995" s="7" t="n"/>
      <c r="G995" s="7" t="n"/>
      <c r="H995" s="8" t="n"/>
      <c r="I995" s="9">
        <f>IF(H995="","",ROUND(H995/3.305785,3))</f>
        <v/>
      </c>
      <c r="J995" s="7" t="n"/>
      <c r="K995" s="7" t="n"/>
      <c r="L995" s="10">
        <f>IF(OR(J995="",K995="",K995=0),"",ROUND(J995/K995,6))</f>
        <v/>
      </c>
      <c r="M995" s="9">
        <f>IF(OR(H995="",J995="",K995="",K995=0),"",ROUND(H995*J995/K995/3.305785,3))</f>
        <v/>
      </c>
      <c r="N995" s="7" t="n"/>
      <c r="O995" s="11" t="n"/>
      <c r="P995" s="11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12">
        <f>IF(A995="","",IF(OR(B995="",C995="",D995="",E995="",G995="",H995="",J995="",K995=""),"必填欄位未完整",""))</f>
        <v/>
      </c>
      <c r="AB995" s="12">
        <f>IF(A995="","",A995&amp;"|"&amp;G995)</f>
        <v/>
      </c>
    </row>
    <row r="996" ht="24" customHeight="1">
      <c r="A996" s="7" t="n"/>
      <c r="B996" s="7" t="n"/>
      <c r="C996" s="7" t="n"/>
      <c r="D996" s="7" t="n"/>
      <c r="E996" s="7" t="n"/>
      <c r="F996" s="7" t="n"/>
      <c r="G996" s="7" t="n"/>
      <c r="H996" s="8" t="n"/>
      <c r="I996" s="9">
        <f>IF(H996="","",ROUND(H996/3.305785,3))</f>
        <v/>
      </c>
      <c r="J996" s="7" t="n"/>
      <c r="K996" s="7" t="n"/>
      <c r="L996" s="10">
        <f>IF(OR(J996="",K996="",K996=0),"",ROUND(J996/K996,6))</f>
        <v/>
      </c>
      <c r="M996" s="9">
        <f>IF(OR(H996="",J996="",K996="",K996=0),"",ROUND(H996*J996/K996/3.305785,3))</f>
        <v/>
      </c>
      <c r="N996" s="7" t="n"/>
      <c r="O996" s="11" t="n"/>
      <c r="P996" s="11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12">
        <f>IF(A996="","",IF(OR(B996="",C996="",D996="",E996="",G996="",H996="",J996="",K996=""),"必填欄位未完整",""))</f>
        <v/>
      </c>
      <c r="AB996" s="12">
        <f>IF(A996="","",A996&amp;"|"&amp;G996)</f>
        <v/>
      </c>
    </row>
    <row r="997" ht="24" customHeight="1">
      <c r="A997" s="7" t="n"/>
      <c r="B997" s="7" t="n"/>
      <c r="C997" s="7" t="n"/>
      <c r="D997" s="7" t="n"/>
      <c r="E997" s="7" t="n"/>
      <c r="F997" s="7" t="n"/>
      <c r="G997" s="7" t="n"/>
      <c r="H997" s="8" t="n"/>
      <c r="I997" s="9">
        <f>IF(H997="","",ROUND(H997/3.305785,3))</f>
        <v/>
      </c>
      <c r="J997" s="7" t="n"/>
      <c r="K997" s="7" t="n"/>
      <c r="L997" s="10">
        <f>IF(OR(J997="",K997="",K997=0),"",ROUND(J997/K997,6))</f>
        <v/>
      </c>
      <c r="M997" s="9">
        <f>IF(OR(H997="",J997="",K997="",K997=0),"",ROUND(H997*J997/K997/3.305785,3))</f>
        <v/>
      </c>
      <c r="N997" s="7" t="n"/>
      <c r="O997" s="11" t="n"/>
      <c r="P997" s="11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12">
        <f>IF(A997="","",IF(OR(B997="",C997="",D997="",E997="",G997="",H997="",J997="",K997=""),"必填欄位未完整",""))</f>
        <v/>
      </c>
      <c r="AB997" s="12">
        <f>IF(A997="","",A997&amp;"|"&amp;G997)</f>
        <v/>
      </c>
    </row>
    <row r="998" ht="24" customHeight="1">
      <c r="A998" s="7" t="n"/>
      <c r="B998" s="7" t="n"/>
      <c r="C998" s="7" t="n"/>
      <c r="D998" s="7" t="n"/>
      <c r="E998" s="7" t="n"/>
      <c r="F998" s="7" t="n"/>
      <c r="G998" s="7" t="n"/>
      <c r="H998" s="8" t="n"/>
      <c r="I998" s="9">
        <f>IF(H998="","",ROUND(H998/3.305785,3))</f>
        <v/>
      </c>
      <c r="J998" s="7" t="n"/>
      <c r="K998" s="7" t="n"/>
      <c r="L998" s="10">
        <f>IF(OR(J998="",K998="",K998=0),"",ROUND(J998/K998,6))</f>
        <v/>
      </c>
      <c r="M998" s="9">
        <f>IF(OR(H998="",J998="",K998="",K998=0),"",ROUND(H998*J998/K998/3.305785,3))</f>
        <v/>
      </c>
      <c r="N998" s="7" t="n"/>
      <c r="O998" s="11" t="n"/>
      <c r="P998" s="11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12">
        <f>IF(A998="","",IF(OR(B998="",C998="",D998="",E998="",G998="",H998="",J998="",K998=""),"必填欄位未完整",""))</f>
        <v/>
      </c>
      <c r="AB998" s="12">
        <f>IF(A998="","",A998&amp;"|"&amp;G998)</f>
        <v/>
      </c>
    </row>
    <row r="999" ht="24" customHeight="1">
      <c r="A999" s="7" t="n"/>
      <c r="B999" s="7" t="n"/>
      <c r="C999" s="7" t="n"/>
      <c r="D999" s="7" t="n"/>
      <c r="E999" s="7" t="n"/>
      <c r="F999" s="7" t="n"/>
      <c r="G999" s="7" t="n"/>
      <c r="H999" s="8" t="n"/>
      <c r="I999" s="9">
        <f>IF(H999="","",ROUND(H999/3.305785,3))</f>
        <v/>
      </c>
      <c r="J999" s="7" t="n"/>
      <c r="K999" s="7" t="n"/>
      <c r="L999" s="10">
        <f>IF(OR(J999="",K999="",K999=0),"",ROUND(J999/K999,6))</f>
        <v/>
      </c>
      <c r="M999" s="9">
        <f>IF(OR(H999="",J999="",K999="",K999=0),"",ROUND(H999*J999/K999/3.305785,3))</f>
        <v/>
      </c>
      <c r="N999" s="7" t="n"/>
      <c r="O999" s="11" t="n"/>
      <c r="P999" s="11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12">
        <f>IF(A999="","",IF(OR(B999="",C999="",D999="",E999="",G999="",H999="",J999="",K999=""),"必填欄位未完整",""))</f>
        <v/>
      </c>
      <c r="AB999" s="12">
        <f>IF(A999="","",A999&amp;"|"&amp;G999)</f>
        <v/>
      </c>
    </row>
    <row r="1000" ht="24" customHeight="1">
      <c r="A1000" s="7" t="n"/>
      <c r="B1000" s="7" t="n"/>
      <c r="C1000" s="7" t="n"/>
      <c r="D1000" s="7" t="n"/>
      <c r="E1000" s="7" t="n"/>
      <c r="F1000" s="7" t="n"/>
      <c r="G1000" s="7" t="n"/>
      <c r="H1000" s="8" t="n"/>
      <c r="I1000" s="9">
        <f>IF(H1000="","",ROUND(H1000/3.305785,3))</f>
        <v/>
      </c>
      <c r="J1000" s="7" t="n"/>
      <c r="K1000" s="7" t="n"/>
      <c r="L1000" s="10">
        <f>IF(OR(J1000="",K1000="",K1000=0),"",ROUND(J1000/K1000,6))</f>
        <v/>
      </c>
      <c r="M1000" s="9">
        <f>IF(OR(H1000="",J1000="",K1000="",K1000=0),"",ROUND(H1000*J1000/K1000/3.305785,3))</f>
        <v/>
      </c>
      <c r="N1000" s="7" t="n"/>
      <c r="O1000" s="11" t="n"/>
      <c r="P1000" s="11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12">
        <f>IF(A1000="","",IF(OR(B1000="",C1000="",D1000="",E1000="",G1000="",H1000="",J1000="",K1000=""),"必填欄位未完整",""))</f>
        <v/>
      </c>
      <c r="AB1000" s="12">
        <f>IF(A1000="","",A1000&amp;"|"&amp;G1000)</f>
        <v/>
      </c>
    </row>
    <row r="1001" ht="24" customHeight="1">
      <c r="A1001" s="7" t="n"/>
      <c r="B1001" s="7" t="n"/>
      <c r="C1001" s="7" t="n"/>
      <c r="D1001" s="7" t="n"/>
      <c r="E1001" s="7" t="n"/>
      <c r="F1001" s="7" t="n"/>
      <c r="G1001" s="7" t="n"/>
      <c r="H1001" s="8" t="n"/>
      <c r="I1001" s="9">
        <f>IF(H1001="","",ROUND(H1001/3.305785,3))</f>
        <v/>
      </c>
      <c r="J1001" s="7" t="n"/>
      <c r="K1001" s="7" t="n"/>
      <c r="L1001" s="10">
        <f>IF(OR(J1001="",K1001="",K1001=0),"",ROUND(J1001/K1001,6))</f>
        <v/>
      </c>
      <c r="M1001" s="9">
        <f>IF(OR(H1001="",J1001="",K1001="",K1001=0),"",ROUND(H1001*J1001/K1001/3.305785,3))</f>
        <v/>
      </c>
      <c r="N1001" s="7" t="n"/>
      <c r="O1001" s="11" t="n"/>
      <c r="P1001" s="11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12">
        <f>IF(A1001="","",IF(OR(B1001="",C1001="",D1001="",E1001="",G1001="",H1001="",J1001="",K1001=""),"必填欄位未完整",""))</f>
        <v/>
      </c>
      <c r="AB1001" s="12">
        <f>IF(A1001="","",A1001&amp;"|"&amp;G1001)</f>
        <v/>
      </c>
    </row>
    <row r="1002" ht="24" customHeight="1">
      <c r="A1002" s="7" t="n"/>
      <c r="B1002" s="7" t="n"/>
      <c r="C1002" s="7" t="n"/>
      <c r="D1002" s="7" t="n"/>
      <c r="E1002" s="7" t="n"/>
      <c r="F1002" s="7" t="n"/>
      <c r="G1002" s="7" t="n"/>
      <c r="H1002" s="8" t="n"/>
      <c r="I1002" s="9">
        <f>IF(H1002="","",ROUND(H1002/3.305785,3))</f>
        <v/>
      </c>
      <c r="J1002" s="7" t="n"/>
      <c r="K1002" s="7" t="n"/>
      <c r="L1002" s="10">
        <f>IF(OR(J1002="",K1002="",K1002=0),"",ROUND(J1002/K1002,6))</f>
        <v/>
      </c>
      <c r="M1002" s="9">
        <f>IF(OR(H1002="",J1002="",K1002="",K1002=0),"",ROUND(H1002*J1002/K1002/3.305785,3))</f>
        <v/>
      </c>
      <c r="N1002" s="7" t="n"/>
      <c r="O1002" s="11" t="n"/>
      <c r="P1002" s="11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12">
        <f>IF(A1002="","",IF(OR(B1002="",C1002="",D1002="",E1002="",G1002="",H1002="",J1002="",K1002=""),"必填欄位未完整",""))</f>
        <v/>
      </c>
      <c r="AB1002" s="12">
        <f>IF(A1002="","",A1002&amp;"|"&amp;G1002)</f>
        <v/>
      </c>
    </row>
    <row r="1003" ht="24" customHeight="1">
      <c r="A1003" s="7" t="n"/>
      <c r="B1003" s="7" t="n"/>
      <c r="C1003" s="7" t="n"/>
      <c r="D1003" s="7" t="n"/>
      <c r="E1003" s="7" t="n"/>
      <c r="F1003" s="7" t="n"/>
      <c r="G1003" s="7" t="n"/>
      <c r="H1003" s="8" t="n"/>
      <c r="I1003" s="9">
        <f>IF(H1003="","",ROUND(H1003/3.305785,3))</f>
        <v/>
      </c>
      <c r="J1003" s="7" t="n"/>
      <c r="K1003" s="7" t="n"/>
      <c r="L1003" s="10">
        <f>IF(OR(J1003="",K1003="",K1003=0),"",ROUND(J1003/K1003,6))</f>
        <v/>
      </c>
      <c r="M1003" s="9">
        <f>IF(OR(H1003="",J1003="",K1003="",K1003=0),"",ROUND(H1003*J1003/K1003/3.305785,3))</f>
        <v/>
      </c>
      <c r="N1003" s="7" t="n"/>
      <c r="O1003" s="11" t="n"/>
      <c r="P1003" s="11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12">
        <f>IF(A1003="","",IF(OR(B1003="",C1003="",D1003="",E1003="",G1003="",H1003="",J1003="",K1003=""),"必填欄位未完整",""))</f>
        <v/>
      </c>
      <c r="AB1003" s="12">
        <f>IF(A1003="","",A1003&amp;"|"&amp;G1003)</f>
        <v/>
      </c>
    </row>
    <row r="1004" ht="24" customHeight="1">
      <c r="A1004" s="7" t="n"/>
      <c r="B1004" s="7" t="n"/>
      <c r="C1004" s="7" t="n"/>
      <c r="D1004" s="7" t="n"/>
      <c r="E1004" s="7" t="n"/>
      <c r="F1004" s="7" t="n"/>
      <c r="G1004" s="7" t="n"/>
      <c r="H1004" s="8" t="n"/>
      <c r="I1004" s="9">
        <f>IF(H1004="","",ROUND(H1004/3.305785,3))</f>
        <v/>
      </c>
      <c r="J1004" s="7" t="n"/>
      <c r="K1004" s="7" t="n"/>
      <c r="L1004" s="10">
        <f>IF(OR(J1004="",K1004="",K1004=0),"",ROUND(J1004/K1004,6))</f>
        <v/>
      </c>
      <c r="M1004" s="9">
        <f>IF(OR(H1004="",J1004="",K1004="",K1004=0),"",ROUND(H1004*J1004/K1004/3.305785,3))</f>
        <v/>
      </c>
      <c r="N1004" s="7" t="n"/>
      <c r="O1004" s="11" t="n"/>
      <c r="P1004" s="11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12">
        <f>IF(A1004="","",IF(OR(B1004="",C1004="",D1004="",E1004="",G1004="",H1004="",J1004="",K1004=""),"必填欄位未完整",""))</f>
        <v/>
      </c>
      <c r="AB1004" s="12">
        <f>IF(A1004="","",A1004&amp;"|"&amp;G1004)</f>
        <v/>
      </c>
    </row>
    <row r="1005" ht="24" customHeight="1">
      <c r="A1005" s="7" t="n"/>
      <c r="B1005" s="7" t="n"/>
      <c r="C1005" s="7" t="n"/>
      <c r="D1005" s="7" t="n"/>
      <c r="E1005" s="7" t="n"/>
      <c r="F1005" s="7" t="n"/>
      <c r="G1005" s="7" t="n"/>
      <c r="H1005" s="8" t="n"/>
      <c r="I1005" s="9">
        <f>IF(H1005="","",ROUND(H1005/3.305785,3))</f>
        <v/>
      </c>
      <c r="J1005" s="7" t="n"/>
      <c r="K1005" s="7" t="n"/>
      <c r="L1005" s="10">
        <f>IF(OR(J1005="",K1005="",K1005=0),"",ROUND(J1005/K1005,6))</f>
        <v/>
      </c>
      <c r="M1005" s="9">
        <f>IF(OR(H1005="",J1005="",K1005="",K1005=0),"",ROUND(H1005*J1005/K1005/3.305785,3))</f>
        <v/>
      </c>
      <c r="N1005" s="7" t="n"/>
      <c r="O1005" s="11" t="n"/>
      <c r="P1005" s="11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12">
        <f>IF(A1005="","",IF(OR(B1005="",C1005="",D1005="",E1005="",G1005="",H1005="",J1005="",K1005=""),"必填欄位未完整",""))</f>
        <v/>
      </c>
      <c r="AB1005" s="12">
        <f>IF(A1005="","",A1005&amp;"|"&amp;G1005)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5:AB1005"/>
  <mergeCells count="3">
    <mergeCell ref="A3:AB3"/>
    <mergeCell ref="A2:AB2"/>
    <mergeCell ref="A1:AB1"/>
  </mergeCells>
  <conditionalFormatting sqref="AA6:AA1005">
    <cfRule type="expression" priority="1" dxfId="0">
      <formula>LEN(AA6)&gt;0</formula>
    </cfRule>
  </conditionalFormatting>
  <dataValidations count="13">
    <dataValidation sqref="H6:H1005" showDropDown="0" showInputMessage="0" showErrorMessage="0" allowBlank="1" type="decimal" operator="greaterThanOrEqual">
      <formula1>0</formula1>
    </dataValidation>
    <dataValidation sqref="J6:J1005" showDropDown="0" showInputMessage="0" showErrorMessage="0" allowBlank="1" type="decimal" operator="greaterThanOrEqual">
      <formula1>0</formula1>
    </dataValidation>
    <dataValidation sqref="K6:K1005" showDropDown="0" showInputMessage="0" showErrorMessage="0" allowBlank="1" type="whole" operator="greaterThanOrEqual">
      <formula1>0</formula1>
    </dataValidation>
    <dataValidation sqref="N6:N1005" showDropDown="0" showInputMessage="0" showErrorMessage="0" allowBlank="1" type="list">
      <formula1>'下拉選單'!$A$2:$A$5</formula1>
    </dataValidation>
    <dataValidation sqref="O6:O1005" showDropDown="0" showInputMessage="0" showErrorMessage="0" allowBlank="1" type="decimal" operator="greaterThanOrEqual">
      <formula1>0</formula1>
    </dataValidation>
    <dataValidation sqref="P6:P1005" showDropDown="0" showInputMessage="0" showErrorMessage="0" allowBlank="1" type="decimal" operator="greaterThanOrEqual">
      <formula1>0</formula1>
    </dataValidation>
    <dataValidation sqref="Q6:Q1005" showDropDown="0" showInputMessage="0" showErrorMessage="0" allowBlank="1" type="list">
      <formula1>'下拉選單'!$E$2:$E$4</formula1>
    </dataValidation>
    <dataValidation sqref="R6:R1005" showDropDown="0" showInputMessage="0" showErrorMessage="0" allowBlank="1" type="list">
      <formula1>'下拉選單'!$E$2:$E$4</formula1>
    </dataValidation>
    <dataValidation sqref="S6:S1005" showDropDown="0" showInputMessage="0" showErrorMessage="0" allowBlank="1" type="list">
      <formula1>'下拉選單'!$I$2:$I$5</formula1>
    </dataValidation>
    <dataValidation sqref="U6:U1005" showDropDown="0" showInputMessage="0" showErrorMessage="0" allowBlank="1" type="list">
      <formula1>'下拉選單'!$C$2:$C$5</formula1>
    </dataValidation>
    <dataValidation sqref="V6:V1005" showDropDown="0" showInputMessage="0" showErrorMessage="0" allowBlank="1" type="list">
      <formula1>'下拉選單'!$B$2:$B$5</formula1>
    </dataValidation>
    <dataValidation sqref="W6:W1005" showDropDown="0" showInputMessage="0" showErrorMessage="0" allowBlank="1" type="list">
      <formula1>'下拉選單'!$D$2:$D$5</formula1>
    </dataValidation>
    <dataValidation sqref="Y6:Y1005" showDropDown="0" showInputMessage="0" showErrorMessage="0" allowBlank="1" type="list">
      <formula1>'下拉選單'!$F$2:$F$5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8" customWidth="1" min="9" max="9"/>
    <col width="12" customWidth="1" min="10" max="10"/>
    <col width="13" customWidth="1" min="11" max="11"/>
    <col width="13" customWidth="1" min="12" max="12"/>
    <col width="18" customWidth="1" min="13" max="13"/>
    <col width="28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2" customWidth="1" min="20" max="20"/>
    <col width="13" customWidth="1" min="21" max="21"/>
    <col width="13" customWidth="1" min="22" max="22"/>
    <col width="16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28" customWidth="1" min="33" max="33"/>
    <col width="15" customWidth="1" min="34" max="34"/>
    <col width="17" customWidth="1" min="35" max="35"/>
    <col width="17" customWidth="1" min="36" max="36"/>
  </cols>
  <sheetData>
    <row r="1" ht="21.95" customHeight="1">
      <c r="A1" s="4" t="inlineStr">
        <is>
          <t>三策專案管理顧問有限公司</t>
        </is>
      </c>
    </row>
    <row r="2" ht="21.95" customHeight="1">
      <c r="A2" s="3" t="inlineStr">
        <is>
          <t>Sanze Project Management Consulting Co., Ltd.</t>
        </is>
      </c>
    </row>
    <row r="3" ht="38.1" customHeight="1">
      <c r="A3" s="3" t="inlineStr">
        <is>
          <t>本模板為三策開發評估系統授權使用之標準清冊匯入格式。未經授權不得修改欄位結構、公式、驗證規則或轉作其他用途。</t>
        </is>
      </c>
    </row>
    <row r="4" ht="21.95" customHeight="1">
      <c r="A4" s="5" t="inlineStr">
        <is>
          <t>必填</t>
        </is>
      </c>
      <c r="B4" s="5" t="inlineStr">
        <is>
          <t>必填</t>
        </is>
      </c>
      <c r="C4" s="5" t="inlineStr">
        <is>
          <t>必填</t>
        </is>
      </c>
      <c r="D4" s="5" t="inlineStr">
        <is>
          <t>必填</t>
        </is>
      </c>
      <c r="E4" s="5" t="inlineStr">
        <is>
          <t>必填</t>
        </is>
      </c>
      <c r="F4" s="5" t="inlineStr">
        <is>
          <t>選填</t>
        </is>
      </c>
      <c r="G4" s="5" t="inlineStr">
        <is>
          <t>建議</t>
        </is>
      </c>
      <c r="H4" s="5" t="inlineStr">
        <is>
          <t>必填</t>
        </is>
      </c>
      <c r="I4" s="5" t="inlineStr">
        <is>
          <t>選填</t>
        </is>
      </c>
      <c r="J4" s="5" t="inlineStr">
        <is>
          <t>建議</t>
        </is>
      </c>
      <c r="K4" s="5" t="inlineStr">
        <is>
          <t>建議</t>
        </is>
      </c>
      <c r="L4" s="5" t="inlineStr">
        <is>
          <t>建議</t>
        </is>
      </c>
      <c r="M4" s="5" t="inlineStr">
        <is>
          <t>選填</t>
        </is>
      </c>
      <c r="N4" s="5" t="inlineStr">
        <is>
          <t>選填</t>
        </is>
      </c>
      <c r="O4" s="5" t="inlineStr">
        <is>
          <t>必填</t>
        </is>
      </c>
      <c r="P4" s="5" t="inlineStr">
        <is>
          <t>選填</t>
        </is>
      </c>
      <c r="Q4" s="5" t="inlineStr">
        <is>
          <t>選填</t>
        </is>
      </c>
      <c r="R4" s="5" t="inlineStr">
        <is>
          <t>公式</t>
        </is>
      </c>
      <c r="S4" s="5" t="inlineStr">
        <is>
          <t>公式</t>
        </is>
      </c>
      <c r="T4" s="5" t="inlineStr">
        <is>
          <t>必填</t>
        </is>
      </c>
      <c r="U4" s="5" t="inlineStr">
        <is>
          <t>必填</t>
        </is>
      </c>
      <c r="V4" s="5" t="inlineStr">
        <is>
          <t>公式</t>
        </is>
      </c>
      <c r="W4" s="5" t="inlineStr">
        <is>
          <t>公式</t>
        </is>
      </c>
      <c r="X4" s="5" t="inlineStr">
        <is>
          <t>選填</t>
        </is>
      </c>
      <c r="Y4" s="5" t="inlineStr">
        <is>
          <t>建議</t>
        </is>
      </c>
      <c r="Z4" s="5" t="inlineStr">
        <is>
          <t>建議</t>
        </is>
      </c>
      <c r="AA4" s="5" t="inlineStr">
        <is>
          <t>選填</t>
        </is>
      </c>
      <c r="AB4" s="5" t="inlineStr">
        <is>
          <t>建議</t>
        </is>
      </c>
      <c r="AC4" s="5" t="inlineStr">
        <is>
          <t>建議</t>
        </is>
      </c>
      <c r="AD4" s="5" t="inlineStr">
        <is>
          <t>建議</t>
        </is>
      </c>
      <c r="AE4" s="5" t="inlineStr">
        <is>
          <t>建議</t>
        </is>
      </c>
      <c r="AF4" s="5" t="inlineStr">
        <is>
          <t>建議</t>
        </is>
      </c>
      <c r="AG4" s="5" t="inlineStr">
        <is>
          <t>選填</t>
        </is>
      </c>
      <c r="AH4" s="5" t="inlineStr">
        <is>
          <t>公式</t>
        </is>
      </c>
      <c r="AI4" s="5" t="inlineStr">
        <is>
          <t>公式</t>
        </is>
      </c>
      <c r="AJ4" s="5" t="inlineStr">
        <is>
          <t>公式</t>
        </is>
      </c>
    </row>
    <row r="5" ht="33.95" customHeight="1">
      <c r="A5" s="6" t="inlineStr">
        <is>
          <t>建物編號</t>
        </is>
      </c>
      <c r="B5" s="6" t="inlineStr">
        <is>
          <t>所有人姓名</t>
        </is>
      </c>
      <c r="C5" s="6" t="inlineStr">
        <is>
          <t>縣市</t>
        </is>
      </c>
      <c r="D5" s="6" t="inlineStr">
        <is>
          <t>行政區</t>
        </is>
      </c>
      <c r="E5" s="6" t="inlineStr">
        <is>
          <t>段別</t>
        </is>
      </c>
      <c r="F5" s="6" t="inlineStr">
        <is>
          <t>小段</t>
        </is>
      </c>
      <c r="G5" s="6" t="inlineStr">
        <is>
          <t>地號</t>
        </is>
      </c>
      <c r="H5" s="6" t="inlineStr">
        <is>
          <t>建號</t>
        </is>
      </c>
      <c r="I5" s="6" t="inlineStr">
        <is>
          <t>聯絡方式</t>
        </is>
      </c>
      <c r="J5" s="6" t="inlineStr">
        <is>
          <t>聯絡狀態</t>
        </is>
      </c>
      <c r="K5" s="6" t="inlineStr">
        <is>
          <t>同意狀態</t>
        </is>
      </c>
      <c r="L5" s="6" t="inlineStr">
        <is>
          <t>簽約狀態</t>
        </is>
      </c>
      <c r="M5" s="6" t="inlineStr">
        <is>
          <t>整合負責人</t>
        </is>
      </c>
      <c r="N5" s="6" t="inlineStr">
        <is>
          <t>特殊備註</t>
        </is>
      </c>
      <c r="O5" s="6" t="inlineStr">
        <is>
          <t>主建物面積㎡</t>
        </is>
      </c>
      <c r="P5" s="6" t="inlineStr">
        <is>
          <t>附屬建物面積㎡</t>
        </is>
      </c>
      <c r="Q5" s="6" t="inlineStr">
        <is>
          <t>共有部分面積㎡</t>
        </is>
      </c>
      <c r="R5" s="6" t="inlineStr">
        <is>
          <t>建物面積㎡</t>
        </is>
      </c>
      <c r="S5" s="6" t="inlineStr">
        <is>
          <t>建物面積坪</t>
        </is>
      </c>
      <c r="T5" s="6" t="inlineStr">
        <is>
          <t>持分分子</t>
        </is>
      </c>
      <c r="U5" s="6" t="inlineStr">
        <is>
          <t>持分分母</t>
        </is>
      </c>
      <c r="V5" s="6" t="inlineStr">
        <is>
          <t>持分比例</t>
        </is>
      </c>
      <c r="W5" s="6" t="inlineStr">
        <is>
          <t>建物持分面積㎡</t>
        </is>
      </c>
      <c r="X5" s="6" t="inlineStr">
        <is>
          <t>樓層</t>
        </is>
      </c>
      <c r="Y5" s="6" t="inlineStr">
        <is>
          <t>建物型態</t>
        </is>
      </c>
      <c r="Z5" s="6" t="inlineStr">
        <is>
          <t>用途</t>
        </is>
      </c>
      <c r="AA5" s="6" t="inlineStr">
        <is>
          <t>屋齡</t>
        </is>
      </c>
      <c r="AB5" s="6" t="inlineStr">
        <is>
          <t>是否出租</t>
        </is>
      </c>
      <c r="AC5" s="6" t="inlineStr">
        <is>
          <t>是否抵押</t>
        </is>
      </c>
      <c r="AD5" s="6" t="inlineStr">
        <is>
          <t>是否占用</t>
        </is>
      </c>
      <c r="AE5" s="6" t="inlineStr">
        <is>
          <t>是否違建</t>
        </is>
      </c>
      <c r="AF5" s="6" t="inlineStr">
        <is>
          <t>風險等級</t>
        </is>
      </c>
      <c r="AG5" s="6" t="inlineStr">
        <is>
          <t>建物備註</t>
        </is>
      </c>
      <c r="AH5" s="6" t="inlineStr">
        <is>
          <t>公式檢核提示</t>
        </is>
      </c>
      <c r="AI5" s="6" t="inlineStr">
        <is>
          <t>地主地號查找鍵</t>
        </is>
      </c>
      <c r="AJ5" s="6" t="inlineStr">
        <is>
          <t>地主建號查找鍵</t>
        </is>
      </c>
    </row>
    <row r="6" ht="24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 t="n"/>
      <c r="P6" s="8" t="n"/>
      <c r="Q6" s="8" t="n"/>
      <c r="R6" s="13">
        <f>IF(O6="","",SUM(O6:Q6))</f>
        <v/>
      </c>
      <c r="S6" s="9">
        <f>IF(R6="","",ROUND(R6/3.305785,3))</f>
        <v/>
      </c>
      <c r="T6" s="7" t="n"/>
      <c r="U6" s="7" t="n"/>
      <c r="V6" s="10">
        <f>IF(OR(T6="",U6="",U6=0),"",ROUND(T6/U6,6))</f>
        <v/>
      </c>
      <c r="W6" s="9">
        <f>IF(OR(R6="",T6="",U6="",U6=0),"",ROUND(R6*T6/U6,3))</f>
        <v/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12">
        <f>IF(A6="","",IF(OR(B6="",C6="",D6="",E6="",H6="",O6="",T6="",U6=""),"必填欄位未完整",""))</f>
        <v/>
      </c>
      <c r="AI6" s="12">
        <f>IF(A6="","",A6&amp;"|"&amp;G6)</f>
        <v/>
      </c>
      <c r="AJ6" s="12">
        <f>IF(A6="","",A6&amp;"|"&amp;H6)</f>
        <v/>
      </c>
    </row>
    <row r="7" ht="2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8" t="n"/>
      <c r="P7" s="8" t="n"/>
      <c r="Q7" s="8" t="n"/>
      <c r="R7" s="13">
        <f>IF(O7="","",SUM(O7:Q7))</f>
        <v/>
      </c>
      <c r="S7" s="9">
        <f>IF(R7="","",ROUND(R7/3.305785,3))</f>
        <v/>
      </c>
      <c r="T7" s="7" t="n"/>
      <c r="U7" s="7" t="n"/>
      <c r="V7" s="10">
        <f>IF(OR(T7="",U7="",U7=0),"",ROUND(T7/U7,6))</f>
        <v/>
      </c>
      <c r="W7" s="9">
        <f>IF(OR(R7="",T7="",U7="",U7=0),"",ROUND(R7*T7/U7,3))</f>
        <v/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12">
        <f>IF(A7="","",IF(OR(B7="",C7="",D7="",E7="",H7="",O7="",T7="",U7=""),"必填欄位未完整",""))</f>
        <v/>
      </c>
      <c r="AI7" s="12">
        <f>IF(A7="","",A7&amp;"|"&amp;G7)</f>
        <v/>
      </c>
      <c r="AJ7" s="12">
        <f>IF(A7="","",A7&amp;"|"&amp;H7)</f>
        <v/>
      </c>
    </row>
    <row r="8" ht="24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 t="n"/>
      <c r="P8" s="8" t="n"/>
      <c r="Q8" s="8" t="n"/>
      <c r="R8" s="13">
        <f>IF(O8="","",SUM(O8:Q8))</f>
        <v/>
      </c>
      <c r="S8" s="9">
        <f>IF(R8="","",ROUND(R8/3.305785,3))</f>
        <v/>
      </c>
      <c r="T8" s="7" t="n"/>
      <c r="U8" s="7" t="n"/>
      <c r="V8" s="10">
        <f>IF(OR(T8="",U8="",U8=0),"",ROUND(T8/U8,6))</f>
        <v/>
      </c>
      <c r="W8" s="9">
        <f>IF(OR(R8="",T8="",U8="",U8=0),"",ROUND(R8*T8/U8,3))</f>
        <v/>
      </c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12">
        <f>IF(A8="","",IF(OR(B8="",C8="",D8="",E8="",H8="",O8="",T8="",U8=""),"必填欄位未完整",""))</f>
        <v/>
      </c>
      <c r="AI8" s="12">
        <f>IF(A8="","",A8&amp;"|"&amp;G8)</f>
        <v/>
      </c>
      <c r="AJ8" s="12">
        <f>IF(A8="","",A8&amp;"|"&amp;H8)</f>
        <v/>
      </c>
    </row>
    <row r="9" ht="24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8" t="n"/>
      <c r="P9" s="8" t="n"/>
      <c r="Q9" s="8" t="n"/>
      <c r="R9" s="13">
        <f>IF(O9="","",SUM(O9:Q9))</f>
        <v/>
      </c>
      <c r="S9" s="9">
        <f>IF(R9="","",ROUND(R9/3.305785,3))</f>
        <v/>
      </c>
      <c r="T9" s="7" t="n"/>
      <c r="U9" s="7" t="n"/>
      <c r="V9" s="10">
        <f>IF(OR(T9="",U9="",U9=0),"",ROUND(T9/U9,6))</f>
        <v/>
      </c>
      <c r="W9" s="9">
        <f>IF(OR(R9="",T9="",U9="",U9=0),"",ROUND(R9*T9/U9,3))</f>
        <v/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12">
        <f>IF(A9="","",IF(OR(B9="",C9="",D9="",E9="",H9="",O9="",T9="",U9=""),"必填欄位未完整",""))</f>
        <v/>
      </c>
      <c r="AI9" s="12">
        <f>IF(A9="","",A9&amp;"|"&amp;G9)</f>
        <v/>
      </c>
      <c r="AJ9" s="12">
        <f>IF(A9="","",A9&amp;"|"&amp;H9)</f>
        <v/>
      </c>
    </row>
    <row r="10" ht="24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  <c r="P10" s="8" t="n"/>
      <c r="Q10" s="8" t="n"/>
      <c r="R10" s="13">
        <f>IF(O10="","",SUM(O10:Q10))</f>
        <v/>
      </c>
      <c r="S10" s="9">
        <f>IF(R10="","",ROUND(R10/3.305785,3))</f>
        <v/>
      </c>
      <c r="T10" s="7" t="n"/>
      <c r="U10" s="7" t="n"/>
      <c r="V10" s="10">
        <f>IF(OR(T10="",U10="",U10=0),"",ROUND(T10/U10,6))</f>
        <v/>
      </c>
      <c r="W10" s="9">
        <f>IF(OR(R10="",T10="",U10="",U10=0),"",ROUND(R10*T10/U10,3))</f>
        <v/>
      </c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12">
        <f>IF(A10="","",IF(OR(B10="",C10="",D10="",E10="",H10="",O10="",T10="",U10=""),"必填欄位未完整",""))</f>
        <v/>
      </c>
      <c r="AI10" s="12">
        <f>IF(A10="","",A10&amp;"|"&amp;G10)</f>
        <v/>
      </c>
      <c r="AJ10" s="12">
        <f>IF(A10="","",A10&amp;"|"&amp;H10)</f>
        <v/>
      </c>
    </row>
    <row r="11" ht="24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8" t="n"/>
      <c r="P11" s="8" t="n"/>
      <c r="Q11" s="8" t="n"/>
      <c r="R11" s="13">
        <f>IF(O11="","",SUM(O11:Q11))</f>
        <v/>
      </c>
      <c r="S11" s="9">
        <f>IF(R11="","",ROUND(R11/3.305785,3))</f>
        <v/>
      </c>
      <c r="T11" s="7" t="n"/>
      <c r="U11" s="7" t="n"/>
      <c r="V11" s="10">
        <f>IF(OR(T11="",U11="",U11=0),"",ROUND(T11/U11,6))</f>
        <v/>
      </c>
      <c r="W11" s="9">
        <f>IF(OR(R11="",T11="",U11="",U11=0),"",ROUND(R11*T11/U11,3))</f>
        <v/>
      </c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12">
        <f>IF(A11="","",IF(OR(B11="",C11="",D11="",E11="",H11="",O11="",T11="",U11=""),"必填欄位未完整",""))</f>
        <v/>
      </c>
      <c r="AI11" s="12">
        <f>IF(A11="","",A11&amp;"|"&amp;G11)</f>
        <v/>
      </c>
      <c r="AJ11" s="12">
        <f>IF(A11="","",A11&amp;"|"&amp;H11)</f>
        <v/>
      </c>
    </row>
    <row r="12" ht="24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8" t="n"/>
      <c r="P12" s="8" t="n"/>
      <c r="Q12" s="8" t="n"/>
      <c r="R12" s="13">
        <f>IF(O12="","",SUM(O12:Q12))</f>
        <v/>
      </c>
      <c r="S12" s="9">
        <f>IF(R12="","",ROUND(R12/3.305785,3))</f>
        <v/>
      </c>
      <c r="T12" s="7" t="n"/>
      <c r="U12" s="7" t="n"/>
      <c r="V12" s="10">
        <f>IF(OR(T12="",U12="",U12=0),"",ROUND(T12/U12,6))</f>
        <v/>
      </c>
      <c r="W12" s="9">
        <f>IF(OR(R12="",T12="",U12="",U12=0),"",ROUND(R12*T12/U12,3))</f>
        <v/>
      </c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12">
        <f>IF(A12="","",IF(OR(B12="",C12="",D12="",E12="",H12="",O12="",T12="",U12=""),"必填欄位未完整",""))</f>
        <v/>
      </c>
      <c r="AI12" s="12">
        <f>IF(A12="","",A12&amp;"|"&amp;G12)</f>
        <v/>
      </c>
      <c r="AJ12" s="12">
        <f>IF(A12="","",A12&amp;"|"&amp;H12)</f>
        <v/>
      </c>
    </row>
    <row r="13" ht="24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8" t="n"/>
      <c r="P13" s="8" t="n"/>
      <c r="Q13" s="8" t="n"/>
      <c r="R13" s="13">
        <f>IF(O13="","",SUM(O13:Q13))</f>
        <v/>
      </c>
      <c r="S13" s="9">
        <f>IF(R13="","",ROUND(R13/3.305785,3))</f>
        <v/>
      </c>
      <c r="T13" s="7" t="n"/>
      <c r="U13" s="7" t="n"/>
      <c r="V13" s="10">
        <f>IF(OR(T13="",U13="",U13=0),"",ROUND(T13/U13,6))</f>
        <v/>
      </c>
      <c r="W13" s="9">
        <f>IF(OR(R13="",T13="",U13="",U13=0),"",ROUND(R13*T13/U13,3))</f>
        <v/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12">
        <f>IF(A13="","",IF(OR(B13="",C13="",D13="",E13="",H13="",O13="",T13="",U13=""),"必填欄位未完整",""))</f>
        <v/>
      </c>
      <c r="AI13" s="12">
        <f>IF(A13="","",A13&amp;"|"&amp;G13)</f>
        <v/>
      </c>
      <c r="AJ13" s="12">
        <f>IF(A13="","",A13&amp;"|"&amp;H13)</f>
        <v/>
      </c>
    </row>
    <row r="14" ht="24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 t="n"/>
      <c r="P14" s="8" t="n"/>
      <c r="Q14" s="8" t="n"/>
      <c r="R14" s="13">
        <f>IF(O14="","",SUM(O14:Q14))</f>
        <v/>
      </c>
      <c r="S14" s="9">
        <f>IF(R14="","",ROUND(R14/3.305785,3))</f>
        <v/>
      </c>
      <c r="T14" s="7" t="n"/>
      <c r="U14" s="7" t="n"/>
      <c r="V14" s="10">
        <f>IF(OR(T14="",U14="",U14=0),"",ROUND(T14/U14,6))</f>
        <v/>
      </c>
      <c r="W14" s="9">
        <f>IF(OR(R14="",T14="",U14="",U14=0),"",ROUND(R14*T14/U14,3))</f>
        <v/>
      </c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12">
        <f>IF(A14="","",IF(OR(B14="",C14="",D14="",E14="",H14="",O14="",T14="",U14=""),"必填欄位未完整",""))</f>
        <v/>
      </c>
      <c r="AI14" s="12">
        <f>IF(A14="","",A14&amp;"|"&amp;G14)</f>
        <v/>
      </c>
      <c r="AJ14" s="12">
        <f>IF(A14="","",A14&amp;"|"&amp;H14)</f>
        <v/>
      </c>
    </row>
    <row r="15" ht="2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 t="n"/>
      <c r="P15" s="8" t="n"/>
      <c r="Q15" s="8" t="n"/>
      <c r="R15" s="13">
        <f>IF(O15="","",SUM(O15:Q15))</f>
        <v/>
      </c>
      <c r="S15" s="9">
        <f>IF(R15="","",ROUND(R15/3.305785,3))</f>
        <v/>
      </c>
      <c r="T15" s="7" t="n"/>
      <c r="U15" s="7" t="n"/>
      <c r="V15" s="10">
        <f>IF(OR(T15="",U15="",U15=0),"",ROUND(T15/U15,6))</f>
        <v/>
      </c>
      <c r="W15" s="9">
        <f>IF(OR(R15="",T15="",U15="",U15=0),"",ROUND(R15*T15/U15,3))</f>
        <v/>
      </c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12">
        <f>IF(A15="","",IF(OR(B15="",C15="",D15="",E15="",H15="",O15="",T15="",U15=""),"必填欄位未完整",""))</f>
        <v/>
      </c>
      <c r="AI15" s="12">
        <f>IF(A15="","",A15&amp;"|"&amp;G15)</f>
        <v/>
      </c>
      <c r="AJ15" s="12">
        <f>IF(A15="","",A15&amp;"|"&amp;H15)</f>
        <v/>
      </c>
    </row>
    <row r="16" ht="2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 t="n"/>
      <c r="P16" s="8" t="n"/>
      <c r="Q16" s="8" t="n"/>
      <c r="R16" s="13">
        <f>IF(O16="","",SUM(O16:Q16))</f>
        <v/>
      </c>
      <c r="S16" s="9">
        <f>IF(R16="","",ROUND(R16/3.305785,3))</f>
        <v/>
      </c>
      <c r="T16" s="7" t="n"/>
      <c r="U16" s="7" t="n"/>
      <c r="V16" s="10">
        <f>IF(OR(T16="",U16="",U16=0),"",ROUND(T16/U16,6))</f>
        <v/>
      </c>
      <c r="W16" s="9">
        <f>IF(OR(R16="",T16="",U16="",U16=0),"",ROUND(R16*T16/U16,3))</f>
        <v/>
      </c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12">
        <f>IF(A16="","",IF(OR(B16="",C16="",D16="",E16="",H16="",O16="",T16="",U16=""),"必填欄位未完整",""))</f>
        <v/>
      </c>
      <c r="AI16" s="12">
        <f>IF(A16="","",A16&amp;"|"&amp;G16)</f>
        <v/>
      </c>
      <c r="AJ16" s="12">
        <f>IF(A16="","",A16&amp;"|"&amp;H16)</f>
        <v/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8" t="n"/>
      <c r="P17" s="8" t="n"/>
      <c r="Q17" s="8" t="n"/>
      <c r="R17" s="13">
        <f>IF(O17="","",SUM(O17:Q17))</f>
        <v/>
      </c>
      <c r="S17" s="9">
        <f>IF(R17="","",ROUND(R17/3.305785,3))</f>
        <v/>
      </c>
      <c r="T17" s="7" t="n"/>
      <c r="U17" s="7" t="n"/>
      <c r="V17" s="10">
        <f>IF(OR(T17="",U17="",U17=0),"",ROUND(T17/U17,6))</f>
        <v/>
      </c>
      <c r="W17" s="9">
        <f>IF(OR(R17="",T17="",U17="",U17=0),"",ROUND(R17*T17/U17,3))</f>
        <v/>
      </c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12">
        <f>IF(A17="","",IF(OR(B17="",C17="",D17="",E17="",H17="",O17="",T17="",U17=""),"必填欄位未完整",""))</f>
        <v/>
      </c>
      <c r="AI17" s="12">
        <f>IF(A17="","",A17&amp;"|"&amp;G17)</f>
        <v/>
      </c>
      <c r="AJ17" s="12">
        <f>IF(A17="","",A17&amp;"|"&amp;H17)</f>
        <v/>
      </c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 t="n"/>
      <c r="P18" s="8" t="n"/>
      <c r="Q18" s="8" t="n"/>
      <c r="R18" s="13">
        <f>IF(O18="","",SUM(O18:Q18))</f>
        <v/>
      </c>
      <c r="S18" s="9">
        <f>IF(R18="","",ROUND(R18/3.305785,3))</f>
        <v/>
      </c>
      <c r="T18" s="7" t="n"/>
      <c r="U18" s="7" t="n"/>
      <c r="V18" s="10">
        <f>IF(OR(T18="",U18="",U18=0),"",ROUND(T18/U18,6))</f>
        <v/>
      </c>
      <c r="W18" s="9">
        <f>IF(OR(R18="",T18="",U18="",U18=0),"",ROUND(R18*T18/U18,3))</f>
        <v/>
      </c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12">
        <f>IF(A18="","",IF(OR(B18="",C18="",D18="",E18="",H18="",O18="",T18="",U18=""),"必填欄位未完整",""))</f>
        <v/>
      </c>
      <c r="AI18" s="12">
        <f>IF(A18="","",A18&amp;"|"&amp;G18)</f>
        <v/>
      </c>
      <c r="AJ18" s="12">
        <f>IF(A18="","",A18&amp;"|"&amp;H18)</f>
        <v/>
      </c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 t="n"/>
      <c r="P19" s="8" t="n"/>
      <c r="Q19" s="8" t="n"/>
      <c r="R19" s="13">
        <f>IF(O19="","",SUM(O19:Q19))</f>
        <v/>
      </c>
      <c r="S19" s="9">
        <f>IF(R19="","",ROUND(R19/3.305785,3))</f>
        <v/>
      </c>
      <c r="T19" s="7" t="n"/>
      <c r="U19" s="7" t="n"/>
      <c r="V19" s="10">
        <f>IF(OR(T19="",U19="",U19=0),"",ROUND(T19/U19,6))</f>
        <v/>
      </c>
      <c r="W19" s="9">
        <f>IF(OR(R19="",T19="",U19="",U19=0),"",ROUND(R19*T19/U19,3))</f>
        <v/>
      </c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12">
        <f>IF(A19="","",IF(OR(B19="",C19="",D19="",E19="",H19="",O19="",T19="",U19=""),"必填欄位未完整",""))</f>
        <v/>
      </c>
      <c r="AI19" s="12">
        <f>IF(A19="","",A19&amp;"|"&amp;G19)</f>
        <v/>
      </c>
      <c r="AJ19" s="12">
        <f>IF(A19="","",A19&amp;"|"&amp;H19)</f>
        <v/>
      </c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 t="n"/>
      <c r="P20" s="8" t="n"/>
      <c r="Q20" s="8" t="n"/>
      <c r="R20" s="13">
        <f>IF(O20="","",SUM(O20:Q20))</f>
        <v/>
      </c>
      <c r="S20" s="9">
        <f>IF(R20="","",ROUND(R20/3.305785,3))</f>
        <v/>
      </c>
      <c r="T20" s="7" t="n"/>
      <c r="U20" s="7" t="n"/>
      <c r="V20" s="10">
        <f>IF(OR(T20="",U20="",U20=0),"",ROUND(T20/U20,6))</f>
        <v/>
      </c>
      <c r="W20" s="9">
        <f>IF(OR(R20="",T20="",U20="",U20=0),"",ROUND(R20*T20/U20,3))</f>
        <v/>
      </c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12">
        <f>IF(A20="","",IF(OR(B20="",C20="",D20="",E20="",H20="",O20="",T20="",U20=""),"必填欄位未完整",""))</f>
        <v/>
      </c>
      <c r="AI20" s="12">
        <f>IF(A20="","",A20&amp;"|"&amp;G20)</f>
        <v/>
      </c>
      <c r="AJ20" s="12">
        <f>IF(A20="","",A20&amp;"|"&amp;H20)</f>
        <v/>
      </c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8" t="n"/>
      <c r="P21" s="8" t="n"/>
      <c r="Q21" s="8" t="n"/>
      <c r="R21" s="13">
        <f>IF(O21="","",SUM(O21:Q21))</f>
        <v/>
      </c>
      <c r="S21" s="9">
        <f>IF(R21="","",ROUND(R21/3.305785,3))</f>
        <v/>
      </c>
      <c r="T21" s="7" t="n"/>
      <c r="U21" s="7" t="n"/>
      <c r="V21" s="10">
        <f>IF(OR(T21="",U21="",U21=0),"",ROUND(T21/U21,6))</f>
        <v/>
      </c>
      <c r="W21" s="9">
        <f>IF(OR(R21="",T21="",U21="",U21=0),"",ROUND(R21*T21/U21,3))</f>
        <v/>
      </c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12">
        <f>IF(A21="","",IF(OR(B21="",C21="",D21="",E21="",H21="",O21="",T21="",U21=""),"必填欄位未完整",""))</f>
        <v/>
      </c>
      <c r="AI21" s="12">
        <f>IF(A21="","",A21&amp;"|"&amp;G21)</f>
        <v/>
      </c>
      <c r="AJ21" s="12">
        <f>IF(A21="","",A21&amp;"|"&amp;H21)</f>
        <v/>
      </c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8" t="n"/>
      <c r="P22" s="8" t="n"/>
      <c r="Q22" s="8" t="n"/>
      <c r="R22" s="13">
        <f>IF(O22="","",SUM(O22:Q22))</f>
        <v/>
      </c>
      <c r="S22" s="9">
        <f>IF(R22="","",ROUND(R22/3.305785,3))</f>
        <v/>
      </c>
      <c r="T22" s="7" t="n"/>
      <c r="U22" s="7" t="n"/>
      <c r="V22" s="10">
        <f>IF(OR(T22="",U22="",U22=0),"",ROUND(T22/U22,6))</f>
        <v/>
      </c>
      <c r="W22" s="9">
        <f>IF(OR(R22="",T22="",U22="",U22=0),"",ROUND(R22*T22/U22,3))</f>
        <v/>
      </c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12">
        <f>IF(A22="","",IF(OR(B22="",C22="",D22="",E22="",H22="",O22="",T22="",U22=""),"必填欄位未完整",""))</f>
        <v/>
      </c>
      <c r="AI22" s="12">
        <f>IF(A22="","",A22&amp;"|"&amp;G22)</f>
        <v/>
      </c>
      <c r="AJ22" s="12">
        <f>IF(A22="","",A22&amp;"|"&amp;H22)</f>
        <v/>
      </c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8" t="n"/>
      <c r="P23" s="8" t="n"/>
      <c r="Q23" s="8" t="n"/>
      <c r="R23" s="13">
        <f>IF(O23="","",SUM(O23:Q23))</f>
        <v/>
      </c>
      <c r="S23" s="9">
        <f>IF(R23="","",ROUND(R23/3.305785,3))</f>
        <v/>
      </c>
      <c r="T23" s="7" t="n"/>
      <c r="U23" s="7" t="n"/>
      <c r="V23" s="10">
        <f>IF(OR(T23="",U23="",U23=0),"",ROUND(T23/U23,6))</f>
        <v/>
      </c>
      <c r="W23" s="9">
        <f>IF(OR(R23="",T23="",U23="",U23=0),"",ROUND(R23*T23/U23,3))</f>
        <v/>
      </c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12">
        <f>IF(A23="","",IF(OR(B23="",C23="",D23="",E23="",H23="",O23="",T23="",U23=""),"必填欄位未完整",""))</f>
        <v/>
      </c>
      <c r="AI23" s="12">
        <f>IF(A23="","",A23&amp;"|"&amp;G23)</f>
        <v/>
      </c>
      <c r="AJ23" s="12">
        <f>IF(A23="","",A23&amp;"|"&amp;H23)</f>
        <v/>
      </c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 t="n"/>
      <c r="P24" s="8" t="n"/>
      <c r="Q24" s="8" t="n"/>
      <c r="R24" s="13">
        <f>IF(O24="","",SUM(O24:Q24))</f>
        <v/>
      </c>
      <c r="S24" s="9">
        <f>IF(R24="","",ROUND(R24/3.305785,3))</f>
        <v/>
      </c>
      <c r="T24" s="7" t="n"/>
      <c r="U24" s="7" t="n"/>
      <c r="V24" s="10">
        <f>IF(OR(T24="",U24="",U24=0),"",ROUND(T24/U24,6))</f>
        <v/>
      </c>
      <c r="W24" s="9">
        <f>IF(OR(R24="",T24="",U24="",U24=0),"",ROUND(R24*T24/U24,3))</f>
        <v/>
      </c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12">
        <f>IF(A24="","",IF(OR(B24="",C24="",D24="",E24="",H24="",O24="",T24="",U24=""),"必填欄位未完整",""))</f>
        <v/>
      </c>
      <c r="AI24" s="12">
        <f>IF(A24="","",A24&amp;"|"&amp;G24)</f>
        <v/>
      </c>
      <c r="AJ24" s="12">
        <f>IF(A24="","",A24&amp;"|"&amp;H24)</f>
        <v/>
      </c>
    </row>
    <row r="25" ht="2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8" t="n"/>
      <c r="P25" s="8" t="n"/>
      <c r="Q25" s="8" t="n"/>
      <c r="R25" s="13">
        <f>IF(O25="","",SUM(O25:Q25))</f>
        <v/>
      </c>
      <c r="S25" s="9">
        <f>IF(R25="","",ROUND(R25/3.305785,3))</f>
        <v/>
      </c>
      <c r="T25" s="7" t="n"/>
      <c r="U25" s="7" t="n"/>
      <c r="V25" s="10">
        <f>IF(OR(T25="",U25="",U25=0),"",ROUND(T25/U25,6))</f>
        <v/>
      </c>
      <c r="W25" s="9">
        <f>IF(OR(R25="",T25="",U25="",U25=0),"",ROUND(R25*T25/U25,3))</f>
        <v/>
      </c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12">
        <f>IF(A25="","",IF(OR(B25="",C25="",D25="",E25="",H25="",O25="",T25="",U25=""),"必填欄位未完整",""))</f>
        <v/>
      </c>
      <c r="AI25" s="12">
        <f>IF(A25="","",A25&amp;"|"&amp;G25)</f>
        <v/>
      </c>
      <c r="AJ25" s="12">
        <f>IF(A25="","",A25&amp;"|"&amp;H25)</f>
        <v/>
      </c>
    </row>
    <row r="26" ht="2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 t="n"/>
      <c r="P26" s="8" t="n"/>
      <c r="Q26" s="8" t="n"/>
      <c r="R26" s="13">
        <f>IF(O26="","",SUM(O26:Q26))</f>
        <v/>
      </c>
      <c r="S26" s="9">
        <f>IF(R26="","",ROUND(R26/3.305785,3))</f>
        <v/>
      </c>
      <c r="T26" s="7" t="n"/>
      <c r="U26" s="7" t="n"/>
      <c r="V26" s="10">
        <f>IF(OR(T26="",U26="",U26=0),"",ROUND(T26/U26,6))</f>
        <v/>
      </c>
      <c r="W26" s="9">
        <f>IF(OR(R26="",T26="",U26="",U26=0),"",ROUND(R26*T26/U26,3))</f>
        <v/>
      </c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12">
        <f>IF(A26="","",IF(OR(B26="",C26="",D26="",E26="",H26="",O26="",T26="",U26=""),"必填欄位未完整",""))</f>
        <v/>
      </c>
      <c r="AI26" s="12">
        <f>IF(A26="","",A26&amp;"|"&amp;G26)</f>
        <v/>
      </c>
      <c r="AJ26" s="12">
        <f>IF(A26="","",A26&amp;"|"&amp;H26)</f>
        <v/>
      </c>
    </row>
    <row r="27" ht="2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8" t="n"/>
      <c r="P27" s="8" t="n"/>
      <c r="Q27" s="8" t="n"/>
      <c r="R27" s="13">
        <f>IF(O27="","",SUM(O27:Q27))</f>
        <v/>
      </c>
      <c r="S27" s="9">
        <f>IF(R27="","",ROUND(R27/3.305785,3))</f>
        <v/>
      </c>
      <c r="T27" s="7" t="n"/>
      <c r="U27" s="7" t="n"/>
      <c r="V27" s="10">
        <f>IF(OR(T27="",U27="",U27=0),"",ROUND(T27/U27,6))</f>
        <v/>
      </c>
      <c r="W27" s="9">
        <f>IF(OR(R27="",T27="",U27="",U27=0),"",ROUND(R27*T27/U27,3))</f>
        <v/>
      </c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12">
        <f>IF(A27="","",IF(OR(B27="",C27="",D27="",E27="",H27="",O27="",T27="",U27=""),"必填欄位未完整",""))</f>
        <v/>
      </c>
      <c r="AI27" s="12">
        <f>IF(A27="","",A27&amp;"|"&amp;G27)</f>
        <v/>
      </c>
      <c r="AJ27" s="12">
        <f>IF(A27="","",A27&amp;"|"&amp;H27)</f>
        <v/>
      </c>
    </row>
    <row r="28" ht="24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8" t="n"/>
      <c r="P28" s="8" t="n"/>
      <c r="Q28" s="8" t="n"/>
      <c r="R28" s="13">
        <f>IF(O28="","",SUM(O28:Q28))</f>
        <v/>
      </c>
      <c r="S28" s="9">
        <f>IF(R28="","",ROUND(R28/3.305785,3))</f>
        <v/>
      </c>
      <c r="T28" s="7" t="n"/>
      <c r="U28" s="7" t="n"/>
      <c r="V28" s="10">
        <f>IF(OR(T28="",U28="",U28=0),"",ROUND(T28/U28,6))</f>
        <v/>
      </c>
      <c r="W28" s="9">
        <f>IF(OR(R28="",T28="",U28="",U28=0),"",ROUND(R28*T28/U28,3))</f>
        <v/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12">
        <f>IF(A28="","",IF(OR(B28="",C28="",D28="",E28="",H28="",O28="",T28="",U28=""),"必填欄位未完整",""))</f>
        <v/>
      </c>
      <c r="AI28" s="12">
        <f>IF(A28="","",A28&amp;"|"&amp;G28)</f>
        <v/>
      </c>
      <c r="AJ28" s="12">
        <f>IF(A28="","",A28&amp;"|"&amp;H28)</f>
        <v/>
      </c>
    </row>
    <row r="29" ht="2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8" t="n"/>
      <c r="P29" s="8" t="n"/>
      <c r="Q29" s="8" t="n"/>
      <c r="R29" s="13">
        <f>IF(O29="","",SUM(O29:Q29))</f>
        <v/>
      </c>
      <c r="S29" s="9">
        <f>IF(R29="","",ROUND(R29/3.305785,3))</f>
        <v/>
      </c>
      <c r="T29" s="7" t="n"/>
      <c r="U29" s="7" t="n"/>
      <c r="V29" s="10">
        <f>IF(OR(T29="",U29="",U29=0),"",ROUND(T29/U29,6))</f>
        <v/>
      </c>
      <c r="W29" s="9">
        <f>IF(OR(R29="",T29="",U29="",U29=0),"",ROUND(R29*T29/U29,3))</f>
        <v/>
      </c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12">
        <f>IF(A29="","",IF(OR(B29="",C29="",D29="",E29="",H29="",O29="",T29="",U29=""),"必填欄位未完整",""))</f>
        <v/>
      </c>
      <c r="AI29" s="12">
        <f>IF(A29="","",A29&amp;"|"&amp;G29)</f>
        <v/>
      </c>
      <c r="AJ29" s="12">
        <f>IF(A29="","",A29&amp;"|"&amp;H29)</f>
        <v/>
      </c>
    </row>
    <row r="30" ht="2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8" t="n"/>
      <c r="P30" s="8" t="n"/>
      <c r="Q30" s="8" t="n"/>
      <c r="R30" s="13">
        <f>IF(O30="","",SUM(O30:Q30))</f>
        <v/>
      </c>
      <c r="S30" s="9">
        <f>IF(R30="","",ROUND(R30/3.305785,3))</f>
        <v/>
      </c>
      <c r="T30" s="7" t="n"/>
      <c r="U30" s="7" t="n"/>
      <c r="V30" s="10">
        <f>IF(OR(T30="",U30="",U30=0),"",ROUND(T30/U30,6))</f>
        <v/>
      </c>
      <c r="W30" s="9">
        <f>IF(OR(R30="",T30="",U30="",U30=0),"",ROUND(R30*T30/U30,3))</f>
        <v/>
      </c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12">
        <f>IF(A30="","",IF(OR(B30="",C30="",D30="",E30="",H30="",O30="",T30="",U30=""),"必填欄位未完整",""))</f>
        <v/>
      </c>
      <c r="AI30" s="12">
        <f>IF(A30="","",A30&amp;"|"&amp;G30)</f>
        <v/>
      </c>
      <c r="AJ30" s="12">
        <f>IF(A30="","",A30&amp;"|"&amp;H30)</f>
        <v/>
      </c>
    </row>
    <row r="31" ht="2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8" t="n"/>
      <c r="P31" s="8" t="n"/>
      <c r="Q31" s="8" t="n"/>
      <c r="R31" s="13">
        <f>IF(O31="","",SUM(O31:Q31))</f>
        <v/>
      </c>
      <c r="S31" s="9">
        <f>IF(R31="","",ROUND(R31/3.305785,3))</f>
        <v/>
      </c>
      <c r="T31" s="7" t="n"/>
      <c r="U31" s="7" t="n"/>
      <c r="V31" s="10">
        <f>IF(OR(T31="",U31="",U31=0),"",ROUND(T31/U31,6))</f>
        <v/>
      </c>
      <c r="W31" s="9">
        <f>IF(OR(R31="",T31="",U31="",U31=0),"",ROUND(R31*T31/U31,3))</f>
        <v/>
      </c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12">
        <f>IF(A31="","",IF(OR(B31="",C31="",D31="",E31="",H31="",O31="",T31="",U31=""),"必填欄位未完整",""))</f>
        <v/>
      </c>
      <c r="AI31" s="12">
        <f>IF(A31="","",A31&amp;"|"&amp;G31)</f>
        <v/>
      </c>
      <c r="AJ31" s="12">
        <f>IF(A31="","",A31&amp;"|"&amp;H31)</f>
        <v/>
      </c>
    </row>
    <row r="32" ht="2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8" t="n"/>
      <c r="P32" s="8" t="n"/>
      <c r="Q32" s="8" t="n"/>
      <c r="R32" s="13">
        <f>IF(O32="","",SUM(O32:Q32))</f>
        <v/>
      </c>
      <c r="S32" s="9">
        <f>IF(R32="","",ROUND(R32/3.305785,3))</f>
        <v/>
      </c>
      <c r="T32" s="7" t="n"/>
      <c r="U32" s="7" t="n"/>
      <c r="V32" s="10">
        <f>IF(OR(T32="",U32="",U32=0),"",ROUND(T32/U32,6))</f>
        <v/>
      </c>
      <c r="W32" s="9">
        <f>IF(OR(R32="",T32="",U32="",U32=0),"",ROUND(R32*T32/U32,3))</f>
        <v/>
      </c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12">
        <f>IF(A32="","",IF(OR(B32="",C32="",D32="",E32="",H32="",O32="",T32="",U32=""),"必填欄位未完整",""))</f>
        <v/>
      </c>
      <c r="AI32" s="12">
        <f>IF(A32="","",A32&amp;"|"&amp;G32)</f>
        <v/>
      </c>
      <c r="AJ32" s="12">
        <f>IF(A32="","",A32&amp;"|"&amp;H32)</f>
        <v/>
      </c>
    </row>
    <row r="33" ht="24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8" t="n"/>
      <c r="P33" s="8" t="n"/>
      <c r="Q33" s="8" t="n"/>
      <c r="R33" s="13">
        <f>IF(O33="","",SUM(O33:Q33))</f>
        <v/>
      </c>
      <c r="S33" s="9">
        <f>IF(R33="","",ROUND(R33/3.305785,3))</f>
        <v/>
      </c>
      <c r="T33" s="7" t="n"/>
      <c r="U33" s="7" t="n"/>
      <c r="V33" s="10">
        <f>IF(OR(T33="",U33="",U33=0),"",ROUND(T33/U33,6))</f>
        <v/>
      </c>
      <c r="W33" s="9">
        <f>IF(OR(R33="",T33="",U33="",U33=0),"",ROUND(R33*T33/U33,3))</f>
        <v/>
      </c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12">
        <f>IF(A33="","",IF(OR(B33="",C33="",D33="",E33="",H33="",O33="",T33="",U33=""),"必填欄位未完整",""))</f>
        <v/>
      </c>
      <c r="AI33" s="12">
        <f>IF(A33="","",A33&amp;"|"&amp;G33)</f>
        <v/>
      </c>
      <c r="AJ33" s="12">
        <f>IF(A33="","",A33&amp;"|"&amp;H33)</f>
        <v/>
      </c>
    </row>
    <row r="34" ht="24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8" t="n"/>
      <c r="P34" s="8" t="n"/>
      <c r="Q34" s="8" t="n"/>
      <c r="R34" s="13">
        <f>IF(O34="","",SUM(O34:Q34))</f>
        <v/>
      </c>
      <c r="S34" s="9">
        <f>IF(R34="","",ROUND(R34/3.305785,3))</f>
        <v/>
      </c>
      <c r="T34" s="7" t="n"/>
      <c r="U34" s="7" t="n"/>
      <c r="V34" s="10">
        <f>IF(OR(T34="",U34="",U34=0),"",ROUND(T34/U34,6))</f>
        <v/>
      </c>
      <c r="W34" s="9">
        <f>IF(OR(R34="",T34="",U34="",U34=0),"",ROUND(R34*T34/U34,3))</f>
        <v/>
      </c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12">
        <f>IF(A34="","",IF(OR(B34="",C34="",D34="",E34="",H34="",O34="",T34="",U34=""),"必填欄位未完整",""))</f>
        <v/>
      </c>
      <c r="AI34" s="12">
        <f>IF(A34="","",A34&amp;"|"&amp;G34)</f>
        <v/>
      </c>
      <c r="AJ34" s="12">
        <f>IF(A34="","",A34&amp;"|"&amp;H34)</f>
        <v/>
      </c>
    </row>
    <row r="35" ht="24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8" t="n"/>
      <c r="P35" s="8" t="n"/>
      <c r="Q35" s="8" t="n"/>
      <c r="R35" s="13">
        <f>IF(O35="","",SUM(O35:Q35))</f>
        <v/>
      </c>
      <c r="S35" s="9">
        <f>IF(R35="","",ROUND(R35/3.305785,3))</f>
        <v/>
      </c>
      <c r="T35" s="7" t="n"/>
      <c r="U35" s="7" t="n"/>
      <c r="V35" s="10">
        <f>IF(OR(T35="",U35="",U35=0),"",ROUND(T35/U35,6))</f>
        <v/>
      </c>
      <c r="W35" s="9">
        <f>IF(OR(R35="",T35="",U35="",U35=0),"",ROUND(R35*T35/U35,3))</f>
        <v/>
      </c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12">
        <f>IF(A35="","",IF(OR(B35="",C35="",D35="",E35="",H35="",O35="",T35="",U35=""),"必填欄位未完整",""))</f>
        <v/>
      </c>
      <c r="AI35" s="12">
        <f>IF(A35="","",A35&amp;"|"&amp;G35)</f>
        <v/>
      </c>
      <c r="AJ35" s="12">
        <f>IF(A35="","",A35&amp;"|"&amp;H35)</f>
        <v/>
      </c>
    </row>
    <row r="36" ht="24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8" t="n"/>
      <c r="P36" s="8" t="n"/>
      <c r="Q36" s="8" t="n"/>
      <c r="R36" s="13">
        <f>IF(O36="","",SUM(O36:Q36))</f>
        <v/>
      </c>
      <c r="S36" s="9">
        <f>IF(R36="","",ROUND(R36/3.305785,3))</f>
        <v/>
      </c>
      <c r="T36" s="7" t="n"/>
      <c r="U36" s="7" t="n"/>
      <c r="V36" s="10">
        <f>IF(OR(T36="",U36="",U36=0),"",ROUND(T36/U36,6))</f>
        <v/>
      </c>
      <c r="W36" s="9">
        <f>IF(OR(R36="",T36="",U36="",U36=0),"",ROUND(R36*T36/U36,3))</f>
        <v/>
      </c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12">
        <f>IF(A36="","",IF(OR(B36="",C36="",D36="",E36="",H36="",O36="",T36="",U36=""),"必填欄位未完整",""))</f>
        <v/>
      </c>
      <c r="AI36" s="12">
        <f>IF(A36="","",A36&amp;"|"&amp;G36)</f>
        <v/>
      </c>
      <c r="AJ36" s="12">
        <f>IF(A36="","",A36&amp;"|"&amp;H36)</f>
        <v/>
      </c>
    </row>
    <row r="37" ht="24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8" t="n"/>
      <c r="P37" s="8" t="n"/>
      <c r="Q37" s="8" t="n"/>
      <c r="R37" s="13">
        <f>IF(O37="","",SUM(O37:Q37))</f>
        <v/>
      </c>
      <c r="S37" s="9">
        <f>IF(R37="","",ROUND(R37/3.305785,3))</f>
        <v/>
      </c>
      <c r="T37" s="7" t="n"/>
      <c r="U37" s="7" t="n"/>
      <c r="V37" s="10">
        <f>IF(OR(T37="",U37="",U37=0),"",ROUND(T37/U37,6))</f>
        <v/>
      </c>
      <c r="W37" s="9">
        <f>IF(OR(R37="",T37="",U37="",U37=0),"",ROUND(R37*T37/U37,3))</f>
        <v/>
      </c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12">
        <f>IF(A37="","",IF(OR(B37="",C37="",D37="",E37="",H37="",O37="",T37="",U37=""),"必填欄位未完整",""))</f>
        <v/>
      </c>
      <c r="AI37" s="12">
        <f>IF(A37="","",A37&amp;"|"&amp;G37)</f>
        <v/>
      </c>
      <c r="AJ37" s="12">
        <f>IF(A37="","",A37&amp;"|"&amp;H37)</f>
        <v/>
      </c>
    </row>
    <row r="38" ht="24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8" t="n"/>
      <c r="P38" s="8" t="n"/>
      <c r="Q38" s="8" t="n"/>
      <c r="R38" s="13">
        <f>IF(O38="","",SUM(O38:Q38))</f>
        <v/>
      </c>
      <c r="S38" s="9">
        <f>IF(R38="","",ROUND(R38/3.305785,3))</f>
        <v/>
      </c>
      <c r="T38" s="7" t="n"/>
      <c r="U38" s="7" t="n"/>
      <c r="V38" s="10">
        <f>IF(OR(T38="",U38="",U38=0),"",ROUND(T38/U38,6))</f>
        <v/>
      </c>
      <c r="W38" s="9">
        <f>IF(OR(R38="",T38="",U38="",U38=0),"",ROUND(R38*T38/U38,3))</f>
        <v/>
      </c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12">
        <f>IF(A38="","",IF(OR(B38="",C38="",D38="",E38="",H38="",O38="",T38="",U38=""),"必填欄位未完整",""))</f>
        <v/>
      </c>
      <c r="AI38" s="12">
        <f>IF(A38="","",A38&amp;"|"&amp;G38)</f>
        <v/>
      </c>
      <c r="AJ38" s="12">
        <f>IF(A38="","",A38&amp;"|"&amp;H38)</f>
        <v/>
      </c>
    </row>
    <row r="39" ht="24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8" t="n"/>
      <c r="P39" s="8" t="n"/>
      <c r="Q39" s="8" t="n"/>
      <c r="R39" s="13">
        <f>IF(O39="","",SUM(O39:Q39))</f>
        <v/>
      </c>
      <c r="S39" s="9">
        <f>IF(R39="","",ROUND(R39/3.305785,3))</f>
        <v/>
      </c>
      <c r="T39" s="7" t="n"/>
      <c r="U39" s="7" t="n"/>
      <c r="V39" s="10">
        <f>IF(OR(T39="",U39="",U39=0),"",ROUND(T39/U39,6))</f>
        <v/>
      </c>
      <c r="W39" s="9">
        <f>IF(OR(R39="",T39="",U39="",U39=0),"",ROUND(R39*T39/U39,3))</f>
        <v/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12">
        <f>IF(A39="","",IF(OR(B39="",C39="",D39="",E39="",H39="",O39="",T39="",U39=""),"必填欄位未完整",""))</f>
        <v/>
      </c>
      <c r="AI39" s="12">
        <f>IF(A39="","",A39&amp;"|"&amp;G39)</f>
        <v/>
      </c>
      <c r="AJ39" s="12">
        <f>IF(A39="","",A39&amp;"|"&amp;H39)</f>
        <v/>
      </c>
    </row>
    <row r="40" ht="24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8" t="n"/>
      <c r="P40" s="8" t="n"/>
      <c r="Q40" s="8" t="n"/>
      <c r="R40" s="13">
        <f>IF(O40="","",SUM(O40:Q40))</f>
        <v/>
      </c>
      <c r="S40" s="9">
        <f>IF(R40="","",ROUND(R40/3.305785,3))</f>
        <v/>
      </c>
      <c r="T40" s="7" t="n"/>
      <c r="U40" s="7" t="n"/>
      <c r="V40" s="10">
        <f>IF(OR(T40="",U40="",U40=0),"",ROUND(T40/U40,6))</f>
        <v/>
      </c>
      <c r="W40" s="9">
        <f>IF(OR(R40="",T40="",U40="",U40=0),"",ROUND(R40*T40/U40,3))</f>
        <v/>
      </c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12">
        <f>IF(A40="","",IF(OR(B40="",C40="",D40="",E40="",H40="",O40="",T40="",U40=""),"必填欄位未完整",""))</f>
        <v/>
      </c>
      <c r="AI40" s="12">
        <f>IF(A40="","",A40&amp;"|"&amp;G40)</f>
        <v/>
      </c>
      <c r="AJ40" s="12">
        <f>IF(A40="","",A40&amp;"|"&amp;H40)</f>
        <v/>
      </c>
    </row>
    <row r="41" ht="24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8" t="n"/>
      <c r="P41" s="8" t="n"/>
      <c r="Q41" s="8" t="n"/>
      <c r="R41" s="13">
        <f>IF(O41="","",SUM(O41:Q41))</f>
        <v/>
      </c>
      <c r="S41" s="9">
        <f>IF(R41="","",ROUND(R41/3.305785,3))</f>
        <v/>
      </c>
      <c r="T41" s="7" t="n"/>
      <c r="U41" s="7" t="n"/>
      <c r="V41" s="10">
        <f>IF(OR(T41="",U41="",U41=0),"",ROUND(T41/U41,6))</f>
        <v/>
      </c>
      <c r="W41" s="9">
        <f>IF(OR(R41="",T41="",U41="",U41=0),"",ROUND(R41*T41/U41,3))</f>
        <v/>
      </c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12">
        <f>IF(A41="","",IF(OR(B41="",C41="",D41="",E41="",H41="",O41="",T41="",U41=""),"必填欄位未完整",""))</f>
        <v/>
      </c>
      <c r="AI41" s="12">
        <f>IF(A41="","",A41&amp;"|"&amp;G41)</f>
        <v/>
      </c>
      <c r="AJ41" s="12">
        <f>IF(A41="","",A41&amp;"|"&amp;H41)</f>
        <v/>
      </c>
    </row>
    <row r="42" ht="2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8" t="n"/>
      <c r="P42" s="8" t="n"/>
      <c r="Q42" s="8" t="n"/>
      <c r="R42" s="13">
        <f>IF(O42="","",SUM(O42:Q42))</f>
        <v/>
      </c>
      <c r="S42" s="9">
        <f>IF(R42="","",ROUND(R42/3.305785,3))</f>
        <v/>
      </c>
      <c r="T42" s="7" t="n"/>
      <c r="U42" s="7" t="n"/>
      <c r="V42" s="10">
        <f>IF(OR(T42="",U42="",U42=0),"",ROUND(T42/U42,6))</f>
        <v/>
      </c>
      <c r="W42" s="9">
        <f>IF(OR(R42="",T42="",U42="",U42=0),"",ROUND(R42*T42/U42,3))</f>
        <v/>
      </c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12">
        <f>IF(A42="","",IF(OR(B42="",C42="",D42="",E42="",H42="",O42="",T42="",U42=""),"必填欄位未完整",""))</f>
        <v/>
      </c>
      <c r="AI42" s="12">
        <f>IF(A42="","",A42&amp;"|"&amp;G42)</f>
        <v/>
      </c>
      <c r="AJ42" s="12">
        <f>IF(A42="","",A42&amp;"|"&amp;H42)</f>
        <v/>
      </c>
    </row>
    <row r="43" ht="2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8" t="n"/>
      <c r="P43" s="8" t="n"/>
      <c r="Q43" s="8" t="n"/>
      <c r="R43" s="13">
        <f>IF(O43="","",SUM(O43:Q43))</f>
        <v/>
      </c>
      <c r="S43" s="9">
        <f>IF(R43="","",ROUND(R43/3.305785,3))</f>
        <v/>
      </c>
      <c r="T43" s="7" t="n"/>
      <c r="U43" s="7" t="n"/>
      <c r="V43" s="10">
        <f>IF(OR(T43="",U43="",U43=0),"",ROUND(T43/U43,6))</f>
        <v/>
      </c>
      <c r="W43" s="9">
        <f>IF(OR(R43="",T43="",U43="",U43=0),"",ROUND(R43*T43/U43,3))</f>
        <v/>
      </c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12">
        <f>IF(A43="","",IF(OR(B43="",C43="",D43="",E43="",H43="",O43="",T43="",U43=""),"必填欄位未完整",""))</f>
        <v/>
      </c>
      <c r="AI43" s="12">
        <f>IF(A43="","",A43&amp;"|"&amp;G43)</f>
        <v/>
      </c>
      <c r="AJ43" s="12">
        <f>IF(A43="","",A43&amp;"|"&amp;H43)</f>
        <v/>
      </c>
    </row>
    <row r="44" ht="2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8" t="n"/>
      <c r="P44" s="8" t="n"/>
      <c r="Q44" s="8" t="n"/>
      <c r="R44" s="13">
        <f>IF(O44="","",SUM(O44:Q44))</f>
        <v/>
      </c>
      <c r="S44" s="9">
        <f>IF(R44="","",ROUND(R44/3.305785,3))</f>
        <v/>
      </c>
      <c r="T44" s="7" t="n"/>
      <c r="U44" s="7" t="n"/>
      <c r="V44" s="10">
        <f>IF(OR(T44="",U44="",U44=0),"",ROUND(T44/U44,6))</f>
        <v/>
      </c>
      <c r="W44" s="9">
        <f>IF(OR(R44="",T44="",U44="",U44=0),"",ROUND(R44*T44/U44,3))</f>
        <v/>
      </c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12">
        <f>IF(A44="","",IF(OR(B44="",C44="",D44="",E44="",H44="",O44="",T44="",U44=""),"必填欄位未完整",""))</f>
        <v/>
      </c>
      <c r="AI44" s="12">
        <f>IF(A44="","",A44&amp;"|"&amp;G44)</f>
        <v/>
      </c>
      <c r="AJ44" s="12">
        <f>IF(A44="","",A44&amp;"|"&amp;H44)</f>
        <v/>
      </c>
    </row>
    <row r="45" ht="2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8" t="n"/>
      <c r="P45" s="8" t="n"/>
      <c r="Q45" s="8" t="n"/>
      <c r="R45" s="13">
        <f>IF(O45="","",SUM(O45:Q45))</f>
        <v/>
      </c>
      <c r="S45" s="9">
        <f>IF(R45="","",ROUND(R45/3.305785,3))</f>
        <v/>
      </c>
      <c r="T45" s="7" t="n"/>
      <c r="U45" s="7" t="n"/>
      <c r="V45" s="10">
        <f>IF(OR(T45="",U45="",U45=0),"",ROUND(T45/U45,6))</f>
        <v/>
      </c>
      <c r="W45" s="9">
        <f>IF(OR(R45="",T45="",U45="",U45=0),"",ROUND(R45*T45/U45,3))</f>
        <v/>
      </c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12">
        <f>IF(A45="","",IF(OR(B45="",C45="",D45="",E45="",H45="",O45="",T45="",U45=""),"必填欄位未完整",""))</f>
        <v/>
      </c>
      <c r="AI45" s="12">
        <f>IF(A45="","",A45&amp;"|"&amp;G45)</f>
        <v/>
      </c>
      <c r="AJ45" s="12">
        <f>IF(A45="","",A45&amp;"|"&amp;H45)</f>
        <v/>
      </c>
    </row>
    <row r="46" ht="2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8" t="n"/>
      <c r="P46" s="8" t="n"/>
      <c r="Q46" s="8" t="n"/>
      <c r="R46" s="13">
        <f>IF(O46="","",SUM(O46:Q46))</f>
        <v/>
      </c>
      <c r="S46" s="9">
        <f>IF(R46="","",ROUND(R46/3.305785,3))</f>
        <v/>
      </c>
      <c r="T46" s="7" t="n"/>
      <c r="U46" s="7" t="n"/>
      <c r="V46" s="10">
        <f>IF(OR(T46="",U46="",U46=0),"",ROUND(T46/U46,6))</f>
        <v/>
      </c>
      <c r="W46" s="9">
        <f>IF(OR(R46="",T46="",U46="",U46=0),"",ROUND(R46*T46/U46,3))</f>
        <v/>
      </c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12">
        <f>IF(A46="","",IF(OR(B46="",C46="",D46="",E46="",H46="",O46="",T46="",U46=""),"必填欄位未完整",""))</f>
        <v/>
      </c>
      <c r="AI46" s="12">
        <f>IF(A46="","",A46&amp;"|"&amp;G46)</f>
        <v/>
      </c>
      <c r="AJ46" s="12">
        <f>IF(A46="","",A46&amp;"|"&amp;H46)</f>
        <v/>
      </c>
    </row>
    <row r="47" ht="2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8" t="n"/>
      <c r="P47" s="8" t="n"/>
      <c r="Q47" s="8" t="n"/>
      <c r="R47" s="13">
        <f>IF(O47="","",SUM(O47:Q47))</f>
        <v/>
      </c>
      <c r="S47" s="9">
        <f>IF(R47="","",ROUND(R47/3.305785,3))</f>
        <v/>
      </c>
      <c r="T47" s="7" t="n"/>
      <c r="U47" s="7" t="n"/>
      <c r="V47" s="10">
        <f>IF(OR(T47="",U47="",U47=0),"",ROUND(T47/U47,6))</f>
        <v/>
      </c>
      <c r="W47" s="9">
        <f>IF(OR(R47="",T47="",U47="",U47=0),"",ROUND(R47*T47/U47,3))</f>
        <v/>
      </c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12">
        <f>IF(A47="","",IF(OR(B47="",C47="",D47="",E47="",H47="",O47="",T47="",U47=""),"必填欄位未完整",""))</f>
        <v/>
      </c>
      <c r="AI47" s="12">
        <f>IF(A47="","",A47&amp;"|"&amp;G47)</f>
        <v/>
      </c>
      <c r="AJ47" s="12">
        <f>IF(A47="","",A47&amp;"|"&amp;H47)</f>
        <v/>
      </c>
    </row>
    <row r="48" ht="2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8" t="n"/>
      <c r="P48" s="8" t="n"/>
      <c r="Q48" s="8" t="n"/>
      <c r="R48" s="13">
        <f>IF(O48="","",SUM(O48:Q48))</f>
        <v/>
      </c>
      <c r="S48" s="9">
        <f>IF(R48="","",ROUND(R48/3.305785,3))</f>
        <v/>
      </c>
      <c r="T48" s="7" t="n"/>
      <c r="U48" s="7" t="n"/>
      <c r="V48" s="10">
        <f>IF(OR(T48="",U48="",U48=0),"",ROUND(T48/U48,6))</f>
        <v/>
      </c>
      <c r="W48" s="9">
        <f>IF(OR(R48="",T48="",U48="",U48=0),"",ROUND(R48*T48/U48,3))</f>
        <v/>
      </c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12">
        <f>IF(A48="","",IF(OR(B48="",C48="",D48="",E48="",H48="",O48="",T48="",U48=""),"必填欄位未完整",""))</f>
        <v/>
      </c>
      <c r="AI48" s="12">
        <f>IF(A48="","",A48&amp;"|"&amp;G48)</f>
        <v/>
      </c>
      <c r="AJ48" s="12">
        <f>IF(A48="","",A48&amp;"|"&amp;H48)</f>
        <v/>
      </c>
    </row>
    <row r="49" ht="2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8" t="n"/>
      <c r="P49" s="8" t="n"/>
      <c r="Q49" s="8" t="n"/>
      <c r="R49" s="13">
        <f>IF(O49="","",SUM(O49:Q49))</f>
        <v/>
      </c>
      <c r="S49" s="9">
        <f>IF(R49="","",ROUND(R49/3.305785,3))</f>
        <v/>
      </c>
      <c r="T49" s="7" t="n"/>
      <c r="U49" s="7" t="n"/>
      <c r="V49" s="10">
        <f>IF(OR(T49="",U49="",U49=0),"",ROUND(T49/U49,6))</f>
        <v/>
      </c>
      <c r="W49" s="9">
        <f>IF(OR(R49="",T49="",U49="",U49=0),"",ROUND(R49*T49/U49,3))</f>
        <v/>
      </c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12">
        <f>IF(A49="","",IF(OR(B49="",C49="",D49="",E49="",H49="",O49="",T49="",U49=""),"必填欄位未完整",""))</f>
        <v/>
      </c>
      <c r="AI49" s="12">
        <f>IF(A49="","",A49&amp;"|"&amp;G49)</f>
        <v/>
      </c>
      <c r="AJ49" s="12">
        <f>IF(A49="","",A49&amp;"|"&amp;H49)</f>
        <v/>
      </c>
    </row>
    <row r="50" ht="2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8" t="n"/>
      <c r="P50" s="8" t="n"/>
      <c r="Q50" s="8" t="n"/>
      <c r="R50" s="13">
        <f>IF(O50="","",SUM(O50:Q50))</f>
        <v/>
      </c>
      <c r="S50" s="9">
        <f>IF(R50="","",ROUND(R50/3.305785,3))</f>
        <v/>
      </c>
      <c r="T50" s="7" t="n"/>
      <c r="U50" s="7" t="n"/>
      <c r="V50" s="10">
        <f>IF(OR(T50="",U50="",U50=0),"",ROUND(T50/U50,6))</f>
        <v/>
      </c>
      <c r="W50" s="9">
        <f>IF(OR(R50="",T50="",U50="",U50=0),"",ROUND(R50*T50/U50,3))</f>
        <v/>
      </c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12">
        <f>IF(A50="","",IF(OR(B50="",C50="",D50="",E50="",H50="",O50="",T50="",U50=""),"必填欄位未完整",""))</f>
        <v/>
      </c>
      <c r="AI50" s="12">
        <f>IF(A50="","",A50&amp;"|"&amp;G50)</f>
        <v/>
      </c>
      <c r="AJ50" s="12">
        <f>IF(A50="","",A50&amp;"|"&amp;H50)</f>
        <v/>
      </c>
    </row>
    <row r="51" ht="2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8" t="n"/>
      <c r="P51" s="8" t="n"/>
      <c r="Q51" s="8" t="n"/>
      <c r="R51" s="13">
        <f>IF(O51="","",SUM(O51:Q51))</f>
        <v/>
      </c>
      <c r="S51" s="9">
        <f>IF(R51="","",ROUND(R51/3.305785,3))</f>
        <v/>
      </c>
      <c r="T51" s="7" t="n"/>
      <c r="U51" s="7" t="n"/>
      <c r="V51" s="10">
        <f>IF(OR(T51="",U51="",U51=0),"",ROUND(T51/U51,6))</f>
        <v/>
      </c>
      <c r="W51" s="9">
        <f>IF(OR(R51="",T51="",U51="",U51=0),"",ROUND(R51*T51/U51,3))</f>
        <v/>
      </c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12">
        <f>IF(A51="","",IF(OR(B51="",C51="",D51="",E51="",H51="",O51="",T51="",U51=""),"必填欄位未完整",""))</f>
        <v/>
      </c>
      <c r="AI51" s="12">
        <f>IF(A51="","",A51&amp;"|"&amp;G51)</f>
        <v/>
      </c>
      <c r="AJ51" s="12">
        <f>IF(A51="","",A51&amp;"|"&amp;H51)</f>
        <v/>
      </c>
    </row>
    <row r="52" ht="2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8" t="n"/>
      <c r="P52" s="8" t="n"/>
      <c r="Q52" s="8" t="n"/>
      <c r="R52" s="13">
        <f>IF(O52="","",SUM(O52:Q52))</f>
        <v/>
      </c>
      <c r="S52" s="9">
        <f>IF(R52="","",ROUND(R52/3.305785,3))</f>
        <v/>
      </c>
      <c r="T52" s="7" t="n"/>
      <c r="U52" s="7" t="n"/>
      <c r="V52" s="10">
        <f>IF(OR(T52="",U52="",U52=0),"",ROUND(T52/U52,6))</f>
        <v/>
      </c>
      <c r="W52" s="9">
        <f>IF(OR(R52="",T52="",U52="",U52=0),"",ROUND(R52*T52/U52,3))</f>
        <v/>
      </c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12">
        <f>IF(A52="","",IF(OR(B52="",C52="",D52="",E52="",H52="",O52="",T52="",U52=""),"必填欄位未完整",""))</f>
        <v/>
      </c>
      <c r="AI52" s="12">
        <f>IF(A52="","",A52&amp;"|"&amp;G52)</f>
        <v/>
      </c>
      <c r="AJ52" s="12">
        <f>IF(A52="","",A52&amp;"|"&amp;H52)</f>
        <v/>
      </c>
    </row>
    <row r="53" ht="2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8" t="n"/>
      <c r="P53" s="8" t="n"/>
      <c r="Q53" s="8" t="n"/>
      <c r="R53" s="13">
        <f>IF(O53="","",SUM(O53:Q53))</f>
        <v/>
      </c>
      <c r="S53" s="9">
        <f>IF(R53="","",ROUND(R53/3.305785,3))</f>
        <v/>
      </c>
      <c r="T53" s="7" t="n"/>
      <c r="U53" s="7" t="n"/>
      <c r="V53" s="10">
        <f>IF(OR(T53="",U53="",U53=0),"",ROUND(T53/U53,6))</f>
        <v/>
      </c>
      <c r="W53" s="9">
        <f>IF(OR(R53="",T53="",U53="",U53=0),"",ROUND(R53*T53/U53,3))</f>
        <v/>
      </c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12">
        <f>IF(A53="","",IF(OR(B53="",C53="",D53="",E53="",H53="",O53="",T53="",U53=""),"必填欄位未完整",""))</f>
        <v/>
      </c>
      <c r="AI53" s="12">
        <f>IF(A53="","",A53&amp;"|"&amp;G53)</f>
        <v/>
      </c>
      <c r="AJ53" s="12">
        <f>IF(A53="","",A53&amp;"|"&amp;H53)</f>
        <v/>
      </c>
    </row>
    <row r="54" ht="2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8" t="n"/>
      <c r="P54" s="8" t="n"/>
      <c r="Q54" s="8" t="n"/>
      <c r="R54" s="13">
        <f>IF(O54="","",SUM(O54:Q54))</f>
        <v/>
      </c>
      <c r="S54" s="9">
        <f>IF(R54="","",ROUND(R54/3.305785,3))</f>
        <v/>
      </c>
      <c r="T54" s="7" t="n"/>
      <c r="U54" s="7" t="n"/>
      <c r="V54" s="10">
        <f>IF(OR(T54="",U54="",U54=0),"",ROUND(T54/U54,6))</f>
        <v/>
      </c>
      <c r="W54" s="9">
        <f>IF(OR(R54="",T54="",U54="",U54=0),"",ROUND(R54*T54/U54,3))</f>
        <v/>
      </c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12">
        <f>IF(A54="","",IF(OR(B54="",C54="",D54="",E54="",H54="",O54="",T54="",U54=""),"必填欄位未完整",""))</f>
        <v/>
      </c>
      <c r="AI54" s="12">
        <f>IF(A54="","",A54&amp;"|"&amp;G54)</f>
        <v/>
      </c>
      <c r="AJ54" s="12">
        <f>IF(A54="","",A54&amp;"|"&amp;H54)</f>
        <v/>
      </c>
    </row>
    <row r="55" ht="2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8" t="n"/>
      <c r="P55" s="8" t="n"/>
      <c r="Q55" s="8" t="n"/>
      <c r="R55" s="13">
        <f>IF(O55="","",SUM(O55:Q55))</f>
        <v/>
      </c>
      <c r="S55" s="9">
        <f>IF(R55="","",ROUND(R55/3.305785,3))</f>
        <v/>
      </c>
      <c r="T55" s="7" t="n"/>
      <c r="U55" s="7" t="n"/>
      <c r="V55" s="10">
        <f>IF(OR(T55="",U55="",U55=0),"",ROUND(T55/U55,6))</f>
        <v/>
      </c>
      <c r="W55" s="9">
        <f>IF(OR(R55="",T55="",U55="",U55=0),"",ROUND(R55*T55/U55,3))</f>
        <v/>
      </c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12">
        <f>IF(A55="","",IF(OR(B55="",C55="",D55="",E55="",H55="",O55="",T55="",U55=""),"必填欄位未完整",""))</f>
        <v/>
      </c>
      <c r="AI55" s="12">
        <f>IF(A55="","",A55&amp;"|"&amp;G55)</f>
        <v/>
      </c>
      <c r="AJ55" s="12">
        <f>IF(A55="","",A55&amp;"|"&amp;H55)</f>
        <v/>
      </c>
    </row>
    <row r="56" ht="2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8" t="n"/>
      <c r="P56" s="8" t="n"/>
      <c r="Q56" s="8" t="n"/>
      <c r="R56" s="13">
        <f>IF(O56="","",SUM(O56:Q56))</f>
        <v/>
      </c>
      <c r="S56" s="9">
        <f>IF(R56="","",ROUND(R56/3.305785,3))</f>
        <v/>
      </c>
      <c r="T56" s="7" t="n"/>
      <c r="U56" s="7" t="n"/>
      <c r="V56" s="10">
        <f>IF(OR(T56="",U56="",U56=0),"",ROUND(T56/U56,6))</f>
        <v/>
      </c>
      <c r="W56" s="9">
        <f>IF(OR(R56="",T56="",U56="",U56=0),"",ROUND(R56*T56/U56,3))</f>
        <v/>
      </c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12">
        <f>IF(A56="","",IF(OR(B56="",C56="",D56="",E56="",H56="",O56="",T56="",U56=""),"必填欄位未完整",""))</f>
        <v/>
      </c>
      <c r="AI56" s="12">
        <f>IF(A56="","",A56&amp;"|"&amp;G56)</f>
        <v/>
      </c>
      <c r="AJ56" s="12">
        <f>IF(A56="","",A56&amp;"|"&amp;H56)</f>
        <v/>
      </c>
    </row>
    <row r="57" ht="2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8" t="n"/>
      <c r="P57" s="8" t="n"/>
      <c r="Q57" s="8" t="n"/>
      <c r="R57" s="13">
        <f>IF(O57="","",SUM(O57:Q57))</f>
        <v/>
      </c>
      <c r="S57" s="9">
        <f>IF(R57="","",ROUND(R57/3.305785,3))</f>
        <v/>
      </c>
      <c r="T57" s="7" t="n"/>
      <c r="U57" s="7" t="n"/>
      <c r="V57" s="10">
        <f>IF(OR(T57="",U57="",U57=0),"",ROUND(T57/U57,6))</f>
        <v/>
      </c>
      <c r="W57" s="9">
        <f>IF(OR(R57="",T57="",U57="",U57=0),"",ROUND(R57*T57/U57,3))</f>
        <v/>
      </c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12">
        <f>IF(A57="","",IF(OR(B57="",C57="",D57="",E57="",H57="",O57="",T57="",U57=""),"必填欄位未完整",""))</f>
        <v/>
      </c>
      <c r="AI57" s="12">
        <f>IF(A57="","",A57&amp;"|"&amp;G57)</f>
        <v/>
      </c>
      <c r="AJ57" s="12">
        <f>IF(A57="","",A57&amp;"|"&amp;H57)</f>
        <v/>
      </c>
    </row>
    <row r="58" ht="2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8" t="n"/>
      <c r="P58" s="8" t="n"/>
      <c r="Q58" s="8" t="n"/>
      <c r="R58" s="13">
        <f>IF(O58="","",SUM(O58:Q58))</f>
        <v/>
      </c>
      <c r="S58" s="9">
        <f>IF(R58="","",ROUND(R58/3.305785,3))</f>
        <v/>
      </c>
      <c r="T58" s="7" t="n"/>
      <c r="U58" s="7" t="n"/>
      <c r="V58" s="10">
        <f>IF(OR(T58="",U58="",U58=0),"",ROUND(T58/U58,6))</f>
        <v/>
      </c>
      <c r="W58" s="9">
        <f>IF(OR(R58="",T58="",U58="",U58=0),"",ROUND(R58*T58/U58,3))</f>
        <v/>
      </c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12">
        <f>IF(A58="","",IF(OR(B58="",C58="",D58="",E58="",H58="",O58="",T58="",U58=""),"必填欄位未完整",""))</f>
        <v/>
      </c>
      <c r="AI58" s="12">
        <f>IF(A58="","",A58&amp;"|"&amp;G58)</f>
        <v/>
      </c>
      <c r="AJ58" s="12">
        <f>IF(A58="","",A58&amp;"|"&amp;H58)</f>
        <v/>
      </c>
    </row>
    <row r="59" ht="2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8" t="n"/>
      <c r="P59" s="8" t="n"/>
      <c r="Q59" s="8" t="n"/>
      <c r="R59" s="13">
        <f>IF(O59="","",SUM(O59:Q59))</f>
        <v/>
      </c>
      <c r="S59" s="9">
        <f>IF(R59="","",ROUND(R59/3.305785,3))</f>
        <v/>
      </c>
      <c r="T59" s="7" t="n"/>
      <c r="U59" s="7" t="n"/>
      <c r="V59" s="10">
        <f>IF(OR(T59="",U59="",U59=0),"",ROUND(T59/U59,6))</f>
        <v/>
      </c>
      <c r="W59" s="9">
        <f>IF(OR(R59="",T59="",U59="",U59=0),"",ROUND(R59*T59/U59,3))</f>
        <v/>
      </c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12">
        <f>IF(A59="","",IF(OR(B59="",C59="",D59="",E59="",H59="",O59="",T59="",U59=""),"必填欄位未完整",""))</f>
        <v/>
      </c>
      <c r="AI59" s="12">
        <f>IF(A59="","",A59&amp;"|"&amp;G59)</f>
        <v/>
      </c>
      <c r="AJ59" s="12">
        <f>IF(A59="","",A59&amp;"|"&amp;H59)</f>
        <v/>
      </c>
    </row>
    <row r="60" ht="2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8" t="n"/>
      <c r="P60" s="8" t="n"/>
      <c r="Q60" s="8" t="n"/>
      <c r="R60" s="13">
        <f>IF(O60="","",SUM(O60:Q60))</f>
        <v/>
      </c>
      <c r="S60" s="9">
        <f>IF(R60="","",ROUND(R60/3.305785,3))</f>
        <v/>
      </c>
      <c r="T60" s="7" t="n"/>
      <c r="U60" s="7" t="n"/>
      <c r="V60" s="10">
        <f>IF(OR(T60="",U60="",U60=0),"",ROUND(T60/U60,6))</f>
        <v/>
      </c>
      <c r="W60" s="9">
        <f>IF(OR(R60="",T60="",U60="",U60=0),"",ROUND(R60*T60/U60,3))</f>
        <v/>
      </c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12">
        <f>IF(A60="","",IF(OR(B60="",C60="",D60="",E60="",H60="",O60="",T60="",U60=""),"必填欄位未完整",""))</f>
        <v/>
      </c>
      <c r="AI60" s="12">
        <f>IF(A60="","",A60&amp;"|"&amp;G60)</f>
        <v/>
      </c>
      <c r="AJ60" s="12">
        <f>IF(A60="","",A60&amp;"|"&amp;H60)</f>
        <v/>
      </c>
    </row>
    <row r="61" ht="2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8" t="n"/>
      <c r="P61" s="8" t="n"/>
      <c r="Q61" s="8" t="n"/>
      <c r="R61" s="13">
        <f>IF(O61="","",SUM(O61:Q61))</f>
        <v/>
      </c>
      <c r="S61" s="9">
        <f>IF(R61="","",ROUND(R61/3.305785,3))</f>
        <v/>
      </c>
      <c r="T61" s="7" t="n"/>
      <c r="U61" s="7" t="n"/>
      <c r="V61" s="10">
        <f>IF(OR(T61="",U61="",U61=0),"",ROUND(T61/U61,6))</f>
        <v/>
      </c>
      <c r="W61" s="9">
        <f>IF(OR(R61="",T61="",U61="",U61=0),"",ROUND(R61*T61/U61,3))</f>
        <v/>
      </c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12">
        <f>IF(A61="","",IF(OR(B61="",C61="",D61="",E61="",H61="",O61="",T61="",U61=""),"必填欄位未完整",""))</f>
        <v/>
      </c>
      <c r="AI61" s="12">
        <f>IF(A61="","",A61&amp;"|"&amp;G61)</f>
        <v/>
      </c>
      <c r="AJ61" s="12">
        <f>IF(A61="","",A61&amp;"|"&amp;H61)</f>
        <v/>
      </c>
    </row>
    <row r="62" ht="2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8" t="n"/>
      <c r="P62" s="8" t="n"/>
      <c r="Q62" s="8" t="n"/>
      <c r="R62" s="13">
        <f>IF(O62="","",SUM(O62:Q62))</f>
        <v/>
      </c>
      <c r="S62" s="9">
        <f>IF(R62="","",ROUND(R62/3.305785,3))</f>
        <v/>
      </c>
      <c r="T62" s="7" t="n"/>
      <c r="U62" s="7" t="n"/>
      <c r="V62" s="10">
        <f>IF(OR(T62="",U62="",U62=0),"",ROUND(T62/U62,6))</f>
        <v/>
      </c>
      <c r="W62" s="9">
        <f>IF(OR(R62="",T62="",U62="",U62=0),"",ROUND(R62*T62/U62,3))</f>
        <v/>
      </c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12">
        <f>IF(A62="","",IF(OR(B62="",C62="",D62="",E62="",H62="",O62="",T62="",U62=""),"必填欄位未完整",""))</f>
        <v/>
      </c>
      <c r="AI62" s="12">
        <f>IF(A62="","",A62&amp;"|"&amp;G62)</f>
        <v/>
      </c>
      <c r="AJ62" s="12">
        <f>IF(A62="","",A62&amp;"|"&amp;H62)</f>
        <v/>
      </c>
    </row>
    <row r="63" ht="2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8" t="n"/>
      <c r="P63" s="8" t="n"/>
      <c r="Q63" s="8" t="n"/>
      <c r="R63" s="13">
        <f>IF(O63="","",SUM(O63:Q63))</f>
        <v/>
      </c>
      <c r="S63" s="9">
        <f>IF(R63="","",ROUND(R63/3.305785,3))</f>
        <v/>
      </c>
      <c r="T63" s="7" t="n"/>
      <c r="U63" s="7" t="n"/>
      <c r="V63" s="10">
        <f>IF(OR(T63="",U63="",U63=0),"",ROUND(T63/U63,6))</f>
        <v/>
      </c>
      <c r="W63" s="9">
        <f>IF(OR(R63="",T63="",U63="",U63=0),"",ROUND(R63*T63/U63,3))</f>
        <v/>
      </c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12">
        <f>IF(A63="","",IF(OR(B63="",C63="",D63="",E63="",H63="",O63="",T63="",U63=""),"必填欄位未完整",""))</f>
        <v/>
      </c>
      <c r="AI63" s="12">
        <f>IF(A63="","",A63&amp;"|"&amp;G63)</f>
        <v/>
      </c>
      <c r="AJ63" s="12">
        <f>IF(A63="","",A63&amp;"|"&amp;H63)</f>
        <v/>
      </c>
    </row>
    <row r="64" ht="2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8" t="n"/>
      <c r="P64" s="8" t="n"/>
      <c r="Q64" s="8" t="n"/>
      <c r="R64" s="13">
        <f>IF(O64="","",SUM(O64:Q64))</f>
        <v/>
      </c>
      <c r="S64" s="9">
        <f>IF(R64="","",ROUND(R64/3.305785,3))</f>
        <v/>
      </c>
      <c r="T64" s="7" t="n"/>
      <c r="U64" s="7" t="n"/>
      <c r="V64" s="10">
        <f>IF(OR(T64="",U64="",U64=0),"",ROUND(T64/U64,6))</f>
        <v/>
      </c>
      <c r="W64" s="9">
        <f>IF(OR(R64="",T64="",U64="",U64=0),"",ROUND(R64*T64/U64,3))</f>
        <v/>
      </c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12">
        <f>IF(A64="","",IF(OR(B64="",C64="",D64="",E64="",H64="",O64="",T64="",U64=""),"必填欄位未完整",""))</f>
        <v/>
      </c>
      <c r="AI64" s="12">
        <f>IF(A64="","",A64&amp;"|"&amp;G64)</f>
        <v/>
      </c>
      <c r="AJ64" s="12">
        <f>IF(A64="","",A64&amp;"|"&amp;H64)</f>
        <v/>
      </c>
    </row>
    <row r="65" ht="2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8" t="n"/>
      <c r="P65" s="8" t="n"/>
      <c r="Q65" s="8" t="n"/>
      <c r="R65" s="13">
        <f>IF(O65="","",SUM(O65:Q65))</f>
        <v/>
      </c>
      <c r="S65" s="9">
        <f>IF(R65="","",ROUND(R65/3.305785,3))</f>
        <v/>
      </c>
      <c r="T65" s="7" t="n"/>
      <c r="U65" s="7" t="n"/>
      <c r="V65" s="10">
        <f>IF(OR(T65="",U65="",U65=0),"",ROUND(T65/U65,6))</f>
        <v/>
      </c>
      <c r="W65" s="9">
        <f>IF(OR(R65="",T65="",U65="",U65=0),"",ROUND(R65*T65/U65,3))</f>
        <v/>
      </c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12">
        <f>IF(A65="","",IF(OR(B65="",C65="",D65="",E65="",H65="",O65="",T65="",U65=""),"必填欄位未完整",""))</f>
        <v/>
      </c>
      <c r="AI65" s="12">
        <f>IF(A65="","",A65&amp;"|"&amp;G65)</f>
        <v/>
      </c>
      <c r="AJ65" s="12">
        <f>IF(A65="","",A65&amp;"|"&amp;H65)</f>
        <v/>
      </c>
    </row>
    <row r="66" ht="2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8" t="n"/>
      <c r="P66" s="8" t="n"/>
      <c r="Q66" s="8" t="n"/>
      <c r="R66" s="13">
        <f>IF(O66="","",SUM(O66:Q66))</f>
        <v/>
      </c>
      <c r="S66" s="9">
        <f>IF(R66="","",ROUND(R66/3.305785,3))</f>
        <v/>
      </c>
      <c r="T66" s="7" t="n"/>
      <c r="U66" s="7" t="n"/>
      <c r="V66" s="10">
        <f>IF(OR(T66="",U66="",U66=0),"",ROUND(T66/U66,6))</f>
        <v/>
      </c>
      <c r="W66" s="9">
        <f>IF(OR(R66="",T66="",U66="",U66=0),"",ROUND(R66*T66/U66,3))</f>
        <v/>
      </c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12">
        <f>IF(A66="","",IF(OR(B66="",C66="",D66="",E66="",H66="",O66="",T66="",U66=""),"必填欄位未完整",""))</f>
        <v/>
      </c>
      <c r="AI66" s="12">
        <f>IF(A66="","",A66&amp;"|"&amp;G66)</f>
        <v/>
      </c>
      <c r="AJ66" s="12">
        <f>IF(A66="","",A66&amp;"|"&amp;H66)</f>
        <v/>
      </c>
    </row>
    <row r="67" ht="2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8" t="n"/>
      <c r="P67" s="8" t="n"/>
      <c r="Q67" s="8" t="n"/>
      <c r="R67" s="13">
        <f>IF(O67="","",SUM(O67:Q67))</f>
        <v/>
      </c>
      <c r="S67" s="9">
        <f>IF(R67="","",ROUND(R67/3.305785,3))</f>
        <v/>
      </c>
      <c r="T67" s="7" t="n"/>
      <c r="U67" s="7" t="n"/>
      <c r="V67" s="10">
        <f>IF(OR(T67="",U67="",U67=0),"",ROUND(T67/U67,6))</f>
        <v/>
      </c>
      <c r="W67" s="9">
        <f>IF(OR(R67="",T67="",U67="",U67=0),"",ROUND(R67*T67/U67,3))</f>
        <v/>
      </c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12">
        <f>IF(A67="","",IF(OR(B67="",C67="",D67="",E67="",H67="",O67="",T67="",U67=""),"必填欄位未完整",""))</f>
        <v/>
      </c>
      <c r="AI67" s="12">
        <f>IF(A67="","",A67&amp;"|"&amp;G67)</f>
        <v/>
      </c>
      <c r="AJ67" s="12">
        <f>IF(A67="","",A67&amp;"|"&amp;H67)</f>
        <v/>
      </c>
    </row>
    <row r="68" ht="2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8" t="n"/>
      <c r="P68" s="8" t="n"/>
      <c r="Q68" s="8" t="n"/>
      <c r="R68" s="13">
        <f>IF(O68="","",SUM(O68:Q68))</f>
        <v/>
      </c>
      <c r="S68" s="9">
        <f>IF(R68="","",ROUND(R68/3.305785,3))</f>
        <v/>
      </c>
      <c r="T68" s="7" t="n"/>
      <c r="U68" s="7" t="n"/>
      <c r="V68" s="10">
        <f>IF(OR(T68="",U68="",U68=0),"",ROUND(T68/U68,6))</f>
        <v/>
      </c>
      <c r="W68" s="9">
        <f>IF(OR(R68="",T68="",U68="",U68=0),"",ROUND(R68*T68/U68,3))</f>
        <v/>
      </c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12">
        <f>IF(A68="","",IF(OR(B68="",C68="",D68="",E68="",H68="",O68="",T68="",U68=""),"必填欄位未完整",""))</f>
        <v/>
      </c>
      <c r="AI68" s="12">
        <f>IF(A68="","",A68&amp;"|"&amp;G68)</f>
        <v/>
      </c>
      <c r="AJ68" s="12">
        <f>IF(A68="","",A68&amp;"|"&amp;H68)</f>
        <v/>
      </c>
    </row>
    <row r="69" ht="2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8" t="n"/>
      <c r="P69" s="8" t="n"/>
      <c r="Q69" s="8" t="n"/>
      <c r="R69" s="13">
        <f>IF(O69="","",SUM(O69:Q69))</f>
        <v/>
      </c>
      <c r="S69" s="9">
        <f>IF(R69="","",ROUND(R69/3.305785,3))</f>
        <v/>
      </c>
      <c r="T69" s="7" t="n"/>
      <c r="U69" s="7" t="n"/>
      <c r="V69" s="10">
        <f>IF(OR(T69="",U69="",U69=0),"",ROUND(T69/U69,6))</f>
        <v/>
      </c>
      <c r="W69" s="9">
        <f>IF(OR(R69="",T69="",U69="",U69=0),"",ROUND(R69*T69/U69,3))</f>
        <v/>
      </c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12">
        <f>IF(A69="","",IF(OR(B69="",C69="",D69="",E69="",H69="",O69="",T69="",U69=""),"必填欄位未完整",""))</f>
        <v/>
      </c>
      <c r="AI69" s="12">
        <f>IF(A69="","",A69&amp;"|"&amp;G69)</f>
        <v/>
      </c>
      <c r="AJ69" s="12">
        <f>IF(A69="","",A69&amp;"|"&amp;H69)</f>
        <v/>
      </c>
    </row>
    <row r="70" ht="2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8" t="n"/>
      <c r="P70" s="8" t="n"/>
      <c r="Q70" s="8" t="n"/>
      <c r="R70" s="13">
        <f>IF(O70="","",SUM(O70:Q70))</f>
        <v/>
      </c>
      <c r="S70" s="9">
        <f>IF(R70="","",ROUND(R70/3.305785,3))</f>
        <v/>
      </c>
      <c r="T70" s="7" t="n"/>
      <c r="U70" s="7" t="n"/>
      <c r="V70" s="10">
        <f>IF(OR(T70="",U70="",U70=0),"",ROUND(T70/U70,6))</f>
        <v/>
      </c>
      <c r="W70" s="9">
        <f>IF(OR(R70="",T70="",U70="",U70=0),"",ROUND(R70*T70/U70,3))</f>
        <v/>
      </c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12">
        <f>IF(A70="","",IF(OR(B70="",C70="",D70="",E70="",H70="",O70="",T70="",U70=""),"必填欄位未完整",""))</f>
        <v/>
      </c>
      <c r="AI70" s="12">
        <f>IF(A70="","",A70&amp;"|"&amp;G70)</f>
        <v/>
      </c>
      <c r="AJ70" s="12">
        <f>IF(A70="","",A70&amp;"|"&amp;H70)</f>
        <v/>
      </c>
    </row>
    <row r="71" ht="2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8" t="n"/>
      <c r="P71" s="8" t="n"/>
      <c r="Q71" s="8" t="n"/>
      <c r="R71" s="13">
        <f>IF(O71="","",SUM(O71:Q71))</f>
        <v/>
      </c>
      <c r="S71" s="9">
        <f>IF(R71="","",ROUND(R71/3.305785,3))</f>
        <v/>
      </c>
      <c r="T71" s="7" t="n"/>
      <c r="U71" s="7" t="n"/>
      <c r="V71" s="10">
        <f>IF(OR(T71="",U71="",U71=0),"",ROUND(T71/U71,6))</f>
        <v/>
      </c>
      <c r="W71" s="9">
        <f>IF(OR(R71="",T71="",U71="",U71=0),"",ROUND(R71*T71/U71,3))</f>
        <v/>
      </c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12">
        <f>IF(A71="","",IF(OR(B71="",C71="",D71="",E71="",H71="",O71="",T71="",U71=""),"必填欄位未完整",""))</f>
        <v/>
      </c>
      <c r="AI71" s="12">
        <f>IF(A71="","",A71&amp;"|"&amp;G71)</f>
        <v/>
      </c>
      <c r="AJ71" s="12">
        <f>IF(A71="","",A71&amp;"|"&amp;H71)</f>
        <v/>
      </c>
    </row>
    <row r="72" ht="2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8" t="n"/>
      <c r="P72" s="8" t="n"/>
      <c r="Q72" s="8" t="n"/>
      <c r="R72" s="13">
        <f>IF(O72="","",SUM(O72:Q72))</f>
        <v/>
      </c>
      <c r="S72" s="9">
        <f>IF(R72="","",ROUND(R72/3.305785,3))</f>
        <v/>
      </c>
      <c r="T72" s="7" t="n"/>
      <c r="U72" s="7" t="n"/>
      <c r="V72" s="10">
        <f>IF(OR(T72="",U72="",U72=0),"",ROUND(T72/U72,6))</f>
        <v/>
      </c>
      <c r="W72" s="9">
        <f>IF(OR(R72="",T72="",U72="",U72=0),"",ROUND(R72*T72/U72,3))</f>
        <v/>
      </c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12">
        <f>IF(A72="","",IF(OR(B72="",C72="",D72="",E72="",H72="",O72="",T72="",U72=""),"必填欄位未完整",""))</f>
        <v/>
      </c>
      <c r="AI72" s="12">
        <f>IF(A72="","",A72&amp;"|"&amp;G72)</f>
        <v/>
      </c>
      <c r="AJ72" s="12">
        <f>IF(A72="","",A72&amp;"|"&amp;H72)</f>
        <v/>
      </c>
    </row>
    <row r="73" ht="2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8" t="n"/>
      <c r="P73" s="8" t="n"/>
      <c r="Q73" s="8" t="n"/>
      <c r="R73" s="13">
        <f>IF(O73="","",SUM(O73:Q73))</f>
        <v/>
      </c>
      <c r="S73" s="9">
        <f>IF(R73="","",ROUND(R73/3.305785,3))</f>
        <v/>
      </c>
      <c r="T73" s="7" t="n"/>
      <c r="U73" s="7" t="n"/>
      <c r="V73" s="10">
        <f>IF(OR(T73="",U73="",U73=0),"",ROUND(T73/U73,6))</f>
        <v/>
      </c>
      <c r="W73" s="9">
        <f>IF(OR(R73="",T73="",U73="",U73=0),"",ROUND(R73*T73/U73,3))</f>
        <v/>
      </c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12">
        <f>IF(A73="","",IF(OR(B73="",C73="",D73="",E73="",H73="",O73="",T73="",U73=""),"必填欄位未完整",""))</f>
        <v/>
      </c>
      <c r="AI73" s="12">
        <f>IF(A73="","",A73&amp;"|"&amp;G73)</f>
        <v/>
      </c>
      <c r="AJ73" s="12">
        <f>IF(A73="","",A73&amp;"|"&amp;H73)</f>
        <v/>
      </c>
    </row>
    <row r="74" ht="2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8" t="n"/>
      <c r="P74" s="8" t="n"/>
      <c r="Q74" s="8" t="n"/>
      <c r="R74" s="13">
        <f>IF(O74="","",SUM(O74:Q74))</f>
        <v/>
      </c>
      <c r="S74" s="9">
        <f>IF(R74="","",ROUND(R74/3.305785,3))</f>
        <v/>
      </c>
      <c r="T74" s="7" t="n"/>
      <c r="U74" s="7" t="n"/>
      <c r="V74" s="10">
        <f>IF(OR(T74="",U74="",U74=0),"",ROUND(T74/U74,6))</f>
        <v/>
      </c>
      <c r="W74" s="9">
        <f>IF(OR(R74="",T74="",U74="",U74=0),"",ROUND(R74*T74/U74,3))</f>
        <v/>
      </c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12">
        <f>IF(A74="","",IF(OR(B74="",C74="",D74="",E74="",H74="",O74="",T74="",U74=""),"必填欄位未完整",""))</f>
        <v/>
      </c>
      <c r="AI74" s="12">
        <f>IF(A74="","",A74&amp;"|"&amp;G74)</f>
        <v/>
      </c>
      <c r="AJ74" s="12">
        <f>IF(A74="","",A74&amp;"|"&amp;H74)</f>
        <v/>
      </c>
    </row>
    <row r="75" ht="2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8" t="n"/>
      <c r="P75" s="8" t="n"/>
      <c r="Q75" s="8" t="n"/>
      <c r="R75" s="13">
        <f>IF(O75="","",SUM(O75:Q75))</f>
        <v/>
      </c>
      <c r="S75" s="9">
        <f>IF(R75="","",ROUND(R75/3.305785,3))</f>
        <v/>
      </c>
      <c r="T75" s="7" t="n"/>
      <c r="U75" s="7" t="n"/>
      <c r="V75" s="10">
        <f>IF(OR(T75="",U75="",U75=0),"",ROUND(T75/U75,6))</f>
        <v/>
      </c>
      <c r="W75" s="9">
        <f>IF(OR(R75="",T75="",U75="",U75=0),"",ROUND(R75*T75/U75,3))</f>
        <v/>
      </c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12">
        <f>IF(A75="","",IF(OR(B75="",C75="",D75="",E75="",H75="",O75="",T75="",U75=""),"必填欄位未完整",""))</f>
        <v/>
      </c>
      <c r="AI75" s="12">
        <f>IF(A75="","",A75&amp;"|"&amp;G75)</f>
        <v/>
      </c>
      <c r="AJ75" s="12">
        <f>IF(A75="","",A75&amp;"|"&amp;H75)</f>
        <v/>
      </c>
    </row>
    <row r="76" ht="2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8" t="n"/>
      <c r="P76" s="8" t="n"/>
      <c r="Q76" s="8" t="n"/>
      <c r="R76" s="13">
        <f>IF(O76="","",SUM(O76:Q76))</f>
        <v/>
      </c>
      <c r="S76" s="9">
        <f>IF(R76="","",ROUND(R76/3.305785,3))</f>
        <v/>
      </c>
      <c r="T76" s="7" t="n"/>
      <c r="U76" s="7" t="n"/>
      <c r="V76" s="10">
        <f>IF(OR(T76="",U76="",U76=0),"",ROUND(T76/U76,6))</f>
        <v/>
      </c>
      <c r="W76" s="9">
        <f>IF(OR(R76="",T76="",U76="",U76=0),"",ROUND(R76*T76/U76,3))</f>
        <v/>
      </c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12">
        <f>IF(A76="","",IF(OR(B76="",C76="",D76="",E76="",H76="",O76="",T76="",U76=""),"必填欄位未完整",""))</f>
        <v/>
      </c>
      <c r="AI76" s="12">
        <f>IF(A76="","",A76&amp;"|"&amp;G76)</f>
        <v/>
      </c>
      <c r="AJ76" s="12">
        <f>IF(A76="","",A76&amp;"|"&amp;H76)</f>
        <v/>
      </c>
    </row>
    <row r="77" ht="2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8" t="n"/>
      <c r="P77" s="8" t="n"/>
      <c r="Q77" s="8" t="n"/>
      <c r="R77" s="13">
        <f>IF(O77="","",SUM(O77:Q77))</f>
        <v/>
      </c>
      <c r="S77" s="9">
        <f>IF(R77="","",ROUND(R77/3.305785,3))</f>
        <v/>
      </c>
      <c r="T77" s="7" t="n"/>
      <c r="U77" s="7" t="n"/>
      <c r="V77" s="10">
        <f>IF(OR(T77="",U77="",U77=0),"",ROUND(T77/U77,6))</f>
        <v/>
      </c>
      <c r="W77" s="9">
        <f>IF(OR(R77="",T77="",U77="",U77=0),"",ROUND(R77*T77/U77,3))</f>
        <v/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12">
        <f>IF(A77="","",IF(OR(B77="",C77="",D77="",E77="",H77="",O77="",T77="",U77=""),"必填欄位未完整",""))</f>
        <v/>
      </c>
      <c r="AI77" s="12">
        <f>IF(A77="","",A77&amp;"|"&amp;G77)</f>
        <v/>
      </c>
      <c r="AJ77" s="12">
        <f>IF(A77="","",A77&amp;"|"&amp;H77)</f>
        <v/>
      </c>
    </row>
    <row r="78" ht="2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8" t="n"/>
      <c r="P78" s="8" t="n"/>
      <c r="Q78" s="8" t="n"/>
      <c r="R78" s="13">
        <f>IF(O78="","",SUM(O78:Q78))</f>
        <v/>
      </c>
      <c r="S78" s="9">
        <f>IF(R78="","",ROUND(R78/3.305785,3))</f>
        <v/>
      </c>
      <c r="T78" s="7" t="n"/>
      <c r="U78" s="7" t="n"/>
      <c r="V78" s="10">
        <f>IF(OR(T78="",U78="",U78=0),"",ROUND(T78/U78,6))</f>
        <v/>
      </c>
      <c r="W78" s="9">
        <f>IF(OR(R78="",T78="",U78="",U78=0),"",ROUND(R78*T78/U78,3))</f>
        <v/>
      </c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12">
        <f>IF(A78="","",IF(OR(B78="",C78="",D78="",E78="",H78="",O78="",T78="",U78=""),"必填欄位未完整",""))</f>
        <v/>
      </c>
      <c r="AI78" s="12">
        <f>IF(A78="","",A78&amp;"|"&amp;G78)</f>
        <v/>
      </c>
      <c r="AJ78" s="12">
        <f>IF(A78="","",A78&amp;"|"&amp;H78)</f>
        <v/>
      </c>
    </row>
    <row r="79" ht="2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8" t="n"/>
      <c r="P79" s="8" t="n"/>
      <c r="Q79" s="8" t="n"/>
      <c r="R79" s="13">
        <f>IF(O79="","",SUM(O79:Q79))</f>
        <v/>
      </c>
      <c r="S79" s="9">
        <f>IF(R79="","",ROUND(R79/3.305785,3))</f>
        <v/>
      </c>
      <c r="T79" s="7" t="n"/>
      <c r="U79" s="7" t="n"/>
      <c r="V79" s="10">
        <f>IF(OR(T79="",U79="",U79=0),"",ROUND(T79/U79,6))</f>
        <v/>
      </c>
      <c r="W79" s="9">
        <f>IF(OR(R79="",T79="",U79="",U79=0),"",ROUND(R79*T79/U79,3))</f>
        <v/>
      </c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12">
        <f>IF(A79="","",IF(OR(B79="",C79="",D79="",E79="",H79="",O79="",T79="",U79=""),"必填欄位未完整",""))</f>
        <v/>
      </c>
      <c r="AI79" s="12">
        <f>IF(A79="","",A79&amp;"|"&amp;G79)</f>
        <v/>
      </c>
      <c r="AJ79" s="12">
        <f>IF(A79="","",A79&amp;"|"&amp;H79)</f>
        <v/>
      </c>
    </row>
    <row r="80" ht="2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8" t="n"/>
      <c r="P80" s="8" t="n"/>
      <c r="Q80" s="8" t="n"/>
      <c r="R80" s="13">
        <f>IF(O80="","",SUM(O80:Q80))</f>
        <v/>
      </c>
      <c r="S80" s="9">
        <f>IF(R80="","",ROUND(R80/3.305785,3))</f>
        <v/>
      </c>
      <c r="T80" s="7" t="n"/>
      <c r="U80" s="7" t="n"/>
      <c r="V80" s="10">
        <f>IF(OR(T80="",U80="",U80=0),"",ROUND(T80/U80,6))</f>
        <v/>
      </c>
      <c r="W80" s="9">
        <f>IF(OR(R80="",T80="",U80="",U80=0),"",ROUND(R80*T80/U80,3))</f>
        <v/>
      </c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12">
        <f>IF(A80="","",IF(OR(B80="",C80="",D80="",E80="",H80="",O80="",T80="",U80=""),"必填欄位未完整",""))</f>
        <v/>
      </c>
      <c r="AI80" s="12">
        <f>IF(A80="","",A80&amp;"|"&amp;G80)</f>
        <v/>
      </c>
      <c r="AJ80" s="12">
        <f>IF(A80="","",A80&amp;"|"&amp;H80)</f>
        <v/>
      </c>
    </row>
    <row r="81" ht="2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8" t="n"/>
      <c r="P81" s="8" t="n"/>
      <c r="Q81" s="8" t="n"/>
      <c r="R81" s="13">
        <f>IF(O81="","",SUM(O81:Q81))</f>
        <v/>
      </c>
      <c r="S81" s="9">
        <f>IF(R81="","",ROUND(R81/3.305785,3))</f>
        <v/>
      </c>
      <c r="T81" s="7" t="n"/>
      <c r="U81" s="7" t="n"/>
      <c r="V81" s="10">
        <f>IF(OR(T81="",U81="",U81=0),"",ROUND(T81/U81,6))</f>
        <v/>
      </c>
      <c r="W81" s="9">
        <f>IF(OR(R81="",T81="",U81="",U81=0),"",ROUND(R81*T81/U81,3))</f>
        <v/>
      </c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12">
        <f>IF(A81="","",IF(OR(B81="",C81="",D81="",E81="",H81="",O81="",T81="",U81=""),"必填欄位未完整",""))</f>
        <v/>
      </c>
      <c r="AI81" s="12">
        <f>IF(A81="","",A81&amp;"|"&amp;G81)</f>
        <v/>
      </c>
      <c r="AJ81" s="12">
        <f>IF(A81="","",A81&amp;"|"&amp;H81)</f>
        <v/>
      </c>
    </row>
    <row r="82" ht="2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8" t="n"/>
      <c r="P82" s="8" t="n"/>
      <c r="Q82" s="8" t="n"/>
      <c r="R82" s="13">
        <f>IF(O82="","",SUM(O82:Q82))</f>
        <v/>
      </c>
      <c r="S82" s="9">
        <f>IF(R82="","",ROUND(R82/3.305785,3))</f>
        <v/>
      </c>
      <c r="T82" s="7" t="n"/>
      <c r="U82" s="7" t="n"/>
      <c r="V82" s="10">
        <f>IF(OR(T82="",U82="",U82=0),"",ROUND(T82/U82,6))</f>
        <v/>
      </c>
      <c r="W82" s="9">
        <f>IF(OR(R82="",T82="",U82="",U82=0),"",ROUND(R82*T82/U82,3))</f>
        <v/>
      </c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12">
        <f>IF(A82="","",IF(OR(B82="",C82="",D82="",E82="",H82="",O82="",T82="",U82=""),"必填欄位未完整",""))</f>
        <v/>
      </c>
      <c r="AI82" s="12">
        <f>IF(A82="","",A82&amp;"|"&amp;G82)</f>
        <v/>
      </c>
      <c r="AJ82" s="12">
        <f>IF(A82="","",A82&amp;"|"&amp;H82)</f>
        <v/>
      </c>
    </row>
    <row r="83" ht="2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8" t="n"/>
      <c r="P83" s="8" t="n"/>
      <c r="Q83" s="8" t="n"/>
      <c r="R83" s="13">
        <f>IF(O83="","",SUM(O83:Q83))</f>
        <v/>
      </c>
      <c r="S83" s="9">
        <f>IF(R83="","",ROUND(R83/3.305785,3))</f>
        <v/>
      </c>
      <c r="T83" s="7" t="n"/>
      <c r="U83" s="7" t="n"/>
      <c r="V83" s="10">
        <f>IF(OR(T83="",U83="",U83=0),"",ROUND(T83/U83,6))</f>
        <v/>
      </c>
      <c r="W83" s="9">
        <f>IF(OR(R83="",T83="",U83="",U83=0),"",ROUND(R83*T83/U83,3))</f>
        <v/>
      </c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12">
        <f>IF(A83="","",IF(OR(B83="",C83="",D83="",E83="",H83="",O83="",T83="",U83=""),"必填欄位未完整",""))</f>
        <v/>
      </c>
      <c r="AI83" s="12">
        <f>IF(A83="","",A83&amp;"|"&amp;G83)</f>
        <v/>
      </c>
      <c r="AJ83" s="12">
        <f>IF(A83="","",A83&amp;"|"&amp;H83)</f>
        <v/>
      </c>
    </row>
    <row r="84" ht="2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8" t="n"/>
      <c r="P84" s="8" t="n"/>
      <c r="Q84" s="8" t="n"/>
      <c r="R84" s="13">
        <f>IF(O84="","",SUM(O84:Q84))</f>
        <v/>
      </c>
      <c r="S84" s="9">
        <f>IF(R84="","",ROUND(R84/3.305785,3))</f>
        <v/>
      </c>
      <c r="T84" s="7" t="n"/>
      <c r="U84" s="7" t="n"/>
      <c r="V84" s="10">
        <f>IF(OR(T84="",U84="",U84=0),"",ROUND(T84/U84,6))</f>
        <v/>
      </c>
      <c r="W84" s="9">
        <f>IF(OR(R84="",T84="",U84="",U84=0),"",ROUND(R84*T84/U84,3))</f>
        <v/>
      </c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12">
        <f>IF(A84="","",IF(OR(B84="",C84="",D84="",E84="",H84="",O84="",T84="",U84=""),"必填欄位未完整",""))</f>
        <v/>
      </c>
      <c r="AI84" s="12">
        <f>IF(A84="","",A84&amp;"|"&amp;G84)</f>
        <v/>
      </c>
      <c r="AJ84" s="12">
        <f>IF(A84="","",A84&amp;"|"&amp;H84)</f>
        <v/>
      </c>
    </row>
    <row r="85" ht="2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8" t="n"/>
      <c r="P85" s="8" t="n"/>
      <c r="Q85" s="8" t="n"/>
      <c r="R85" s="13">
        <f>IF(O85="","",SUM(O85:Q85))</f>
        <v/>
      </c>
      <c r="S85" s="9">
        <f>IF(R85="","",ROUND(R85/3.305785,3))</f>
        <v/>
      </c>
      <c r="T85" s="7" t="n"/>
      <c r="U85" s="7" t="n"/>
      <c r="V85" s="10">
        <f>IF(OR(T85="",U85="",U85=0),"",ROUND(T85/U85,6))</f>
        <v/>
      </c>
      <c r="W85" s="9">
        <f>IF(OR(R85="",T85="",U85="",U85=0),"",ROUND(R85*T85/U85,3))</f>
        <v/>
      </c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12">
        <f>IF(A85="","",IF(OR(B85="",C85="",D85="",E85="",H85="",O85="",T85="",U85=""),"必填欄位未完整",""))</f>
        <v/>
      </c>
      <c r="AI85" s="12">
        <f>IF(A85="","",A85&amp;"|"&amp;G85)</f>
        <v/>
      </c>
      <c r="AJ85" s="12">
        <f>IF(A85="","",A85&amp;"|"&amp;H85)</f>
        <v/>
      </c>
    </row>
    <row r="86" ht="2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8" t="n"/>
      <c r="P86" s="8" t="n"/>
      <c r="Q86" s="8" t="n"/>
      <c r="R86" s="13">
        <f>IF(O86="","",SUM(O86:Q86))</f>
        <v/>
      </c>
      <c r="S86" s="9">
        <f>IF(R86="","",ROUND(R86/3.305785,3))</f>
        <v/>
      </c>
      <c r="T86" s="7" t="n"/>
      <c r="U86" s="7" t="n"/>
      <c r="V86" s="10">
        <f>IF(OR(T86="",U86="",U86=0),"",ROUND(T86/U86,6))</f>
        <v/>
      </c>
      <c r="W86" s="9">
        <f>IF(OR(R86="",T86="",U86="",U86=0),"",ROUND(R86*T86/U86,3))</f>
        <v/>
      </c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12">
        <f>IF(A86="","",IF(OR(B86="",C86="",D86="",E86="",H86="",O86="",T86="",U86=""),"必填欄位未完整",""))</f>
        <v/>
      </c>
      <c r="AI86" s="12">
        <f>IF(A86="","",A86&amp;"|"&amp;G86)</f>
        <v/>
      </c>
      <c r="AJ86" s="12">
        <f>IF(A86="","",A86&amp;"|"&amp;H86)</f>
        <v/>
      </c>
    </row>
    <row r="87" ht="2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8" t="n"/>
      <c r="P87" s="8" t="n"/>
      <c r="Q87" s="8" t="n"/>
      <c r="R87" s="13">
        <f>IF(O87="","",SUM(O87:Q87))</f>
        <v/>
      </c>
      <c r="S87" s="9">
        <f>IF(R87="","",ROUND(R87/3.305785,3))</f>
        <v/>
      </c>
      <c r="T87" s="7" t="n"/>
      <c r="U87" s="7" t="n"/>
      <c r="V87" s="10">
        <f>IF(OR(T87="",U87="",U87=0),"",ROUND(T87/U87,6))</f>
        <v/>
      </c>
      <c r="W87" s="9">
        <f>IF(OR(R87="",T87="",U87="",U87=0),"",ROUND(R87*T87/U87,3))</f>
        <v/>
      </c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12">
        <f>IF(A87="","",IF(OR(B87="",C87="",D87="",E87="",H87="",O87="",T87="",U87=""),"必填欄位未完整",""))</f>
        <v/>
      </c>
      <c r="AI87" s="12">
        <f>IF(A87="","",A87&amp;"|"&amp;G87)</f>
        <v/>
      </c>
      <c r="AJ87" s="12">
        <f>IF(A87="","",A87&amp;"|"&amp;H87)</f>
        <v/>
      </c>
    </row>
    <row r="88" ht="2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8" t="n"/>
      <c r="P88" s="8" t="n"/>
      <c r="Q88" s="8" t="n"/>
      <c r="R88" s="13">
        <f>IF(O88="","",SUM(O88:Q88))</f>
        <v/>
      </c>
      <c r="S88" s="9">
        <f>IF(R88="","",ROUND(R88/3.305785,3))</f>
        <v/>
      </c>
      <c r="T88" s="7" t="n"/>
      <c r="U88" s="7" t="n"/>
      <c r="V88" s="10">
        <f>IF(OR(T88="",U88="",U88=0),"",ROUND(T88/U88,6))</f>
        <v/>
      </c>
      <c r="W88" s="9">
        <f>IF(OR(R88="",T88="",U88="",U88=0),"",ROUND(R88*T88/U88,3))</f>
        <v/>
      </c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12">
        <f>IF(A88="","",IF(OR(B88="",C88="",D88="",E88="",H88="",O88="",T88="",U88=""),"必填欄位未完整",""))</f>
        <v/>
      </c>
      <c r="AI88" s="12">
        <f>IF(A88="","",A88&amp;"|"&amp;G88)</f>
        <v/>
      </c>
      <c r="AJ88" s="12">
        <f>IF(A88="","",A88&amp;"|"&amp;H88)</f>
        <v/>
      </c>
    </row>
    <row r="89" ht="2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8" t="n"/>
      <c r="P89" s="8" t="n"/>
      <c r="Q89" s="8" t="n"/>
      <c r="R89" s="13">
        <f>IF(O89="","",SUM(O89:Q89))</f>
        <v/>
      </c>
      <c r="S89" s="9">
        <f>IF(R89="","",ROUND(R89/3.305785,3))</f>
        <v/>
      </c>
      <c r="T89" s="7" t="n"/>
      <c r="U89" s="7" t="n"/>
      <c r="V89" s="10">
        <f>IF(OR(T89="",U89="",U89=0),"",ROUND(T89/U89,6))</f>
        <v/>
      </c>
      <c r="W89" s="9">
        <f>IF(OR(R89="",T89="",U89="",U89=0),"",ROUND(R89*T89/U89,3))</f>
        <v/>
      </c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12">
        <f>IF(A89="","",IF(OR(B89="",C89="",D89="",E89="",H89="",O89="",T89="",U89=""),"必填欄位未完整",""))</f>
        <v/>
      </c>
      <c r="AI89" s="12">
        <f>IF(A89="","",A89&amp;"|"&amp;G89)</f>
        <v/>
      </c>
      <c r="AJ89" s="12">
        <f>IF(A89="","",A89&amp;"|"&amp;H89)</f>
        <v/>
      </c>
    </row>
    <row r="90" ht="2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8" t="n"/>
      <c r="P90" s="8" t="n"/>
      <c r="Q90" s="8" t="n"/>
      <c r="R90" s="13">
        <f>IF(O90="","",SUM(O90:Q90))</f>
        <v/>
      </c>
      <c r="S90" s="9">
        <f>IF(R90="","",ROUND(R90/3.305785,3))</f>
        <v/>
      </c>
      <c r="T90" s="7" t="n"/>
      <c r="U90" s="7" t="n"/>
      <c r="V90" s="10">
        <f>IF(OR(T90="",U90="",U90=0),"",ROUND(T90/U90,6))</f>
        <v/>
      </c>
      <c r="W90" s="9">
        <f>IF(OR(R90="",T90="",U90="",U90=0),"",ROUND(R90*T90/U90,3))</f>
        <v/>
      </c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12">
        <f>IF(A90="","",IF(OR(B90="",C90="",D90="",E90="",H90="",O90="",T90="",U90=""),"必填欄位未完整",""))</f>
        <v/>
      </c>
      <c r="AI90" s="12">
        <f>IF(A90="","",A90&amp;"|"&amp;G90)</f>
        <v/>
      </c>
      <c r="AJ90" s="12">
        <f>IF(A90="","",A90&amp;"|"&amp;H90)</f>
        <v/>
      </c>
    </row>
    <row r="91" ht="2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8" t="n"/>
      <c r="P91" s="8" t="n"/>
      <c r="Q91" s="8" t="n"/>
      <c r="R91" s="13">
        <f>IF(O91="","",SUM(O91:Q91))</f>
        <v/>
      </c>
      <c r="S91" s="9">
        <f>IF(R91="","",ROUND(R91/3.305785,3))</f>
        <v/>
      </c>
      <c r="T91" s="7" t="n"/>
      <c r="U91" s="7" t="n"/>
      <c r="V91" s="10">
        <f>IF(OR(T91="",U91="",U91=0),"",ROUND(T91/U91,6))</f>
        <v/>
      </c>
      <c r="W91" s="9">
        <f>IF(OR(R91="",T91="",U91="",U91=0),"",ROUND(R91*T91/U91,3))</f>
        <v/>
      </c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12">
        <f>IF(A91="","",IF(OR(B91="",C91="",D91="",E91="",H91="",O91="",T91="",U91=""),"必填欄位未完整",""))</f>
        <v/>
      </c>
      <c r="AI91" s="12">
        <f>IF(A91="","",A91&amp;"|"&amp;G91)</f>
        <v/>
      </c>
      <c r="AJ91" s="12">
        <f>IF(A91="","",A91&amp;"|"&amp;H91)</f>
        <v/>
      </c>
    </row>
    <row r="92" ht="2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8" t="n"/>
      <c r="P92" s="8" t="n"/>
      <c r="Q92" s="8" t="n"/>
      <c r="R92" s="13">
        <f>IF(O92="","",SUM(O92:Q92))</f>
        <v/>
      </c>
      <c r="S92" s="9">
        <f>IF(R92="","",ROUND(R92/3.305785,3))</f>
        <v/>
      </c>
      <c r="T92" s="7" t="n"/>
      <c r="U92" s="7" t="n"/>
      <c r="V92" s="10">
        <f>IF(OR(T92="",U92="",U92=0),"",ROUND(T92/U92,6))</f>
        <v/>
      </c>
      <c r="W92" s="9">
        <f>IF(OR(R92="",T92="",U92="",U92=0),"",ROUND(R92*T92/U92,3))</f>
        <v/>
      </c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12">
        <f>IF(A92="","",IF(OR(B92="",C92="",D92="",E92="",H92="",O92="",T92="",U92=""),"必填欄位未完整",""))</f>
        <v/>
      </c>
      <c r="AI92" s="12">
        <f>IF(A92="","",A92&amp;"|"&amp;G92)</f>
        <v/>
      </c>
      <c r="AJ92" s="12">
        <f>IF(A92="","",A92&amp;"|"&amp;H92)</f>
        <v/>
      </c>
    </row>
    <row r="93" ht="2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8" t="n"/>
      <c r="P93" s="8" t="n"/>
      <c r="Q93" s="8" t="n"/>
      <c r="R93" s="13">
        <f>IF(O93="","",SUM(O93:Q93))</f>
        <v/>
      </c>
      <c r="S93" s="9">
        <f>IF(R93="","",ROUND(R93/3.305785,3))</f>
        <v/>
      </c>
      <c r="T93" s="7" t="n"/>
      <c r="U93" s="7" t="n"/>
      <c r="V93" s="10">
        <f>IF(OR(T93="",U93="",U93=0),"",ROUND(T93/U93,6))</f>
        <v/>
      </c>
      <c r="W93" s="9">
        <f>IF(OR(R93="",T93="",U93="",U93=0),"",ROUND(R93*T93/U93,3))</f>
        <v/>
      </c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12">
        <f>IF(A93="","",IF(OR(B93="",C93="",D93="",E93="",H93="",O93="",T93="",U93=""),"必填欄位未完整",""))</f>
        <v/>
      </c>
      <c r="AI93" s="12">
        <f>IF(A93="","",A93&amp;"|"&amp;G93)</f>
        <v/>
      </c>
      <c r="AJ93" s="12">
        <f>IF(A93="","",A93&amp;"|"&amp;H93)</f>
        <v/>
      </c>
    </row>
    <row r="94" ht="2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8" t="n"/>
      <c r="P94" s="8" t="n"/>
      <c r="Q94" s="8" t="n"/>
      <c r="R94" s="13">
        <f>IF(O94="","",SUM(O94:Q94))</f>
        <v/>
      </c>
      <c r="S94" s="9">
        <f>IF(R94="","",ROUND(R94/3.305785,3))</f>
        <v/>
      </c>
      <c r="T94" s="7" t="n"/>
      <c r="U94" s="7" t="n"/>
      <c r="V94" s="10">
        <f>IF(OR(T94="",U94="",U94=0),"",ROUND(T94/U94,6))</f>
        <v/>
      </c>
      <c r="W94" s="9">
        <f>IF(OR(R94="",T94="",U94="",U94=0),"",ROUND(R94*T94/U94,3))</f>
        <v/>
      </c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12">
        <f>IF(A94="","",IF(OR(B94="",C94="",D94="",E94="",H94="",O94="",T94="",U94=""),"必填欄位未完整",""))</f>
        <v/>
      </c>
      <c r="AI94" s="12">
        <f>IF(A94="","",A94&amp;"|"&amp;G94)</f>
        <v/>
      </c>
      <c r="AJ94" s="12">
        <f>IF(A94="","",A94&amp;"|"&amp;H94)</f>
        <v/>
      </c>
    </row>
    <row r="95" ht="2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8" t="n"/>
      <c r="P95" s="8" t="n"/>
      <c r="Q95" s="8" t="n"/>
      <c r="R95" s="13">
        <f>IF(O95="","",SUM(O95:Q95))</f>
        <v/>
      </c>
      <c r="S95" s="9">
        <f>IF(R95="","",ROUND(R95/3.305785,3))</f>
        <v/>
      </c>
      <c r="T95" s="7" t="n"/>
      <c r="U95" s="7" t="n"/>
      <c r="V95" s="10">
        <f>IF(OR(T95="",U95="",U95=0),"",ROUND(T95/U95,6))</f>
        <v/>
      </c>
      <c r="W95" s="9">
        <f>IF(OR(R95="",T95="",U95="",U95=0),"",ROUND(R95*T95/U95,3))</f>
        <v/>
      </c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12">
        <f>IF(A95="","",IF(OR(B95="",C95="",D95="",E95="",H95="",O95="",T95="",U95=""),"必填欄位未完整",""))</f>
        <v/>
      </c>
      <c r="AI95" s="12">
        <f>IF(A95="","",A95&amp;"|"&amp;G95)</f>
        <v/>
      </c>
      <c r="AJ95" s="12">
        <f>IF(A95="","",A95&amp;"|"&amp;H95)</f>
        <v/>
      </c>
    </row>
    <row r="96" ht="2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8" t="n"/>
      <c r="P96" s="8" t="n"/>
      <c r="Q96" s="8" t="n"/>
      <c r="R96" s="13">
        <f>IF(O96="","",SUM(O96:Q96))</f>
        <v/>
      </c>
      <c r="S96" s="9">
        <f>IF(R96="","",ROUND(R96/3.305785,3))</f>
        <v/>
      </c>
      <c r="T96" s="7" t="n"/>
      <c r="U96" s="7" t="n"/>
      <c r="V96" s="10">
        <f>IF(OR(T96="",U96="",U96=0),"",ROUND(T96/U96,6))</f>
        <v/>
      </c>
      <c r="W96" s="9">
        <f>IF(OR(R96="",T96="",U96="",U96=0),"",ROUND(R96*T96/U96,3))</f>
        <v/>
      </c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12">
        <f>IF(A96="","",IF(OR(B96="",C96="",D96="",E96="",H96="",O96="",T96="",U96=""),"必填欄位未完整",""))</f>
        <v/>
      </c>
      <c r="AI96" s="12">
        <f>IF(A96="","",A96&amp;"|"&amp;G96)</f>
        <v/>
      </c>
      <c r="AJ96" s="12">
        <f>IF(A96="","",A96&amp;"|"&amp;H96)</f>
        <v/>
      </c>
    </row>
    <row r="97" ht="2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8" t="n"/>
      <c r="P97" s="8" t="n"/>
      <c r="Q97" s="8" t="n"/>
      <c r="R97" s="13">
        <f>IF(O97="","",SUM(O97:Q97))</f>
        <v/>
      </c>
      <c r="S97" s="9">
        <f>IF(R97="","",ROUND(R97/3.305785,3))</f>
        <v/>
      </c>
      <c r="T97" s="7" t="n"/>
      <c r="U97" s="7" t="n"/>
      <c r="V97" s="10">
        <f>IF(OR(T97="",U97="",U97=0),"",ROUND(T97/U97,6))</f>
        <v/>
      </c>
      <c r="W97" s="9">
        <f>IF(OR(R97="",T97="",U97="",U97=0),"",ROUND(R97*T97/U97,3))</f>
        <v/>
      </c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12">
        <f>IF(A97="","",IF(OR(B97="",C97="",D97="",E97="",H97="",O97="",T97="",U97=""),"必填欄位未完整",""))</f>
        <v/>
      </c>
      <c r="AI97" s="12">
        <f>IF(A97="","",A97&amp;"|"&amp;G97)</f>
        <v/>
      </c>
      <c r="AJ97" s="12">
        <f>IF(A97="","",A97&amp;"|"&amp;H97)</f>
        <v/>
      </c>
    </row>
    <row r="98" ht="2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8" t="n"/>
      <c r="P98" s="8" t="n"/>
      <c r="Q98" s="8" t="n"/>
      <c r="R98" s="13">
        <f>IF(O98="","",SUM(O98:Q98))</f>
        <v/>
      </c>
      <c r="S98" s="9">
        <f>IF(R98="","",ROUND(R98/3.305785,3))</f>
        <v/>
      </c>
      <c r="T98" s="7" t="n"/>
      <c r="U98" s="7" t="n"/>
      <c r="V98" s="10">
        <f>IF(OR(T98="",U98="",U98=0),"",ROUND(T98/U98,6))</f>
        <v/>
      </c>
      <c r="W98" s="9">
        <f>IF(OR(R98="",T98="",U98="",U98=0),"",ROUND(R98*T98/U98,3))</f>
        <v/>
      </c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12">
        <f>IF(A98="","",IF(OR(B98="",C98="",D98="",E98="",H98="",O98="",T98="",U98=""),"必填欄位未完整",""))</f>
        <v/>
      </c>
      <c r="AI98" s="12">
        <f>IF(A98="","",A98&amp;"|"&amp;G98)</f>
        <v/>
      </c>
      <c r="AJ98" s="12">
        <f>IF(A98="","",A98&amp;"|"&amp;H98)</f>
        <v/>
      </c>
    </row>
    <row r="99" ht="2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8" t="n"/>
      <c r="P99" s="8" t="n"/>
      <c r="Q99" s="8" t="n"/>
      <c r="R99" s="13">
        <f>IF(O99="","",SUM(O99:Q99))</f>
        <v/>
      </c>
      <c r="S99" s="9">
        <f>IF(R99="","",ROUND(R99/3.305785,3))</f>
        <v/>
      </c>
      <c r="T99" s="7" t="n"/>
      <c r="U99" s="7" t="n"/>
      <c r="V99" s="10">
        <f>IF(OR(T99="",U99="",U99=0),"",ROUND(T99/U99,6))</f>
        <v/>
      </c>
      <c r="W99" s="9">
        <f>IF(OR(R99="",T99="",U99="",U99=0),"",ROUND(R99*T99/U99,3))</f>
        <v/>
      </c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12">
        <f>IF(A99="","",IF(OR(B99="",C99="",D99="",E99="",H99="",O99="",T99="",U99=""),"必填欄位未完整",""))</f>
        <v/>
      </c>
      <c r="AI99" s="12">
        <f>IF(A99="","",A99&amp;"|"&amp;G99)</f>
        <v/>
      </c>
      <c r="AJ99" s="12">
        <f>IF(A99="","",A99&amp;"|"&amp;H99)</f>
        <v/>
      </c>
    </row>
    <row r="100" ht="2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8" t="n"/>
      <c r="P100" s="8" t="n"/>
      <c r="Q100" s="8" t="n"/>
      <c r="R100" s="13">
        <f>IF(O100="","",SUM(O100:Q100))</f>
        <v/>
      </c>
      <c r="S100" s="9">
        <f>IF(R100="","",ROUND(R100/3.305785,3))</f>
        <v/>
      </c>
      <c r="T100" s="7" t="n"/>
      <c r="U100" s="7" t="n"/>
      <c r="V100" s="10">
        <f>IF(OR(T100="",U100="",U100=0),"",ROUND(T100/U100,6))</f>
        <v/>
      </c>
      <c r="W100" s="9">
        <f>IF(OR(R100="",T100="",U100="",U100=0),"",ROUND(R100*T100/U100,3))</f>
        <v/>
      </c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12">
        <f>IF(A100="","",IF(OR(B100="",C100="",D100="",E100="",H100="",O100="",T100="",U100=""),"必填欄位未完整",""))</f>
        <v/>
      </c>
      <c r="AI100" s="12">
        <f>IF(A100="","",A100&amp;"|"&amp;G100)</f>
        <v/>
      </c>
      <c r="AJ100" s="12">
        <f>IF(A100="","",A100&amp;"|"&amp;H100)</f>
        <v/>
      </c>
    </row>
    <row r="101" ht="2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8" t="n"/>
      <c r="P101" s="8" t="n"/>
      <c r="Q101" s="8" t="n"/>
      <c r="R101" s="13">
        <f>IF(O101="","",SUM(O101:Q101))</f>
        <v/>
      </c>
      <c r="S101" s="9">
        <f>IF(R101="","",ROUND(R101/3.305785,3))</f>
        <v/>
      </c>
      <c r="T101" s="7" t="n"/>
      <c r="U101" s="7" t="n"/>
      <c r="V101" s="10">
        <f>IF(OR(T101="",U101="",U101=0),"",ROUND(T101/U101,6))</f>
        <v/>
      </c>
      <c r="W101" s="9">
        <f>IF(OR(R101="",T101="",U101="",U101=0),"",ROUND(R101*T101/U101,3))</f>
        <v/>
      </c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12">
        <f>IF(A101="","",IF(OR(B101="",C101="",D101="",E101="",H101="",O101="",T101="",U101=""),"必填欄位未完整",""))</f>
        <v/>
      </c>
      <c r="AI101" s="12">
        <f>IF(A101="","",A101&amp;"|"&amp;G101)</f>
        <v/>
      </c>
      <c r="AJ101" s="12">
        <f>IF(A101="","",A101&amp;"|"&amp;H101)</f>
        <v/>
      </c>
    </row>
    <row r="102" ht="2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8" t="n"/>
      <c r="P102" s="8" t="n"/>
      <c r="Q102" s="8" t="n"/>
      <c r="R102" s="13">
        <f>IF(O102="","",SUM(O102:Q102))</f>
        <v/>
      </c>
      <c r="S102" s="9">
        <f>IF(R102="","",ROUND(R102/3.305785,3))</f>
        <v/>
      </c>
      <c r="T102" s="7" t="n"/>
      <c r="U102" s="7" t="n"/>
      <c r="V102" s="10">
        <f>IF(OR(T102="",U102="",U102=0),"",ROUND(T102/U102,6))</f>
        <v/>
      </c>
      <c r="W102" s="9">
        <f>IF(OR(R102="",T102="",U102="",U102=0),"",ROUND(R102*T102/U102,3))</f>
        <v/>
      </c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12">
        <f>IF(A102="","",IF(OR(B102="",C102="",D102="",E102="",H102="",O102="",T102="",U102=""),"必填欄位未完整",""))</f>
        <v/>
      </c>
      <c r="AI102" s="12">
        <f>IF(A102="","",A102&amp;"|"&amp;G102)</f>
        <v/>
      </c>
      <c r="AJ102" s="12">
        <f>IF(A102="","",A102&amp;"|"&amp;H102)</f>
        <v/>
      </c>
    </row>
    <row r="103" ht="2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8" t="n"/>
      <c r="P103" s="8" t="n"/>
      <c r="Q103" s="8" t="n"/>
      <c r="R103" s="13">
        <f>IF(O103="","",SUM(O103:Q103))</f>
        <v/>
      </c>
      <c r="S103" s="9">
        <f>IF(R103="","",ROUND(R103/3.305785,3))</f>
        <v/>
      </c>
      <c r="T103" s="7" t="n"/>
      <c r="U103" s="7" t="n"/>
      <c r="V103" s="10">
        <f>IF(OR(T103="",U103="",U103=0),"",ROUND(T103/U103,6))</f>
        <v/>
      </c>
      <c r="W103" s="9">
        <f>IF(OR(R103="",T103="",U103="",U103=0),"",ROUND(R103*T103/U103,3))</f>
        <v/>
      </c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12">
        <f>IF(A103="","",IF(OR(B103="",C103="",D103="",E103="",H103="",O103="",T103="",U103=""),"必填欄位未完整",""))</f>
        <v/>
      </c>
      <c r="AI103" s="12">
        <f>IF(A103="","",A103&amp;"|"&amp;G103)</f>
        <v/>
      </c>
      <c r="AJ103" s="12">
        <f>IF(A103="","",A103&amp;"|"&amp;H103)</f>
        <v/>
      </c>
    </row>
    <row r="104" ht="2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8" t="n"/>
      <c r="P104" s="8" t="n"/>
      <c r="Q104" s="8" t="n"/>
      <c r="R104" s="13">
        <f>IF(O104="","",SUM(O104:Q104))</f>
        <v/>
      </c>
      <c r="S104" s="9">
        <f>IF(R104="","",ROUND(R104/3.305785,3))</f>
        <v/>
      </c>
      <c r="T104" s="7" t="n"/>
      <c r="U104" s="7" t="n"/>
      <c r="V104" s="10">
        <f>IF(OR(T104="",U104="",U104=0),"",ROUND(T104/U104,6))</f>
        <v/>
      </c>
      <c r="W104" s="9">
        <f>IF(OR(R104="",T104="",U104="",U104=0),"",ROUND(R104*T104/U104,3))</f>
        <v/>
      </c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12">
        <f>IF(A104="","",IF(OR(B104="",C104="",D104="",E104="",H104="",O104="",T104="",U104=""),"必填欄位未完整",""))</f>
        <v/>
      </c>
      <c r="AI104" s="12">
        <f>IF(A104="","",A104&amp;"|"&amp;G104)</f>
        <v/>
      </c>
      <c r="AJ104" s="12">
        <f>IF(A104="","",A104&amp;"|"&amp;H104)</f>
        <v/>
      </c>
    </row>
    <row r="105" ht="24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8" t="n"/>
      <c r="P105" s="8" t="n"/>
      <c r="Q105" s="8" t="n"/>
      <c r="R105" s="13">
        <f>IF(O105="","",SUM(O105:Q105))</f>
        <v/>
      </c>
      <c r="S105" s="9">
        <f>IF(R105="","",ROUND(R105/3.305785,3))</f>
        <v/>
      </c>
      <c r="T105" s="7" t="n"/>
      <c r="U105" s="7" t="n"/>
      <c r="V105" s="10">
        <f>IF(OR(T105="",U105="",U105=0),"",ROUND(T105/U105,6))</f>
        <v/>
      </c>
      <c r="W105" s="9">
        <f>IF(OR(R105="",T105="",U105="",U105=0),"",ROUND(R105*T105/U105,3))</f>
        <v/>
      </c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12">
        <f>IF(A105="","",IF(OR(B105="",C105="",D105="",E105="",H105="",O105="",T105="",U105=""),"必填欄位未完整",""))</f>
        <v/>
      </c>
      <c r="AI105" s="12">
        <f>IF(A105="","",A105&amp;"|"&amp;G105)</f>
        <v/>
      </c>
      <c r="AJ105" s="12">
        <f>IF(A105="","",A105&amp;"|"&amp;H105)</f>
        <v/>
      </c>
    </row>
    <row r="106" ht="24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8" t="n"/>
      <c r="P106" s="8" t="n"/>
      <c r="Q106" s="8" t="n"/>
      <c r="R106" s="13">
        <f>IF(O106="","",SUM(O106:Q106))</f>
        <v/>
      </c>
      <c r="S106" s="9">
        <f>IF(R106="","",ROUND(R106/3.305785,3))</f>
        <v/>
      </c>
      <c r="T106" s="7" t="n"/>
      <c r="U106" s="7" t="n"/>
      <c r="V106" s="10">
        <f>IF(OR(T106="",U106="",U106=0),"",ROUND(T106/U106,6))</f>
        <v/>
      </c>
      <c r="W106" s="9">
        <f>IF(OR(R106="",T106="",U106="",U106=0),"",ROUND(R106*T106/U106,3))</f>
        <v/>
      </c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12">
        <f>IF(A106="","",IF(OR(B106="",C106="",D106="",E106="",H106="",O106="",T106="",U106=""),"必填欄位未完整",""))</f>
        <v/>
      </c>
      <c r="AI106" s="12">
        <f>IF(A106="","",A106&amp;"|"&amp;G106)</f>
        <v/>
      </c>
      <c r="AJ106" s="12">
        <f>IF(A106="","",A106&amp;"|"&amp;H106)</f>
        <v/>
      </c>
    </row>
    <row r="107" ht="24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8" t="n"/>
      <c r="P107" s="8" t="n"/>
      <c r="Q107" s="8" t="n"/>
      <c r="R107" s="13">
        <f>IF(O107="","",SUM(O107:Q107))</f>
        <v/>
      </c>
      <c r="S107" s="9">
        <f>IF(R107="","",ROUND(R107/3.305785,3))</f>
        <v/>
      </c>
      <c r="T107" s="7" t="n"/>
      <c r="U107" s="7" t="n"/>
      <c r="V107" s="10">
        <f>IF(OR(T107="",U107="",U107=0),"",ROUND(T107/U107,6))</f>
        <v/>
      </c>
      <c r="W107" s="9">
        <f>IF(OR(R107="",T107="",U107="",U107=0),"",ROUND(R107*T107/U107,3))</f>
        <v/>
      </c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12">
        <f>IF(A107="","",IF(OR(B107="",C107="",D107="",E107="",H107="",O107="",T107="",U107=""),"必填欄位未完整",""))</f>
        <v/>
      </c>
      <c r="AI107" s="12">
        <f>IF(A107="","",A107&amp;"|"&amp;G107)</f>
        <v/>
      </c>
      <c r="AJ107" s="12">
        <f>IF(A107="","",A107&amp;"|"&amp;H107)</f>
        <v/>
      </c>
    </row>
    <row r="108" ht="24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8" t="n"/>
      <c r="P108" s="8" t="n"/>
      <c r="Q108" s="8" t="n"/>
      <c r="R108" s="13">
        <f>IF(O108="","",SUM(O108:Q108))</f>
        <v/>
      </c>
      <c r="S108" s="9">
        <f>IF(R108="","",ROUND(R108/3.305785,3))</f>
        <v/>
      </c>
      <c r="T108" s="7" t="n"/>
      <c r="U108" s="7" t="n"/>
      <c r="V108" s="10">
        <f>IF(OR(T108="",U108="",U108=0),"",ROUND(T108/U108,6))</f>
        <v/>
      </c>
      <c r="W108" s="9">
        <f>IF(OR(R108="",T108="",U108="",U108=0),"",ROUND(R108*T108/U108,3))</f>
        <v/>
      </c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12">
        <f>IF(A108="","",IF(OR(B108="",C108="",D108="",E108="",H108="",O108="",T108="",U108=""),"必填欄位未完整",""))</f>
        <v/>
      </c>
      <c r="AI108" s="12">
        <f>IF(A108="","",A108&amp;"|"&amp;G108)</f>
        <v/>
      </c>
      <c r="AJ108" s="12">
        <f>IF(A108="","",A108&amp;"|"&amp;H108)</f>
        <v/>
      </c>
    </row>
    <row r="109" ht="24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8" t="n"/>
      <c r="P109" s="8" t="n"/>
      <c r="Q109" s="8" t="n"/>
      <c r="R109" s="13">
        <f>IF(O109="","",SUM(O109:Q109))</f>
        <v/>
      </c>
      <c r="S109" s="9">
        <f>IF(R109="","",ROUND(R109/3.305785,3))</f>
        <v/>
      </c>
      <c r="T109" s="7" t="n"/>
      <c r="U109" s="7" t="n"/>
      <c r="V109" s="10">
        <f>IF(OR(T109="",U109="",U109=0),"",ROUND(T109/U109,6))</f>
        <v/>
      </c>
      <c r="W109" s="9">
        <f>IF(OR(R109="",T109="",U109="",U109=0),"",ROUND(R109*T109/U109,3))</f>
        <v/>
      </c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12">
        <f>IF(A109="","",IF(OR(B109="",C109="",D109="",E109="",H109="",O109="",T109="",U109=""),"必填欄位未完整",""))</f>
        <v/>
      </c>
      <c r="AI109" s="12">
        <f>IF(A109="","",A109&amp;"|"&amp;G109)</f>
        <v/>
      </c>
      <c r="AJ109" s="12">
        <f>IF(A109="","",A109&amp;"|"&amp;H109)</f>
        <v/>
      </c>
    </row>
    <row r="110" ht="24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8" t="n"/>
      <c r="P110" s="8" t="n"/>
      <c r="Q110" s="8" t="n"/>
      <c r="R110" s="13">
        <f>IF(O110="","",SUM(O110:Q110))</f>
        <v/>
      </c>
      <c r="S110" s="9">
        <f>IF(R110="","",ROUND(R110/3.305785,3))</f>
        <v/>
      </c>
      <c r="T110" s="7" t="n"/>
      <c r="U110" s="7" t="n"/>
      <c r="V110" s="10">
        <f>IF(OR(T110="",U110="",U110=0),"",ROUND(T110/U110,6))</f>
        <v/>
      </c>
      <c r="W110" s="9">
        <f>IF(OR(R110="",T110="",U110="",U110=0),"",ROUND(R110*T110/U110,3))</f>
        <v/>
      </c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12">
        <f>IF(A110="","",IF(OR(B110="",C110="",D110="",E110="",H110="",O110="",T110="",U110=""),"必填欄位未完整",""))</f>
        <v/>
      </c>
      <c r="AI110" s="12">
        <f>IF(A110="","",A110&amp;"|"&amp;G110)</f>
        <v/>
      </c>
      <c r="AJ110" s="12">
        <f>IF(A110="","",A110&amp;"|"&amp;H110)</f>
        <v/>
      </c>
    </row>
    <row r="111" ht="24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8" t="n"/>
      <c r="P111" s="8" t="n"/>
      <c r="Q111" s="8" t="n"/>
      <c r="R111" s="13">
        <f>IF(O111="","",SUM(O111:Q111))</f>
        <v/>
      </c>
      <c r="S111" s="9">
        <f>IF(R111="","",ROUND(R111/3.305785,3))</f>
        <v/>
      </c>
      <c r="T111" s="7" t="n"/>
      <c r="U111" s="7" t="n"/>
      <c r="V111" s="10">
        <f>IF(OR(T111="",U111="",U111=0),"",ROUND(T111/U111,6))</f>
        <v/>
      </c>
      <c r="W111" s="9">
        <f>IF(OR(R111="",T111="",U111="",U111=0),"",ROUND(R111*T111/U111,3))</f>
        <v/>
      </c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12">
        <f>IF(A111="","",IF(OR(B111="",C111="",D111="",E111="",H111="",O111="",T111="",U111=""),"必填欄位未完整",""))</f>
        <v/>
      </c>
      <c r="AI111" s="12">
        <f>IF(A111="","",A111&amp;"|"&amp;G111)</f>
        <v/>
      </c>
      <c r="AJ111" s="12">
        <f>IF(A111="","",A111&amp;"|"&amp;H111)</f>
        <v/>
      </c>
    </row>
    <row r="112" ht="24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8" t="n"/>
      <c r="P112" s="8" t="n"/>
      <c r="Q112" s="8" t="n"/>
      <c r="R112" s="13">
        <f>IF(O112="","",SUM(O112:Q112))</f>
        <v/>
      </c>
      <c r="S112" s="9">
        <f>IF(R112="","",ROUND(R112/3.305785,3))</f>
        <v/>
      </c>
      <c r="T112" s="7" t="n"/>
      <c r="U112" s="7" t="n"/>
      <c r="V112" s="10">
        <f>IF(OR(T112="",U112="",U112=0),"",ROUND(T112/U112,6))</f>
        <v/>
      </c>
      <c r="W112" s="9">
        <f>IF(OR(R112="",T112="",U112="",U112=0),"",ROUND(R112*T112/U112,3))</f>
        <v/>
      </c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12">
        <f>IF(A112="","",IF(OR(B112="",C112="",D112="",E112="",H112="",O112="",T112="",U112=""),"必填欄位未完整",""))</f>
        <v/>
      </c>
      <c r="AI112" s="12">
        <f>IF(A112="","",A112&amp;"|"&amp;G112)</f>
        <v/>
      </c>
      <c r="AJ112" s="12">
        <f>IF(A112="","",A112&amp;"|"&amp;H112)</f>
        <v/>
      </c>
    </row>
    <row r="113" ht="24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8" t="n"/>
      <c r="P113" s="8" t="n"/>
      <c r="Q113" s="8" t="n"/>
      <c r="R113" s="13">
        <f>IF(O113="","",SUM(O113:Q113))</f>
        <v/>
      </c>
      <c r="S113" s="9">
        <f>IF(R113="","",ROUND(R113/3.305785,3))</f>
        <v/>
      </c>
      <c r="T113" s="7" t="n"/>
      <c r="U113" s="7" t="n"/>
      <c r="V113" s="10">
        <f>IF(OR(T113="",U113="",U113=0),"",ROUND(T113/U113,6))</f>
        <v/>
      </c>
      <c r="W113" s="9">
        <f>IF(OR(R113="",T113="",U113="",U113=0),"",ROUND(R113*T113/U113,3))</f>
        <v/>
      </c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12">
        <f>IF(A113="","",IF(OR(B113="",C113="",D113="",E113="",H113="",O113="",T113="",U113=""),"必填欄位未完整",""))</f>
        <v/>
      </c>
      <c r="AI113" s="12">
        <f>IF(A113="","",A113&amp;"|"&amp;G113)</f>
        <v/>
      </c>
      <c r="AJ113" s="12">
        <f>IF(A113="","",A113&amp;"|"&amp;H113)</f>
        <v/>
      </c>
    </row>
    <row r="114" ht="24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8" t="n"/>
      <c r="P114" s="8" t="n"/>
      <c r="Q114" s="8" t="n"/>
      <c r="R114" s="13">
        <f>IF(O114="","",SUM(O114:Q114))</f>
        <v/>
      </c>
      <c r="S114" s="9">
        <f>IF(R114="","",ROUND(R114/3.305785,3))</f>
        <v/>
      </c>
      <c r="T114" s="7" t="n"/>
      <c r="U114" s="7" t="n"/>
      <c r="V114" s="10">
        <f>IF(OR(T114="",U114="",U114=0),"",ROUND(T114/U114,6))</f>
        <v/>
      </c>
      <c r="W114" s="9">
        <f>IF(OR(R114="",T114="",U114="",U114=0),"",ROUND(R114*T114/U114,3))</f>
        <v/>
      </c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12">
        <f>IF(A114="","",IF(OR(B114="",C114="",D114="",E114="",H114="",O114="",T114="",U114=""),"必填欄位未完整",""))</f>
        <v/>
      </c>
      <c r="AI114" s="12">
        <f>IF(A114="","",A114&amp;"|"&amp;G114)</f>
        <v/>
      </c>
      <c r="AJ114" s="12">
        <f>IF(A114="","",A114&amp;"|"&amp;H114)</f>
        <v/>
      </c>
    </row>
    <row r="115" ht="24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8" t="n"/>
      <c r="P115" s="8" t="n"/>
      <c r="Q115" s="8" t="n"/>
      <c r="R115" s="13">
        <f>IF(O115="","",SUM(O115:Q115))</f>
        <v/>
      </c>
      <c r="S115" s="9">
        <f>IF(R115="","",ROUND(R115/3.305785,3))</f>
        <v/>
      </c>
      <c r="T115" s="7" t="n"/>
      <c r="U115" s="7" t="n"/>
      <c r="V115" s="10">
        <f>IF(OR(T115="",U115="",U115=0),"",ROUND(T115/U115,6))</f>
        <v/>
      </c>
      <c r="W115" s="9">
        <f>IF(OR(R115="",T115="",U115="",U115=0),"",ROUND(R115*T115/U115,3))</f>
        <v/>
      </c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12">
        <f>IF(A115="","",IF(OR(B115="",C115="",D115="",E115="",H115="",O115="",T115="",U115=""),"必填欄位未完整",""))</f>
        <v/>
      </c>
      <c r="AI115" s="12">
        <f>IF(A115="","",A115&amp;"|"&amp;G115)</f>
        <v/>
      </c>
      <c r="AJ115" s="12">
        <f>IF(A115="","",A115&amp;"|"&amp;H115)</f>
        <v/>
      </c>
    </row>
    <row r="116" ht="24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8" t="n"/>
      <c r="P116" s="8" t="n"/>
      <c r="Q116" s="8" t="n"/>
      <c r="R116" s="13">
        <f>IF(O116="","",SUM(O116:Q116))</f>
        <v/>
      </c>
      <c r="S116" s="9">
        <f>IF(R116="","",ROUND(R116/3.305785,3))</f>
        <v/>
      </c>
      <c r="T116" s="7" t="n"/>
      <c r="U116" s="7" t="n"/>
      <c r="V116" s="10">
        <f>IF(OR(T116="",U116="",U116=0),"",ROUND(T116/U116,6))</f>
        <v/>
      </c>
      <c r="W116" s="9">
        <f>IF(OR(R116="",T116="",U116="",U116=0),"",ROUND(R116*T116/U116,3))</f>
        <v/>
      </c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12">
        <f>IF(A116="","",IF(OR(B116="",C116="",D116="",E116="",H116="",O116="",T116="",U116=""),"必填欄位未完整",""))</f>
        <v/>
      </c>
      <c r="AI116" s="12">
        <f>IF(A116="","",A116&amp;"|"&amp;G116)</f>
        <v/>
      </c>
      <c r="AJ116" s="12">
        <f>IF(A116="","",A116&amp;"|"&amp;H116)</f>
        <v/>
      </c>
    </row>
    <row r="117" ht="24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8" t="n"/>
      <c r="P117" s="8" t="n"/>
      <c r="Q117" s="8" t="n"/>
      <c r="R117" s="13">
        <f>IF(O117="","",SUM(O117:Q117))</f>
        <v/>
      </c>
      <c r="S117" s="9">
        <f>IF(R117="","",ROUND(R117/3.305785,3))</f>
        <v/>
      </c>
      <c r="T117" s="7" t="n"/>
      <c r="U117" s="7" t="n"/>
      <c r="V117" s="10">
        <f>IF(OR(T117="",U117="",U117=0),"",ROUND(T117/U117,6))</f>
        <v/>
      </c>
      <c r="W117" s="9">
        <f>IF(OR(R117="",T117="",U117="",U117=0),"",ROUND(R117*T117/U117,3))</f>
        <v/>
      </c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12">
        <f>IF(A117="","",IF(OR(B117="",C117="",D117="",E117="",H117="",O117="",T117="",U117=""),"必填欄位未完整",""))</f>
        <v/>
      </c>
      <c r="AI117" s="12">
        <f>IF(A117="","",A117&amp;"|"&amp;G117)</f>
        <v/>
      </c>
      <c r="AJ117" s="12">
        <f>IF(A117="","",A117&amp;"|"&amp;H117)</f>
        <v/>
      </c>
    </row>
    <row r="118" ht="24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8" t="n"/>
      <c r="P118" s="8" t="n"/>
      <c r="Q118" s="8" t="n"/>
      <c r="R118" s="13">
        <f>IF(O118="","",SUM(O118:Q118))</f>
        <v/>
      </c>
      <c r="S118" s="9">
        <f>IF(R118="","",ROUND(R118/3.305785,3))</f>
        <v/>
      </c>
      <c r="T118" s="7" t="n"/>
      <c r="U118" s="7" t="n"/>
      <c r="V118" s="10">
        <f>IF(OR(T118="",U118="",U118=0),"",ROUND(T118/U118,6))</f>
        <v/>
      </c>
      <c r="W118" s="9">
        <f>IF(OR(R118="",T118="",U118="",U118=0),"",ROUND(R118*T118/U118,3))</f>
        <v/>
      </c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12">
        <f>IF(A118="","",IF(OR(B118="",C118="",D118="",E118="",H118="",O118="",T118="",U118=""),"必填欄位未完整",""))</f>
        <v/>
      </c>
      <c r="AI118" s="12">
        <f>IF(A118="","",A118&amp;"|"&amp;G118)</f>
        <v/>
      </c>
      <c r="AJ118" s="12">
        <f>IF(A118="","",A118&amp;"|"&amp;H118)</f>
        <v/>
      </c>
    </row>
    <row r="119" ht="24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8" t="n"/>
      <c r="P119" s="8" t="n"/>
      <c r="Q119" s="8" t="n"/>
      <c r="R119" s="13">
        <f>IF(O119="","",SUM(O119:Q119))</f>
        <v/>
      </c>
      <c r="S119" s="9">
        <f>IF(R119="","",ROUND(R119/3.305785,3))</f>
        <v/>
      </c>
      <c r="T119" s="7" t="n"/>
      <c r="U119" s="7" t="n"/>
      <c r="V119" s="10">
        <f>IF(OR(T119="",U119="",U119=0),"",ROUND(T119/U119,6))</f>
        <v/>
      </c>
      <c r="W119" s="9">
        <f>IF(OR(R119="",T119="",U119="",U119=0),"",ROUND(R119*T119/U119,3))</f>
        <v/>
      </c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12">
        <f>IF(A119="","",IF(OR(B119="",C119="",D119="",E119="",H119="",O119="",T119="",U119=""),"必填欄位未完整",""))</f>
        <v/>
      </c>
      <c r="AI119" s="12">
        <f>IF(A119="","",A119&amp;"|"&amp;G119)</f>
        <v/>
      </c>
      <c r="AJ119" s="12">
        <f>IF(A119="","",A119&amp;"|"&amp;H119)</f>
        <v/>
      </c>
    </row>
    <row r="120" ht="24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8" t="n"/>
      <c r="P120" s="8" t="n"/>
      <c r="Q120" s="8" t="n"/>
      <c r="R120" s="13">
        <f>IF(O120="","",SUM(O120:Q120))</f>
        <v/>
      </c>
      <c r="S120" s="9">
        <f>IF(R120="","",ROUND(R120/3.305785,3))</f>
        <v/>
      </c>
      <c r="T120" s="7" t="n"/>
      <c r="U120" s="7" t="n"/>
      <c r="V120" s="10">
        <f>IF(OR(T120="",U120="",U120=0),"",ROUND(T120/U120,6))</f>
        <v/>
      </c>
      <c r="W120" s="9">
        <f>IF(OR(R120="",T120="",U120="",U120=0),"",ROUND(R120*T120/U120,3))</f>
        <v/>
      </c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12">
        <f>IF(A120="","",IF(OR(B120="",C120="",D120="",E120="",H120="",O120="",T120="",U120=""),"必填欄位未完整",""))</f>
        <v/>
      </c>
      <c r="AI120" s="12">
        <f>IF(A120="","",A120&amp;"|"&amp;G120)</f>
        <v/>
      </c>
      <c r="AJ120" s="12">
        <f>IF(A120="","",A120&amp;"|"&amp;H120)</f>
        <v/>
      </c>
    </row>
    <row r="121" ht="24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8" t="n"/>
      <c r="P121" s="8" t="n"/>
      <c r="Q121" s="8" t="n"/>
      <c r="R121" s="13">
        <f>IF(O121="","",SUM(O121:Q121))</f>
        <v/>
      </c>
      <c r="S121" s="9">
        <f>IF(R121="","",ROUND(R121/3.305785,3))</f>
        <v/>
      </c>
      <c r="T121" s="7" t="n"/>
      <c r="U121" s="7" t="n"/>
      <c r="V121" s="10">
        <f>IF(OR(T121="",U121="",U121=0),"",ROUND(T121/U121,6))</f>
        <v/>
      </c>
      <c r="W121" s="9">
        <f>IF(OR(R121="",T121="",U121="",U121=0),"",ROUND(R121*T121/U121,3))</f>
        <v/>
      </c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12">
        <f>IF(A121="","",IF(OR(B121="",C121="",D121="",E121="",H121="",O121="",T121="",U121=""),"必填欄位未完整",""))</f>
        <v/>
      </c>
      <c r="AI121" s="12">
        <f>IF(A121="","",A121&amp;"|"&amp;G121)</f>
        <v/>
      </c>
      <c r="AJ121" s="12">
        <f>IF(A121="","",A121&amp;"|"&amp;H121)</f>
        <v/>
      </c>
    </row>
    <row r="122" ht="24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8" t="n"/>
      <c r="P122" s="8" t="n"/>
      <c r="Q122" s="8" t="n"/>
      <c r="R122" s="13">
        <f>IF(O122="","",SUM(O122:Q122))</f>
        <v/>
      </c>
      <c r="S122" s="9">
        <f>IF(R122="","",ROUND(R122/3.305785,3))</f>
        <v/>
      </c>
      <c r="T122" s="7" t="n"/>
      <c r="U122" s="7" t="n"/>
      <c r="V122" s="10">
        <f>IF(OR(T122="",U122="",U122=0),"",ROUND(T122/U122,6))</f>
        <v/>
      </c>
      <c r="W122" s="9">
        <f>IF(OR(R122="",T122="",U122="",U122=0),"",ROUND(R122*T122/U122,3))</f>
        <v/>
      </c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12">
        <f>IF(A122="","",IF(OR(B122="",C122="",D122="",E122="",H122="",O122="",T122="",U122=""),"必填欄位未完整",""))</f>
        <v/>
      </c>
      <c r="AI122" s="12">
        <f>IF(A122="","",A122&amp;"|"&amp;G122)</f>
        <v/>
      </c>
      <c r="AJ122" s="12">
        <f>IF(A122="","",A122&amp;"|"&amp;H122)</f>
        <v/>
      </c>
    </row>
    <row r="123" ht="24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8" t="n"/>
      <c r="P123" s="8" t="n"/>
      <c r="Q123" s="8" t="n"/>
      <c r="R123" s="13">
        <f>IF(O123="","",SUM(O123:Q123))</f>
        <v/>
      </c>
      <c r="S123" s="9">
        <f>IF(R123="","",ROUND(R123/3.305785,3))</f>
        <v/>
      </c>
      <c r="T123" s="7" t="n"/>
      <c r="U123" s="7" t="n"/>
      <c r="V123" s="10">
        <f>IF(OR(T123="",U123="",U123=0),"",ROUND(T123/U123,6))</f>
        <v/>
      </c>
      <c r="W123" s="9">
        <f>IF(OR(R123="",T123="",U123="",U123=0),"",ROUND(R123*T123/U123,3))</f>
        <v/>
      </c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12">
        <f>IF(A123="","",IF(OR(B123="",C123="",D123="",E123="",H123="",O123="",T123="",U123=""),"必填欄位未完整",""))</f>
        <v/>
      </c>
      <c r="AI123" s="12">
        <f>IF(A123="","",A123&amp;"|"&amp;G123)</f>
        <v/>
      </c>
      <c r="AJ123" s="12">
        <f>IF(A123="","",A123&amp;"|"&amp;H123)</f>
        <v/>
      </c>
    </row>
    <row r="124" ht="24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8" t="n"/>
      <c r="P124" s="8" t="n"/>
      <c r="Q124" s="8" t="n"/>
      <c r="R124" s="13">
        <f>IF(O124="","",SUM(O124:Q124))</f>
        <v/>
      </c>
      <c r="S124" s="9">
        <f>IF(R124="","",ROUND(R124/3.305785,3))</f>
        <v/>
      </c>
      <c r="T124" s="7" t="n"/>
      <c r="U124" s="7" t="n"/>
      <c r="V124" s="10">
        <f>IF(OR(T124="",U124="",U124=0),"",ROUND(T124/U124,6))</f>
        <v/>
      </c>
      <c r="W124" s="9">
        <f>IF(OR(R124="",T124="",U124="",U124=0),"",ROUND(R124*T124/U124,3))</f>
        <v/>
      </c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12">
        <f>IF(A124="","",IF(OR(B124="",C124="",D124="",E124="",H124="",O124="",T124="",U124=""),"必填欄位未完整",""))</f>
        <v/>
      </c>
      <c r="AI124" s="12">
        <f>IF(A124="","",A124&amp;"|"&amp;G124)</f>
        <v/>
      </c>
      <c r="AJ124" s="12">
        <f>IF(A124="","",A124&amp;"|"&amp;H124)</f>
        <v/>
      </c>
    </row>
    <row r="125" ht="24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8" t="n"/>
      <c r="P125" s="8" t="n"/>
      <c r="Q125" s="8" t="n"/>
      <c r="R125" s="13">
        <f>IF(O125="","",SUM(O125:Q125))</f>
        <v/>
      </c>
      <c r="S125" s="9">
        <f>IF(R125="","",ROUND(R125/3.305785,3))</f>
        <v/>
      </c>
      <c r="T125" s="7" t="n"/>
      <c r="U125" s="7" t="n"/>
      <c r="V125" s="10">
        <f>IF(OR(T125="",U125="",U125=0),"",ROUND(T125/U125,6))</f>
        <v/>
      </c>
      <c r="W125" s="9">
        <f>IF(OR(R125="",T125="",U125="",U125=0),"",ROUND(R125*T125/U125,3))</f>
        <v/>
      </c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12">
        <f>IF(A125="","",IF(OR(B125="",C125="",D125="",E125="",H125="",O125="",T125="",U125=""),"必填欄位未完整",""))</f>
        <v/>
      </c>
      <c r="AI125" s="12">
        <f>IF(A125="","",A125&amp;"|"&amp;G125)</f>
        <v/>
      </c>
      <c r="AJ125" s="12">
        <f>IF(A125="","",A125&amp;"|"&amp;H125)</f>
        <v/>
      </c>
    </row>
    <row r="126" ht="24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8" t="n"/>
      <c r="P126" s="8" t="n"/>
      <c r="Q126" s="8" t="n"/>
      <c r="R126" s="13">
        <f>IF(O126="","",SUM(O126:Q126))</f>
        <v/>
      </c>
      <c r="S126" s="9">
        <f>IF(R126="","",ROUND(R126/3.305785,3))</f>
        <v/>
      </c>
      <c r="T126" s="7" t="n"/>
      <c r="U126" s="7" t="n"/>
      <c r="V126" s="10">
        <f>IF(OR(T126="",U126="",U126=0),"",ROUND(T126/U126,6))</f>
        <v/>
      </c>
      <c r="W126" s="9">
        <f>IF(OR(R126="",T126="",U126="",U126=0),"",ROUND(R126*T126/U126,3))</f>
        <v/>
      </c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12">
        <f>IF(A126="","",IF(OR(B126="",C126="",D126="",E126="",H126="",O126="",T126="",U126=""),"必填欄位未完整",""))</f>
        <v/>
      </c>
      <c r="AI126" s="12">
        <f>IF(A126="","",A126&amp;"|"&amp;G126)</f>
        <v/>
      </c>
      <c r="AJ126" s="12">
        <f>IF(A126="","",A126&amp;"|"&amp;H126)</f>
        <v/>
      </c>
    </row>
    <row r="127" ht="24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8" t="n"/>
      <c r="P127" s="8" t="n"/>
      <c r="Q127" s="8" t="n"/>
      <c r="R127" s="13">
        <f>IF(O127="","",SUM(O127:Q127))</f>
        <v/>
      </c>
      <c r="S127" s="9">
        <f>IF(R127="","",ROUND(R127/3.305785,3))</f>
        <v/>
      </c>
      <c r="T127" s="7" t="n"/>
      <c r="U127" s="7" t="n"/>
      <c r="V127" s="10">
        <f>IF(OR(T127="",U127="",U127=0),"",ROUND(T127/U127,6))</f>
        <v/>
      </c>
      <c r="W127" s="9">
        <f>IF(OR(R127="",T127="",U127="",U127=0),"",ROUND(R127*T127/U127,3))</f>
        <v/>
      </c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12">
        <f>IF(A127="","",IF(OR(B127="",C127="",D127="",E127="",H127="",O127="",T127="",U127=""),"必填欄位未完整",""))</f>
        <v/>
      </c>
      <c r="AI127" s="12">
        <f>IF(A127="","",A127&amp;"|"&amp;G127)</f>
        <v/>
      </c>
      <c r="AJ127" s="12">
        <f>IF(A127="","",A127&amp;"|"&amp;H127)</f>
        <v/>
      </c>
    </row>
    <row r="128" ht="24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8" t="n"/>
      <c r="P128" s="8" t="n"/>
      <c r="Q128" s="8" t="n"/>
      <c r="R128" s="13">
        <f>IF(O128="","",SUM(O128:Q128))</f>
        <v/>
      </c>
      <c r="S128" s="9">
        <f>IF(R128="","",ROUND(R128/3.305785,3))</f>
        <v/>
      </c>
      <c r="T128" s="7" t="n"/>
      <c r="U128" s="7" t="n"/>
      <c r="V128" s="10">
        <f>IF(OR(T128="",U128="",U128=0),"",ROUND(T128/U128,6))</f>
        <v/>
      </c>
      <c r="W128" s="9">
        <f>IF(OR(R128="",T128="",U128="",U128=0),"",ROUND(R128*T128/U128,3))</f>
        <v/>
      </c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12">
        <f>IF(A128="","",IF(OR(B128="",C128="",D128="",E128="",H128="",O128="",T128="",U128=""),"必填欄位未完整",""))</f>
        <v/>
      </c>
      <c r="AI128" s="12">
        <f>IF(A128="","",A128&amp;"|"&amp;G128)</f>
        <v/>
      </c>
      <c r="AJ128" s="12">
        <f>IF(A128="","",A128&amp;"|"&amp;H128)</f>
        <v/>
      </c>
    </row>
    <row r="129" ht="24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8" t="n"/>
      <c r="P129" s="8" t="n"/>
      <c r="Q129" s="8" t="n"/>
      <c r="R129" s="13">
        <f>IF(O129="","",SUM(O129:Q129))</f>
        <v/>
      </c>
      <c r="S129" s="9">
        <f>IF(R129="","",ROUND(R129/3.305785,3))</f>
        <v/>
      </c>
      <c r="T129" s="7" t="n"/>
      <c r="U129" s="7" t="n"/>
      <c r="V129" s="10">
        <f>IF(OR(T129="",U129="",U129=0),"",ROUND(T129/U129,6))</f>
        <v/>
      </c>
      <c r="W129" s="9">
        <f>IF(OR(R129="",T129="",U129="",U129=0),"",ROUND(R129*T129/U129,3))</f>
        <v/>
      </c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12">
        <f>IF(A129="","",IF(OR(B129="",C129="",D129="",E129="",H129="",O129="",T129="",U129=""),"必填欄位未完整",""))</f>
        <v/>
      </c>
      <c r="AI129" s="12">
        <f>IF(A129="","",A129&amp;"|"&amp;G129)</f>
        <v/>
      </c>
      <c r="AJ129" s="12">
        <f>IF(A129="","",A129&amp;"|"&amp;H129)</f>
        <v/>
      </c>
    </row>
    <row r="130" ht="24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8" t="n"/>
      <c r="P130" s="8" t="n"/>
      <c r="Q130" s="8" t="n"/>
      <c r="R130" s="13">
        <f>IF(O130="","",SUM(O130:Q130))</f>
        <v/>
      </c>
      <c r="S130" s="9">
        <f>IF(R130="","",ROUND(R130/3.305785,3))</f>
        <v/>
      </c>
      <c r="T130" s="7" t="n"/>
      <c r="U130" s="7" t="n"/>
      <c r="V130" s="10">
        <f>IF(OR(T130="",U130="",U130=0),"",ROUND(T130/U130,6))</f>
        <v/>
      </c>
      <c r="W130" s="9">
        <f>IF(OR(R130="",T130="",U130="",U130=0),"",ROUND(R130*T130/U130,3))</f>
        <v/>
      </c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12">
        <f>IF(A130="","",IF(OR(B130="",C130="",D130="",E130="",H130="",O130="",T130="",U130=""),"必填欄位未完整",""))</f>
        <v/>
      </c>
      <c r="AI130" s="12">
        <f>IF(A130="","",A130&amp;"|"&amp;G130)</f>
        <v/>
      </c>
      <c r="AJ130" s="12">
        <f>IF(A130="","",A130&amp;"|"&amp;H130)</f>
        <v/>
      </c>
    </row>
    <row r="131" ht="24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8" t="n"/>
      <c r="P131" s="8" t="n"/>
      <c r="Q131" s="8" t="n"/>
      <c r="R131" s="13">
        <f>IF(O131="","",SUM(O131:Q131))</f>
        <v/>
      </c>
      <c r="S131" s="9">
        <f>IF(R131="","",ROUND(R131/3.305785,3))</f>
        <v/>
      </c>
      <c r="T131" s="7" t="n"/>
      <c r="U131" s="7" t="n"/>
      <c r="V131" s="10">
        <f>IF(OR(T131="",U131="",U131=0),"",ROUND(T131/U131,6))</f>
        <v/>
      </c>
      <c r="W131" s="9">
        <f>IF(OR(R131="",T131="",U131="",U131=0),"",ROUND(R131*T131/U131,3))</f>
        <v/>
      </c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12">
        <f>IF(A131="","",IF(OR(B131="",C131="",D131="",E131="",H131="",O131="",T131="",U131=""),"必填欄位未完整",""))</f>
        <v/>
      </c>
      <c r="AI131" s="12">
        <f>IF(A131="","",A131&amp;"|"&amp;G131)</f>
        <v/>
      </c>
      <c r="AJ131" s="12">
        <f>IF(A131="","",A131&amp;"|"&amp;H131)</f>
        <v/>
      </c>
    </row>
    <row r="132" ht="24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8" t="n"/>
      <c r="P132" s="8" t="n"/>
      <c r="Q132" s="8" t="n"/>
      <c r="R132" s="13">
        <f>IF(O132="","",SUM(O132:Q132))</f>
        <v/>
      </c>
      <c r="S132" s="9">
        <f>IF(R132="","",ROUND(R132/3.305785,3))</f>
        <v/>
      </c>
      <c r="T132" s="7" t="n"/>
      <c r="U132" s="7" t="n"/>
      <c r="V132" s="10">
        <f>IF(OR(T132="",U132="",U132=0),"",ROUND(T132/U132,6))</f>
        <v/>
      </c>
      <c r="W132" s="9">
        <f>IF(OR(R132="",T132="",U132="",U132=0),"",ROUND(R132*T132/U132,3))</f>
        <v/>
      </c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12">
        <f>IF(A132="","",IF(OR(B132="",C132="",D132="",E132="",H132="",O132="",T132="",U132=""),"必填欄位未完整",""))</f>
        <v/>
      </c>
      <c r="AI132" s="12">
        <f>IF(A132="","",A132&amp;"|"&amp;G132)</f>
        <v/>
      </c>
      <c r="AJ132" s="12">
        <f>IF(A132="","",A132&amp;"|"&amp;H132)</f>
        <v/>
      </c>
    </row>
    <row r="133" ht="24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8" t="n"/>
      <c r="P133" s="8" t="n"/>
      <c r="Q133" s="8" t="n"/>
      <c r="R133" s="13">
        <f>IF(O133="","",SUM(O133:Q133))</f>
        <v/>
      </c>
      <c r="S133" s="9">
        <f>IF(R133="","",ROUND(R133/3.305785,3))</f>
        <v/>
      </c>
      <c r="T133" s="7" t="n"/>
      <c r="U133" s="7" t="n"/>
      <c r="V133" s="10">
        <f>IF(OR(T133="",U133="",U133=0),"",ROUND(T133/U133,6))</f>
        <v/>
      </c>
      <c r="W133" s="9">
        <f>IF(OR(R133="",T133="",U133="",U133=0),"",ROUND(R133*T133/U133,3))</f>
        <v/>
      </c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12">
        <f>IF(A133="","",IF(OR(B133="",C133="",D133="",E133="",H133="",O133="",T133="",U133=""),"必填欄位未完整",""))</f>
        <v/>
      </c>
      <c r="AI133" s="12">
        <f>IF(A133="","",A133&amp;"|"&amp;G133)</f>
        <v/>
      </c>
      <c r="AJ133" s="12">
        <f>IF(A133="","",A133&amp;"|"&amp;H133)</f>
        <v/>
      </c>
    </row>
    <row r="134" ht="24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8" t="n"/>
      <c r="P134" s="8" t="n"/>
      <c r="Q134" s="8" t="n"/>
      <c r="R134" s="13">
        <f>IF(O134="","",SUM(O134:Q134))</f>
        <v/>
      </c>
      <c r="S134" s="9">
        <f>IF(R134="","",ROUND(R134/3.305785,3))</f>
        <v/>
      </c>
      <c r="T134" s="7" t="n"/>
      <c r="U134" s="7" t="n"/>
      <c r="V134" s="10">
        <f>IF(OR(T134="",U134="",U134=0),"",ROUND(T134/U134,6))</f>
        <v/>
      </c>
      <c r="W134" s="9">
        <f>IF(OR(R134="",T134="",U134="",U134=0),"",ROUND(R134*T134/U134,3))</f>
        <v/>
      </c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12">
        <f>IF(A134="","",IF(OR(B134="",C134="",D134="",E134="",H134="",O134="",T134="",U134=""),"必填欄位未完整",""))</f>
        <v/>
      </c>
      <c r="AI134" s="12">
        <f>IF(A134="","",A134&amp;"|"&amp;G134)</f>
        <v/>
      </c>
      <c r="AJ134" s="12">
        <f>IF(A134="","",A134&amp;"|"&amp;H134)</f>
        <v/>
      </c>
    </row>
    <row r="135" ht="24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8" t="n"/>
      <c r="P135" s="8" t="n"/>
      <c r="Q135" s="8" t="n"/>
      <c r="R135" s="13">
        <f>IF(O135="","",SUM(O135:Q135))</f>
        <v/>
      </c>
      <c r="S135" s="9">
        <f>IF(R135="","",ROUND(R135/3.305785,3))</f>
        <v/>
      </c>
      <c r="T135" s="7" t="n"/>
      <c r="U135" s="7" t="n"/>
      <c r="V135" s="10">
        <f>IF(OR(T135="",U135="",U135=0),"",ROUND(T135/U135,6))</f>
        <v/>
      </c>
      <c r="W135" s="9">
        <f>IF(OR(R135="",T135="",U135="",U135=0),"",ROUND(R135*T135/U135,3))</f>
        <v/>
      </c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12">
        <f>IF(A135="","",IF(OR(B135="",C135="",D135="",E135="",H135="",O135="",T135="",U135=""),"必填欄位未完整",""))</f>
        <v/>
      </c>
      <c r="AI135" s="12">
        <f>IF(A135="","",A135&amp;"|"&amp;G135)</f>
        <v/>
      </c>
      <c r="AJ135" s="12">
        <f>IF(A135="","",A135&amp;"|"&amp;H135)</f>
        <v/>
      </c>
    </row>
    <row r="136" ht="24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8" t="n"/>
      <c r="P136" s="8" t="n"/>
      <c r="Q136" s="8" t="n"/>
      <c r="R136" s="13">
        <f>IF(O136="","",SUM(O136:Q136))</f>
        <v/>
      </c>
      <c r="S136" s="9">
        <f>IF(R136="","",ROUND(R136/3.305785,3))</f>
        <v/>
      </c>
      <c r="T136" s="7" t="n"/>
      <c r="U136" s="7" t="n"/>
      <c r="V136" s="10">
        <f>IF(OR(T136="",U136="",U136=0),"",ROUND(T136/U136,6))</f>
        <v/>
      </c>
      <c r="W136" s="9">
        <f>IF(OR(R136="",T136="",U136="",U136=0),"",ROUND(R136*T136/U136,3))</f>
        <v/>
      </c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12">
        <f>IF(A136="","",IF(OR(B136="",C136="",D136="",E136="",H136="",O136="",T136="",U136=""),"必填欄位未完整",""))</f>
        <v/>
      </c>
      <c r="AI136" s="12">
        <f>IF(A136="","",A136&amp;"|"&amp;G136)</f>
        <v/>
      </c>
      <c r="AJ136" s="12">
        <f>IF(A136="","",A136&amp;"|"&amp;H136)</f>
        <v/>
      </c>
    </row>
    <row r="137" ht="24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8" t="n"/>
      <c r="P137" s="8" t="n"/>
      <c r="Q137" s="8" t="n"/>
      <c r="R137" s="13">
        <f>IF(O137="","",SUM(O137:Q137))</f>
        <v/>
      </c>
      <c r="S137" s="9">
        <f>IF(R137="","",ROUND(R137/3.305785,3))</f>
        <v/>
      </c>
      <c r="T137" s="7" t="n"/>
      <c r="U137" s="7" t="n"/>
      <c r="V137" s="10">
        <f>IF(OR(T137="",U137="",U137=0),"",ROUND(T137/U137,6))</f>
        <v/>
      </c>
      <c r="W137" s="9">
        <f>IF(OR(R137="",T137="",U137="",U137=0),"",ROUND(R137*T137/U137,3))</f>
        <v/>
      </c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12">
        <f>IF(A137="","",IF(OR(B137="",C137="",D137="",E137="",H137="",O137="",T137="",U137=""),"必填欄位未完整",""))</f>
        <v/>
      </c>
      <c r="AI137" s="12">
        <f>IF(A137="","",A137&amp;"|"&amp;G137)</f>
        <v/>
      </c>
      <c r="AJ137" s="12">
        <f>IF(A137="","",A137&amp;"|"&amp;H137)</f>
        <v/>
      </c>
    </row>
    <row r="138" ht="24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8" t="n"/>
      <c r="P138" s="8" t="n"/>
      <c r="Q138" s="8" t="n"/>
      <c r="R138" s="13">
        <f>IF(O138="","",SUM(O138:Q138))</f>
        <v/>
      </c>
      <c r="S138" s="9">
        <f>IF(R138="","",ROUND(R138/3.305785,3))</f>
        <v/>
      </c>
      <c r="T138" s="7" t="n"/>
      <c r="U138" s="7" t="n"/>
      <c r="V138" s="10">
        <f>IF(OR(T138="",U138="",U138=0),"",ROUND(T138/U138,6))</f>
        <v/>
      </c>
      <c r="W138" s="9">
        <f>IF(OR(R138="",T138="",U138="",U138=0),"",ROUND(R138*T138/U138,3))</f>
        <v/>
      </c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12">
        <f>IF(A138="","",IF(OR(B138="",C138="",D138="",E138="",H138="",O138="",T138="",U138=""),"必填欄位未完整",""))</f>
        <v/>
      </c>
      <c r="AI138" s="12">
        <f>IF(A138="","",A138&amp;"|"&amp;G138)</f>
        <v/>
      </c>
      <c r="AJ138" s="12">
        <f>IF(A138="","",A138&amp;"|"&amp;H138)</f>
        <v/>
      </c>
    </row>
    <row r="139" ht="24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8" t="n"/>
      <c r="P139" s="8" t="n"/>
      <c r="Q139" s="8" t="n"/>
      <c r="R139" s="13">
        <f>IF(O139="","",SUM(O139:Q139))</f>
        <v/>
      </c>
      <c r="S139" s="9">
        <f>IF(R139="","",ROUND(R139/3.305785,3))</f>
        <v/>
      </c>
      <c r="T139" s="7" t="n"/>
      <c r="U139" s="7" t="n"/>
      <c r="V139" s="10">
        <f>IF(OR(T139="",U139="",U139=0),"",ROUND(T139/U139,6))</f>
        <v/>
      </c>
      <c r="W139" s="9">
        <f>IF(OR(R139="",T139="",U139="",U139=0),"",ROUND(R139*T139/U139,3))</f>
        <v/>
      </c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12">
        <f>IF(A139="","",IF(OR(B139="",C139="",D139="",E139="",H139="",O139="",T139="",U139=""),"必填欄位未完整",""))</f>
        <v/>
      </c>
      <c r="AI139" s="12">
        <f>IF(A139="","",A139&amp;"|"&amp;G139)</f>
        <v/>
      </c>
      <c r="AJ139" s="12">
        <f>IF(A139="","",A139&amp;"|"&amp;H139)</f>
        <v/>
      </c>
    </row>
    <row r="140" ht="24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8" t="n"/>
      <c r="P140" s="8" t="n"/>
      <c r="Q140" s="8" t="n"/>
      <c r="R140" s="13">
        <f>IF(O140="","",SUM(O140:Q140))</f>
        <v/>
      </c>
      <c r="S140" s="9">
        <f>IF(R140="","",ROUND(R140/3.305785,3))</f>
        <v/>
      </c>
      <c r="T140" s="7" t="n"/>
      <c r="U140" s="7" t="n"/>
      <c r="V140" s="10">
        <f>IF(OR(T140="",U140="",U140=0),"",ROUND(T140/U140,6))</f>
        <v/>
      </c>
      <c r="W140" s="9">
        <f>IF(OR(R140="",T140="",U140="",U140=0),"",ROUND(R140*T140/U140,3))</f>
        <v/>
      </c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12">
        <f>IF(A140="","",IF(OR(B140="",C140="",D140="",E140="",H140="",O140="",T140="",U140=""),"必填欄位未完整",""))</f>
        <v/>
      </c>
      <c r="AI140" s="12">
        <f>IF(A140="","",A140&amp;"|"&amp;G140)</f>
        <v/>
      </c>
      <c r="AJ140" s="12">
        <f>IF(A140="","",A140&amp;"|"&amp;H140)</f>
        <v/>
      </c>
    </row>
    <row r="141" ht="24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8" t="n"/>
      <c r="P141" s="8" t="n"/>
      <c r="Q141" s="8" t="n"/>
      <c r="R141" s="13">
        <f>IF(O141="","",SUM(O141:Q141))</f>
        <v/>
      </c>
      <c r="S141" s="9">
        <f>IF(R141="","",ROUND(R141/3.305785,3))</f>
        <v/>
      </c>
      <c r="T141" s="7" t="n"/>
      <c r="U141" s="7" t="n"/>
      <c r="V141" s="10">
        <f>IF(OR(T141="",U141="",U141=0),"",ROUND(T141/U141,6))</f>
        <v/>
      </c>
      <c r="W141" s="9">
        <f>IF(OR(R141="",T141="",U141="",U141=0),"",ROUND(R141*T141/U141,3))</f>
        <v/>
      </c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12">
        <f>IF(A141="","",IF(OR(B141="",C141="",D141="",E141="",H141="",O141="",T141="",U141=""),"必填欄位未完整",""))</f>
        <v/>
      </c>
      <c r="AI141" s="12">
        <f>IF(A141="","",A141&amp;"|"&amp;G141)</f>
        <v/>
      </c>
      <c r="AJ141" s="12">
        <f>IF(A141="","",A141&amp;"|"&amp;H141)</f>
        <v/>
      </c>
    </row>
    <row r="142" ht="24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8" t="n"/>
      <c r="P142" s="8" t="n"/>
      <c r="Q142" s="8" t="n"/>
      <c r="R142" s="13">
        <f>IF(O142="","",SUM(O142:Q142))</f>
        <v/>
      </c>
      <c r="S142" s="9">
        <f>IF(R142="","",ROUND(R142/3.305785,3))</f>
        <v/>
      </c>
      <c r="T142" s="7" t="n"/>
      <c r="U142" s="7" t="n"/>
      <c r="V142" s="10">
        <f>IF(OR(T142="",U142="",U142=0),"",ROUND(T142/U142,6))</f>
        <v/>
      </c>
      <c r="W142" s="9">
        <f>IF(OR(R142="",T142="",U142="",U142=0),"",ROUND(R142*T142/U142,3))</f>
        <v/>
      </c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12">
        <f>IF(A142="","",IF(OR(B142="",C142="",D142="",E142="",H142="",O142="",T142="",U142=""),"必填欄位未完整",""))</f>
        <v/>
      </c>
      <c r="AI142" s="12">
        <f>IF(A142="","",A142&amp;"|"&amp;G142)</f>
        <v/>
      </c>
      <c r="AJ142" s="12">
        <f>IF(A142="","",A142&amp;"|"&amp;H142)</f>
        <v/>
      </c>
    </row>
    <row r="143" ht="24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8" t="n"/>
      <c r="P143" s="8" t="n"/>
      <c r="Q143" s="8" t="n"/>
      <c r="R143" s="13">
        <f>IF(O143="","",SUM(O143:Q143))</f>
        <v/>
      </c>
      <c r="S143" s="9">
        <f>IF(R143="","",ROUND(R143/3.305785,3))</f>
        <v/>
      </c>
      <c r="T143" s="7" t="n"/>
      <c r="U143" s="7" t="n"/>
      <c r="V143" s="10">
        <f>IF(OR(T143="",U143="",U143=0),"",ROUND(T143/U143,6))</f>
        <v/>
      </c>
      <c r="W143" s="9">
        <f>IF(OR(R143="",T143="",U143="",U143=0),"",ROUND(R143*T143/U143,3))</f>
        <v/>
      </c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12">
        <f>IF(A143="","",IF(OR(B143="",C143="",D143="",E143="",H143="",O143="",T143="",U143=""),"必填欄位未完整",""))</f>
        <v/>
      </c>
      <c r="AI143" s="12">
        <f>IF(A143="","",A143&amp;"|"&amp;G143)</f>
        <v/>
      </c>
      <c r="AJ143" s="12">
        <f>IF(A143="","",A143&amp;"|"&amp;H143)</f>
        <v/>
      </c>
    </row>
    <row r="144" ht="24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8" t="n"/>
      <c r="P144" s="8" t="n"/>
      <c r="Q144" s="8" t="n"/>
      <c r="R144" s="13">
        <f>IF(O144="","",SUM(O144:Q144))</f>
        <v/>
      </c>
      <c r="S144" s="9">
        <f>IF(R144="","",ROUND(R144/3.305785,3))</f>
        <v/>
      </c>
      <c r="T144" s="7" t="n"/>
      <c r="U144" s="7" t="n"/>
      <c r="V144" s="10">
        <f>IF(OR(T144="",U144="",U144=0),"",ROUND(T144/U144,6))</f>
        <v/>
      </c>
      <c r="W144" s="9">
        <f>IF(OR(R144="",T144="",U144="",U144=0),"",ROUND(R144*T144/U144,3))</f>
        <v/>
      </c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12">
        <f>IF(A144="","",IF(OR(B144="",C144="",D144="",E144="",H144="",O144="",T144="",U144=""),"必填欄位未完整",""))</f>
        <v/>
      </c>
      <c r="AI144" s="12">
        <f>IF(A144="","",A144&amp;"|"&amp;G144)</f>
        <v/>
      </c>
      <c r="AJ144" s="12">
        <f>IF(A144="","",A144&amp;"|"&amp;H144)</f>
        <v/>
      </c>
    </row>
    <row r="145" ht="24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8" t="n"/>
      <c r="P145" s="8" t="n"/>
      <c r="Q145" s="8" t="n"/>
      <c r="R145" s="13">
        <f>IF(O145="","",SUM(O145:Q145))</f>
        <v/>
      </c>
      <c r="S145" s="9">
        <f>IF(R145="","",ROUND(R145/3.305785,3))</f>
        <v/>
      </c>
      <c r="T145" s="7" t="n"/>
      <c r="U145" s="7" t="n"/>
      <c r="V145" s="10">
        <f>IF(OR(T145="",U145="",U145=0),"",ROUND(T145/U145,6))</f>
        <v/>
      </c>
      <c r="W145" s="9">
        <f>IF(OR(R145="",T145="",U145="",U145=0),"",ROUND(R145*T145/U145,3))</f>
        <v/>
      </c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12">
        <f>IF(A145="","",IF(OR(B145="",C145="",D145="",E145="",H145="",O145="",T145="",U145=""),"必填欄位未完整",""))</f>
        <v/>
      </c>
      <c r="AI145" s="12">
        <f>IF(A145="","",A145&amp;"|"&amp;G145)</f>
        <v/>
      </c>
      <c r="AJ145" s="12">
        <f>IF(A145="","",A145&amp;"|"&amp;H145)</f>
        <v/>
      </c>
    </row>
    <row r="146" ht="24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8" t="n"/>
      <c r="P146" s="8" t="n"/>
      <c r="Q146" s="8" t="n"/>
      <c r="R146" s="13">
        <f>IF(O146="","",SUM(O146:Q146))</f>
        <v/>
      </c>
      <c r="S146" s="9">
        <f>IF(R146="","",ROUND(R146/3.305785,3))</f>
        <v/>
      </c>
      <c r="T146" s="7" t="n"/>
      <c r="U146" s="7" t="n"/>
      <c r="V146" s="10">
        <f>IF(OR(T146="",U146="",U146=0),"",ROUND(T146/U146,6))</f>
        <v/>
      </c>
      <c r="W146" s="9">
        <f>IF(OR(R146="",T146="",U146="",U146=0),"",ROUND(R146*T146/U146,3))</f>
        <v/>
      </c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12">
        <f>IF(A146="","",IF(OR(B146="",C146="",D146="",E146="",H146="",O146="",T146="",U146=""),"必填欄位未完整",""))</f>
        <v/>
      </c>
      <c r="AI146" s="12">
        <f>IF(A146="","",A146&amp;"|"&amp;G146)</f>
        <v/>
      </c>
      <c r="AJ146" s="12">
        <f>IF(A146="","",A146&amp;"|"&amp;H146)</f>
        <v/>
      </c>
    </row>
    <row r="147" ht="24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8" t="n"/>
      <c r="P147" s="8" t="n"/>
      <c r="Q147" s="8" t="n"/>
      <c r="R147" s="13">
        <f>IF(O147="","",SUM(O147:Q147))</f>
        <v/>
      </c>
      <c r="S147" s="9">
        <f>IF(R147="","",ROUND(R147/3.305785,3))</f>
        <v/>
      </c>
      <c r="T147" s="7" t="n"/>
      <c r="U147" s="7" t="n"/>
      <c r="V147" s="10">
        <f>IF(OR(T147="",U147="",U147=0),"",ROUND(T147/U147,6))</f>
        <v/>
      </c>
      <c r="W147" s="9">
        <f>IF(OR(R147="",T147="",U147="",U147=0),"",ROUND(R147*T147/U147,3))</f>
        <v/>
      </c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12">
        <f>IF(A147="","",IF(OR(B147="",C147="",D147="",E147="",H147="",O147="",T147="",U147=""),"必填欄位未完整",""))</f>
        <v/>
      </c>
      <c r="AI147" s="12">
        <f>IF(A147="","",A147&amp;"|"&amp;G147)</f>
        <v/>
      </c>
      <c r="AJ147" s="12">
        <f>IF(A147="","",A147&amp;"|"&amp;H147)</f>
        <v/>
      </c>
    </row>
    <row r="148" ht="24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8" t="n"/>
      <c r="P148" s="8" t="n"/>
      <c r="Q148" s="8" t="n"/>
      <c r="R148" s="13">
        <f>IF(O148="","",SUM(O148:Q148))</f>
        <v/>
      </c>
      <c r="S148" s="9">
        <f>IF(R148="","",ROUND(R148/3.305785,3))</f>
        <v/>
      </c>
      <c r="T148" s="7" t="n"/>
      <c r="U148" s="7" t="n"/>
      <c r="V148" s="10">
        <f>IF(OR(T148="",U148="",U148=0),"",ROUND(T148/U148,6))</f>
        <v/>
      </c>
      <c r="W148" s="9">
        <f>IF(OR(R148="",T148="",U148="",U148=0),"",ROUND(R148*T148/U148,3))</f>
        <v/>
      </c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12">
        <f>IF(A148="","",IF(OR(B148="",C148="",D148="",E148="",H148="",O148="",T148="",U148=""),"必填欄位未完整",""))</f>
        <v/>
      </c>
      <c r="AI148" s="12">
        <f>IF(A148="","",A148&amp;"|"&amp;G148)</f>
        <v/>
      </c>
      <c r="AJ148" s="12">
        <f>IF(A148="","",A148&amp;"|"&amp;H148)</f>
        <v/>
      </c>
    </row>
    <row r="149" ht="24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8" t="n"/>
      <c r="P149" s="8" t="n"/>
      <c r="Q149" s="8" t="n"/>
      <c r="R149" s="13">
        <f>IF(O149="","",SUM(O149:Q149))</f>
        <v/>
      </c>
      <c r="S149" s="9">
        <f>IF(R149="","",ROUND(R149/3.305785,3))</f>
        <v/>
      </c>
      <c r="T149" s="7" t="n"/>
      <c r="U149" s="7" t="n"/>
      <c r="V149" s="10">
        <f>IF(OR(T149="",U149="",U149=0),"",ROUND(T149/U149,6))</f>
        <v/>
      </c>
      <c r="W149" s="9">
        <f>IF(OR(R149="",T149="",U149="",U149=0),"",ROUND(R149*T149/U149,3))</f>
        <v/>
      </c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12">
        <f>IF(A149="","",IF(OR(B149="",C149="",D149="",E149="",H149="",O149="",T149="",U149=""),"必填欄位未完整",""))</f>
        <v/>
      </c>
      <c r="AI149" s="12">
        <f>IF(A149="","",A149&amp;"|"&amp;G149)</f>
        <v/>
      </c>
      <c r="AJ149" s="12">
        <f>IF(A149="","",A149&amp;"|"&amp;H149)</f>
        <v/>
      </c>
    </row>
    <row r="150" ht="24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8" t="n"/>
      <c r="P150" s="8" t="n"/>
      <c r="Q150" s="8" t="n"/>
      <c r="R150" s="13">
        <f>IF(O150="","",SUM(O150:Q150))</f>
        <v/>
      </c>
      <c r="S150" s="9">
        <f>IF(R150="","",ROUND(R150/3.305785,3))</f>
        <v/>
      </c>
      <c r="T150" s="7" t="n"/>
      <c r="U150" s="7" t="n"/>
      <c r="V150" s="10">
        <f>IF(OR(T150="",U150="",U150=0),"",ROUND(T150/U150,6))</f>
        <v/>
      </c>
      <c r="W150" s="9">
        <f>IF(OR(R150="",T150="",U150="",U150=0),"",ROUND(R150*T150/U150,3))</f>
        <v/>
      </c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12">
        <f>IF(A150="","",IF(OR(B150="",C150="",D150="",E150="",H150="",O150="",T150="",U150=""),"必填欄位未完整",""))</f>
        <v/>
      </c>
      <c r="AI150" s="12">
        <f>IF(A150="","",A150&amp;"|"&amp;G150)</f>
        <v/>
      </c>
      <c r="AJ150" s="12">
        <f>IF(A150="","",A150&amp;"|"&amp;H150)</f>
        <v/>
      </c>
    </row>
    <row r="151" ht="24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8" t="n"/>
      <c r="P151" s="8" t="n"/>
      <c r="Q151" s="8" t="n"/>
      <c r="R151" s="13">
        <f>IF(O151="","",SUM(O151:Q151))</f>
        <v/>
      </c>
      <c r="S151" s="9">
        <f>IF(R151="","",ROUND(R151/3.305785,3))</f>
        <v/>
      </c>
      <c r="T151" s="7" t="n"/>
      <c r="U151" s="7" t="n"/>
      <c r="V151" s="10">
        <f>IF(OR(T151="",U151="",U151=0),"",ROUND(T151/U151,6))</f>
        <v/>
      </c>
      <c r="W151" s="9">
        <f>IF(OR(R151="",T151="",U151="",U151=0),"",ROUND(R151*T151/U151,3))</f>
        <v/>
      </c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12">
        <f>IF(A151="","",IF(OR(B151="",C151="",D151="",E151="",H151="",O151="",T151="",U151=""),"必填欄位未完整",""))</f>
        <v/>
      </c>
      <c r="AI151" s="12">
        <f>IF(A151="","",A151&amp;"|"&amp;G151)</f>
        <v/>
      </c>
      <c r="AJ151" s="12">
        <f>IF(A151="","",A151&amp;"|"&amp;H151)</f>
        <v/>
      </c>
    </row>
    <row r="152" ht="24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8" t="n"/>
      <c r="P152" s="8" t="n"/>
      <c r="Q152" s="8" t="n"/>
      <c r="R152" s="13">
        <f>IF(O152="","",SUM(O152:Q152))</f>
        <v/>
      </c>
      <c r="S152" s="9">
        <f>IF(R152="","",ROUND(R152/3.305785,3))</f>
        <v/>
      </c>
      <c r="T152" s="7" t="n"/>
      <c r="U152" s="7" t="n"/>
      <c r="V152" s="10">
        <f>IF(OR(T152="",U152="",U152=0),"",ROUND(T152/U152,6))</f>
        <v/>
      </c>
      <c r="W152" s="9">
        <f>IF(OR(R152="",T152="",U152="",U152=0),"",ROUND(R152*T152/U152,3))</f>
        <v/>
      </c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12">
        <f>IF(A152="","",IF(OR(B152="",C152="",D152="",E152="",H152="",O152="",T152="",U152=""),"必填欄位未完整",""))</f>
        <v/>
      </c>
      <c r="AI152" s="12">
        <f>IF(A152="","",A152&amp;"|"&amp;G152)</f>
        <v/>
      </c>
      <c r="AJ152" s="12">
        <f>IF(A152="","",A152&amp;"|"&amp;H152)</f>
        <v/>
      </c>
    </row>
    <row r="153" ht="24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8" t="n"/>
      <c r="P153" s="8" t="n"/>
      <c r="Q153" s="8" t="n"/>
      <c r="R153" s="13">
        <f>IF(O153="","",SUM(O153:Q153))</f>
        <v/>
      </c>
      <c r="S153" s="9">
        <f>IF(R153="","",ROUND(R153/3.305785,3))</f>
        <v/>
      </c>
      <c r="T153" s="7" t="n"/>
      <c r="U153" s="7" t="n"/>
      <c r="V153" s="10">
        <f>IF(OR(T153="",U153="",U153=0),"",ROUND(T153/U153,6))</f>
        <v/>
      </c>
      <c r="W153" s="9">
        <f>IF(OR(R153="",T153="",U153="",U153=0),"",ROUND(R153*T153/U153,3))</f>
        <v/>
      </c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12">
        <f>IF(A153="","",IF(OR(B153="",C153="",D153="",E153="",H153="",O153="",T153="",U153=""),"必填欄位未完整",""))</f>
        <v/>
      </c>
      <c r="AI153" s="12">
        <f>IF(A153="","",A153&amp;"|"&amp;G153)</f>
        <v/>
      </c>
      <c r="AJ153" s="12">
        <f>IF(A153="","",A153&amp;"|"&amp;H153)</f>
        <v/>
      </c>
    </row>
    <row r="154" ht="24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8" t="n"/>
      <c r="P154" s="8" t="n"/>
      <c r="Q154" s="8" t="n"/>
      <c r="R154" s="13">
        <f>IF(O154="","",SUM(O154:Q154))</f>
        <v/>
      </c>
      <c r="S154" s="9">
        <f>IF(R154="","",ROUND(R154/3.305785,3))</f>
        <v/>
      </c>
      <c r="T154" s="7" t="n"/>
      <c r="U154" s="7" t="n"/>
      <c r="V154" s="10">
        <f>IF(OR(T154="",U154="",U154=0),"",ROUND(T154/U154,6))</f>
        <v/>
      </c>
      <c r="W154" s="9">
        <f>IF(OR(R154="",T154="",U154="",U154=0),"",ROUND(R154*T154/U154,3))</f>
        <v/>
      </c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12">
        <f>IF(A154="","",IF(OR(B154="",C154="",D154="",E154="",H154="",O154="",T154="",U154=""),"必填欄位未完整",""))</f>
        <v/>
      </c>
      <c r="AI154" s="12">
        <f>IF(A154="","",A154&amp;"|"&amp;G154)</f>
        <v/>
      </c>
      <c r="AJ154" s="12">
        <f>IF(A154="","",A154&amp;"|"&amp;H154)</f>
        <v/>
      </c>
    </row>
    <row r="155" ht="24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8" t="n"/>
      <c r="P155" s="8" t="n"/>
      <c r="Q155" s="8" t="n"/>
      <c r="R155" s="13">
        <f>IF(O155="","",SUM(O155:Q155))</f>
        <v/>
      </c>
      <c r="S155" s="9">
        <f>IF(R155="","",ROUND(R155/3.305785,3))</f>
        <v/>
      </c>
      <c r="T155" s="7" t="n"/>
      <c r="U155" s="7" t="n"/>
      <c r="V155" s="10">
        <f>IF(OR(T155="",U155="",U155=0),"",ROUND(T155/U155,6))</f>
        <v/>
      </c>
      <c r="W155" s="9">
        <f>IF(OR(R155="",T155="",U155="",U155=0),"",ROUND(R155*T155/U155,3))</f>
        <v/>
      </c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12">
        <f>IF(A155="","",IF(OR(B155="",C155="",D155="",E155="",H155="",O155="",T155="",U155=""),"必填欄位未完整",""))</f>
        <v/>
      </c>
      <c r="AI155" s="12">
        <f>IF(A155="","",A155&amp;"|"&amp;G155)</f>
        <v/>
      </c>
      <c r="AJ155" s="12">
        <f>IF(A155="","",A155&amp;"|"&amp;H155)</f>
        <v/>
      </c>
    </row>
    <row r="156" ht="24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8" t="n"/>
      <c r="P156" s="8" t="n"/>
      <c r="Q156" s="8" t="n"/>
      <c r="R156" s="13">
        <f>IF(O156="","",SUM(O156:Q156))</f>
        <v/>
      </c>
      <c r="S156" s="9">
        <f>IF(R156="","",ROUND(R156/3.305785,3))</f>
        <v/>
      </c>
      <c r="T156" s="7" t="n"/>
      <c r="U156" s="7" t="n"/>
      <c r="V156" s="10">
        <f>IF(OR(T156="",U156="",U156=0),"",ROUND(T156/U156,6))</f>
        <v/>
      </c>
      <c r="W156" s="9">
        <f>IF(OR(R156="",T156="",U156="",U156=0),"",ROUND(R156*T156/U156,3))</f>
        <v/>
      </c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12">
        <f>IF(A156="","",IF(OR(B156="",C156="",D156="",E156="",H156="",O156="",T156="",U156=""),"必填欄位未完整",""))</f>
        <v/>
      </c>
      <c r="AI156" s="12">
        <f>IF(A156="","",A156&amp;"|"&amp;G156)</f>
        <v/>
      </c>
      <c r="AJ156" s="12">
        <f>IF(A156="","",A156&amp;"|"&amp;H156)</f>
        <v/>
      </c>
    </row>
    <row r="157" ht="24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8" t="n"/>
      <c r="P157" s="8" t="n"/>
      <c r="Q157" s="8" t="n"/>
      <c r="R157" s="13">
        <f>IF(O157="","",SUM(O157:Q157))</f>
        <v/>
      </c>
      <c r="S157" s="9">
        <f>IF(R157="","",ROUND(R157/3.305785,3))</f>
        <v/>
      </c>
      <c r="T157" s="7" t="n"/>
      <c r="U157" s="7" t="n"/>
      <c r="V157" s="10">
        <f>IF(OR(T157="",U157="",U157=0),"",ROUND(T157/U157,6))</f>
        <v/>
      </c>
      <c r="W157" s="9">
        <f>IF(OR(R157="",T157="",U157="",U157=0),"",ROUND(R157*T157/U157,3))</f>
        <v/>
      </c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12">
        <f>IF(A157="","",IF(OR(B157="",C157="",D157="",E157="",H157="",O157="",T157="",U157=""),"必填欄位未完整",""))</f>
        <v/>
      </c>
      <c r="AI157" s="12">
        <f>IF(A157="","",A157&amp;"|"&amp;G157)</f>
        <v/>
      </c>
      <c r="AJ157" s="12">
        <f>IF(A157="","",A157&amp;"|"&amp;H157)</f>
        <v/>
      </c>
    </row>
    <row r="158" ht="24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8" t="n"/>
      <c r="P158" s="8" t="n"/>
      <c r="Q158" s="8" t="n"/>
      <c r="R158" s="13">
        <f>IF(O158="","",SUM(O158:Q158))</f>
        <v/>
      </c>
      <c r="S158" s="9">
        <f>IF(R158="","",ROUND(R158/3.305785,3))</f>
        <v/>
      </c>
      <c r="T158" s="7" t="n"/>
      <c r="U158" s="7" t="n"/>
      <c r="V158" s="10">
        <f>IF(OR(T158="",U158="",U158=0),"",ROUND(T158/U158,6))</f>
        <v/>
      </c>
      <c r="W158" s="9">
        <f>IF(OR(R158="",T158="",U158="",U158=0),"",ROUND(R158*T158/U158,3))</f>
        <v/>
      </c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12">
        <f>IF(A158="","",IF(OR(B158="",C158="",D158="",E158="",H158="",O158="",T158="",U158=""),"必填欄位未完整",""))</f>
        <v/>
      </c>
      <c r="AI158" s="12">
        <f>IF(A158="","",A158&amp;"|"&amp;G158)</f>
        <v/>
      </c>
      <c r="AJ158" s="12">
        <f>IF(A158="","",A158&amp;"|"&amp;H158)</f>
        <v/>
      </c>
    </row>
    <row r="159" ht="24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8" t="n"/>
      <c r="P159" s="8" t="n"/>
      <c r="Q159" s="8" t="n"/>
      <c r="R159" s="13">
        <f>IF(O159="","",SUM(O159:Q159))</f>
        <v/>
      </c>
      <c r="S159" s="9">
        <f>IF(R159="","",ROUND(R159/3.305785,3))</f>
        <v/>
      </c>
      <c r="T159" s="7" t="n"/>
      <c r="U159" s="7" t="n"/>
      <c r="V159" s="10">
        <f>IF(OR(T159="",U159="",U159=0),"",ROUND(T159/U159,6))</f>
        <v/>
      </c>
      <c r="W159" s="9">
        <f>IF(OR(R159="",T159="",U159="",U159=0),"",ROUND(R159*T159/U159,3))</f>
        <v/>
      </c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12">
        <f>IF(A159="","",IF(OR(B159="",C159="",D159="",E159="",H159="",O159="",T159="",U159=""),"必填欄位未完整",""))</f>
        <v/>
      </c>
      <c r="AI159" s="12">
        <f>IF(A159="","",A159&amp;"|"&amp;G159)</f>
        <v/>
      </c>
      <c r="AJ159" s="12">
        <f>IF(A159="","",A159&amp;"|"&amp;H159)</f>
        <v/>
      </c>
    </row>
    <row r="160" ht="24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8" t="n"/>
      <c r="P160" s="8" t="n"/>
      <c r="Q160" s="8" t="n"/>
      <c r="R160" s="13">
        <f>IF(O160="","",SUM(O160:Q160))</f>
        <v/>
      </c>
      <c r="S160" s="9">
        <f>IF(R160="","",ROUND(R160/3.305785,3))</f>
        <v/>
      </c>
      <c r="T160" s="7" t="n"/>
      <c r="U160" s="7" t="n"/>
      <c r="V160" s="10">
        <f>IF(OR(T160="",U160="",U160=0),"",ROUND(T160/U160,6))</f>
        <v/>
      </c>
      <c r="W160" s="9">
        <f>IF(OR(R160="",T160="",U160="",U160=0),"",ROUND(R160*T160/U160,3))</f>
        <v/>
      </c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12">
        <f>IF(A160="","",IF(OR(B160="",C160="",D160="",E160="",H160="",O160="",T160="",U160=""),"必填欄位未完整",""))</f>
        <v/>
      </c>
      <c r="AI160" s="12">
        <f>IF(A160="","",A160&amp;"|"&amp;G160)</f>
        <v/>
      </c>
      <c r="AJ160" s="12">
        <f>IF(A160="","",A160&amp;"|"&amp;H160)</f>
        <v/>
      </c>
    </row>
    <row r="161" ht="24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8" t="n"/>
      <c r="P161" s="8" t="n"/>
      <c r="Q161" s="8" t="n"/>
      <c r="R161" s="13">
        <f>IF(O161="","",SUM(O161:Q161))</f>
        <v/>
      </c>
      <c r="S161" s="9">
        <f>IF(R161="","",ROUND(R161/3.305785,3))</f>
        <v/>
      </c>
      <c r="T161" s="7" t="n"/>
      <c r="U161" s="7" t="n"/>
      <c r="V161" s="10">
        <f>IF(OR(T161="",U161="",U161=0),"",ROUND(T161/U161,6))</f>
        <v/>
      </c>
      <c r="W161" s="9">
        <f>IF(OR(R161="",T161="",U161="",U161=0),"",ROUND(R161*T161/U161,3))</f>
        <v/>
      </c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12">
        <f>IF(A161="","",IF(OR(B161="",C161="",D161="",E161="",H161="",O161="",T161="",U161=""),"必填欄位未完整",""))</f>
        <v/>
      </c>
      <c r="AI161" s="12">
        <f>IF(A161="","",A161&amp;"|"&amp;G161)</f>
        <v/>
      </c>
      <c r="AJ161" s="12">
        <f>IF(A161="","",A161&amp;"|"&amp;H161)</f>
        <v/>
      </c>
    </row>
    <row r="162" ht="24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8" t="n"/>
      <c r="P162" s="8" t="n"/>
      <c r="Q162" s="8" t="n"/>
      <c r="R162" s="13">
        <f>IF(O162="","",SUM(O162:Q162))</f>
        <v/>
      </c>
      <c r="S162" s="9">
        <f>IF(R162="","",ROUND(R162/3.305785,3))</f>
        <v/>
      </c>
      <c r="T162" s="7" t="n"/>
      <c r="U162" s="7" t="n"/>
      <c r="V162" s="10">
        <f>IF(OR(T162="",U162="",U162=0),"",ROUND(T162/U162,6))</f>
        <v/>
      </c>
      <c r="W162" s="9">
        <f>IF(OR(R162="",T162="",U162="",U162=0),"",ROUND(R162*T162/U162,3))</f>
        <v/>
      </c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12">
        <f>IF(A162="","",IF(OR(B162="",C162="",D162="",E162="",H162="",O162="",T162="",U162=""),"必填欄位未完整",""))</f>
        <v/>
      </c>
      <c r="AI162" s="12">
        <f>IF(A162="","",A162&amp;"|"&amp;G162)</f>
        <v/>
      </c>
      <c r="AJ162" s="12">
        <f>IF(A162="","",A162&amp;"|"&amp;H162)</f>
        <v/>
      </c>
    </row>
    <row r="163" ht="24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8" t="n"/>
      <c r="P163" s="8" t="n"/>
      <c r="Q163" s="8" t="n"/>
      <c r="R163" s="13">
        <f>IF(O163="","",SUM(O163:Q163))</f>
        <v/>
      </c>
      <c r="S163" s="9">
        <f>IF(R163="","",ROUND(R163/3.305785,3))</f>
        <v/>
      </c>
      <c r="T163" s="7" t="n"/>
      <c r="U163" s="7" t="n"/>
      <c r="V163" s="10">
        <f>IF(OR(T163="",U163="",U163=0),"",ROUND(T163/U163,6))</f>
        <v/>
      </c>
      <c r="W163" s="9">
        <f>IF(OR(R163="",T163="",U163="",U163=0),"",ROUND(R163*T163/U163,3))</f>
        <v/>
      </c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12">
        <f>IF(A163="","",IF(OR(B163="",C163="",D163="",E163="",H163="",O163="",T163="",U163=""),"必填欄位未完整",""))</f>
        <v/>
      </c>
      <c r="AI163" s="12">
        <f>IF(A163="","",A163&amp;"|"&amp;G163)</f>
        <v/>
      </c>
      <c r="AJ163" s="12">
        <f>IF(A163="","",A163&amp;"|"&amp;H163)</f>
        <v/>
      </c>
    </row>
    <row r="164" ht="24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8" t="n"/>
      <c r="P164" s="8" t="n"/>
      <c r="Q164" s="8" t="n"/>
      <c r="R164" s="13">
        <f>IF(O164="","",SUM(O164:Q164))</f>
        <v/>
      </c>
      <c r="S164" s="9">
        <f>IF(R164="","",ROUND(R164/3.305785,3))</f>
        <v/>
      </c>
      <c r="T164" s="7" t="n"/>
      <c r="U164" s="7" t="n"/>
      <c r="V164" s="10">
        <f>IF(OR(T164="",U164="",U164=0),"",ROUND(T164/U164,6))</f>
        <v/>
      </c>
      <c r="W164" s="9">
        <f>IF(OR(R164="",T164="",U164="",U164=0),"",ROUND(R164*T164/U164,3))</f>
        <v/>
      </c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12">
        <f>IF(A164="","",IF(OR(B164="",C164="",D164="",E164="",H164="",O164="",T164="",U164=""),"必填欄位未完整",""))</f>
        <v/>
      </c>
      <c r="AI164" s="12">
        <f>IF(A164="","",A164&amp;"|"&amp;G164)</f>
        <v/>
      </c>
      <c r="AJ164" s="12">
        <f>IF(A164="","",A164&amp;"|"&amp;H164)</f>
        <v/>
      </c>
    </row>
    <row r="165" ht="24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8" t="n"/>
      <c r="P165" s="8" t="n"/>
      <c r="Q165" s="8" t="n"/>
      <c r="R165" s="13">
        <f>IF(O165="","",SUM(O165:Q165))</f>
        <v/>
      </c>
      <c r="S165" s="9">
        <f>IF(R165="","",ROUND(R165/3.305785,3))</f>
        <v/>
      </c>
      <c r="T165" s="7" t="n"/>
      <c r="U165" s="7" t="n"/>
      <c r="V165" s="10">
        <f>IF(OR(T165="",U165="",U165=0),"",ROUND(T165/U165,6))</f>
        <v/>
      </c>
      <c r="W165" s="9">
        <f>IF(OR(R165="",T165="",U165="",U165=0),"",ROUND(R165*T165/U165,3))</f>
        <v/>
      </c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12">
        <f>IF(A165="","",IF(OR(B165="",C165="",D165="",E165="",H165="",O165="",T165="",U165=""),"必填欄位未完整",""))</f>
        <v/>
      </c>
      <c r="AI165" s="12">
        <f>IF(A165="","",A165&amp;"|"&amp;G165)</f>
        <v/>
      </c>
      <c r="AJ165" s="12">
        <f>IF(A165="","",A165&amp;"|"&amp;H165)</f>
        <v/>
      </c>
    </row>
    <row r="166" ht="24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8" t="n"/>
      <c r="P166" s="8" t="n"/>
      <c r="Q166" s="8" t="n"/>
      <c r="R166" s="13">
        <f>IF(O166="","",SUM(O166:Q166))</f>
        <v/>
      </c>
      <c r="S166" s="9">
        <f>IF(R166="","",ROUND(R166/3.305785,3))</f>
        <v/>
      </c>
      <c r="T166" s="7" t="n"/>
      <c r="U166" s="7" t="n"/>
      <c r="V166" s="10">
        <f>IF(OR(T166="",U166="",U166=0),"",ROUND(T166/U166,6))</f>
        <v/>
      </c>
      <c r="W166" s="9">
        <f>IF(OR(R166="",T166="",U166="",U166=0),"",ROUND(R166*T166/U166,3))</f>
        <v/>
      </c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12">
        <f>IF(A166="","",IF(OR(B166="",C166="",D166="",E166="",H166="",O166="",T166="",U166=""),"必填欄位未完整",""))</f>
        <v/>
      </c>
      <c r="AI166" s="12">
        <f>IF(A166="","",A166&amp;"|"&amp;G166)</f>
        <v/>
      </c>
      <c r="AJ166" s="12">
        <f>IF(A166="","",A166&amp;"|"&amp;H166)</f>
        <v/>
      </c>
    </row>
    <row r="167" ht="24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8" t="n"/>
      <c r="P167" s="8" t="n"/>
      <c r="Q167" s="8" t="n"/>
      <c r="R167" s="13">
        <f>IF(O167="","",SUM(O167:Q167))</f>
        <v/>
      </c>
      <c r="S167" s="9">
        <f>IF(R167="","",ROUND(R167/3.305785,3))</f>
        <v/>
      </c>
      <c r="T167" s="7" t="n"/>
      <c r="U167" s="7" t="n"/>
      <c r="V167" s="10">
        <f>IF(OR(T167="",U167="",U167=0),"",ROUND(T167/U167,6))</f>
        <v/>
      </c>
      <c r="W167" s="9">
        <f>IF(OR(R167="",T167="",U167="",U167=0),"",ROUND(R167*T167/U167,3))</f>
        <v/>
      </c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12">
        <f>IF(A167="","",IF(OR(B167="",C167="",D167="",E167="",H167="",O167="",T167="",U167=""),"必填欄位未完整",""))</f>
        <v/>
      </c>
      <c r="AI167" s="12">
        <f>IF(A167="","",A167&amp;"|"&amp;G167)</f>
        <v/>
      </c>
      <c r="AJ167" s="12">
        <f>IF(A167="","",A167&amp;"|"&amp;H167)</f>
        <v/>
      </c>
    </row>
    <row r="168" ht="24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8" t="n"/>
      <c r="P168" s="8" t="n"/>
      <c r="Q168" s="8" t="n"/>
      <c r="R168" s="13">
        <f>IF(O168="","",SUM(O168:Q168))</f>
        <v/>
      </c>
      <c r="S168" s="9">
        <f>IF(R168="","",ROUND(R168/3.305785,3))</f>
        <v/>
      </c>
      <c r="T168" s="7" t="n"/>
      <c r="U168" s="7" t="n"/>
      <c r="V168" s="10">
        <f>IF(OR(T168="",U168="",U168=0),"",ROUND(T168/U168,6))</f>
        <v/>
      </c>
      <c r="W168" s="9">
        <f>IF(OR(R168="",T168="",U168="",U168=0),"",ROUND(R168*T168/U168,3))</f>
        <v/>
      </c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12">
        <f>IF(A168="","",IF(OR(B168="",C168="",D168="",E168="",H168="",O168="",T168="",U168=""),"必填欄位未完整",""))</f>
        <v/>
      </c>
      <c r="AI168" s="12">
        <f>IF(A168="","",A168&amp;"|"&amp;G168)</f>
        <v/>
      </c>
      <c r="AJ168" s="12">
        <f>IF(A168="","",A168&amp;"|"&amp;H168)</f>
        <v/>
      </c>
    </row>
    <row r="169" ht="24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8" t="n"/>
      <c r="P169" s="8" t="n"/>
      <c r="Q169" s="8" t="n"/>
      <c r="R169" s="13">
        <f>IF(O169="","",SUM(O169:Q169))</f>
        <v/>
      </c>
      <c r="S169" s="9">
        <f>IF(R169="","",ROUND(R169/3.305785,3))</f>
        <v/>
      </c>
      <c r="T169" s="7" t="n"/>
      <c r="U169" s="7" t="n"/>
      <c r="V169" s="10">
        <f>IF(OR(T169="",U169="",U169=0),"",ROUND(T169/U169,6))</f>
        <v/>
      </c>
      <c r="W169" s="9">
        <f>IF(OR(R169="",T169="",U169="",U169=0),"",ROUND(R169*T169/U169,3))</f>
        <v/>
      </c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12">
        <f>IF(A169="","",IF(OR(B169="",C169="",D169="",E169="",H169="",O169="",T169="",U169=""),"必填欄位未完整",""))</f>
        <v/>
      </c>
      <c r="AI169" s="12">
        <f>IF(A169="","",A169&amp;"|"&amp;G169)</f>
        <v/>
      </c>
      <c r="AJ169" s="12">
        <f>IF(A169="","",A169&amp;"|"&amp;H169)</f>
        <v/>
      </c>
    </row>
    <row r="170" ht="24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8" t="n"/>
      <c r="P170" s="8" t="n"/>
      <c r="Q170" s="8" t="n"/>
      <c r="R170" s="13">
        <f>IF(O170="","",SUM(O170:Q170))</f>
        <v/>
      </c>
      <c r="S170" s="9">
        <f>IF(R170="","",ROUND(R170/3.305785,3))</f>
        <v/>
      </c>
      <c r="T170" s="7" t="n"/>
      <c r="U170" s="7" t="n"/>
      <c r="V170" s="10">
        <f>IF(OR(T170="",U170="",U170=0),"",ROUND(T170/U170,6))</f>
        <v/>
      </c>
      <c r="W170" s="9">
        <f>IF(OR(R170="",T170="",U170="",U170=0),"",ROUND(R170*T170/U170,3))</f>
        <v/>
      </c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12">
        <f>IF(A170="","",IF(OR(B170="",C170="",D170="",E170="",H170="",O170="",T170="",U170=""),"必填欄位未完整",""))</f>
        <v/>
      </c>
      <c r="AI170" s="12">
        <f>IF(A170="","",A170&amp;"|"&amp;G170)</f>
        <v/>
      </c>
      <c r="AJ170" s="12">
        <f>IF(A170="","",A170&amp;"|"&amp;H170)</f>
        <v/>
      </c>
    </row>
    <row r="171" ht="24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8" t="n"/>
      <c r="P171" s="8" t="n"/>
      <c r="Q171" s="8" t="n"/>
      <c r="R171" s="13">
        <f>IF(O171="","",SUM(O171:Q171))</f>
        <v/>
      </c>
      <c r="S171" s="9">
        <f>IF(R171="","",ROUND(R171/3.305785,3))</f>
        <v/>
      </c>
      <c r="T171" s="7" t="n"/>
      <c r="U171" s="7" t="n"/>
      <c r="V171" s="10">
        <f>IF(OR(T171="",U171="",U171=0),"",ROUND(T171/U171,6))</f>
        <v/>
      </c>
      <c r="W171" s="9">
        <f>IF(OR(R171="",T171="",U171="",U171=0),"",ROUND(R171*T171/U171,3))</f>
        <v/>
      </c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12">
        <f>IF(A171="","",IF(OR(B171="",C171="",D171="",E171="",H171="",O171="",T171="",U171=""),"必填欄位未完整",""))</f>
        <v/>
      </c>
      <c r="AI171" s="12">
        <f>IF(A171="","",A171&amp;"|"&amp;G171)</f>
        <v/>
      </c>
      <c r="AJ171" s="12">
        <f>IF(A171="","",A171&amp;"|"&amp;H171)</f>
        <v/>
      </c>
    </row>
    <row r="172" ht="24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8" t="n"/>
      <c r="P172" s="8" t="n"/>
      <c r="Q172" s="8" t="n"/>
      <c r="R172" s="13">
        <f>IF(O172="","",SUM(O172:Q172))</f>
        <v/>
      </c>
      <c r="S172" s="9">
        <f>IF(R172="","",ROUND(R172/3.305785,3))</f>
        <v/>
      </c>
      <c r="T172" s="7" t="n"/>
      <c r="U172" s="7" t="n"/>
      <c r="V172" s="10">
        <f>IF(OR(T172="",U172="",U172=0),"",ROUND(T172/U172,6))</f>
        <v/>
      </c>
      <c r="W172" s="9">
        <f>IF(OR(R172="",T172="",U172="",U172=0),"",ROUND(R172*T172/U172,3))</f>
        <v/>
      </c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12">
        <f>IF(A172="","",IF(OR(B172="",C172="",D172="",E172="",H172="",O172="",T172="",U172=""),"必填欄位未完整",""))</f>
        <v/>
      </c>
      <c r="AI172" s="12">
        <f>IF(A172="","",A172&amp;"|"&amp;G172)</f>
        <v/>
      </c>
      <c r="AJ172" s="12">
        <f>IF(A172="","",A172&amp;"|"&amp;H172)</f>
        <v/>
      </c>
    </row>
    <row r="173" ht="24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8" t="n"/>
      <c r="P173" s="8" t="n"/>
      <c r="Q173" s="8" t="n"/>
      <c r="R173" s="13">
        <f>IF(O173="","",SUM(O173:Q173))</f>
        <v/>
      </c>
      <c r="S173" s="9">
        <f>IF(R173="","",ROUND(R173/3.305785,3))</f>
        <v/>
      </c>
      <c r="T173" s="7" t="n"/>
      <c r="U173" s="7" t="n"/>
      <c r="V173" s="10">
        <f>IF(OR(T173="",U173="",U173=0),"",ROUND(T173/U173,6))</f>
        <v/>
      </c>
      <c r="W173" s="9">
        <f>IF(OR(R173="",T173="",U173="",U173=0),"",ROUND(R173*T173/U173,3))</f>
        <v/>
      </c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12">
        <f>IF(A173="","",IF(OR(B173="",C173="",D173="",E173="",H173="",O173="",T173="",U173=""),"必填欄位未完整",""))</f>
        <v/>
      </c>
      <c r="AI173" s="12">
        <f>IF(A173="","",A173&amp;"|"&amp;G173)</f>
        <v/>
      </c>
      <c r="AJ173" s="12">
        <f>IF(A173="","",A173&amp;"|"&amp;H173)</f>
        <v/>
      </c>
    </row>
    <row r="174" ht="24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8" t="n"/>
      <c r="P174" s="8" t="n"/>
      <c r="Q174" s="8" t="n"/>
      <c r="R174" s="13">
        <f>IF(O174="","",SUM(O174:Q174))</f>
        <v/>
      </c>
      <c r="S174" s="9">
        <f>IF(R174="","",ROUND(R174/3.305785,3))</f>
        <v/>
      </c>
      <c r="T174" s="7" t="n"/>
      <c r="U174" s="7" t="n"/>
      <c r="V174" s="10">
        <f>IF(OR(T174="",U174="",U174=0),"",ROUND(T174/U174,6))</f>
        <v/>
      </c>
      <c r="W174" s="9">
        <f>IF(OR(R174="",T174="",U174="",U174=0),"",ROUND(R174*T174/U174,3))</f>
        <v/>
      </c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12">
        <f>IF(A174="","",IF(OR(B174="",C174="",D174="",E174="",H174="",O174="",T174="",U174=""),"必填欄位未完整",""))</f>
        <v/>
      </c>
      <c r="AI174" s="12">
        <f>IF(A174="","",A174&amp;"|"&amp;G174)</f>
        <v/>
      </c>
      <c r="AJ174" s="12">
        <f>IF(A174="","",A174&amp;"|"&amp;H174)</f>
        <v/>
      </c>
    </row>
    <row r="175" ht="24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8" t="n"/>
      <c r="P175" s="8" t="n"/>
      <c r="Q175" s="8" t="n"/>
      <c r="R175" s="13">
        <f>IF(O175="","",SUM(O175:Q175))</f>
        <v/>
      </c>
      <c r="S175" s="9">
        <f>IF(R175="","",ROUND(R175/3.305785,3))</f>
        <v/>
      </c>
      <c r="T175" s="7" t="n"/>
      <c r="U175" s="7" t="n"/>
      <c r="V175" s="10">
        <f>IF(OR(T175="",U175="",U175=0),"",ROUND(T175/U175,6))</f>
        <v/>
      </c>
      <c r="W175" s="9">
        <f>IF(OR(R175="",T175="",U175="",U175=0),"",ROUND(R175*T175/U175,3))</f>
        <v/>
      </c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12">
        <f>IF(A175="","",IF(OR(B175="",C175="",D175="",E175="",H175="",O175="",T175="",U175=""),"必填欄位未完整",""))</f>
        <v/>
      </c>
      <c r="AI175" s="12">
        <f>IF(A175="","",A175&amp;"|"&amp;G175)</f>
        <v/>
      </c>
      <c r="AJ175" s="12">
        <f>IF(A175="","",A175&amp;"|"&amp;H175)</f>
        <v/>
      </c>
    </row>
    <row r="176" ht="24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8" t="n"/>
      <c r="P176" s="8" t="n"/>
      <c r="Q176" s="8" t="n"/>
      <c r="R176" s="13">
        <f>IF(O176="","",SUM(O176:Q176))</f>
        <v/>
      </c>
      <c r="S176" s="9">
        <f>IF(R176="","",ROUND(R176/3.305785,3))</f>
        <v/>
      </c>
      <c r="T176" s="7" t="n"/>
      <c r="U176" s="7" t="n"/>
      <c r="V176" s="10">
        <f>IF(OR(T176="",U176="",U176=0),"",ROUND(T176/U176,6))</f>
        <v/>
      </c>
      <c r="W176" s="9">
        <f>IF(OR(R176="",T176="",U176="",U176=0),"",ROUND(R176*T176/U176,3))</f>
        <v/>
      </c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12">
        <f>IF(A176="","",IF(OR(B176="",C176="",D176="",E176="",H176="",O176="",T176="",U176=""),"必填欄位未完整",""))</f>
        <v/>
      </c>
      <c r="AI176" s="12">
        <f>IF(A176="","",A176&amp;"|"&amp;G176)</f>
        <v/>
      </c>
      <c r="AJ176" s="12">
        <f>IF(A176="","",A176&amp;"|"&amp;H176)</f>
        <v/>
      </c>
    </row>
    <row r="177" ht="24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8" t="n"/>
      <c r="P177" s="8" t="n"/>
      <c r="Q177" s="8" t="n"/>
      <c r="R177" s="13">
        <f>IF(O177="","",SUM(O177:Q177))</f>
        <v/>
      </c>
      <c r="S177" s="9">
        <f>IF(R177="","",ROUND(R177/3.305785,3))</f>
        <v/>
      </c>
      <c r="T177" s="7" t="n"/>
      <c r="U177" s="7" t="n"/>
      <c r="V177" s="10">
        <f>IF(OR(T177="",U177="",U177=0),"",ROUND(T177/U177,6))</f>
        <v/>
      </c>
      <c r="W177" s="9">
        <f>IF(OR(R177="",T177="",U177="",U177=0),"",ROUND(R177*T177/U177,3))</f>
        <v/>
      </c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12">
        <f>IF(A177="","",IF(OR(B177="",C177="",D177="",E177="",H177="",O177="",T177="",U177=""),"必填欄位未完整",""))</f>
        <v/>
      </c>
      <c r="AI177" s="12">
        <f>IF(A177="","",A177&amp;"|"&amp;G177)</f>
        <v/>
      </c>
      <c r="AJ177" s="12">
        <f>IF(A177="","",A177&amp;"|"&amp;H177)</f>
        <v/>
      </c>
    </row>
    <row r="178" ht="24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8" t="n"/>
      <c r="P178" s="8" t="n"/>
      <c r="Q178" s="8" t="n"/>
      <c r="R178" s="13">
        <f>IF(O178="","",SUM(O178:Q178))</f>
        <v/>
      </c>
      <c r="S178" s="9">
        <f>IF(R178="","",ROUND(R178/3.305785,3))</f>
        <v/>
      </c>
      <c r="T178" s="7" t="n"/>
      <c r="U178" s="7" t="n"/>
      <c r="V178" s="10">
        <f>IF(OR(T178="",U178="",U178=0),"",ROUND(T178/U178,6))</f>
        <v/>
      </c>
      <c r="W178" s="9">
        <f>IF(OR(R178="",T178="",U178="",U178=0),"",ROUND(R178*T178/U178,3))</f>
        <v/>
      </c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12">
        <f>IF(A178="","",IF(OR(B178="",C178="",D178="",E178="",H178="",O178="",T178="",U178=""),"必填欄位未完整",""))</f>
        <v/>
      </c>
      <c r="AI178" s="12">
        <f>IF(A178="","",A178&amp;"|"&amp;G178)</f>
        <v/>
      </c>
      <c r="AJ178" s="12">
        <f>IF(A178="","",A178&amp;"|"&amp;H178)</f>
        <v/>
      </c>
    </row>
    <row r="179" ht="24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8" t="n"/>
      <c r="P179" s="8" t="n"/>
      <c r="Q179" s="8" t="n"/>
      <c r="R179" s="13">
        <f>IF(O179="","",SUM(O179:Q179))</f>
        <v/>
      </c>
      <c r="S179" s="9">
        <f>IF(R179="","",ROUND(R179/3.305785,3))</f>
        <v/>
      </c>
      <c r="T179" s="7" t="n"/>
      <c r="U179" s="7" t="n"/>
      <c r="V179" s="10">
        <f>IF(OR(T179="",U179="",U179=0),"",ROUND(T179/U179,6))</f>
        <v/>
      </c>
      <c r="W179" s="9">
        <f>IF(OR(R179="",T179="",U179="",U179=0),"",ROUND(R179*T179/U179,3))</f>
        <v/>
      </c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12">
        <f>IF(A179="","",IF(OR(B179="",C179="",D179="",E179="",H179="",O179="",T179="",U179=""),"必填欄位未完整",""))</f>
        <v/>
      </c>
      <c r="AI179" s="12">
        <f>IF(A179="","",A179&amp;"|"&amp;G179)</f>
        <v/>
      </c>
      <c r="AJ179" s="12">
        <f>IF(A179="","",A179&amp;"|"&amp;H179)</f>
        <v/>
      </c>
    </row>
    <row r="180" ht="24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8" t="n"/>
      <c r="P180" s="8" t="n"/>
      <c r="Q180" s="8" t="n"/>
      <c r="R180" s="13">
        <f>IF(O180="","",SUM(O180:Q180))</f>
        <v/>
      </c>
      <c r="S180" s="9">
        <f>IF(R180="","",ROUND(R180/3.305785,3))</f>
        <v/>
      </c>
      <c r="T180" s="7" t="n"/>
      <c r="U180" s="7" t="n"/>
      <c r="V180" s="10">
        <f>IF(OR(T180="",U180="",U180=0),"",ROUND(T180/U180,6))</f>
        <v/>
      </c>
      <c r="W180" s="9">
        <f>IF(OR(R180="",T180="",U180="",U180=0),"",ROUND(R180*T180/U180,3))</f>
        <v/>
      </c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12">
        <f>IF(A180="","",IF(OR(B180="",C180="",D180="",E180="",H180="",O180="",T180="",U180=""),"必填欄位未完整",""))</f>
        <v/>
      </c>
      <c r="AI180" s="12">
        <f>IF(A180="","",A180&amp;"|"&amp;G180)</f>
        <v/>
      </c>
      <c r="AJ180" s="12">
        <f>IF(A180="","",A180&amp;"|"&amp;H180)</f>
        <v/>
      </c>
    </row>
    <row r="181" ht="24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8" t="n"/>
      <c r="P181" s="8" t="n"/>
      <c r="Q181" s="8" t="n"/>
      <c r="R181" s="13">
        <f>IF(O181="","",SUM(O181:Q181))</f>
        <v/>
      </c>
      <c r="S181" s="9">
        <f>IF(R181="","",ROUND(R181/3.305785,3))</f>
        <v/>
      </c>
      <c r="T181" s="7" t="n"/>
      <c r="U181" s="7" t="n"/>
      <c r="V181" s="10">
        <f>IF(OR(T181="",U181="",U181=0),"",ROUND(T181/U181,6))</f>
        <v/>
      </c>
      <c r="W181" s="9">
        <f>IF(OR(R181="",T181="",U181="",U181=0),"",ROUND(R181*T181/U181,3))</f>
        <v/>
      </c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12">
        <f>IF(A181="","",IF(OR(B181="",C181="",D181="",E181="",H181="",O181="",T181="",U181=""),"必填欄位未完整",""))</f>
        <v/>
      </c>
      <c r="AI181" s="12">
        <f>IF(A181="","",A181&amp;"|"&amp;G181)</f>
        <v/>
      </c>
      <c r="AJ181" s="12">
        <f>IF(A181="","",A181&amp;"|"&amp;H181)</f>
        <v/>
      </c>
    </row>
    <row r="182" ht="24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8" t="n"/>
      <c r="P182" s="8" t="n"/>
      <c r="Q182" s="8" t="n"/>
      <c r="R182" s="13">
        <f>IF(O182="","",SUM(O182:Q182))</f>
        <v/>
      </c>
      <c r="S182" s="9">
        <f>IF(R182="","",ROUND(R182/3.305785,3))</f>
        <v/>
      </c>
      <c r="T182" s="7" t="n"/>
      <c r="U182" s="7" t="n"/>
      <c r="V182" s="10">
        <f>IF(OR(T182="",U182="",U182=0),"",ROUND(T182/U182,6))</f>
        <v/>
      </c>
      <c r="W182" s="9">
        <f>IF(OR(R182="",T182="",U182="",U182=0),"",ROUND(R182*T182/U182,3))</f>
        <v/>
      </c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12">
        <f>IF(A182="","",IF(OR(B182="",C182="",D182="",E182="",H182="",O182="",T182="",U182=""),"必填欄位未完整",""))</f>
        <v/>
      </c>
      <c r="AI182" s="12">
        <f>IF(A182="","",A182&amp;"|"&amp;G182)</f>
        <v/>
      </c>
      <c r="AJ182" s="12">
        <f>IF(A182="","",A182&amp;"|"&amp;H182)</f>
        <v/>
      </c>
    </row>
    <row r="183" ht="24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8" t="n"/>
      <c r="P183" s="8" t="n"/>
      <c r="Q183" s="8" t="n"/>
      <c r="R183" s="13">
        <f>IF(O183="","",SUM(O183:Q183))</f>
        <v/>
      </c>
      <c r="S183" s="9">
        <f>IF(R183="","",ROUND(R183/3.305785,3))</f>
        <v/>
      </c>
      <c r="T183" s="7" t="n"/>
      <c r="U183" s="7" t="n"/>
      <c r="V183" s="10">
        <f>IF(OR(T183="",U183="",U183=0),"",ROUND(T183/U183,6))</f>
        <v/>
      </c>
      <c r="W183" s="9">
        <f>IF(OR(R183="",T183="",U183="",U183=0),"",ROUND(R183*T183/U183,3))</f>
        <v/>
      </c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12">
        <f>IF(A183="","",IF(OR(B183="",C183="",D183="",E183="",H183="",O183="",T183="",U183=""),"必填欄位未完整",""))</f>
        <v/>
      </c>
      <c r="AI183" s="12">
        <f>IF(A183="","",A183&amp;"|"&amp;G183)</f>
        <v/>
      </c>
      <c r="AJ183" s="12">
        <f>IF(A183="","",A183&amp;"|"&amp;H183)</f>
        <v/>
      </c>
    </row>
    <row r="184" ht="24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8" t="n"/>
      <c r="P184" s="8" t="n"/>
      <c r="Q184" s="8" t="n"/>
      <c r="R184" s="13">
        <f>IF(O184="","",SUM(O184:Q184))</f>
        <v/>
      </c>
      <c r="S184" s="9">
        <f>IF(R184="","",ROUND(R184/3.305785,3))</f>
        <v/>
      </c>
      <c r="T184" s="7" t="n"/>
      <c r="U184" s="7" t="n"/>
      <c r="V184" s="10">
        <f>IF(OR(T184="",U184="",U184=0),"",ROUND(T184/U184,6))</f>
        <v/>
      </c>
      <c r="W184" s="9">
        <f>IF(OR(R184="",T184="",U184="",U184=0),"",ROUND(R184*T184/U184,3))</f>
        <v/>
      </c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12">
        <f>IF(A184="","",IF(OR(B184="",C184="",D184="",E184="",H184="",O184="",T184="",U184=""),"必填欄位未完整",""))</f>
        <v/>
      </c>
      <c r="AI184" s="12">
        <f>IF(A184="","",A184&amp;"|"&amp;G184)</f>
        <v/>
      </c>
      <c r="AJ184" s="12">
        <f>IF(A184="","",A184&amp;"|"&amp;H184)</f>
        <v/>
      </c>
    </row>
    <row r="185" ht="24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8" t="n"/>
      <c r="P185" s="8" t="n"/>
      <c r="Q185" s="8" t="n"/>
      <c r="R185" s="13">
        <f>IF(O185="","",SUM(O185:Q185))</f>
        <v/>
      </c>
      <c r="S185" s="9">
        <f>IF(R185="","",ROUND(R185/3.305785,3))</f>
        <v/>
      </c>
      <c r="T185" s="7" t="n"/>
      <c r="U185" s="7" t="n"/>
      <c r="V185" s="10">
        <f>IF(OR(T185="",U185="",U185=0),"",ROUND(T185/U185,6))</f>
        <v/>
      </c>
      <c r="W185" s="9">
        <f>IF(OR(R185="",T185="",U185="",U185=0),"",ROUND(R185*T185/U185,3))</f>
        <v/>
      </c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12">
        <f>IF(A185="","",IF(OR(B185="",C185="",D185="",E185="",H185="",O185="",T185="",U185=""),"必填欄位未完整",""))</f>
        <v/>
      </c>
      <c r="AI185" s="12">
        <f>IF(A185="","",A185&amp;"|"&amp;G185)</f>
        <v/>
      </c>
      <c r="AJ185" s="12">
        <f>IF(A185="","",A185&amp;"|"&amp;H185)</f>
        <v/>
      </c>
    </row>
    <row r="186" ht="24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8" t="n"/>
      <c r="P186" s="8" t="n"/>
      <c r="Q186" s="8" t="n"/>
      <c r="R186" s="13">
        <f>IF(O186="","",SUM(O186:Q186))</f>
        <v/>
      </c>
      <c r="S186" s="9">
        <f>IF(R186="","",ROUND(R186/3.305785,3))</f>
        <v/>
      </c>
      <c r="T186" s="7" t="n"/>
      <c r="U186" s="7" t="n"/>
      <c r="V186" s="10">
        <f>IF(OR(T186="",U186="",U186=0),"",ROUND(T186/U186,6))</f>
        <v/>
      </c>
      <c r="W186" s="9">
        <f>IF(OR(R186="",T186="",U186="",U186=0),"",ROUND(R186*T186/U186,3))</f>
        <v/>
      </c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12">
        <f>IF(A186="","",IF(OR(B186="",C186="",D186="",E186="",H186="",O186="",T186="",U186=""),"必填欄位未完整",""))</f>
        <v/>
      </c>
      <c r="AI186" s="12">
        <f>IF(A186="","",A186&amp;"|"&amp;G186)</f>
        <v/>
      </c>
      <c r="AJ186" s="12">
        <f>IF(A186="","",A186&amp;"|"&amp;H186)</f>
        <v/>
      </c>
    </row>
    <row r="187" ht="24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8" t="n"/>
      <c r="P187" s="8" t="n"/>
      <c r="Q187" s="8" t="n"/>
      <c r="R187" s="13">
        <f>IF(O187="","",SUM(O187:Q187))</f>
        <v/>
      </c>
      <c r="S187" s="9">
        <f>IF(R187="","",ROUND(R187/3.305785,3))</f>
        <v/>
      </c>
      <c r="T187" s="7" t="n"/>
      <c r="U187" s="7" t="n"/>
      <c r="V187" s="10">
        <f>IF(OR(T187="",U187="",U187=0),"",ROUND(T187/U187,6))</f>
        <v/>
      </c>
      <c r="W187" s="9">
        <f>IF(OR(R187="",T187="",U187="",U187=0),"",ROUND(R187*T187/U187,3))</f>
        <v/>
      </c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12">
        <f>IF(A187="","",IF(OR(B187="",C187="",D187="",E187="",H187="",O187="",T187="",U187=""),"必填欄位未完整",""))</f>
        <v/>
      </c>
      <c r="AI187" s="12">
        <f>IF(A187="","",A187&amp;"|"&amp;G187)</f>
        <v/>
      </c>
      <c r="AJ187" s="12">
        <f>IF(A187="","",A187&amp;"|"&amp;H187)</f>
        <v/>
      </c>
    </row>
    <row r="188" ht="24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8" t="n"/>
      <c r="P188" s="8" t="n"/>
      <c r="Q188" s="8" t="n"/>
      <c r="R188" s="13">
        <f>IF(O188="","",SUM(O188:Q188))</f>
        <v/>
      </c>
      <c r="S188" s="9">
        <f>IF(R188="","",ROUND(R188/3.305785,3))</f>
        <v/>
      </c>
      <c r="T188" s="7" t="n"/>
      <c r="U188" s="7" t="n"/>
      <c r="V188" s="10">
        <f>IF(OR(T188="",U188="",U188=0),"",ROUND(T188/U188,6))</f>
        <v/>
      </c>
      <c r="W188" s="9">
        <f>IF(OR(R188="",T188="",U188="",U188=0),"",ROUND(R188*T188/U188,3))</f>
        <v/>
      </c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12">
        <f>IF(A188="","",IF(OR(B188="",C188="",D188="",E188="",H188="",O188="",T188="",U188=""),"必填欄位未完整",""))</f>
        <v/>
      </c>
      <c r="AI188" s="12">
        <f>IF(A188="","",A188&amp;"|"&amp;G188)</f>
        <v/>
      </c>
      <c r="AJ188" s="12">
        <f>IF(A188="","",A188&amp;"|"&amp;H188)</f>
        <v/>
      </c>
    </row>
    <row r="189" ht="24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8" t="n"/>
      <c r="P189" s="8" t="n"/>
      <c r="Q189" s="8" t="n"/>
      <c r="R189" s="13">
        <f>IF(O189="","",SUM(O189:Q189))</f>
        <v/>
      </c>
      <c r="S189" s="9">
        <f>IF(R189="","",ROUND(R189/3.305785,3))</f>
        <v/>
      </c>
      <c r="T189" s="7" t="n"/>
      <c r="U189" s="7" t="n"/>
      <c r="V189" s="10">
        <f>IF(OR(T189="",U189="",U189=0),"",ROUND(T189/U189,6))</f>
        <v/>
      </c>
      <c r="W189" s="9">
        <f>IF(OR(R189="",T189="",U189="",U189=0),"",ROUND(R189*T189/U189,3))</f>
        <v/>
      </c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12">
        <f>IF(A189="","",IF(OR(B189="",C189="",D189="",E189="",H189="",O189="",T189="",U189=""),"必填欄位未完整",""))</f>
        <v/>
      </c>
      <c r="AI189" s="12">
        <f>IF(A189="","",A189&amp;"|"&amp;G189)</f>
        <v/>
      </c>
      <c r="AJ189" s="12">
        <f>IF(A189="","",A189&amp;"|"&amp;H189)</f>
        <v/>
      </c>
    </row>
    <row r="190" ht="24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8" t="n"/>
      <c r="P190" s="8" t="n"/>
      <c r="Q190" s="8" t="n"/>
      <c r="R190" s="13">
        <f>IF(O190="","",SUM(O190:Q190))</f>
        <v/>
      </c>
      <c r="S190" s="9">
        <f>IF(R190="","",ROUND(R190/3.305785,3))</f>
        <v/>
      </c>
      <c r="T190" s="7" t="n"/>
      <c r="U190" s="7" t="n"/>
      <c r="V190" s="10">
        <f>IF(OR(T190="",U190="",U190=0),"",ROUND(T190/U190,6))</f>
        <v/>
      </c>
      <c r="W190" s="9">
        <f>IF(OR(R190="",T190="",U190="",U190=0),"",ROUND(R190*T190/U190,3))</f>
        <v/>
      </c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12">
        <f>IF(A190="","",IF(OR(B190="",C190="",D190="",E190="",H190="",O190="",T190="",U190=""),"必填欄位未完整",""))</f>
        <v/>
      </c>
      <c r="AI190" s="12">
        <f>IF(A190="","",A190&amp;"|"&amp;G190)</f>
        <v/>
      </c>
      <c r="AJ190" s="12">
        <f>IF(A190="","",A190&amp;"|"&amp;H190)</f>
        <v/>
      </c>
    </row>
    <row r="191" ht="24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8" t="n"/>
      <c r="P191" s="8" t="n"/>
      <c r="Q191" s="8" t="n"/>
      <c r="R191" s="13">
        <f>IF(O191="","",SUM(O191:Q191))</f>
        <v/>
      </c>
      <c r="S191" s="9">
        <f>IF(R191="","",ROUND(R191/3.305785,3))</f>
        <v/>
      </c>
      <c r="T191" s="7" t="n"/>
      <c r="U191" s="7" t="n"/>
      <c r="V191" s="10">
        <f>IF(OR(T191="",U191="",U191=0),"",ROUND(T191/U191,6))</f>
        <v/>
      </c>
      <c r="W191" s="9">
        <f>IF(OR(R191="",T191="",U191="",U191=0),"",ROUND(R191*T191/U191,3))</f>
        <v/>
      </c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12">
        <f>IF(A191="","",IF(OR(B191="",C191="",D191="",E191="",H191="",O191="",T191="",U191=""),"必填欄位未完整",""))</f>
        <v/>
      </c>
      <c r="AI191" s="12">
        <f>IF(A191="","",A191&amp;"|"&amp;G191)</f>
        <v/>
      </c>
      <c r="AJ191" s="12">
        <f>IF(A191="","",A191&amp;"|"&amp;H191)</f>
        <v/>
      </c>
    </row>
    <row r="192" ht="24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8" t="n"/>
      <c r="P192" s="8" t="n"/>
      <c r="Q192" s="8" t="n"/>
      <c r="R192" s="13">
        <f>IF(O192="","",SUM(O192:Q192))</f>
        <v/>
      </c>
      <c r="S192" s="9">
        <f>IF(R192="","",ROUND(R192/3.305785,3))</f>
        <v/>
      </c>
      <c r="T192" s="7" t="n"/>
      <c r="U192" s="7" t="n"/>
      <c r="V192" s="10">
        <f>IF(OR(T192="",U192="",U192=0),"",ROUND(T192/U192,6))</f>
        <v/>
      </c>
      <c r="W192" s="9">
        <f>IF(OR(R192="",T192="",U192="",U192=0),"",ROUND(R192*T192/U192,3))</f>
        <v/>
      </c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12">
        <f>IF(A192="","",IF(OR(B192="",C192="",D192="",E192="",H192="",O192="",T192="",U192=""),"必填欄位未完整",""))</f>
        <v/>
      </c>
      <c r="AI192" s="12">
        <f>IF(A192="","",A192&amp;"|"&amp;G192)</f>
        <v/>
      </c>
      <c r="AJ192" s="12">
        <f>IF(A192="","",A192&amp;"|"&amp;H192)</f>
        <v/>
      </c>
    </row>
    <row r="193" ht="24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8" t="n"/>
      <c r="P193" s="8" t="n"/>
      <c r="Q193" s="8" t="n"/>
      <c r="R193" s="13">
        <f>IF(O193="","",SUM(O193:Q193))</f>
        <v/>
      </c>
      <c r="S193" s="9">
        <f>IF(R193="","",ROUND(R193/3.305785,3))</f>
        <v/>
      </c>
      <c r="T193" s="7" t="n"/>
      <c r="U193" s="7" t="n"/>
      <c r="V193" s="10">
        <f>IF(OR(T193="",U193="",U193=0),"",ROUND(T193/U193,6))</f>
        <v/>
      </c>
      <c r="W193" s="9">
        <f>IF(OR(R193="",T193="",U193="",U193=0),"",ROUND(R193*T193/U193,3))</f>
        <v/>
      </c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12">
        <f>IF(A193="","",IF(OR(B193="",C193="",D193="",E193="",H193="",O193="",T193="",U193=""),"必填欄位未完整",""))</f>
        <v/>
      </c>
      <c r="AI193" s="12">
        <f>IF(A193="","",A193&amp;"|"&amp;G193)</f>
        <v/>
      </c>
      <c r="AJ193" s="12">
        <f>IF(A193="","",A193&amp;"|"&amp;H193)</f>
        <v/>
      </c>
    </row>
    <row r="194" ht="24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8" t="n"/>
      <c r="P194" s="8" t="n"/>
      <c r="Q194" s="8" t="n"/>
      <c r="R194" s="13">
        <f>IF(O194="","",SUM(O194:Q194))</f>
        <v/>
      </c>
      <c r="S194" s="9">
        <f>IF(R194="","",ROUND(R194/3.305785,3))</f>
        <v/>
      </c>
      <c r="T194" s="7" t="n"/>
      <c r="U194" s="7" t="n"/>
      <c r="V194" s="10">
        <f>IF(OR(T194="",U194="",U194=0),"",ROUND(T194/U194,6))</f>
        <v/>
      </c>
      <c r="W194" s="9">
        <f>IF(OR(R194="",T194="",U194="",U194=0),"",ROUND(R194*T194/U194,3))</f>
        <v/>
      </c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12">
        <f>IF(A194="","",IF(OR(B194="",C194="",D194="",E194="",H194="",O194="",T194="",U194=""),"必填欄位未完整",""))</f>
        <v/>
      </c>
      <c r="AI194" s="12">
        <f>IF(A194="","",A194&amp;"|"&amp;G194)</f>
        <v/>
      </c>
      <c r="AJ194" s="12">
        <f>IF(A194="","",A194&amp;"|"&amp;H194)</f>
        <v/>
      </c>
    </row>
    <row r="195" ht="24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8" t="n"/>
      <c r="P195" s="8" t="n"/>
      <c r="Q195" s="8" t="n"/>
      <c r="R195" s="13">
        <f>IF(O195="","",SUM(O195:Q195))</f>
        <v/>
      </c>
      <c r="S195" s="9">
        <f>IF(R195="","",ROUND(R195/3.305785,3))</f>
        <v/>
      </c>
      <c r="T195" s="7" t="n"/>
      <c r="U195" s="7" t="n"/>
      <c r="V195" s="10">
        <f>IF(OR(T195="",U195="",U195=0),"",ROUND(T195/U195,6))</f>
        <v/>
      </c>
      <c r="W195" s="9">
        <f>IF(OR(R195="",T195="",U195="",U195=0),"",ROUND(R195*T195/U195,3))</f>
        <v/>
      </c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12">
        <f>IF(A195="","",IF(OR(B195="",C195="",D195="",E195="",H195="",O195="",T195="",U195=""),"必填欄位未完整",""))</f>
        <v/>
      </c>
      <c r="AI195" s="12">
        <f>IF(A195="","",A195&amp;"|"&amp;G195)</f>
        <v/>
      </c>
      <c r="AJ195" s="12">
        <f>IF(A195="","",A195&amp;"|"&amp;H195)</f>
        <v/>
      </c>
    </row>
    <row r="196" ht="24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8" t="n"/>
      <c r="P196" s="8" t="n"/>
      <c r="Q196" s="8" t="n"/>
      <c r="R196" s="13">
        <f>IF(O196="","",SUM(O196:Q196))</f>
        <v/>
      </c>
      <c r="S196" s="9">
        <f>IF(R196="","",ROUND(R196/3.305785,3))</f>
        <v/>
      </c>
      <c r="T196" s="7" t="n"/>
      <c r="U196" s="7" t="n"/>
      <c r="V196" s="10">
        <f>IF(OR(T196="",U196="",U196=0),"",ROUND(T196/U196,6))</f>
        <v/>
      </c>
      <c r="W196" s="9">
        <f>IF(OR(R196="",T196="",U196="",U196=0),"",ROUND(R196*T196/U196,3))</f>
        <v/>
      </c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12">
        <f>IF(A196="","",IF(OR(B196="",C196="",D196="",E196="",H196="",O196="",T196="",U196=""),"必填欄位未完整",""))</f>
        <v/>
      </c>
      <c r="AI196" s="12">
        <f>IF(A196="","",A196&amp;"|"&amp;G196)</f>
        <v/>
      </c>
      <c r="AJ196" s="12">
        <f>IF(A196="","",A196&amp;"|"&amp;H196)</f>
        <v/>
      </c>
    </row>
    <row r="197" ht="24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8" t="n"/>
      <c r="P197" s="8" t="n"/>
      <c r="Q197" s="8" t="n"/>
      <c r="R197" s="13">
        <f>IF(O197="","",SUM(O197:Q197))</f>
        <v/>
      </c>
      <c r="S197" s="9">
        <f>IF(R197="","",ROUND(R197/3.305785,3))</f>
        <v/>
      </c>
      <c r="T197" s="7" t="n"/>
      <c r="U197" s="7" t="n"/>
      <c r="V197" s="10">
        <f>IF(OR(T197="",U197="",U197=0),"",ROUND(T197/U197,6))</f>
        <v/>
      </c>
      <c r="W197" s="9">
        <f>IF(OR(R197="",T197="",U197="",U197=0),"",ROUND(R197*T197/U197,3))</f>
        <v/>
      </c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12">
        <f>IF(A197="","",IF(OR(B197="",C197="",D197="",E197="",H197="",O197="",T197="",U197=""),"必填欄位未完整",""))</f>
        <v/>
      </c>
      <c r="AI197" s="12">
        <f>IF(A197="","",A197&amp;"|"&amp;G197)</f>
        <v/>
      </c>
      <c r="AJ197" s="12">
        <f>IF(A197="","",A197&amp;"|"&amp;H197)</f>
        <v/>
      </c>
    </row>
    <row r="198" ht="24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8" t="n"/>
      <c r="P198" s="8" t="n"/>
      <c r="Q198" s="8" t="n"/>
      <c r="R198" s="13">
        <f>IF(O198="","",SUM(O198:Q198))</f>
        <v/>
      </c>
      <c r="S198" s="9">
        <f>IF(R198="","",ROUND(R198/3.305785,3))</f>
        <v/>
      </c>
      <c r="T198" s="7" t="n"/>
      <c r="U198" s="7" t="n"/>
      <c r="V198" s="10">
        <f>IF(OR(T198="",U198="",U198=0),"",ROUND(T198/U198,6))</f>
        <v/>
      </c>
      <c r="W198" s="9">
        <f>IF(OR(R198="",T198="",U198="",U198=0),"",ROUND(R198*T198/U198,3))</f>
        <v/>
      </c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12">
        <f>IF(A198="","",IF(OR(B198="",C198="",D198="",E198="",H198="",O198="",T198="",U198=""),"必填欄位未完整",""))</f>
        <v/>
      </c>
      <c r="AI198" s="12">
        <f>IF(A198="","",A198&amp;"|"&amp;G198)</f>
        <v/>
      </c>
      <c r="AJ198" s="12">
        <f>IF(A198="","",A198&amp;"|"&amp;H198)</f>
        <v/>
      </c>
    </row>
    <row r="199" ht="24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8" t="n"/>
      <c r="P199" s="8" t="n"/>
      <c r="Q199" s="8" t="n"/>
      <c r="R199" s="13">
        <f>IF(O199="","",SUM(O199:Q199))</f>
        <v/>
      </c>
      <c r="S199" s="9">
        <f>IF(R199="","",ROUND(R199/3.305785,3))</f>
        <v/>
      </c>
      <c r="T199" s="7" t="n"/>
      <c r="U199" s="7" t="n"/>
      <c r="V199" s="10">
        <f>IF(OR(T199="",U199="",U199=0),"",ROUND(T199/U199,6))</f>
        <v/>
      </c>
      <c r="W199" s="9">
        <f>IF(OR(R199="",T199="",U199="",U199=0),"",ROUND(R199*T199/U199,3))</f>
        <v/>
      </c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12">
        <f>IF(A199="","",IF(OR(B199="",C199="",D199="",E199="",H199="",O199="",T199="",U199=""),"必填欄位未完整",""))</f>
        <v/>
      </c>
      <c r="AI199" s="12">
        <f>IF(A199="","",A199&amp;"|"&amp;G199)</f>
        <v/>
      </c>
      <c r="AJ199" s="12">
        <f>IF(A199="","",A199&amp;"|"&amp;H199)</f>
        <v/>
      </c>
    </row>
    <row r="200" ht="24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8" t="n"/>
      <c r="P200" s="8" t="n"/>
      <c r="Q200" s="8" t="n"/>
      <c r="R200" s="13">
        <f>IF(O200="","",SUM(O200:Q200))</f>
        <v/>
      </c>
      <c r="S200" s="9">
        <f>IF(R200="","",ROUND(R200/3.305785,3))</f>
        <v/>
      </c>
      <c r="T200" s="7" t="n"/>
      <c r="U200" s="7" t="n"/>
      <c r="V200" s="10">
        <f>IF(OR(T200="",U200="",U200=0),"",ROUND(T200/U200,6))</f>
        <v/>
      </c>
      <c r="W200" s="9">
        <f>IF(OR(R200="",T200="",U200="",U200=0),"",ROUND(R200*T200/U200,3))</f>
        <v/>
      </c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12">
        <f>IF(A200="","",IF(OR(B200="",C200="",D200="",E200="",H200="",O200="",T200="",U200=""),"必填欄位未完整",""))</f>
        <v/>
      </c>
      <c r="AI200" s="12">
        <f>IF(A200="","",A200&amp;"|"&amp;G200)</f>
        <v/>
      </c>
      <c r="AJ200" s="12">
        <f>IF(A200="","",A200&amp;"|"&amp;H200)</f>
        <v/>
      </c>
    </row>
    <row r="201" ht="24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8" t="n"/>
      <c r="P201" s="8" t="n"/>
      <c r="Q201" s="8" t="n"/>
      <c r="R201" s="13">
        <f>IF(O201="","",SUM(O201:Q201))</f>
        <v/>
      </c>
      <c r="S201" s="9">
        <f>IF(R201="","",ROUND(R201/3.305785,3))</f>
        <v/>
      </c>
      <c r="T201" s="7" t="n"/>
      <c r="U201" s="7" t="n"/>
      <c r="V201" s="10">
        <f>IF(OR(T201="",U201="",U201=0),"",ROUND(T201/U201,6))</f>
        <v/>
      </c>
      <c r="W201" s="9">
        <f>IF(OR(R201="",T201="",U201="",U201=0),"",ROUND(R201*T201/U201,3))</f>
        <v/>
      </c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12">
        <f>IF(A201="","",IF(OR(B201="",C201="",D201="",E201="",H201="",O201="",T201="",U201=""),"必填欄位未完整",""))</f>
        <v/>
      </c>
      <c r="AI201" s="12">
        <f>IF(A201="","",A201&amp;"|"&amp;G201)</f>
        <v/>
      </c>
      <c r="AJ201" s="12">
        <f>IF(A201="","",A201&amp;"|"&amp;H201)</f>
        <v/>
      </c>
    </row>
    <row r="202" ht="24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8" t="n"/>
      <c r="P202" s="8" t="n"/>
      <c r="Q202" s="8" t="n"/>
      <c r="R202" s="13">
        <f>IF(O202="","",SUM(O202:Q202))</f>
        <v/>
      </c>
      <c r="S202" s="9">
        <f>IF(R202="","",ROUND(R202/3.305785,3))</f>
        <v/>
      </c>
      <c r="T202" s="7" t="n"/>
      <c r="U202" s="7" t="n"/>
      <c r="V202" s="10">
        <f>IF(OR(T202="",U202="",U202=0),"",ROUND(T202/U202,6))</f>
        <v/>
      </c>
      <c r="W202" s="9">
        <f>IF(OR(R202="",T202="",U202="",U202=0),"",ROUND(R202*T202/U202,3))</f>
        <v/>
      </c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12">
        <f>IF(A202="","",IF(OR(B202="",C202="",D202="",E202="",H202="",O202="",T202="",U202=""),"必填欄位未完整",""))</f>
        <v/>
      </c>
      <c r="AI202" s="12">
        <f>IF(A202="","",A202&amp;"|"&amp;G202)</f>
        <v/>
      </c>
      <c r="AJ202" s="12">
        <f>IF(A202="","",A202&amp;"|"&amp;H202)</f>
        <v/>
      </c>
    </row>
    <row r="203" ht="24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8" t="n"/>
      <c r="P203" s="8" t="n"/>
      <c r="Q203" s="8" t="n"/>
      <c r="R203" s="13">
        <f>IF(O203="","",SUM(O203:Q203))</f>
        <v/>
      </c>
      <c r="S203" s="9">
        <f>IF(R203="","",ROUND(R203/3.305785,3))</f>
        <v/>
      </c>
      <c r="T203" s="7" t="n"/>
      <c r="U203" s="7" t="n"/>
      <c r="V203" s="10">
        <f>IF(OR(T203="",U203="",U203=0),"",ROUND(T203/U203,6))</f>
        <v/>
      </c>
      <c r="W203" s="9">
        <f>IF(OR(R203="",T203="",U203="",U203=0),"",ROUND(R203*T203/U203,3))</f>
        <v/>
      </c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12">
        <f>IF(A203="","",IF(OR(B203="",C203="",D203="",E203="",H203="",O203="",T203="",U203=""),"必填欄位未完整",""))</f>
        <v/>
      </c>
      <c r="AI203" s="12">
        <f>IF(A203="","",A203&amp;"|"&amp;G203)</f>
        <v/>
      </c>
      <c r="AJ203" s="12">
        <f>IF(A203="","",A203&amp;"|"&amp;H203)</f>
        <v/>
      </c>
    </row>
    <row r="204" ht="24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8" t="n"/>
      <c r="P204" s="8" t="n"/>
      <c r="Q204" s="8" t="n"/>
      <c r="R204" s="13">
        <f>IF(O204="","",SUM(O204:Q204))</f>
        <v/>
      </c>
      <c r="S204" s="9">
        <f>IF(R204="","",ROUND(R204/3.305785,3))</f>
        <v/>
      </c>
      <c r="T204" s="7" t="n"/>
      <c r="U204" s="7" t="n"/>
      <c r="V204" s="10">
        <f>IF(OR(T204="",U204="",U204=0),"",ROUND(T204/U204,6))</f>
        <v/>
      </c>
      <c r="W204" s="9">
        <f>IF(OR(R204="",T204="",U204="",U204=0),"",ROUND(R204*T204/U204,3))</f>
        <v/>
      </c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12">
        <f>IF(A204="","",IF(OR(B204="",C204="",D204="",E204="",H204="",O204="",T204="",U204=""),"必填欄位未完整",""))</f>
        <v/>
      </c>
      <c r="AI204" s="12">
        <f>IF(A204="","",A204&amp;"|"&amp;G204)</f>
        <v/>
      </c>
      <c r="AJ204" s="12">
        <f>IF(A204="","",A204&amp;"|"&amp;H204)</f>
        <v/>
      </c>
    </row>
    <row r="205" ht="24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8" t="n"/>
      <c r="P205" s="8" t="n"/>
      <c r="Q205" s="8" t="n"/>
      <c r="R205" s="13">
        <f>IF(O205="","",SUM(O205:Q205))</f>
        <v/>
      </c>
      <c r="S205" s="9">
        <f>IF(R205="","",ROUND(R205/3.305785,3))</f>
        <v/>
      </c>
      <c r="T205" s="7" t="n"/>
      <c r="U205" s="7" t="n"/>
      <c r="V205" s="10">
        <f>IF(OR(T205="",U205="",U205=0),"",ROUND(T205/U205,6))</f>
        <v/>
      </c>
      <c r="W205" s="9">
        <f>IF(OR(R205="",T205="",U205="",U205=0),"",ROUND(R205*T205/U205,3))</f>
        <v/>
      </c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12">
        <f>IF(A205="","",IF(OR(B205="",C205="",D205="",E205="",H205="",O205="",T205="",U205=""),"必填欄位未完整",""))</f>
        <v/>
      </c>
      <c r="AI205" s="12">
        <f>IF(A205="","",A205&amp;"|"&amp;G205)</f>
        <v/>
      </c>
      <c r="AJ205" s="12">
        <f>IF(A205="","",A205&amp;"|"&amp;H205)</f>
        <v/>
      </c>
    </row>
    <row r="206" ht="24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8" t="n"/>
      <c r="P206" s="8" t="n"/>
      <c r="Q206" s="8" t="n"/>
      <c r="R206" s="13">
        <f>IF(O206="","",SUM(O206:Q206))</f>
        <v/>
      </c>
      <c r="S206" s="9">
        <f>IF(R206="","",ROUND(R206/3.305785,3))</f>
        <v/>
      </c>
      <c r="T206" s="7" t="n"/>
      <c r="U206" s="7" t="n"/>
      <c r="V206" s="10">
        <f>IF(OR(T206="",U206="",U206=0),"",ROUND(T206/U206,6))</f>
        <v/>
      </c>
      <c r="W206" s="9">
        <f>IF(OR(R206="",T206="",U206="",U206=0),"",ROUND(R206*T206/U206,3))</f>
        <v/>
      </c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12">
        <f>IF(A206="","",IF(OR(B206="",C206="",D206="",E206="",H206="",O206="",T206="",U206=""),"必填欄位未完整",""))</f>
        <v/>
      </c>
      <c r="AI206" s="12">
        <f>IF(A206="","",A206&amp;"|"&amp;G206)</f>
        <v/>
      </c>
      <c r="AJ206" s="12">
        <f>IF(A206="","",A206&amp;"|"&amp;H206)</f>
        <v/>
      </c>
    </row>
    <row r="207" ht="24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8" t="n"/>
      <c r="P207" s="8" t="n"/>
      <c r="Q207" s="8" t="n"/>
      <c r="R207" s="13">
        <f>IF(O207="","",SUM(O207:Q207))</f>
        <v/>
      </c>
      <c r="S207" s="9">
        <f>IF(R207="","",ROUND(R207/3.305785,3))</f>
        <v/>
      </c>
      <c r="T207" s="7" t="n"/>
      <c r="U207" s="7" t="n"/>
      <c r="V207" s="10">
        <f>IF(OR(T207="",U207="",U207=0),"",ROUND(T207/U207,6))</f>
        <v/>
      </c>
      <c r="W207" s="9">
        <f>IF(OR(R207="",T207="",U207="",U207=0),"",ROUND(R207*T207/U207,3))</f>
        <v/>
      </c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12">
        <f>IF(A207="","",IF(OR(B207="",C207="",D207="",E207="",H207="",O207="",T207="",U207=""),"必填欄位未完整",""))</f>
        <v/>
      </c>
      <c r="AI207" s="12">
        <f>IF(A207="","",A207&amp;"|"&amp;G207)</f>
        <v/>
      </c>
      <c r="AJ207" s="12">
        <f>IF(A207="","",A207&amp;"|"&amp;H207)</f>
        <v/>
      </c>
    </row>
    <row r="208" ht="24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8" t="n"/>
      <c r="P208" s="8" t="n"/>
      <c r="Q208" s="8" t="n"/>
      <c r="R208" s="13">
        <f>IF(O208="","",SUM(O208:Q208))</f>
        <v/>
      </c>
      <c r="S208" s="9">
        <f>IF(R208="","",ROUND(R208/3.305785,3))</f>
        <v/>
      </c>
      <c r="T208" s="7" t="n"/>
      <c r="U208" s="7" t="n"/>
      <c r="V208" s="10">
        <f>IF(OR(T208="",U208="",U208=0),"",ROUND(T208/U208,6))</f>
        <v/>
      </c>
      <c r="W208" s="9">
        <f>IF(OR(R208="",T208="",U208="",U208=0),"",ROUND(R208*T208/U208,3))</f>
        <v/>
      </c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12">
        <f>IF(A208="","",IF(OR(B208="",C208="",D208="",E208="",H208="",O208="",T208="",U208=""),"必填欄位未完整",""))</f>
        <v/>
      </c>
      <c r="AI208" s="12">
        <f>IF(A208="","",A208&amp;"|"&amp;G208)</f>
        <v/>
      </c>
      <c r="AJ208" s="12">
        <f>IF(A208="","",A208&amp;"|"&amp;H208)</f>
        <v/>
      </c>
    </row>
    <row r="209" ht="24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8" t="n"/>
      <c r="P209" s="8" t="n"/>
      <c r="Q209" s="8" t="n"/>
      <c r="R209" s="13">
        <f>IF(O209="","",SUM(O209:Q209))</f>
        <v/>
      </c>
      <c r="S209" s="9">
        <f>IF(R209="","",ROUND(R209/3.305785,3))</f>
        <v/>
      </c>
      <c r="T209" s="7" t="n"/>
      <c r="U209" s="7" t="n"/>
      <c r="V209" s="10">
        <f>IF(OR(T209="",U209="",U209=0),"",ROUND(T209/U209,6))</f>
        <v/>
      </c>
      <c r="W209" s="9">
        <f>IF(OR(R209="",T209="",U209="",U209=0),"",ROUND(R209*T209/U209,3))</f>
        <v/>
      </c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12">
        <f>IF(A209="","",IF(OR(B209="",C209="",D209="",E209="",H209="",O209="",T209="",U209=""),"必填欄位未完整",""))</f>
        <v/>
      </c>
      <c r="AI209" s="12">
        <f>IF(A209="","",A209&amp;"|"&amp;G209)</f>
        <v/>
      </c>
      <c r="AJ209" s="12">
        <f>IF(A209="","",A209&amp;"|"&amp;H209)</f>
        <v/>
      </c>
    </row>
    <row r="210" ht="24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8" t="n"/>
      <c r="P210" s="8" t="n"/>
      <c r="Q210" s="8" t="n"/>
      <c r="R210" s="13">
        <f>IF(O210="","",SUM(O210:Q210))</f>
        <v/>
      </c>
      <c r="S210" s="9">
        <f>IF(R210="","",ROUND(R210/3.305785,3))</f>
        <v/>
      </c>
      <c r="T210" s="7" t="n"/>
      <c r="U210" s="7" t="n"/>
      <c r="V210" s="10">
        <f>IF(OR(T210="",U210="",U210=0),"",ROUND(T210/U210,6))</f>
        <v/>
      </c>
      <c r="W210" s="9">
        <f>IF(OR(R210="",T210="",U210="",U210=0),"",ROUND(R210*T210/U210,3))</f>
        <v/>
      </c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12">
        <f>IF(A210="","",IF(OR(B210="",C210="",D210="",E210="",H210="",O210="",T210="",U210=""),"必填欄位未完整",""))</f>
        <v/>
      </c>
      <c r="AI210" s="12">
        <f>IF(A210="","",A210&amp;"|"&amp;G210)</f>
        <v/>
      </c>
      <c r="AJ210" s="12">
        <f>IF(A210="","",A210&amp;"|"&amp;H210)</f>
        <v/>
      </c>
    </row>
    <row r="211" ht="24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8" t="n"/>
      <c r="P211" s="8" t="n"/>
      <c r="Q211" s="8" t="n"/>
      <c r="R211" s="13">
        <f>IF(O211="","",SUM(O211:Q211))</f>
        <v/>
      </c>
      <c r="S211" s="9">
        <f>IF(R211="","",ROUND(R211/3.305785,3))</f>
        <v/>
      </c>
      <c r="T211" s="7" t="n"/>
      <c r="U211" s="7" t="n"/>
      <c r="V211" s="10">
        <f>IF(OR(T211="",U211="",U211=0),"",ROUND(T211/U211,6))</f>
        <v/>
      </c>
      <c r="W211" s="9">
        <f>IF(OR(R211="",T211="",U211="",U211=0),"",ROUND(R211*T211/U211,3))</f>
        <v/>
      </c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12">
        <f>IF(A211="","",IF(OR(B211="",C211="",D211="",E211="",H211="",O211="",T211="",U211=""),"必填欄位未完整",""))</f>
        <v/>
      </c>
      <c r="AI211" s="12">
        <f>IF(A211="","",A211&amp;"|"&amp;G211)</f>
        <v/>
      </c>
      <c r="AJ211" s="12">
        <f>IF(A211="","",A211&amp;"|"&amp;H211)</f>
        <v/>
      </c>
    </row>
    <row r="212" ht="24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8" t="n"/>
      <c r="P212" s="8" t="n"/>
      <c r="Q212" s="8" t="n"/>
      <c r="R212" s="13">
        <f>IF(O212="","",SUM(O212:Q212))</f>
        <v/>
      </c>
      <c r="S212" s="9">
        <f>IF(R212="","",ROUND(R212/3.305785,3))</f>
        <v/>
      </c>
      <c r="T212" s="7" t="n"/>
      <c r="U212" s="7" t="n"/>
      <c r="V212" s="10">
        <f>IF(OR(T212="",U212="",U212=0),"",ROUND(T212/U212,6))</f>
        <v/>
      </c>
      <c r="W212" s="9">
        <f>IF(OR(R212="",T212="",U212="",U212=0),"",ROUND(R212*T212/U212,3))</f>
        <v/>
      </c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12">
        <f>IF(A212="","",IF(OR(B212="",C212="",D212="",E212="",H212="",O212="",T212="",U212=""),"必填欄位未完整",""))</f>
        <v/>
      </c>
      <c r="AI212" s="12">
        <f>IF(A212="","",A212&amp;"|"&amp;G212)</f>
        <v/>
      </c>
      <c r="AJ212" s="12">
        <f>IF(A212="","",A212&amp;"|"&amp;H212)</f>
        <v/>
      </c>
    </row>
    <row r="213" ht="24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8" t="n"/>
      <c r="P213" s="8" t="n"/>
      <c r="Q213" s="8" t="n"/>
      <c r="R213" s="13">
        <f>IF(O213="","",SUM(O213:Q213))</f>
        <v/>
      </c>
      <c r="S213" s="9">
        <f>IF(R213="","",ROUND(R213/3.305785,3))</f>
        <v/>
      </c>
      <c r="T213" s="7" t="n"/>
      <c r="U213" s="7" t="n"/>
      <c r="V213" s="10">
        <f>IF(OR(T213="",U213="",U213=0),"",ROUND(T213/U213,6))</f>
        <v/>
      </c>
      <c r="W213" s="9">
        <f>IF(OR(R213="",T213="",U213="",U213=0),"",ROUND(R213*T213/U213,3))</f>
        <v/>
      </c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12">
        <f>IF(A213="","",IF(OR(B213="",C213="",D213="",E213="",H213="",O213="",T213="",U213=""),"必填欄位未完整",""))</f>
        <v/>
      </c>
      <c r="AI213" s="12">
        <f>IF(A213="","",A213&amp;"|"&amp;G213)</f>
        <v/>
      </c>
      <c r="AJ213" s="12">
        <f>IF(A213="","",A213&amp;"|"&amp;H213)</f>
        <v/>
      </c>
    </row>
    <row r="214" ht="24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8" t="n"/>
      <c r="P214" s="8" t="n"/>
      <c r="Q214" s="8" t="n"/>
      <c r="R214" s="13">
        <f>IF(O214="","",SUM(O214:Q214))</f>
        <v/>
      </c>
      <c r="S214" s="9">
        <f>IF(R214="","",ROUND(R214/3.305785,3))</f>
        <v/>
      </c>
      <c r="T214" s="7" t="n"/>
      <c r="U214" s="7" t="n"/>
      <c r="V214" s="10">
        <f>IF(OR(T214="",U214="",U214=0),"",ROUND(T214/U214,6))</f>
        <v/>
      </c>
      <c r="W214" s="9">
        <f>IF(OR(R214="",T214="",U214="",U214=0),"",ROUND(R214*T214/U214,3))</f>
        <v/>
      </c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12">
        <f>IF(A214="","",IF(OR(B214="",C214="",D214="",E214="",H214="",O214="",T214="",U214=""),"必填欄位未完整",""))</f>
        <v/>
      </c>
      <c r="AI214" s="12">
        <f>IF(A214="","",A214&amp;"|"&amp;G214)</f>
        <v/>
      </c>
      <c r="AJ214" s="12">
        <f>IF(A214="","",A214&amp;"|"&amp;H214)</f>
        <v/>
      </c>
    </row>
    <row r="215" ht="24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8" t="n"/>
      <c r="P215" s="8" t="n"/>
      <c r="Q215" s="8" t="n"/>
      <c r="R215" s="13">
        <f>IF(O215="","",SUM(O215:Q215))</f>
        <v/>
      </c>
      <c r="S215" s="9">
        <f>IF(R215="","",ROUND(R215/3.305785,3))</f>
        <v/>
      </c>
      <c r="T215" s="7" t="n"/>
      <c r="U215" s="7" t="n"/>
      <c r="V215" s="10">
        <f>IF(OR(T215="",U215="",U215=0),"",ROUND(T215/U215,6))</f>
        <v/>
      </c>
      <c r="W215" s="9">
        <f>IF(OR(R215="",T215="",U215="",U215=0),"",ROUND(R215*T215/U215,3))</f>
        <v/>
      </c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12">
        <f>IF(A215="","",IF(OR(B215="",C215="",D215="",E215="",H215="",O215="",T215="",U215=""),"必填欄位未完整",""))</f>
        <v/>
      </c>
      <c r="AI215" s="12">
        <f>IF(A215="","",A215&amp;"|"&amp;G215)</f>
        <v/>
      </c>
      <c r="AJ215" s="12">
        <f>IF(A215="","",A215&amp;"|"&amp;H215)</f>
        <v/>
      </c>
    </row>
    <row r="216" ht="24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8" t="n"/>
      <c r="P216" s="8" t="n"/>
      <c r="Q216" s="8" t="n"/>
      <c r="R216" s="13">
        <f>IF(O216="","",SUM(O216:Q216))</f>
        <v/>
      </c>
      <c r="S216" s="9">
        <f>IF(R216="","",ROUND(R216/3.305785,3))</f>
        <v/>
      </c>
      <c r="T216" s="7" t="n"/>
      <c r="U216" s="7" t="n"/>
      <c r="V216" s="10">
        <f>IF(OR(T216="",U216="",U216=0),"",ROUND(T216/U216,6))</f>
        <v/>
      </c>
      <c r="W216" s="9">
        <f>IF(OR(R216="",T216="",U216="",U216=0),"",ROUND(R216*T216/U216,3))</f>
        <v/>
      </c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12">
        <f>IF(A216="","",IF(OR(B216="",C216="",D216="",E216="",H216="",O216="",T216="",U216=""),"必填欄位未完整",""))</f>
        <v/>
      </c>
      <c r="AI216" s="12">
        <f>IF(A216="","",A216&amp;"|"&amp;G216)</f>
        <v/>
      </c>
      <c r="AJ216" s="12">
        <f>IF(A216="","",A216&amp;"|"&amp;H216)</f>
        <v/>
      </c>
    </row>
    <row r="217" ht="24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8" t="n"/>
      <c r="P217" s="8" t="n"/>
      <c r="Q217" s="8" t="n"/>
      <c r="R217" s="13">
        <f>IF(O217="","",SUM(O217:Q217))</f>
        <v/>
      </c>
      <c r="S217" s="9">
        <f>IF(R217="","",ROUND(R217/3.305785,3))</f>
        <v/>
      </c>
      <c r="T217" s="7" t="n"/>
      <c r="U217" s="7" t="n"/>
      <c r="V217" s="10">
        <f>IF(OR(T217="",U217="",U217=0),"",ROUND(T217/U217,6))</f>
        <v/>
      </c>
      <c r="W217" s="9">
        <f>IF(OR(R217="",T217="",U217="",U217=0),"",ROUND(R217*T217/U217,3))</f>
        <v/>
      </c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12">
        <f>IF(A217="","",IF(OR(B217="",C217="",D217="",E217="",H217="",O217="",T217="",U217=""),"必填欄位未完整",""))</f>
        <v/>
      </c>
      <c r="AI217" s="12">
        <f>IF(A217="","",A217&amp;"|"&amp;G217)</f>
        <v/>
      </c>
      <c r="AJ217" s="12">
        <f>IF(A217="","",A217&amp;"|"&amp;H217)</f>
        <v/>
      </c>
    </row>
    <row r="218" ht="24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8" t="n"/>
      <c r="P218" s="8" t="n"/>
      <c r="Q218" s="8" t="n"/>
      <c r="R218" s="13">
        <f>IF(O218="","",SUM(O218:Q218))</f>
        <v/>
      </c>
      <c r="S218" s="9">
        <f>IF(R218="","",ROUND(R218/3.305785,3))</f>
        <v/>
      </c>
      <c r="T218" s="7" t="n"/>
      <c r="U218" s="7" t="n"/>
      <c r="V218" s="10">
        <f>IF(OR(T218="",U218="",U218=0),"",ROUND(T218/U218,6))</f>
        <v/>
      </c>
      <c r="W218" s="9">
        <f>IF(OR(R218="",T218="",U218="",U218=0),"",ROUND(R218*T218/U218,3))</f>
        <v/>
      </c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12">
        <f>IF(A218="","",IF(OR(B218="",C218="",D218="",E218="",H218="",O218="",T218="",U218=""),"必填欄位未完整",""))</f>
        <v/>
      </c>
      <c r="AI218" s="12">
        <f>IF(A218="","",A218&amp;"|"&amp;G218)</f>
        <v/>
      </c>
      <c r="AJ218" s="12">
        <f>IF(A218="","",A218&amp;"|"&amp;H218)</f>
        <v/>
      </c>
    </row>
    <row r="219" ht="24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8" t="n"/>
      <c r="P219" s="8" t="n"/>
      <c r="Q219" s="8" t="n"/>
      <c r="R219" s="13">
        <f>IF(O219="","",SUM(O219:Q219))</f>
        <v/>
      </c>
      <c r="S219" s="9">
        <f>IF(R219="","",ROUND(R219/3.305785,3))</f>
        <v/>
      </c>
      <c r="T219" s="7" t="n"/>
      <c r="U219" s="7" t="n"/>
      <c r="V219" s="10">
        <f>IF(OR(T219="",U219="",U219=0),"",ROUND(T219/U219,6))</f>
        <v/>
      </c>
      <c r="W219" s="9">
        <f>IF(OR(R219="",T219="",U219="",U219=0),"",ROUND(R219*T219/U219,3))</f>
        <v/>
      </c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12">
        <f>IF(A219="","",IF(OR(B219="",C219="",D219="",E219="",H219="",O219="",T219="",U219=""),"必填欄位未完整",""))</f>
        <v/>
      </c>
      <c r="AI219" s="12">
        <f>IF(A219="","",A219&amp;"|"&amp;G219)</f>
        <v/>
      </c>
      <c r="AJ219" s="12">
        <f>IF(A219="","",A219&amp;"|"&amp;H219)</f>
        <v/>
      </c>
    </row>
    <row r="220" ht="24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8" t="n"/>
      <c r="P220" s="8" t="n"/>
      <c r="Q220" s="8" t="n"/>
      <c r="R220" s="13">
        <f>IF(O220="","",SUM(O220:Q220))</f>
        <v/>
      </c>
      <c r="S220" s="9">
        <f>IF(R220="","",ROUND(R220/3.305785,3))</f>
        <v/>
      </c>
      <c r="T220" s="7" t="n"/>
      <c r="U220" s="7" t="n"/>
      <c r="V220" s="10">
        <f>IF(OR(T220="",U220="",U220=0),"",ROUND(T220/U220,6))</f>
        <v/>
      </c>
      <c r="W220" s="9">
        <f>IF(OR(R220="",T220="",U220="",U220=0),"",ROUND(R220*T220/U220,3))</f>
        <v/>
      </c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12">
        <f>IF(A220="","",IF(OR(B220="",C220="",D220="",E220="",H220="",O220="",T220="",U220=""),"必填欄位未完整",""))</f>
        <v/>
      </c>
      <c r="AI220" s="12">
        <f>IF(A220="","",A220&amp;"|"&amp;G220)</f>
        <v/>
      </c>
      <c r="AJ220" s="12">
        <f>IF(A220="","",A220&amp;"|"&amp;H220)</f>
        <v/>
      </c>
    </row>
    <row r="221" ht="24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8" t="n"/>
      <c r="P221" s="8" t="n"/>
      <c r="Q221" s="8" t="n"/>
      <c r="R221" s="13">
        <f>IF(O221="","",SUM(O221:Q221))</f>
        <v/>
      </c>
      <c r="S221" s="9">
        <f>IF(R221="","",ROUND(R221/3.305785,3))</f>
        <v/>
      </c>
      <c r="T221" s="7" t="n"/>
      <c r="U221" s="7" t="n"/>
      <c r="V221" s="10">
        <f>IF(OR(T221="",U221="",U221=0),"",ROUND(T221/U221,6))</f>
        <v/>
      </c>
      <c r="W221" s="9">
        <f>IF(OR(R221="",T221="",U221="",U221=0),"",ROUND(R221*T221/U221,3))</f>
        <v/>
      </c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12">
        <f>IF(A221="","",IF(OR(B221="",C221="",D221="",E221="",H221="",O221="",T221="",U221=""),"必填欄位未完整",""))</f>
        <v/>
      </c>
      <c r="AI221" s="12">
        <f>IF(A221="","",A221&amp;"|"&amp;G221)</f>
        <v/>
      </c>
      <c r="AJ221" s="12">
        <f>IF(A221="","",A221&amp;"|"&amp;H221)</f>
        <v/>
      </c>
    </row>
    <row r="222" ht="24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8" t="n"/>
      <c r="P222" s="8" t="n"/>
      <c r="Q222" s="8" t="n"/>
      <c r="R222" s="13">
        <f>IF(O222="","",SUM(O222:Q222))</f>
        <v/>
      </c>
      <c r="S222" s="9">
        <f>IF(R222="","",ROUND(R222/3.305785,3))</f>
        <v/>
      </c>
      <c r="T222" s="7" t="n"/>
      <c r="U222" s="7" t="n"/>
      <c r="V222" s="10">
        <f>IF(OR(T222="",U222="",U222=0),"",ROUND(T222/U222,6))</f>
        <v/>
      </c>
      <c r="W222" s="9">
        <f>IF(OR(R222="",T222="",U222="",U222=0),"",ROUND(R222*T222/U222,3))</f>
        <v/>
      </c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12">
        <f>IF(A222="","",IF(OR(B222="",C222="",D222="",E222="",H222="",O222="",T222="",U222=""),"必填欄位未完整",""))</f>
        <v/>
      </c>
      <c r="AI222" s="12">
        <f>IF(A222="","",A222&amp;"|"&amp;G222)</f>
        <v/>
      </c>
      <c r="AJ222" s="12">
        <f>IF(A222="","",A222&amp;"|"&amp;H222)</f>
        <v/>
      </c>
    </row>
    <row r="223" ht="24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8" t="n"/>
      <c r="P223" s="8" t="n"/>
      <c r="Q223" s="8" t="n"/>
      <c r="R223" s="13">
        <f>IF(O223="","",SUM(O223:Q223))</f>
        <v/>
      </c>
      <c r="S223" s="9">
        <f>IF(R223="","",ROUND(R223/3.305785,3))</f>
        <v/>
      </c>
      <c r="T223" s="7" t="n"/>
      <c r="U223" s="7" t="n"/>
      <c r="V223" s="10">
        <f>IF(OR(T223="",U223="",U223=0),"",ROUND(T223/U223,6))</f>
        <v/>
      </c>
      <c r="W223" s="9">
        <f>IF(OR(R223="",T223="",U223="",U223=0),"",ROUND(R223*T223/U223,3))</f>
        <v/>
      </c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12">
        <f>IF(A223="","",IF(OR(B223="",C223="",D223="",E223="",H223="",O223="",T223="",U223=""),"必填欄位未完整",""))</f>
        <v/>
      </c>
      <c r="AI223" s="12">
        <f>IF(A223="","",A223&amp;"|"&amp;G223)</f>
        <v/>
      </c>
      <c r="AJ223" s="12">
        <f>IF(A223="","",A223&amp;"|"&amp;H223)</f>
        <v/>
      </c>
    </row>
    <row r="224" ht="24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8" t="n"/>
      <c r="P224" s="8" t="n"/>
      <c r="Q224" s="8" t="n"/>
      <c r="R224" s="13">
        <f>IF(O224="","",SUM(O224:Q224))</f>
        <v/>
      </c>
      <c r="S224" s="9">
        <f>IF(R224="","",ROUND(R224/3.305785,3))</f>
        <v/>
      </c>
      <c r="T224" s="7" t="n"/>
      <c r="U224" s="7" t="n"/>
      <c r="V224" s="10">
        <f>IF(OR(T224="",U224="",U224=0),"",ROUND(T224/U224,6))</f>
        <v/>
      </c>
      <c r="W224" s="9">
        <f>IF(OR(R224="",T224="",U224="",U224=0),"",ROUND(R224*T224/U224,3))</f>
        <v/>
      </c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12">
        <f>IF(A224="","",IF(OR(B224="",C224="",D224="",E224="",H224="",O224="",T224="",U224=""),"必填欄位未完整",""))</f>
        <v/>
      </c>
      <c r="AI224" s="12">
        <f>IF(A224="","",A224&amp;"|"&amp;G224)</f>
        <v/>
      </c>
      <c r="AJ224" s="12">
        <f>IF(A224="","",A224&amp;"|"&amp;H224)</f>
        <v/>
      </c>
    </row>
    <row r="225" ht="24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8" t="n"/>
      <c r="P225" s="8" t="n"/>
      <c r="Q225" s="8" t="n"/>
      <c r="R225" s="13">
        <f>IF(O225="","",SUM(O225:Q225))</f>
        <v/>
      </c>
      <c r="S225" s="9">
        <f>IF(R225="","",ROUND(R225/3.305785,3))</f>
        <v/>
      </c>
      <c r="T225" s="7" t="n"/>
      <c r="U225" s="7" t="n"/>
      <c r="V225" s="10">
        <f>IF(OR(T225="",U225="",U225=0),"",ROUND(T225/U225,6))</f>
        <v/>
      </c>
      <c r="W225" s="9">
        <f>IF(OR(R225="",T225="",U225="",U225=0),"",ROUND(R225*T225/U225,3))</f>
        <v/>
      </c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12">
        <f>IF(A225="","",IF(OR(B225="",C225="",D225="",E225="",H225="",O225="",T225="",U225=""),"必填欄位未完整",""))</f>
        <v/>
      </c>
      <c r="AI225" s="12">
        <f>IF(A225="","",A225&amp;"|"&amp;G225)</f>
        <v/>
      </c>
      <c r="AJ225" s="12">
        <f>IF(A225="","",A225&amp;"|"&amp;H225)</f>
        <v/>
      </c>
    </row>
    <row r="226" ht="24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8" t="n"/>
      <c r="P226" s="8" t="n"/>
      <c r="Q226" s="8" t="n"/>
      <c r="R226" s="13">
        <f>IF(O226="","",SUM(O226:Q226))</f>
        <v/>
      </c>
      <c r="S226" s="9">
        <f>IF(R226="","",ROUND(R226/3.305785,3))</f>
        <v/>
      </c>
      <c r="T226" s="7" t="n"/>
      <c r="U226" s="7" t="n"/>
      <c r="V226" s="10">
        <f>IF(OR(T226="",U226="",U226=0),"",ROUND(T226/U226,6))</f>
        <v/>
      </c>
      <c r="W226" s="9">
        <f>IF(OR(R226="",T226="",U226="",U226=0),"",ROUND(R226*T226/U226,3))</f>
        <v/>
      </c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12">
        <f>IF(A226="","",IF(OR(B226="",C226="",D226="",E226="",H226="",O226="",T226="",U226=""),"必填欄位未完整",""))</f>
        <v/>
      </c>
      <c r="AI226" s="12">
        <f>IF(A226="","",A226&amp;"|"&amp;G226)</f>
        <v/>
      </c>
      <c r="AJ226" s="12">
        <f>IF(A226="","",A226&amp;"|"&amp;H226)</f>
        <v/>
      </c>
    </row>
    <row r="227" ht="24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8" t="n"/>
      <c r="P227" s="8" t="n"/>
      <c r="Q227" s="8" t="n"/>
      <c r="R227" s="13">
        <f>IF(O227="","",SUM(O227:Q227))</f>
        <v/>
      </c>
      <c r="S227" s="9">
        <f>IF(R227="","",ROUND(R227/3.305785,3))</f>
        <v/>
      </c>
      <c r="T227" s="7" t="n"/>
      <c r="U227" s="7" t="n"/>
      <c r="V227" s="10">
        <f>IF(OR(T227="",U227="",U227=0),"",ROUND(T227/U227,6))</f>
        <v/>
      </c>
      <c r="W227" s="9">
        <f>IF(OR(R227="",T227="",U227="",U227=0),"",ROUND(R227*T227/U227,3))</f>
        <v/>
      </c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12">
        <f>IF(A227="","",IF(OR(B227="",C227="",D227="",E227="",H227="",O227="",T227="",U227=""),"必填欄位未完整",""))</f>
        <v/>
      </c>
      <c r="AI227" s="12">
        <f>IF(A227="","",A227&amp;"|"&amp;G227)</f>
        <v/>
      </c>
      <c r="AJ227" s="12">
        <f>IF(A227="","",A227&amp;"|"&amp;H227)</f>
        <v/>
      </c>
    </row>
    <row r="228" ht="24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8" t="n"/>
      <c r="P228" s="8" t="n"/>
      <c r="Q228" s="8" t="n"/>
      <c r="R228" s="13">
        <f>IF(O228="","",SUM(O228:Q228))</f>
        <v/>
      </c>
      <c r="S228" s="9">
        <f>IF(R228="","",ROUND(R228/3.305785,3))</f>
        <v/>
      </c>
      <c r="T228" s="7" t="n"/>
      <c r="U228" s="7" t="n"/>
      <c r="V228" s="10">
        <f>IF(OR(T228="",U228="",U228=0),"",ROUND(T228/U228,6))</f>
        <v/>
      </c>
      <c r="W228" s="9">
        <f>IF(OR(R228="",T228="",U228="",U228=0),"",ROUND(R228*T228/U228,3))</f>
        <v/>
      </c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12">
        <f>IF(A228="","",IF(OR(B228="",C228="",D228="",E228="",H228="",O228="",T228="",U228=""),"必填欄位未完整",""))</f>
        <v/>
      </c>
      <c r="AI228" s="12">
        <f>IF(A228="","",A228&amp;"|"&amp;G228)</f>
        <v/>
      </c>
      <c r="AJ228" s="12">
        <f>IF(A228="","",A228&amp;"|"&amp;H228)</f>
        <v/>
      </c>
    </row>
    <row r="229" ht="24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8" t="n"/>
      <c r="P229" s="8" t="n"/>
      <c r="Q229" s="8" t="n"/>
      <c r="R229" s="13">
        <f>IF(O229="","",SUM(O229:Q229))</f>
        <v/>
      </c>
      <c r="S229" s="9">
        <f>IF(R229="","",ROUND(R229/3.305785,3))</f>
        <v/>
      </c>
      <c r="T229" s="7" t="n"/>
      <c r="U229" s="7" t="n"/>
      <c r="V229" s="10">
        <f>IF(OR(T229="",U229="",U229=0),"",ROUND(T229/U229,6))</f>
        <v/>
      </c>
      <c r="W229" s="9">
        <f>IF(OR(R229="",T229="",U229="",U229=0),"",ROUND(R229*T229/U229,3))</f>
        <v/>
      </c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12">
        <f>IF(A229="","",IF(OR(B229="",C229="",D229="",E229="",H229="",O229="",T229="",U229=""),"必填欄位未完整",""))</f>
        <v/>
      </c>
      <c r="AI229" s="12">
        <f>IF(A229="","",A229&amp;"|"&amp;G229)</f>
        <v/>
      </c>
      <c r="AJ229" s="12">
        <f>IF(A229="","",A229&amp;"|"&amp;H229)</f>
        <v/>
      </c>
    </row>
    <row r="230" ht="24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8" t="n"/>
      <c r="P230" s="8" t="n"/>
      <c r="Q230" s="8" t="n"/>
      <c r="R230" s="13">
        <f>IF(O230="","",SUM(O230:Q230))</f>
        <v/>
      </c>
      <c r="S230" s="9">
        <f>IF(R230="","",ROUND(R230/3.305785,3))</f>
        <v/>
      </c>
      <c r="T230" s="7" t="n"/>
      <c r="U230" s="7" t="n"/>
      <c r="V230" s="10">
        <f>IF(OR(T230="",U230="",U230=0),"",ROUND(T230/U230,6))</f>
        <v/>
      </c>
      <c r="W230" s="9">
        <f>IF(OR(R230="",T230="",U230="",U230=0),"",ROUND(R230*T230/U230,3))</f>
        <v/>
      </c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12">
        <f>IF(A230="","",IF(OR(B230="",C230="",D230="",E230="",H230="",O230="",T230="",U230=""),"必填欄位未完整",""))</f>
        <v/>
      </c>
      <c r="AI230" s="12">
        <f>IF(A230="","",A230&amp;"|"&amp;G230)</f>
        <v/>
      </c>
      <c r="AJ230" s="12">
        <f>IF(A230="","",A230&amp;"|"&amp;H230)</f>
        <v/>
      </c>
    </row>
    <row r="231" ht="24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8" t="n"/>
      <c r="P231" s="8" t="n"/>
      <c r="Q231" s="8" t="n"/>
      <c r="R231" s="13">
        <f>IF(O231="","",SUM(O231:Q231))</f>
        <v/>
      </c>
      <c r="S231" s="9">
        <f>IF(R231="","",ROUND(R231/3.305785,3))</f>
        <v/>
      </c>
      <c r="T231" s="7" t="n"/>
      <c r="U231" s="7" t="n"/>
      <c r="V231" s="10">
        <f>IF(OR(T231="",U231="",U231=0),"",ROUND(T231/U231,6))</f>
        <v/>
      </c>
      <c r="W231" s="9">
        <f>IF(OR(R231="",T231="",U231="",U231=0),"",ROUND(R231*T231/U231,3))</f>
        <v/>
      </c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12">
        <f>IF(A231="","",IF(OR(B231="",C231="",D231="",E231="",H231="",O231="",T231="",U231=""),"必填欄位未完整",""))</f>
        <v/>
      </c>
      <c r="AI231" s="12">
        <f>IF(A231="","",A231&amp;"|"&amp;G231)</f>
        <v/>
      </c>
      <c r="AJ231" s="12">
        <f>IF(A231="","",A231&amp;"|"&amp;H231)</f>
        <v/>
      </c>
    </row>
    <row r="232" ht="24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8" t="n"/>
      <c r="P232" s="8" t="n"/>
      <c r="Q232" s="8" t="n"/>
      <c r="R232" s="13">
        <f>IF(O232="","",SUM(O232:Q232))</f>
        <v/>
      </c>
      <c r="S232" s="9">
        <f>IF(R232="","",ROUND(R232/3.305785,3))</f>
        <v/>
      </c>
      <c r="T232" s="7" t="n"/>
      <c r="U232" s="7" t="n"/>
      <c r="V232" s="10">
        <f>IF(OR(T232="",U232="",U232=0),"",ROUND(T232/U232,6))</f>
        <v/>
      </c>
      <c r="W232" s="9">
        <f>IF(OR(R232="",T232="",U232="",U232=0),"",ROUND(R232*T232/U232,3))</f>
        <v/>
      </c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12">
        <f>IF(A232="","",IF(OR(B232="",C232="",D232="",E232="",H232="",O232="",T232="",U232=""),"必填欄位未完整",""))</f>
        <v/>
      </c>
      <c r="AI232" s="12">
        <f>IF(A232="","",A232&amp;"|"&amp;G232)</f>
        <v/>
      </c>
      <c r="AJ232" s="12">
        <f>IF(A232="","",A232&amp;"|"&amp;H232)</f>
        <v/>
      </c>
    </row>
    <row r="233" ht="24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8" t="n"/>
      <c r="P233" s="8" t="n"/>
      <c r="Q233" s="8" t="n"/>
      <c r="R233" s="13">
        <f>IF(O233="","",SUM(O233:Q233))</f>
        <v/>
      </c>
      <c r="S233" s="9">
        <f>IF(R233="","",ROUND(R233/3.305785,3))</f>
        <v/>
      </c>
      <c r="T233" s="7" t="n"/>
      <c r="U233" s="7" t="n"/>
      <c r="V233" s="10">
        <f>IF(OR(T233="",U233="",U233=0),"",ROUND(T233/U233,6))</f>
        <v/>
      </c>
      <c r="W233" s="9">
        <f>IF(OR(R233="",T233="",U233="",U233=0),"",ROUND(R233*T233/U233,3))</f>
        <v/>
      </c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12">
        <f>IF(A233="","",IF(OR(B233="",C233="",D233="",E233="",H233="",O233="",T233="",U233=""),"必填欄位未完整",""))</f>
        <v/>
      </c>
      <c r="AI233" s="12">
        <f>IF(A233="","",A233&amp;"|"&amp;G233)</f>
        <v/>
      </c>
      <c r="AJ233" s="12">
        <f>IF(A233="","",A233&amp;"|"&amp;H233)</f>
        <v/>
      </c>
    </row>
    <row r="234" ht="24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8" t="n"/>
      <c r="P234" s="8" t="n"/>
      <c r="Q234" s="8" t="n"/>
      <c r="R234" s="13">
        <f>IF(O234="","",SUM(O234:Q234))</f>
        <v/>
      </c>
      <c r="S234" s="9">
        <f>IF(R234="","",ROUND(R234/3.305785,3))</f>
        <v/>
      </c>
      <c r="T234" s="7" t="n"/>
      <c r="U234" s="7" t="n"/>
      <c r="V234" s="10">
        <f>IF(OR(T234="",U234="",U234=0),"",ROUND(T234/U234,6))</f>
        <v/>
      </c>
      <c r="W234" s="9">
        <f>IF(OR(R234="",T234="",U234="",U234=0),"",ROUND(R234*T234/U234,3))</f>
        <v/>
      </c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12">
        <f>IF(A234="","",IF(OR(B234="",C234="",D234="",E234="",H234="",O234="",T234="",U234=""),"必填欄位未完整",""))</f>
        <v/>
      </c>
      <c r="AI234" s="12">
        <f>IF(A234="","",A234&amp;"|"&amp;G234)</f>
        <v/>
      </c>
      <c r="AJ234" s="12">
        <f>IF(A234="","",A234&amp;"|"&amp;H234)</f>
        <v/>
      </c>
    </row>
    <row r="235" ht="24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8" t="n"/>
      <c r="P235" s="8" t="n"/>
      <c r="Q235" s="8" t="n"/>
      <c r="R235" s="13">
        <f>IF(O235="","",SUM(O235:Q235))</f>
        <v/>
      </c>
      <c r="S235" s="9">
        <f>IF(R235="","",ROUND(R235/3.305785,3))</f>
        <v/>
      </c>
      <c r="T235" s="7" t="n"/>
      <c r="U235" s="7" t="n"/>
      <c r="V235" s="10">
        <f>IF(OR(T235="",U235="",U235=0),"",ROUND(T235/U235,6))</f>
        <v/>
      </c>
      <c r="W235" s="9">
        <f>IF(OR(R235="",T235="",U235="",U235=0),"",ROUND(R235*T235/U235,3))</f>
        <v/>
      </c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12">
        <f>IF(A235="","",IF(OR(B235="",C235="",D235="",E235="",H235="",O235="",T235="",U235=""),"必填欄位未完整",""))</f>
        <v/>
      </c>
      <c r="AI235" s="12">
        <f>IF(A235="","",A235&amp;"|"&amp;G235)</f>
        <v/>
      </c>
      <c r="AJ235" s="12">
        <f>IF(A235="","",A235&amp;"|"&amp;H235)</f>
        <v/>
      </c>
    </row>
    <row r="236" ht="24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8" t="n"/>
      <c r="P236" s="8" t="n"/>
      <c r="Q236" s="8" t="n"/>
      <c r="R236" s="13">
        <f>IF(O236="","",SUM(O236:Q236))</f>
        <v/>
      </c>
      <c r="S236" s="9">
        <f>IF(R236="","",ROUND(R236/3.305785,3))</f>
        <v/>
      </c>
      <c r="T236" s="7" t="n"/>
      <c r="U236" s="7" t="n"/>
      <c r="V236" s="10">
        <f>IF(OR(T236="",U236="",U236=0),"",ROUND(T236/U236,6))</f>
        <v/>
      </c>
      <c r="W236" s="9">
        <f>IF(OR(R236="",T236="",U236="",U236=0),"",ROUND(R236*T236/U236,3))</f>
        <v/>
      </c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12">
        <f>IF(A236="","",IF(OR(B236="",C236="",D236="",E236="",H236="",O236="",T236="",U236=""),"必填欄位未完整",""))</f>
        <v/>
      </c>
      <c r="AI236" s="12">
        <f>IF(A236="","",A236&amp;"|"&amp;G236)</f>
        <v/>
      </c>
      <c r="AJ236" s="12">
        <f>IF(A236="","",A236&amp;"|"&amp;H236)</f>
        <v/>
      </c>
    </row>
    <row r="237" ht="24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8" t="n"/>
      <c r="P237" s="8" t="n"/>
      <c r="Q237" s="8" t="n"/>
      <c r="R237" s="13">
        <f>IF(O237="","",SUM(O237:Q237))</f>
        <v/>
      </c>
      <c r="S237" s="9">
        <f>IF(R237="","",ROUND(R237/3.305785,3))</f>
        <v/>
      </c>
      <c r="T237" s="7" t="n"/>
      <c r="U237" s="7" t="n"/>
      <c r="V237" s="10">
        <f>IF(OR(T237="",U237="",U237=0),"",ROUND(T237/U237,6))</f>
        <v/>
      </c>
      <c r="W237" s="9">
        <f>IF(OR(R237="",T237="",U237="",U237=0),"",ROUND(R237*T237/U237,3))</f>
        <v/>
      </c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12">
        <f>IF(A237="","",IF(OR(B237="",C237="",D237="",E237="",H237="",O237="",T237="",U237=""),"必填欄位未完整",""))</f>
        <v/>
      </c>
      <c r="AI237" s="12">
        <f>IF(A237="","",A237&amp;"|"&amp;G237)</f>
        <v/>
      </c>
      <c r="AJ237" s="12">
        <f>IF(A237="","",A237&amp;"|"&amp;H237)</f>
        <v/>
      </c>
    </row>
    <row r="238" ht="24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8" t="n"/>
      <c r="P238" s="8" t="n"/>
      <c r="Q238" s="8" t="n"/>
      <c r="R238" s="13">
        <f>IF(O238="","",SUM(O238:Q238))</f>
        <v/>
      </c>
      <c r="S238" s="9">
        <f>IF(R238="","",ROUND(R238/3.305785,3))</f>
        <v/>
      </c>
      <c r="T238" s="7" t="n"/>
      <c r="U238" s="7" t="n"/>
      <c r="V238" s="10">
        <f>IF(OR(T238="",U238="",U238=0),"",ROUND(T238/U238,6))</f>
        <v/>
      </c>
      <c r="W238" s="9">
        <f>IF(OR(R238="",T238="",U238="",U238=0),"",ROUND(R238*T238/U238,3))</f>
        <v/>
      </c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12">
        <f>IF(A238="","",IF(OR(B238="",C238="",D238="",E238="",H238="",O238="",T238="",U238=""),"必填欄位未完整",""))</f>
        <v/>
      </c>
      <c r="AI238" s="12">
        <f>IF(A238="","",A238&amp;"|"&amp;G238)</f>
        <v/>
      </c>
      <c r="AJ238" s="12">
        <f>IF(A238="","",A238&amp;"|"&amp;H238)</f>
        <v/>
      </c>
    </row>
    <row r="239" ht="24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8" t="n"/>
      <c r="P239" s="8" t="n"/>
      <c r="Q239" s="8" t="n"/>
      <c r="R239" s="13">
        <f>IF(O239="","",SUM(O239:Q239))</f>
        <v/>
      </c>
      <c r="S239" s="9">
        <f>IF(R239="","",ROUND(R239/3.305785,3))</f>
        <v/>
      </c>
      <c r="T239" s="7" t="n"/>
      <c r="U239" s="7" t="n"/>
      <c r="V239" s="10">
        <f>IF(OR(T239="",U239="",U239=0),"",ROUND(T239/U239,6))</f>
        <v/>
      </c>
      <c r="W239" s="9">
        <f>IF(OR(R239="",T239="",U239="",U239=0),"",ROUND(R239*T239/U239,3))</f>
        <v/>
      </c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12">
        <f>IF(A239="","",IF(OR(B239="",C239="",D239="",E239="",H239="",O239="",T239="",U239=""),"必填欄位未完整",""))</f>
        <v/>
      </c>
      <c r="AI239" s="12">
        <f>IF(A239="","",A239&amp;"|"&amp;G239)</f>
        <v/>
      </c>
      <c r="AJ239" s="12">
        <f>IF(A239="","",A239&amp;"|"&amp;H239)</f>
        <v/>
      </c>
    </row>
    <row r="240" ht="24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8" t="n"/>
      <c r="P240" s="8" t="n"/>
      <c r="Q240" s="8" t="n"/>
      <c r="R240" s="13">
        <f>IF(O240="","",SUM(O240:Q240))</f>
        <v/>
      </c>
      <c r="S240" s="9">
        <f>IF(R240="","",ROUND(R240/3.305785,3))</f>
        <v/>
      </c>
      <c r="T240" s="7" t="n"/>
      <c r="U240" s="7" t="n"/>
      <c r="V240" s="10">
        <f>IF(OR(T240="",U240="",U240=0),"",ROUND(T240/U240,6))</f>
        <v/>
      </c>
      <c r="W240" s="9">
        <f>IF(OR(R240="",T240="",U240="",U240=0),"",ROUND(R240*T240/U240,3))</f>
        <v/>
      </c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12">
        <f>IF(A240="","",IF(OR(B240="",C240="",D240="",E240="",H240="",O240="",T240="",U240=""),"必填欄位未完整",""))</f>
        <v/>
      </c>
      <c r="AI240" s="12">
        <f>IF(A240="","",A240&amp;"|"&amp;G240)</f>
        <v/>
      </c>
      <c r="AJ240" s="12">
        <f>IF(A240="","",A240&amp;"|"&amp;H240)</f>
        <v/>
      </c>
    </row>
    <row r="241" ht="24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8" t="n"/>
      <c r="P241" s="8" t="n"/>
      <c r="Q241" s="8" t="n"/>
      <c r="R241" s="13">
        <f>IF(O241="","",SUM(O241:Q241))</f>
        <v/>
      </c>
      <c r="S241" s="9">
        <f>IF(R241="","",ROUND(R241/3.305785,3))</f>
        <v/>
      </c>
      <c r="T241" s="7" t="n"/>
      <c r="U241" s="7" t="n"/>
      <c r="V241" s="10">
        <f>IF(OR(T241="",U241="",U241=0),"",ROUND(T241/U241,6))</f>
        <v/>
      </c>
      <c r="W241" s="9">
        <f>IF(OR(R241="",T241="",U241="",U241=0),"",ROUND(R241*T241/U241,3))</f>
        <v/>
      </c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12">
        <f>IF(A241="","",IF(OR(B241="",C241="",D241="",E241="",H241="",O241="",T241="",U241=""),"必填欄位未完整",""))</f>
        <v/>
      </c>
      <c r="AI241" s="12">
        <f>IF(A241="","",A241&amp;"|"&amp;G241)</f>
        <v/>
      </c>
      <c r="AJ241" s="12">
        <f>IF(A241="","",A241&amp;"|"&amp;H241)</f>
        <v/>
      </c>
    </row>
    <row r="242" ht="24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8" t="n"/>
      <c r="P242" s="8" t="n"/>
      <c r="Q242" s="8" t="n"/>
      <c r="R242" s="13">
        <f>IF(O242="","",SUM(O242:Q242))</f>
        <v/>
      </c>
      <c r="S242" s="9">
        <f>IF(R242="","",ROUND(R242/3.305785,3))</f>
        <v/>
      </c>
      <c r="T242" s="7" t="n"/>
      <c r="U242" s="7" t="n"/>
      <c r="V242" s="10">
        <f>IF(OR(T242="",U242="",U242=0),"",ROUND(T242/U242,6))</f>
        <v/>
      </c>
      <c r="W242" s="9">
        <f>IF(OR(R242="",T242="",U242="",U242=0),"",ROUND(R242*T242/U242,3))</f>
        <v/>
      </c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12">
        <f>IF(A242="","",IF(OR(B242="",C242="",D242="",E242="",H242="",O242="",T242="",U242=""),"必填欄位未完整",""))</f>
        <v/>
      </c>
      <c r="AI242" s="12">
        <f>IF(A242="","",A242&amp;"|"&amp;G242)</f>
        <v/>
      </c>
      <c r="AJ242" s="12">
        <f>IF(A242="","",A242&amp;"|"&amp;H242)</f>
        <v/>
      </c>
    </row>
    <row r="243" ht="24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8" t="n"/>
      <c r="P243" s="8" t="n"/>
      <c r="Q243" s="8" t="n"/>
      <c r="R243" s="13">
        <f>IF(O243="","",SUM(O243:Q243))</f>
        <v/>
      </c>
      <c r="S243" s="9">
        <f>IF(R243="","",ROUND(R243/3.305785,3))</f>
        <v/>
      </c>
      <c r="T243" s="7" t="n"/>
      <c r="U243" s="7" t="n"/>
      <c r="V243" s="10">
        <f>IF(OR(T243="",U243="",U243=0),"",ROUND(T243/U243,6))</f>
        <v/>
      </c>
      <c r="W243" s="9">
        <f>IF(OR(R243="",T243="",U243="",U243=0),"",ROUND(R243*T243/U243,3))</f>
        <v/>
      </c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12">
        <f>IF(A243="","",IF(OR(B243="",C243="",D243="",E243="",H243="",O243="",T243="",U243=""),"必填欄位未完整",""))</f>
        <v/>
      </c>
      <c r="AI243" s="12">
        <f>IF(A243="","",A243&amp;"|"&amp;G243)</f>
        <v/>
      </c>
      <c r="AJ243" s="12">
        <f>IF(A243="","",A243&amp;"|"&amp;H243)</f>
        <v/>
      </c>
    </row>
    <row r="244" ht="24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8" t="n"/>
      <c r="P244" s="8" t="n"/>
      <c r="Q244" s="8" t="n"/>
      <c r="R244" s="13">
        <f>IF(O244="","",SUM(O244:Q244))</f>
        <v/>
      </c>
      <c r="S244" s="9">
        <f>IF(R244="","",ROUND(R244/3.305785,3))</f>
        <v/>
      </c>
      <c r="T244" s="7" t="n"/>
      <c r="U244" s="7" t="n"/>
      <c r="V244" s="10">
        <f>IF(OR(T244="",U244="",U244=0),"",ROUND(T244/U244,6))</f>
        <v/>
      </c>
      <c r="W244" s="9">
        <f>IF(OR(R244="",T244="",U244="",U244=0),"",ROUND(R244*T244/U244,3))</f>
        <v/>
      </c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12">
        <f>IF(A244="","",IF(OR(B244="",C244="",D244="",E244="",H244="",O244="",T244="",U244=""),"必填欄位未完整",""))</f>
        <v/>
      </c>
      <c r="AI244" s="12">
        <f>IF(A244="","",A244&amp;"|"&amp;G244)</f>
        <v/>
      </c>
      <c r="AJ244" s="12">
        <f>IF(A244="","",A244&amp;"|"&amp;H244)</f>
        <v/>
      </c>
    </row>
    <row r="245" ht="24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8" t="n"/>
      <c r="P245" s="8" t="n"/>
      <c r="Q245" s="8" t="n"/>
      <c r="R245" s="13">
        <f>IF(O245="","",SUM(O245:Q245))</f>
        <v/>
      </c>
      <c r="S245" s="9">
        <f>IF(R245="","",ROUND(R245/3.305785,3))</f>
        <v/>
      </c>
      <c r="T245" s="7" t="n"/>
      <c r="U245" s="7" t="n"/>
      <c r="V245" s="10">
        <f>IF(OR(T245="",U245="",U245=0),"",ROUND(T245/U245,6))</f>
        <v/>
      </c>
      <c r="W245" s="9">
        <f>IF(OR(R245="",T245="",U245="",U245=0),"",ROUND(R245*T245/U245,3))</f>
        <v/>
      </c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12">
        <f>IF(A245="","",IF(OR(B245="",C245="",D245="",E245="",H245="",O245="",T245="",U245=""),"必填欄位未完整",""))</f>
        <v/>
      </c>
      <c r="AI245" s="12">
        <f>IF(A245="","",A245&amp;"|"&amp;G245)</f>
        <v/>
      </c>
      <c r="AJ245" s="12">
        <f>IF(A245="","",A245&amp;"|"&amp;H245)</f>
        <v/>
      </c>
    </row>
    <row r="246" ht="24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8" t="n"/>
      <c r="P246" s="8" t="n"/>
      <c r="Q246" s="8" t="n"/>
      <c r="R246" s="13">
        <f>IF(O246="","",SUM(O246:Q246))</f>
        <v/>
      </c>
      <c r="S246" s="9">
        <f>IF(R246="","",ROUND(R246/3.305785,3))</f>
        <v/>
      </c>
      <c r="T246" s="7" t="n"/>
      <c r="U246" s="7" t="n"/>
      <c r="V246" s="10">
        <f>IF(OR(T246="",U246="",U246=0),"",ROUND(T246/U246,6))</f>
        <v/>
      </c>
      <c r="W246" s="9">
        <f>IF(OR(R246="",T246="",U246="",U246=0),"",ROUND(R246*T246/U246,3))</f>
        <v/>
      </c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12">
        <f>IF(A246="","",IF(OR(B246="",C246="",D246="",E246="",H246="",O246="",T246="",U246=""),"必填欄位未完整",""))</f>
        <v/>
      </c>
      <c r="AI246" s="12">
        <f>IF(A246="","",A246&amp;"|"&amp;G246)</f>
        <v/>
      </c>
      <c r="AJ246" s="12">
        <f>IF(A246="","",A246&amp;"|"&amp;H246)</f>
        <v/>
      </c>
    </row>
    <row r="247" ht="24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8" t="n"/>
      <c r="P247" s="8" t="n"/>
      <c r="Q247" s="8" t="n"/>
      <c r="R247" s="13">
        <f>IF(O247="","",SUM(O247:Q247))</f>
        <v/>
      </c>
      <c r="S247" s="9">
        <f>IF(R247="","",ROUND(R247/3.305785,3))</f>
        <v/>
      </c>
      <c r="T247" s="7" t="n"/>
      <c r="U247" s="7" t="n"/>
      <c r="V247" s="10">
        <f>IF(OR(T247="",U247="",U247=0),"",ROUND(T247/U247,6))</f>
        <v/>
      </c>
      <c r="W247" s="9">
        <f>IF(OR(R247="",T247="",U247="",U247=0),"",ROUND(R247*T247/U247,3))</f>
        <v/>
      </c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12">
        <f>IF(A247="","",IF(OR(B247="",C247="",D247="",E247="",H247="",O247="",T247="",U247=""),"必填欄位未完整",""))</f>
        <v/>
      </c>
      <c r="AI247" s="12">
        <f>IF(A247="","",A247&amp;"|"&amp;G247)</f>
        <v/>
      </c>
      <c r="AJ247" s="12">
        <f>IF(A247="","",A247&amp;"|"&amp;H247)</f>
        <v/>
      </c>
    </row>
    <row r="248" ht="24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8" t="n"/>
      <c r="P248" s="8" t="n"/>
      <c r="Q248" s="8" t="n"/>
      <c r="R248" s="13">
        <f>IF(O248="","",SUM(O248:Q248))</f>
        <v/>
      </c>
      <c r="S248" s="9">
        <f>IF(R248="","",ROUND(R248/3.305785,3))</f>
        <v/>
      </c>
      <c r="T248" s="7" t="n"/>
      <c r="U248" s="7" t="n"/>
      <c r="V248" s="10">
        <f>IF(OR(T248="",U248="",U248=0),"",ROUND(T248/U248,6))</f>
        <v/>
      </c>
      <c r="W248" s="9">
        <f>IF(OR(R248="",T248="",U248="",U248=0),"",ROUND(R248*T248/U248,3))</f>
        <v/>
      </c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12">
        <f>IF(A248="","",IF(OR(B248="",C248="",D248="",E248="",H248="",O248="",T248="",U248=""),"必填欄位未完整",""))</f>
        <v/>
      </c>
      <c r="AI248" s="12">
        <f>IF(A248="","",A248&amp;"|"&amp;G248)</f>
        <v/>
      </c>
      <c r="AJ248" s="12">
        <f>IF(A248="","",A248&amp;"|"&amp;H248)</f>
        <v/>
      </c>
    </row>
    <row r="249" ht="24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8" t="n"/>
      <c r="P249" s="8" t="n"/>
      <c r="Q249" s="8" t="n"/>
      <c r="R249" s="13">
        <f>IF(O249="","",SUM(O249:Q249))</f>
        <v/>
      </c>
      <c r="S249" s="9">
        <f>IF(R249="","",ROUND(R249/3.305785,3))</f>
        <v/>
      </c>
      <c r="T249" s="7" t="n"/>
      <c r="U249" s="7" t="n"/>
      <c r="V249" s="10">
        <f>IF(OR(T249="",U249="",U249=0),"",ROUND(T249/U249,6))</f>
        <v/>
      </c>
      <c r="W249" s="9">
        <f>IF(OR(R249="",T249="",U249="",U249=0),"",ROUND(R249*T249/U249,3))</f>
        <v/>
      </c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12">
        <f>IF(A249="","",IF(OR(B249="",C249="",D249="",E249="",H249="",O249="",T249="",U249=""),"必填欄位未完整",""))</f>
        <v/>
      </c>
      <c r="AI249" s="12">
        <f>IF(A249="","",A249&amp;"|"&amp;G249)</f>
        <v/>
      </c>
      <c r="AJ249" s="12">
        <f>IF(A249="","",A249&amp;"|"&amp;H249)</f>
        <v/>
      </c>
    </row>
    <row r="250" ht="24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8" t="n"/>
      <c r="P250" s="8" t="n"/>
      <c r="Q250" s="8" t="n"/>
      <c r="R250" s="13">
        <f>IF(O250="","",SUM(O250:Q250))</f>
        <v/>
      </c>
      <c r="S250" s="9">
        <f>IF(R250="","",ROUND(R250/3.305785,3))</f>
        <v/>
      </c>
      <c r="T250" s="7" t="n"/>
      <c r="U250" s="7" t="n"/>
      <c r="V250" s="10">
        <f>IF(OR(T250="",U250="",U250=0),"",ROUND(T250/U250,6))</f>
        <v/>
      </c>
      <c r="W250" s="9">
        <f>IF(OR(R250="",T250="",U250="",U250=0),"",ROUND(R250*T250/U250,3))</f>
        <v/>
      </c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12">
        <f>IF(A250="","",IF(OR(B250="",C250="",D250="",E250="",H250="",O250="",T250="",U250=""),"必填欄位未完整",""))</f>
        <v/>
      </c>
      <c r="AI250" s="12">
        <f>IF(A250="","",A250&amp;"|"&amp;G250)</f>
        <v/>
      </c>
      <c r="AJ250" s="12">
        <f>IF(A250="","",A250&amp;"|"&amp;H250)</f>
        <v/>
      </c>
    </row>
    <row r="251" ht="24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8" t="n"/>
      <c r="P251" s="8" t="n"/>
      <c r="Q251" s="8" t="n"/>
      <c r="R251" s="13">
        <f>IF(O251="","",SUM(O251:Q251))</f>
        <v/>
      </c>
      <c r="S251" s="9">
        <f>IF(R251="","",ROUND(R251/3.305785,3))</f>
        <v/>
      </c>
      <c r="T251" s="7" t="n"/>
      <c r="U251" s="7" t="n"/>
      <c r="V251" s="10">
        <f>IF(OR(T251="",U251="",U251=0),"",ROUND(T251/U251,6))</f>
        <v/>
      </c>
      <c r="W251" s="9">
        <f>IF(OR(R251="",T251="",U251="",U251=0),"",ROUND(R251*T251/U251,3))</f>
        <v/>
      </c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12">
        <f>IF(A251="","",IF(OR(B251="",C251="",D251="",E251="",H251="",O251="",T251="",U251=""),"必填欄位未完整",""))</f>
        <v/>
      </c>
      <c r="AI251" s="12">
        <f>IF(A251="","",A251&amp;"|"&amp;G251)</f>
        <v/>
      </c>
      <c r="AJ251" s="12">
        <f>IF(A251="","",A251&amp;"|"&amp;H251)</f>
        <v/>
      </c>
    </row>
    <row r="252" ht="24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8" t="n"/>
      <c r="P252" s="8" t="n"/>
      <c r="Q252" s="8" t="n"/>
      <c r="R252" s="13">
        <f>IF(O252="","",SUM(O252:Q252))</f>
        <v/>
      </c>
      <c r="S252" s="9">
        <f>IF(R252="","",ROUND(R252/3.305785,3))</f>
        <v/>
      </c>
      <c r="T252" s="7" t="n"/>
      <c r="U252" s="7" t="n"/>
      <c r="V252" s="10">
        <f>IF(OR(T252="",U252="",U252=0),"",ROUND(T252/U252,6))</f>
        <v/>
      </c>
      <c r="W252" s="9">
        <f>IF(OR(R252="",T252="",U252="",U252=0),"",ROUND(R252*T252/U252,3))</f>
        <v/>
      </c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12">
        <f>IF(A252="","",IF(OR(B252="",C252="",D252="",E252="",H252="",O252="",T252="",U252=""),"必填欄位未完整",""))</f>
        <v/>
      </c>
      <c r="AI252" s="12">
        <f>IF(A252="","",A252&amp;"|"&amp;G252)</f>
        <v/>
      </c>
      <c r="AJ252" s="12">
        <f>IF(A252="","",A252&amp;"|"&amp;H252)</f>
        <v/>
      </c>
    </row>
    <row r="253" ht="24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8" t="n"/>
      <c r="P253" s="8" t="n"/>
      <c r="Q253" s="8" t="n"/>
      <c r="R253" s="13">
        <f>IF(O253="","",SUM(O253:Q253))</f>
        <v/>
      </c>
      <c r="S253" s="9">
        <f>IF(R253="","",ROUND(R253/3.305785,3))</f>
        <v/>
      </c>
      <c r="T253" s="7" t="n"/>
      <c r="U253" s="7" t="n"/>
      <c r="V253" s="10">
        <f>IF(OR(T253="",U253="",U253=0),"",ROUND(T253/U253,6))</f>
        <v/>
      </c>
      <c r="W253" s="9">
        <f>IF(OR(R253="",T253="",U253="",U253=0),"",ROUND(R253*T253/U253,3))</f>
        <v/>
      </c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12">
        <f>IF(A253="","",IF(OR(B253="",C253="",D253="",E253="",H253="",O253="",T253="",U253=""),"必填欄位未完整",""))</f>
        <v/>
      </c>
      <c r="AI253" s="12">
        <f>IF(A253="","",A253&amp;"|"&amp;G253)</f>
        <v/>
      </c>
      <c r="AJ253" s="12">
        <f>IF(A253="","",A253&amp;"|"&amp;H253)</f>
        <v/>
      </c>
    </row>
    <row r="254" ht="24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8" t="n"/>
      <c r="P254" s="8" t="n"/>
      <c r="Q254" s="8" t="n"/>
      <c r="R254" s="13">
        <f>IF(O254="","",SUM(O254:Q254))</f>
        <v/>
      </c>
      <c r="S254" s="9">
        <f>IF(R254="","",ROUND(R254/3.305785,3))</f>
        <v/>
      </c>
      <c r="T254" s="7" t="n"/>
      <c r="U254" s="7" t="n"/>
      <c r="V254" s="10">
        <f>IF(OR(T254="",U254="",U254=0),"",ROUND(T254/U254,6))</f>
        <v/>
      </c>
      <c r="W254" s="9">
        <f>IF(OR(R254="",T254="",U254="",U254=0),"",ROUND(R254*T254/U254,3))</f>
        <v/>
      </c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12">
        <f>IF(A254="","",IF(OR(B254="",C254="",D254="",E254="",H254="",O254="",T254="",U254=""),"必填欄位未完整",""))</f>
        <v/>
      </c>
      <c r="AI254" s="12">
        <f>IF(A254="","",A254&amp;"|"&amp;G254)</f>
        <v/>
      </c>
      <c r="AJ254" s="12">
        <f>IF(A254="","",A254&amp;"|"&amp;H254)</f>
        <v/>
      </c>
    </row>
    <row r="255" ht="24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8" t="n"/>
      <c r="P255" s="8" t="n"/>
      <c r="Q255" s="8" t="n"/>
      <c r="R255" s="13">
        <f>IF(O255="","",SUM(O255:Q255))</f>
        <v/>
      </c>
      <c r="S255" s="9">
        <f>IF(R255="","",ROUND(R255/3.305785,3))</f>
        <v/>
      </c>
      <c r="T255" s="7" t="n"/>
      <c r="U255" s="7" t="n"/>
      <c r="V255" s="10">
        <f>IF(OR(T255="",U255="",U255=0),"",ROUND(T255/U255,6))</f>
        <v/>
      </c>
      <c r="W255" s="9">
        <f>IF(OR(R255="",T255="",U255="",U255=0),"",ROUND(R255*T255/U255,3))</f>
        <v/>
      </c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12">
        <f>IF(A255="","",IF(OR(B255="",C255="",D255="",E255="",H255="",O255="",T255="",U255=""),"必填欄位未完整",""))</f>
        <v/>
      </c>
      <c r="AI255" s="12">
        <f>IF(A255="","",A255&amp;"|"&amp;G255)</f>
        <v/>
      </c>
      <c r="AJ255" s="12">
        <f>IF(A255="","",A255&amp;"|"&amp;H255)</f>
        <v/>
      </c>
    </row>
    <row r="256" ht="24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8" t="n"/>
      <c r="P256" s="8" t="n"/>
      <c r="Q256" s="8" t="n"/>
      <c r="R256" s="13">
        <f>IF(O256="","",SUM(O256:Q256))</f>
        <v/>
      </c>
      <c r="S256" s="9">
        <f>IF(R256="","",ROUND(R256/3.305785,3))</f>
        <v/>
      </c>
      <c r="T256" s="7" t="n"/>
      <c r="U256" s="7" t="n"/>
      <c r="V256" s="10">
        <f>IF(OR(T256="",U256="",U256=0),"",ROUND(T256/U256,6))</f>
        <v/>
      </c>
      <c r="W256" s="9">
        <f>IF(OR(R256="",T256="",U256="",U256=0),"",ROUND(R256*T256/U256,3))</f>
        <v/>
      </c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12">
        <f>IF(A256="","",IF(OR(B256="",C256="",D256="",E256="",H256="",O256="",T256="",U256=""),"必填欄位未完整",""))</f>
        <v/>
      </c>
      <c r="AI256" s="12">
        <f>IF(A256="","",A256&amp;"|"&amp;G256)</f>
        <v/>
      </c>
      <c r="AJ256" s="12">
        <f>IF(A256="","",A256&amp;"|"&amp;H256)</f>
        <v/>
      </c>
    </row>
    <row r="257" ht="24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8" t="n"/>
      <c r="P257" s="8" t="n"/>
      <c r="Q257" s="8" t="n"/>
      <c r="R257" s="13">
        <f>IF(O257="","",SUM(O257:Q257))</f>
        <v/>
      </c>
      <c r="S257" s="9">
        <f>IF(R257="","",ROUND(R257/3.305785,3))</f>
        <v/>
      </c>
      <c r="T257" s="7" t="n"/>
      <c r="U257" s="7" t="n"/>
      <c r="V257" s="10">
        <f>IF(OR(T257="",U257="",U257=0),"",ROUND(T257/U257,6))</f>
        <v/>
      </c>
      <c r="W257" s="9">
        <f>IF(OR(R257="",T257="",U257="",U257=0),"",ROUND(R257*T257/U257,3))</f>
        <v/>
      </c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12">
        <f>IF(A257="","",IF(OR(B257="",C257="",D257="",E257="",H257="",O257="",T257="",U257=""),"必填欄位未完整",""))</f>
        <v/>
      </c>
      <c r="AI257" s="12">
        <f>IF(A257="","",A257&amp;"|"&amp;G257)</f>
        <v/>
      </c>
      <c r="AJ257" s="12">
        <f>IF(A257="","",A257&amp;"|"&amp;H257)</f>
        <v/>
      </c>
    </row>
    <row r="258" ht="24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8" t="n"/>
      <c r="P258" s="8" t="n"/>
      <c r="Q258" s="8" t="n"/>
      <c r="R258" s="13">
        <f>IF(O258="","",SUM(O258:Q258))</f>
        <v/>
      </c>
      <c r="S258" s="9">
        <f>IF(R258="","",ROUND(R258/3.305785,3))</f>
        <v/>
      </c>
      <c r="T258" s="7" t="n"/>
      <c r="U258" s="7" t="n"/>
      <c r="V258" s="10">
        <f>IF(OR(T258="",U258="",U258=0),"",ROUND(T258/U258,6))</f>
        <v/>
      </c>
      <c r="W258" s="9">
        <f>IF(OR(R258="",T258="",U258="",U258=0),"",ROUND(R258*T258/U258,3))</f>
        <v/>
      </c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12">
        <f>IF(A258="","",IF(OR(B258="",C258="",D258="",E258="",H258="",O258="",T258="",U258=""),"必填欄位未完整",""))</f>
        <v/>
      </c>
      <c r="AI258" s="12">
        <f>IF(A258="","",A258&amp;"|"&amp;G258)</f>
        <v/>
      </c>
      <c r="AJ258" s="12">
        <f>IF(A258="","",A258&amp;"|"&amp;H258)</f>
        <v/>
      </c>
    </row>
    <row r="259" ht="24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8" t="n"/>
      <c r="P259" s="8" t="n"/>
      <c r="Q259" s="8" t="n"/>
      <c r="R259" s="13">
        <f>IF(O259="","",SUM(O259:Q259))</f>
        <v/>
      </c>
      <c r="S259" s="9">
        <f>IF(R259="","",ROUND(R259/3.305785,3))</f>
        <v/>
      </c>
      <c r="T259" s="7" t="n"/>
      <c r="U259" s="7" t="n"/>
      <c r="V259" s="10">
        <f>IF(OR(T259="",U259="",U259=0),"",ROUND(T259/U259,6))</f>
        <v/>
      </c>
      <c r="W259" s="9">
        <f>IF(OR(R259="",T259="",U259="",U259=0),"",ROUND(R259*T259/U259,3))</f>
        <v/>
      </c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12">
        <f>IF(A259="","",IF(OR(B259="",C259="",D259="",E259="",H259="",O259="",T259="",U259=""),"必填欄位未完整",""))</f>
        <v/>
      </c>
      <c r="AI259" s="12">
        <f>IF(A259="","",A259&amp;"|"&amp;G259)</f>
        <v/>
      </c>
      <c r="AJ259" s="12">
        <f>IF(A259="","",A259&amp;"|"&amp;H259)</f>
        <v/>
      </c>
    </row>
    <row r="260" ht="24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8" t="n"/>
      <c r="P260" s="8" t="n"/>
      <c r="Q260" s="8" t="n"/>
      <c r="R260" s="13">
        <f>IF(O260="","",SUM(O260:Q260))</f>
        <v/>
      </c>
      <c r="S260" s="9">
        <f>IF(R260="","",ROUND(R260/3.305785,3))</f>
        <v/>
      </c>
      <c r="T260" s="7" t="n"/>
      <c r="U260" s="7" t="n"/>
      <c r="V260" s="10">
        <f>IF(OR(T260="",U260="",U260=0),"",ROUND(T260/U260,6))</f>
        <v/>
      </c>
      <c r="W260" s="9">
        <f>IF(OR(R260="",T260="",U260="",U260=0),"",ROUND(R260*T260/U260,3))</f>
        <v/>
      </c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12">
        <f>IF(A260="","",IF(OR(B260="",C260="",D260="",E260="",H260="",O260="",T260="",U260=""),"必填欄位未完整",""))</f>
        <v/>
      </c>
      <c r="AI260" s="12">
        <f>IF(A260="","",A260&amp;"|"&amp;G260)</f>
        <v/>
      </c>
      <c r="AJ260" s="12">
        <f>IF(A260="","",A260&amp;"|"&amp;H260)</f>
        <v/>
      </c>
    </row>
    <row r="261" ht="24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8" t="n"/>
      <c r="P261" s="8" t="n"/>
      <c r="Q261" s="8" t="n"/>
      <c r="R261" s="13">
        <f>IF(O261="","",SUM(O261:Q261))</f>
        <v/>
      </c>
      <c r="S261" s="9">
        <f>IF(R261="","",ROUND(R261/3.305785,3))</f>
        <v/>
      </c>
      <c r="T261" s="7" t="n"/>
      <c r="U261" s="7" t="n"/>
      <c r="V261" s="10">
        <f>IF(OR(T261="",U261="",U261=0),"",ROUND(T261/U261,6))</f>
        <v/>
      </c>
      <c r="W261" s="9">
        <f>IF(OR(R261="",T261="",U261="",U261=0),"",ROUND(R261*T261/U261,3))</f>
        <v/>
      </c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12">
        <f>IF(A261="","",IF(OR(B261="",C261="",D261="",E261="",H261="",O261="",T261="",U261=""),"必填欄位未完整",""))</f>
        <v/>
      </c>
      <c r="AI261" s="12">
        <f>IF(A261="","",A261&amp;"|"&amp;G261)</f>
        <v/>
      </c>
      <c r="AJ261" s="12">
        <f>IF(A261="","",A261&amp;"|"&amp;H261)</f>
        <v/>
      </c>
    </row>
    <row r="262" ht="24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8" t="n"/>
      <c r="P262" s="8" t="n"/>
      <c r="Q262" s="8" t="n"/>
      <c r="R262" s="13">
        <f>IF(O262="","",SUM(O262:Q262))</f>
        <v/>
      </c>
      <c r="S262" s="9">
        <f>IF(R262="","",ROUND(R262/3.305785,3))</f>
        <v/>
      </c>
      <c r="T262" s="7" t="n"/>
      <c r="U262" s="7" t="n"/>
      <c r="V262" s="10">
        <f>IF(OR(T262="",U262="",U262=0),"",ROUND(T262/U262,6))</f>
        <v/>
      </c>
      <c r="W262" s="9">
        <f>IF(OR(R262="",T262="",U262="",U262=0),"",ROUND(R262*T262/U262,3))</f>
        <v/>
      </c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12">
        <f>IF(A262="","",IF(OR(B262="",C262="",D262="",E262="",H262="",O262="",T262="",U262=""),"必填欄位未完整",""))</f>
        <v/>
      </c>
      <c r="AI262" s="12">
        <f>IF(A262="","",A262&amp;"|"&amp;G262)</f>
        <v/>
      </c>
      <c r="AJ262" s="12">
        <f>IF(A262="","",A262&amp;"|"&amp;H262)</f>
        <v/>
      </c>
    </row>
    <row r="263" ht="24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8" t="n"/>
      <c r="P263" s="8" t="n"/>
      <c r="Q263" s="8" t="n"/>
      <c r="R263" s="13">
        <f>IF(O263="","",SUM(O263:Q263))</f>
        <v/>
      </c>
      <c r="S263" s="9">
        <f>IF(R263="","",ROUND(R263/3.305785,3))</f>
        <v/>
      </c>
      <c r="T263" s="7" t="n"/>
      <c r="U263" s="7" t="n"/>
      <c r="V263" s="10">
        <f>IF(OR(T263="",U263="",U263=0),"",ROUND(T263/U263,6))</f>
        <v/>
      </c>
      <c r="W263" s="9">
        <f>IF(OR(R263="",T263="",U263="",U263=0),"",ROUND(R263*T263/U263,3))</f>
        <v/>
      </c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12">
        <f>IF(A263="","",IF(OR(B263="",C263="",D263="",E263="",H263="",O263="",T263="",U263=""),"必填欄位未完整",""))</f>
        <v/>
      </c>
      <c r="AI263" s="12">
        <f>IF(A263="","",A263&amp;"|"&amp;G263)</f>
        <v/>
      </c>
      <c r="AJ263" s="12">
        <f>IF(A263="","",A263&amp;"|"&amp;H263)</f>
        <v/>
      </c>
    </row>
    <row r="264" ht="24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8" t="n"/>
      <c r="P264" s="8" t="n"/>
      <c r="Q264" s="8" t="n"/>
      <c r="R264" s="13">
        <f>IF(O264="","",SUM(O264:Q264))</f>
        <v/>
      </c>
      <c r="S264" s="9">
        <f>IF(R264="","",ROUND(R264/3.305785,3))</f>
        <v/>
      </c>
      <c r="T264" s="7" t="n"/>
      <c r="U264" s="7" t="n"/>
      <c r="V264" s="10">
        <f>IF(OR(T264="",U264="",U264=0),"",ROUND(T264/U264,6))</f>
        <v/>
      </c>
      <c r="W264" s="9">
        <f>IF(OR(R264="",T264="",U264="",U264=0),"",ROUND(R264*T264/U264,3))</f>
        <v/>
      </c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12">
        <f>IF(A264="","",IF(OR(B264="",C264="",D264="",E264="",H264="",O264="",T264="",U264=""),"必填欄位未完整",""))</f>
        <v/>
      </c>
      <c r="AI264" s="12">
        <f>IF(A264="","",A264&amp;"|"&amp;G264)</f>
        <v/>
      </c>
      <c r="AJ264" s="12">
        <f>IF(A264="","",A264&amp;"|"&amp;H264)</f>
        <v/>
      </c>
    </row>
    <row r="265" ht="24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8" t="n"/>
      <c r="P265" s="8" t="n"/>
      <c r="Q265" s="8" t="n"/>
      <c r="R265" s="13">
        <f>IF(O265="","",SUM(O265:Q265))</f>
        <v/>
      </c>
      <c r="S265" s="9">
        <f>IF(R265="","",ROUND(R265/3.305785,3))</f>
        <v/>
      </c>
      <c r="T265" s="7" t="n"/>
      <c r="U265" s="7" t="n"/>
      <c r="V265" s="10">
        <f>IF(OR(T265="",U265="",U265=0),"",ROUND(T265/U265,6))</f>
        <v/>
      </c>
      <c r="W265" s="9">
        <f>IF(OR(R265="",T265="",U265="",U265=0),"",ROUND(R265*T265/U265,3))</f>
        <v/>
      </c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12">
        <f>IF(A265="","",IF(OR(B265="",C265="",D265="",E265="",H265="",O265="",T265="",U265=""),"必填欄位未完整",""))</f>
        <v/>
      </c>
      <c r="AI265" s="12">
        <f>IF(A265="","",A265&amp;"|"&amp;G265)</f>
        <v/>
      </c>
      <c r="AJ265" s="12">
        <f>IF(A265="","",A265&amp;"|"&amp;H265)</f>
        <v/>
      </c>
    </row>
    <row r="266" ht="24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8" t="n"/>
      <c r="P266" s="8" t="n"/>
      <c r="Q266" s="8" t="n"/>
      <c r="R266" s="13">
        <f>IF(O266="","",SUM(O266:Q266))</f>
        <v/>
      </c>
      <c r="S266" s="9">
        <f>IF(R266="","",ROUND(R266/3.305785,3))</f>
        <v/>
      </c>
      <c r="T266" s="7" t="n"/>
      <c r="U266" s="7" t="n"/>
      <c r="V266" s="10">
        <f>IF(OR(T266="",U266="",U266=0),"",ROUND(T266/U266,6))</f>
        <v/>
      </c>
      <c r="W266" s="9">
        <f>IF(OR(R266="",T266="",U266="",U266=0),"",ROUND(R266*T266/U266,3))</f>
        <v/>
      </c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12">
        <f>IF(A266="","",IF(OR(B266="",C266="",D266="",E266="",H266="",O266="",T266="",U266=""),"必填欄位未完整",""))</f>
        <v/>
      </c>
      <c r="AI266" s="12">
        <f>IF(A266="","",A266&amp;"|"&amp;G266)</f>
        <v/>
      </c>
      <c r="AJ266" s="12">
        <f>IF(A266="","",A266&amp;"|"&amp;H266)</f>
        <v/>
      </c>
    </row>
    <row r="267" ht="24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8" t="n"/>
      <c r="P267" s="8" t="n"/>
      <c r="Q267" s="8" t="n"/>
      <c r="R267" s="13">
        <f>IF(O267="","",SUM(O267:Q267))</f>
        <v/>
      </c>
      <c r="S267" s="9">
        <f>IF(R267="","",ROUND(R267/3.305785,3))</f>
        <v/>
      </c>
      <c r="T267" s="7" t="n"/>
      <c r="U267" s="7" t="n"/>
      <c r="V267" s="10">
        <f>IF(OR(T267="",U267="",U267=0),"",ROUND(T267/U267,6))</f>
        <v/>
      </c>
      <c r="W267" s="9">
        <f>IF(OR(R267="",T267="",U267="",U267=0),"",ROUND(R267*T267/U267,3))</f>
        <v/>
      </c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12">
        <f>IF(A267="","",IF(OR(B267="",C267="",D267="",E267="",H267="",O267="",T267="",U267=""),"必填欄位未完整",""))</f>
        <v/>
      </c>
      <c r="AI267" s="12">
        <f>IF(A267="","",A267&amp;"|"&amp;G267)</f>
        <v/>
      </c>
      <c r="AJ267" s="12">
        <f>IF(A267="","",A267&amp;"|"&amp;H267)</f>
        <v/>
      </c>
    </row>
    <row r="268" ht="24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8" t="n"/>
      <c r="P268" s="8" t="n"/>
      <c r="Q268" s="8" t="n"/>
      <c r="R268" s="13">
        <f>IF(O268="","",SUM(O268:Q268))</f>
        <v/>
      </c>
      <c r="S268" s="9">
        <f>IF(R268="","",ROUND(R268/3.305785,3))</f>
        <v/>
      </c>
      <c r="T268" s="7" t="n"/>
      <c r="U268" s="7" t="n"/>
      <c r="V268" s="10">
        <f>IF(OR(T268="",U268="",U268=0),"",ROUND(T268/U268,6))</f>
        <v/>
      </c>
      <c r="W268" s="9">
        <f>IF(OR(R268="",T268="",U268="",U268=0),"",ROUND(R268*T268/U268,3))</f>
        <v/>
      </c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12">
        <f>IF(A268="","",IF(OR(B268="",C268="",D268="",E268="",H268="",O268="",T268="",U268=""),"必填欄位未完整",""))</f>
        <v/>
      </c>
      <c r="AI268" s="12">
        <f>IF(A268="","",A268&amp;"|"&amp;G268)</f>
        <v/>
      </c>
      <c r="AJ268" s="12">
        <f>IF(A268="","",A268&amp;"|"&amp;H268)</f>
        <v/>
      </c>
    </row>
    <row r="269" ht="24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8" t="n"/>
      <c r="P269" s="8" t="n"/>
      <c r="Q269" s="8" t="n"/>
      <c r="R269" s="13">
        <f>IF(O269="","",SUM(O269:Q269))</f>
        <v/>
      </c>
      <c r="S269" s="9">
        <f>IF(R269="","",ROUND(R269/3.305785,3))</f>
        <v/>
      </c>
      <c r="T269" s="7" t="n"/>
      <c r="U269" s="7" t="n"/>
      <c r="V269" s="10">
        <f>IF(OR(T269="",U269="",U269=0),"",ROUND(T269/U269,6))</f>
        <v/>
      </c>
      <c r="W269" s="9">
        <f>IF(OR(R269="",T269="",U269="",U269=0),"",ROUND(R269*T269/U269,3))</f>
        <v/>
      </c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12">
        <f>IF(A269="","",IF(OR(B269="",C269="",D269="",E269="",H269="",O269="",T269="",U269=""),"必填欄位未完整",""))</f>
        <v/>
      </c>
      <c r="AI269" s="12">
        <f>IF(A269="","",A269&amp;"|"&amp;G269)</f>
        <v/>
      </c>
      <c r="AJ269" s="12">
        <f>IF(A269="","",A269&amp;"|"&amp;H269)</f>
        <v/>
      </c>
    </row>
    <row r="270" ht="24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8" t="n"/>
      <c r="P270" s="8" t="n"/>
      <c r="Q270" s="8" t="n"/>
      <c r="R270" s="13">
        <f>IF(O270="","",SUM(O270:Q270))</f>
        <v/>
      </c>
      <c r="S270" s="9">
        <f>IF(R270="","",ROUND(R270/3.305785,3))</f>
        <v/>
      </c>
      <c r="T270" s="7" t="n"/>
      <c r="U270" s="7" t="n"/>
      <c r="V270" s="10">
        <f>IF(OR(T270="",U270="",U270=0),"",ROUND(T270/U270,6))</f>
        <v/>
      </c>
      <c r="W270" s="9">
        <f>IF(OR(R270="",T270="",U270="",U270=0),"",ROUND(R270*T270/U270,3))</f>
        <v/>
      </c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12">
        <f>IF(A270="","",IF(OR(B270="",C270="",D270="",E270="",H270="",O270="",T270="",U270=""),"必填欄位未完整",""))</f>
        <v/>
      </c>
      <c r="AI270" s="12">
        <f>IF(A270="","",A270&amp;"|"&amp;G270)</f>
        <v/>
      </c>
      <c r="AJ270" s="12">
        <f>IF(A270="","",A270&amp;"|"&amp;H270)</f>
        <v/>
      </c>
    </row>
    <row r="271" ht="24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8" t="n"/>
      <c r="P271" s="8" t="n"/>
      <c r="Q271" s="8" t="n"/>
      <c r="R271" s="13">
        <f>IF(O271="","",SUM(O271:Q271))</f>
        <v/>
      </c>
      <c r="S271" s="9">
        <f>IF(R271="","",ROUND(R271/3.305785,3))</f>
        <v/>
      </c>
      <c r="T271" s="7" t="n"/>
      <c r="U271" s="7" t="n"/>
      <c r="V271" s="10">
        <f>IF(OR(T271="",U271="",U271=0),"",ROUND(T271/U271,6))</f>
        <v/>
      </c>
      <c r="W271" s="9">
        <f>IF(OR(R271="",T271="",U271="",U271=0),"",ROUND(R271*T271/U271,3))</f>
        <v/>
      </c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12">
        <f>IF(A271="","",IF(OR(B271="",C271="",D271="",E271="",H271="",O271="",T271="",U271=""),"必填欄位未完整",""))</f>
        <v/>
      </c>
      <c r="AI271" s="12">
        <f>IF(A271="","",A271&amp;"|"&amp;G271)</f>
        <v/>
      </c>
      <c r="AJ271" s="12">
        <f>IF(A271="","",A271&amp;"|"&amp;H271)</f>
        <v/>
      </c>
    </row>
    <row r="272" ht="24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8" t="n"/>
      <c r="P272" s="8" t="n"/>
      <c r="Q272" s="8" t="n"/>
      <c r="R272" s="13">
        <f>IF(O272="","",SUM(O272:Q272))</f>
        <v/>
      </c>
      <c r="S272" s="9">
        <f>IF(R272="","",ROUND(R272/3.305785,3))</f>
        <v/>
      </c>
      <c r="T272" s="7" t="n"/>
      <c r="U272" s="7" t="n"/>
      <c r="V272" s="10">
        <f>IF(OR(T272="",U272="",U272=0),"",ROUND(T272/U272,6))</f>
        <v/>
      </c>
      <c r="W272" s="9">
        <f>IF(OR(R272="",T272="",U272="",U272=0),"",ROUND(R272*T272/U272,3))</f>
        <v/>
      </c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12">
        <f>IF(A272="","",IF(OR(B272="",C272="",D272="",E272="",H272="",O272="",T272="",U272=""),"必填欄位未完整",""))</f>
        <v/>
      </c>
      <c r="AI272" s="12">
        <f>IF(A272="","",A272&amp;"|"&amp;G272)</f>
        <v/>
      </c>
      <c r="AJ272" s="12">
        <f>IF(A272="","",A272&amp;"|"&amp;H272)</f>
        <v/>
      </c>
    </row>
    <row r="273" ht="24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8" t="n"/>
      <c r="P273" s="8" t="n"/>
      <c r="Q273" s="8" t="n"/>
      <c r="R273" s="13">
        <f>IF(O273="","",SUM(O273:Q273))</f>
        <v/>
      </c>
      <c r="S273" s="9">
        <f>IF(R273="","",ROUND(R273/3.305785,3))</f>
        <v/>
      </c>
      <c r="T273" s="7" t="n"/>
      <c r="U273" s="7" t="n"/>
      <c r="V273" s="10">
        <f>IF(OR(T273="",U273="",U273=0),"",ROUND(T273/U273,6))</f>
        <v/>
      </c>
      <c r="W273" s="9">
        <f>IF(OR(R273="",T273="",U273="",U273=0),"",ROUND(R273*T273/U273,3))</f>
        <v/>
      </c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12">
        <f>IF(A273="","",IF(OR(B273="",C273="",D273="",E273="",H273="",O273="",T273="",U273=""),"必填欄位未完整",""))</f>
        <v/>
      </c>
      <c r="AI273" s="12">
        <f>IF(A273="","",A273&amp;"|"&amp;G273)</f>
        <v/>
      </c>
      <c r="AJ273" s="12">
        <f>IF(A273="","",A273&amp;"|"&amp;H273)</f>
        <v/>
      </c>
    </row>
    <row r="274" ht="24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8" t="n"/>
      <c r="P274" s="8" t="n"/>
      <c r="Q274" s="8" t="n"/>
      <c r="R274" s="13">
        <f>IF(O274="","",SUM(O274:Q274))</f>
        <v/>
      </c>
      <c r="S274" s="9">
        <f>IF(R274="","",ROUND(R274/3.305785,3))</f>
        <v/>
      </c>
      <c r="T274" s="7" t="n"/>
      <c r="U274" s="7" t="n"/>
      <c r="V274" s="10">
        <f>IF(OR(T274="",U274="",U274=0),"",ROUND(T274/U274,6))</f>
        <v/>
      </c>
      <c r="W274" s="9">
        <f>IF(OR(R274="",T274="",U274="",U274=0),"",ROUND(R274*T274/U274,3))</f>
        <v/>
      </c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12">
        <f>IF(A274="","",IF(OR(B274="",C274="",D274="",E274="",H274="",O274="",T274="",U274=""),"必填欄位未完整",""))</f>
        <v/>
      </c>
      <c r="AI274" s="12">
        <f>IF(A274="","",A274&amp;"|"&amp;G274)</f>
        <v/>
      </c>
      <c r="AJ274" s="12">
        <f>IF(A274="","",A274&amp;"|"&amp;H274)</f>
        <v/>
      </c>
    </row>
    <row r="275" ht="24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8" t="n"/>
      <c r="P275" s="8" t="n"/>
      <c r="Q275" s="8" t="n"/>
      <c r="R275" s="13">
        <f>IF(O275="","",SUM(O275:Q275))</f>
        <v/>
      </c>
      <c r="S275" s="9">
        <f>IF(R275="","",ROUND(R275/3.305785,3))</f>
        <v/>
      </c>
      <c r="T275" s="7" t="n"/>
      <c r="U275" s="7" t="n"/>
      <c r="V275" s="10">
        <f>IF(OR(T275="",U275="",U275=0),"",ROUND(T275/U275,6))</f>
        <v/>
      </c>
      <c r="W275" s="9">
        <f>IF(OR(R275="",T275="",U275="",U275=0),"",ROUND(R275*T275/U275,3))</f>
        <v/>
      </c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12">
        <f>IF(A275="","",IF(OR(B275="",C275="",D275="",E275="",H275="",O275="",T275="",U275=""),"必填欄位未完整",""))</f>
        <v/>
      </c>
      <c r="AI275" s="12">
        <f>IF(A275="","",A275&amp;"|"&amp;G275)</f>
        <v/>
      </c>
      <c r="AJ275" s="12">
        <f>IF(A275="","",A275&amp;"|"&amp;H275)</f>
        <v/>
      </c>
    </row>
    <row r="276" ht="24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8" t="n"/>
      <c r="P276" s="8" t="n"/>
      <c r="Q276" s="8" t="n"/>
      <c r="R276" s="13">
        <f>IF(O276="","",SUM(O276:Q276))</f>
        <v/>
      </c>
      <c r="S276" s="9">
        <f>IF(R276="","",ROUND(R276/3.305785,3))</f>
        <v/>
      </c>
      <c r="T276" s="7" t="n"/>
      <c r="U276" s="7" t="n"/>
      <c r="V276" s="10">
        <f>IF(OR(T276="",U276="",U276=0),"",ROUND(T276/U276,6))</f>
        <v/>
      </c>
      <c r="W276" s="9">
        <f>IF(OR(R276="",T276="",U276="",U276=0),"",ROUND(R276*T276/U276,3))</f>
        <v/>
      </c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12">
        <f>IF(A276="","",IF(OR(B276="",C276="",D276="",E276="",H276="",O276="",T276="",U276=""),"必填欄位未完整",""))</f>
        <v/>
      </c>
      <c r="AI276" s="12">
        <f>IF(A276="","",A276&amp;"|"&amp;G276)</f>
        <v/>
      </c>
      <c r="AJ276" s="12">
        <f>IF(A276="","",A276&amp;"|"&amp;H276)</f>
        <v/>
      </c>
    </row>
    <row r="277" ht="24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8" t="n"/>
      <c r="P277" s="8" t="n"/>
      <c r="Q277" s="8" t="n"/>
      <c r="R277" s="13">
        <f>IF(O277="","",SUM(O277:Q277))</f>
        <v/>
      </c>
      <c r="S277" s="9">
        <f>IF(R277="","",ROUND(R277/3.305785,3))</f>
        <v/>
      </c>
      <c r="T277" s="7" t="n"/>
      <c r="U277" s="7" t="n"/>
      <c r="V277" s="10">
        <f>IF(OR(T277="",U277="",U277=0),"",ROUND(T277/U277,6))</f>
        <v/>
      </c>
      <c r="W277" s="9">
        <f>IF(OR(R277="",T277="",U277="",U277=0),"",ROUND(R277*T277/U277,3))</f>
        <v/>
      </c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12">
        <f>IF(A277="","",IF(OR(B277="",C277="",D277="",E277="",H277="",O277="",T277="",U277=""),"必填欄位未完整",""))</f>
        <v/>
      </c>
      <c r="AI277" s="12">
        <f>IF(A277="","",A277&amp;"|"&amp;G277)</f>
        <v/>
      </c>
      <c r="AJ277" s="12">
        <f>IF(A277="","",A277&amp;"|"&amp;H277)</f>
        <v/>
      </c>
    </row>
    <row r="278" ht="24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8" t="n"/>
      <c r="P278" s="8" t="n"/>
      <c r="Q278" s="8" t="n"/>
      <c r="R278" s="13">
        <f>IF(O278="","",SUM(O278:Q278))</f>
        <v/>
      </c>
      <c r="S278" s="9">
        <f>IF(R278="","",ROUND(R278/3.305785,3))</f>
        <v/>
      </c>
      <c r="T278" s="7" t="n"/>
      <c r="U278" s="7" t="n"/>
      <c r="V278" s="10">
        <f>IF(OR(T278="",U278="",U278=0),"",ROUND(T278/U278,6))</f>
        <v/>
      </c>
      <c r="W278" s="9">
        <f>IF(OR(R278="",T278="",U278="",U278=0),"",ROUND(R278*T278/U278,3))</f>
        <v/>
      </c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12">
        <f>IF(A278="","",IF(OR(B278="",C278="",D278="",E278="",H278="",O278="",T278="",U278=""),"必填欄位未完整",""))</f>
        <v/>
      </c>
      <c r="AI278" s="12">
        <f>IF(A278="","",A278&amp;"|"&amp;G278)</f>
        <v/>
      </c>
      <c r="AJ278" s="12">
        <f>IF(A278="","",A278&amp;"|"&amp;H278)</f>
        <v/>
      </c>
    </row>
    <row r="279" ht="24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8" t="n"/>
      <c r="P279" s="8" t="n"/>
      <c r="Q279" s="8" t="n"/>
      <c r="R279" s="13">
        <f>IF(O279="","",SUM(O279:Q279))</f>
        <v/>
      </c>
      <c r="S279" s="9">
        <f>IF(R279="","",ROUND(R279/3.305785,3))</f>
        <v/>
      </c>
      <c r="T279" s="7" t="n"/>
      <c r="U279" s="7" t="n"/>
      <c r="V279" s="10">
        <f>IF(OR(T279="",U279="",U279=0),"",ROUND(T279/U279,6))</f>
        <v/>
      </c>
      <c r="W279" s="9">
        <f>IF(OR(R279="",T279="",U279="",U279=0),"",ROUND(R279*T279/U279,3))</f>
        <v/>
      </c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12">
        <f>IF(A279="","",IF(OR(B279="",C279="",D279="",E279="",H279="",O279="",T279="",U279=""),"必填欄位未完整",""))</f>
        <v/>
      </c>
      <c r="AI279" s="12">
        <f>IF(A279="","",A279&amp;"|"&amp;G279)</f>
        <v/>
      </c>
      <c r="AJ279" s="12">
        <f>IF(A279="","",A279&amp;"|"&amp;H279)</f>
        <v/>
      </c>
    </row>
    <row r="280" ht="24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8" t="n"/>
      <c r="P280" s="8" t="n"/>
      <c r="Q280" s="8" t="n"/>
      <c r="R280" s="13">
        <f>IF(O280="","",SUM(O280:Q280))</f>
        <v/>
      </c>
      <c r="S280" s="9">
        <f>IF(R280="","",ROUND(R280/3.305785,3))</f>
        <v/>
      </c>
      <c r="T280" s="7" t="n"/>
      <c r="U280" s="7" t="n"/>
      <c r="V280" s="10">
        <f>IF(OR(T280="",U280="",U280=0),"",ROUND(T280/U280,6))</f>
        <v/>
      </c>
      <c r="W280" s="9">
        <f>IF(OR(R280="",T280="",U280="",U280=0),"",ROUND(R280*T280/U280,3))</f>
        <v/>
      </c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12">
        <f>IF(A280="","",IF(OR(B280="",C280="",D280="",E280="",H280="",O280="",T280="",U280=""),"必填欄位未完整",""))</f>
        <v/>
      </c>
      <c r="AI280" s="12">
        <f>IF(A280="","",A280&amp;"|"&amp;G280)</f>
        <v/>
      </c>
      <c r="AJ280" s="12">
        <f>IF(A280="","",A280&amp;"|"&amp;H280)</f>
        <v/>
      </c>
    </row>
    <row r="281" ht="24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8" t="n"/>
      <c r="P281" s="8" t="n"/>
      <c r="Q281" s="8" t="n"/>
      <c r="R281" s="13">
        <f>IF(O281="","",SUM(O281:Q281))</f>
        <v/>
      </c>
      <c r="S281" s="9">
        <f>IF(R281="","",ROUND(R281/3.305785,3))</f>
        <v/>
      </c>
      <c r="T281" s="7" t="n"/>
      <c r="U281" s="7" t="n"/>
      <c r="V281" s="10">
        <f>IF(OR(T281="",U281="",U281=0),"",ROUND(T281/U281,6))</f>
        <v/>
      </c>
      <c r="W281" s="9">
        <f>IF(OR(R281="",T281="",U281="",U281=0),"",ROUND(R281*T281/U281,3))</f>
        <v/>
      </c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12">
        <f>IF(A281="","",IF(OR(B281="",C281="",D281="",E281="",H281="",O281="",T281="",U281=""),"必填欄位未完整",""))</f>
        <v/>
      </c>
      <c r="AI281" s="12">
        <f>IF(A281="","",A281&amp;"|"&amp;G281)</f>
        <v/>
      </c>
      <c r="AJ281" s="12">
        <f>IF(A281="","",A281&amp;"|"&amp;H281)</f>
        <v/>
      </c>
    </row>
    <row r="282" ht="24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8" t="n"/>
      <c r="P282" s="8" t="n"/>
      <c r="Q282" s="8" t="n"/>
      <c r="R282" s="13">
        <f>IF(O282="","",SUM(O282:Q282))</f>
        <v/>
      </c>
      <c r="S282" s="9">
        <f>IF(R282="","",ROUND(R282/3.305785,3))</f>
        <v/>
      </c>
      <c r="T282" s="7" t="n"/>
      <c r="U282" s="7" t="n"/>
      <c r="V282" s="10">
        <f>IF(OR(T282="",U282="",U282=0),"",ROUND(T282/U282,6))</f>
        <v/>
      </c>
      <c r="W282" s="9">
        <f>IF(OR(R282="",T282="",U282="",U282=0),"",ROUND(R282*T282/U282,3))</f>
        <v/>
      </c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12">
        <f>IF(A282="","",IF(OR(B282="",C282="",D282="",E282="",H282="",O282="",T282="",U282=""),"必填欄位未完整",""))</f>
        <v/>
      </c>
      <c r="AI282" s="12">
        <f>IF(A282="","",A282&amp;"|"&amp;G282)</f>
        <v/>
      </c>
      <c r="AJ282" s="12">
        <f>IF(A282="","",A282&amp;"|"&amp;H282)</f>
        <v/>
      </c>
    </row>
    <row r="283" ht="24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8" t="n"/>
      <c r="P283" s="8" t="n"/>
      <c r="Q283" s="8" t="n"/>
      <c r="R283" s="13">
        <f>IF(O283="","",SUM(O283:Q283))</f>
        <v/>
      </c>
      <c r="S283" s="9">
        <f>IF(R283="","",ROUND(R283/3.305785,3))</f>
        <v/>
      </c>
      <c r="T283" s="7" t="n"/>
      <c r="U283" s="7" t="n"/>
      <c r="V283" s="10">
        <f>IF(OR(T283="",U283="",U283=0),"",ROUND(T283/U283,6))</f>
        <v/>
      </c>
      <c r="W283" s="9">
        <f>IF(OR(R283="",T283="",U283="",U283=0),"",ROUND(R283*T283/U283,3))</f>
        <v/>
      </c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12">
        <f>IF(A283="","",IF(OR(B283="",C283="",D283="",E283="",H283="",O283="",T283="",U283=""),"必填欄位未完整",""))</f>
        <v/>
      </c>
      <c r="AI283" s="12">
        <f>IF(A283="","",A283&amp;"|"&amp;G283)</f>
        <v/>
      </c>
      <c r="AJ283" s="12">
        <f>IF(A283="","",A283&amp;"|"&amp;H283)</f>
        <v/>
      </c>
    </row>
    <row r="284" ht="24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8" t="n"/>
      <c r="P284" s="8" t="n"/>
      <c r="Q284" s="8" t="n"/>
      <c r="R284" s="13">
        <f>IF(O284="","",SUM(O284:Q284))</f>
        <v/>
      </c>
      <c r="S284" s="9">
        <f>IF(R284="","",ROUND(R284/3.305785,3))</f>
        <v/>
      </c>
      <c r="T284" s="7" t="n"/>
      <c r="U284" s="7" t="n"/>
      <c r="V284" s="10">
        <f>IF(OR(T284="",U284="",U284=0),"",ROUND(T284/U284,6))</f>
        <v/>
      </c>
      <c r="W284" s="9">
        <f>IF(OR(R284="",T284="",U284="",U284=0),"",ROUND(R284*T284/U284,3))</f>
        <v/>
      </c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12">
        <f>IF(A284="","",IF(OR(B284="",C284="",D284="",E284="",H284="",O284="",T284="",U284=""),"必填欄位未完整",""))</f>
        <v/>
      </c>
      <c r="AI284" s="12">
        <f>IF(A284="","",A284&amp;"|"&amp;G284)</f>
        <v/>
      </c>
      <c r="AJ284" s="12">
        <f>IF(A284="","",A284&amp;"|"&amp;H284)</f>
        <v/>
      </c>
    </row>
    <row r="285" ht="24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8" t="n"/>
      <c r="P285" s="8" t="n"/>
      <c r="Q285" s="8" t="n"/>
      <c r="R285" s="13">
        <f>IF(O285="","",SUM(O285:Q285))</f>
        <v/>
      </c>
      <c r="S285" s="9">
        <f>IF(R285="","",ROUND(R285/3.305785,3))</f>
        <v/>
      </c>
      <c r="T285" s="7" t="n"/>
      <c r="U285" s="7" t="n"/>
      <c r="V285" s="10">
        <f>IF(OR(T285="",U285="",U285=0),"",ROUND(T285/U285,6))</f>
        <v/>
      </c>
      <c r="W285" s="9">
        <f>IF(OR(R285="",T285="",U285="",U285=0),"",ROUND(R285*T285/U285,3))</f>
        <v/>
      </c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12">
        <f>IF(A285="","",IF(OR(B285="",C285="",D285="",E285="",H285="",O285="",T285="",U285=""),"必填欄位未完整",""))</f>
        <v/>
      </c>
      <c r="AI285" s="12">
        <f>IF(A285="","",A285&amp;"|"&amp;G285)</f>
        <v/>
      </c>
      <c r="AJ285" s="12">
        <f>IF(A285="","",A285&amp;"|"&amp;H285)</f>
        <v/>
      </c>
    </row>
    <row r="286" ht="24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8" t="n"/>
      <c r="P286" s="8" t="n"/>
      <c r="Q286" s="8" t="n"/>
      <c r="R286" s="13">
        <f>IF(O286="","",SUM(O286:Q286))</f>
        <v/>
      </c>
      <c r="S286" s="9">
        <f>IF(R286="","",ROUND(R286/3.305785,3))</f>
        <v/>
      </c>
      <c r="T286" s="7" t="n"/>
      <c r="U286" s="7" t="n"/>
      <c r="V286" s="10">
        <f>IF(OR(T286="",U286="",U286=0),"",ROUND(T286/U286,6))</f>
        <v/>
      </c>
      <c r="W286" s="9">
        <f>IF(OR(R286="",T286="",U286="",U286=0),"",ROUND(R286*T286/U286,3))</f>
        <v/>
      </c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12">
        <f>IF(A286="","",IF(OR(B286="",C286="",D286="",E286="",H286="",O286="",T286="",U286=""),"必填欄位未完整",""))</f>
        <v/>
      </c>
      <c r="AI286" s="12">
        <f>IF(A286="","",A286&amp;"|"&amp;G286)</f>
        <v/>
      </c>
      <c r="AJ286" s="12">
        <f>IF(A286="","",A286&amp;"|"&amp;H286)</f>
        <v/>
      </c>
    </row>
    <row r="287" ht="24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8" t="n"/>
      <c r="P287" s="8" t="n"/>
      <c r="Q287" s="8" t="n"/>
      <c r="R287" s="13">
        <f>IF(O287="","",SUM(O287:Q287))</f>
        <v/>
      </c>
      <c r="S287" s="9">
        <f>IF(R287="","",ROUND(R287/3.305785,3))</f>
        <v/>
      </c>
      <c r="T287" s="7" t="n"/>
      <c r="U287" s="7" t="n"/>
      <c r="V287" s="10">
        <f>IF(OR(T287="",U287="",U287=0),"",ROUND(T287/U287,6))</f>
        <v/>
      </c>
      <c r="W287" s="9">
        <f>IF(OR(R287="",T287="",U287="",U287=0),"",ROUND(R287*T287/U287,3))</f>
        <v/>
      </c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12">
        <f>IF(A287="","",IF(OR(B287="",C287="",D287="",E287="",H287="",O287="",T287="",U287=""),"必填欄位未完整",""))</f>
        <v/>
      </c>
      <c r="AI287" s="12">
        <f>IF(A287="","",A287&amp;"|"&amp;G287)</f>
        <v/>
      </c>
      <c r="AJ287" s="12">
        <f>IF(A287="","",A287&amp;"|"&amp;H287)</f>
        <v/>
      </c>
    </row>
    <row r="288" ht="24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8" t="n"/>
      <c r="P288" s="8" t="n"/>
      <c r="Q288" s="8" t="n"/>
      <c r="R288" s="13">
        <f>IF(O288="","",SUM(O288:Q288))</f>
        <v/>
      </c>
      <c r="S288" s="9">
        <f>IF(R288="","",ROUND(R288/3.305785,3))</f>
        <v/>
      </c>
      <c r="T288" s="7" t="n"/>
      <c r="U288" s="7" t="n"/>
      <c r="V288" s="10">
        <f>IF(OR(T288="",U288="",U288=0),"",ROUND(T288/U288,6))</f>
        <v/>
      </c>
      <c r="W288" s="9">
        <f>IF(OR(R288="",T288="",U288="",U288=0),"",ROUND(R288*T288/U288,3))</f>
        <v/>
      </c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12">
        <f>IF(A288="","",IF(OR(B288="",C288="",D288="",E288="",H288="",O288="",T288="",U288=""),"必填欄位未完整",""))</f>
        <v/>
      </c>
      <c r="AI288" s="12">
        <f>IF(A288="","",A288&amp;"|"&amp;G288)</f>
        <v/>
      </c>
      <c r="AJ288" s="12">
        <f>IF(A288="","",A288&amp;"|"&amp;H288)</f>
        <v/>
      </c>
    </row>
    <row r="289" ht="24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8" t="n"/>
      <c r="P289" s="8" t="n"/>
      <c r="Q289" s="8" t="n"/>
      <c r="R289" s="13">
        <f>IF(O289="","",SUM(O289:Q289))</f>
        <v/>
      </c>
      <c r="S289" s="9">
        <f>IF(R289="","",ROUND(R289/3.305785,3))</f>
        <v/>
      </c>
      <c r="T289" s="7" t="n"/>
      <c r="U289" s="7" t="n"/>
      <c r="V289" s="10">
        <f>IF(OR(T289="",U289="",U289=0),"",ROUND(T289/U289,6))</f>
        <v/>
      </c>
      <c r="W289" s="9">
        <f>IF(OR(R289="",T289="",U289="",U289=0),"",ROUND(R289*T289/U289,3))</f>
        <v/>
      </c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12">
        <f>IF(A289="","",IF(OR(B289="",C289="",D289="",E289="",H289="",O289="",T289="",U289=""),"必填欄位未完整",""))</f>
        <v/>
      </c>
      <c r="AI289" s="12">
        <f>IF(A289="","",A289&amp;"|"&amp;G289)</f>
        <v/>
      </c>
      <c r="AJ289" s="12">
        <f>IF(A289="","",A289&amp;"|"&amp;H289)</f>
        <v/>
      </c>
    </row>
    <row r="290" ht="24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8" t="n"/>
      <c r="P290" s="8" t="n"/>
      <c r="Q290" s="8" t="n"/>
      <c r="R290" s="13">
        <f>IF(O290="","",SUM(O290:Q290))</f>
        <v/>
      </c>
      <c r="S290" s="9">
        <f>IF(R290="","",ROUND(R290/3.305785,3))</f>
        <v/>
      </c>
      <c r="T290" s="7" t="n"/>
      <c r="U290" s="7" t="n"/>
      <c r="V290" s="10">
        <f>IF(OR(T290="",U290="",U290=0),"",ROUND(T290/U290,6))</f>
        <v/>
      </c>
      <c r="W290" s="9">
        <f>IF(OR(R290="",T290="",U290="",U290=0),"",ROUND(R290*T290/U290,3))</f>
        <v/>
      </c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12">
        <f>IF(A290="","",IF(OR(B290="",C290="",D290="",E290="",H290="",O290="",T290="",U290=""),"必填欄位未完整",""))</f>
        <v/>
      </c>
      <c r="AI290" s="12">
        <f>IF(A290="","",A290&amp;"|"&amp;G290)</f>
        <v/>
      </c>
      <c r="AJ290" s="12">
        <f>IF(A290="","",A290&amp;"|"&amp;H290)</f>
        <v/>
      </c>
    </row>
    <row r="291" ht="24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8" t="n"/>
      <c r="P291" s="8" t="n"/>
      <c r="Q291" s="8" t="n"/>
      <c r="R291" s="13">
        <f>IF(O291="","",SUM(O291:Q291))</f>
        <v/>
      </c>
      <c r="S291" s="9">
        <f>IF(R291="","",ROUND(R291/3.305785,3))</f>
        <v/>
      </c>
      <c r="T291" s="7" t="n"/>
      <c r="U291" s="7" t="n"/>
      <c r="V291" s="10">
        <f>IF(OR(T291="",U291="",U291=0),"",ROUND(T291/U291,6))</f>
        <v/>
      </c>
      <c r="W291" s="9">
        <f>IF(OR(R291="",T291="",U291="",U291=0),"",ROUND(R291*T291/U291,3))</f>
        <v/>
      </c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12">
        <f>IF(A291="","",IF(OR(B291="",C291="",D291="",E291="",H291="",O291="",T291="",U291=""),"必填欄位未完整",""))</f>
        <v/>
      </c>
      <c r="AI291" s="12">
        <f>IF(A291="","",A291&amp;"|"&amp;G291)</f>
        <v/>
      </c>
      <c r="AJ291" s="12">
        <f>IF(A291="","",A291&amp;"|"&amp;H291)</f>
        <v/>
      </c>
    </row>
    <row r="292" ht="24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8" t="n"/>
      <c r="P292" s="8" t="n"/>
      <c r="Q292" s="8" t="n"/>
      <c r="R292" s="13">
        <f>IF(O292="","",SUM(O292:Q292))</f>
        <v/>
      </c>
      <c r="S292" s="9">
        <f>IF(R292="","",ROUND(R292/3.305785,3))</f>
        <v/>
      </c>
      <c r="T292" s="7" t="n"/>
      <c r="U292" s="7" t="n"/>
      <c r="V292" s="10">
        <f>IF(OR(T292="",U292="",U292=0),"",ROUND(T292/U292,6))</f>
        <v/>
      </c>
      <c r="W292" s="9">
        <f>IF(OR(R292="",T292="",U292="",U292=0),"",ROUND(R292*T292/U292,3))</f>
        <v/>
      </c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12">
        <f>IF(A292="","",IF(OR(B292="",C292="",D292="",E292="",H292="",O292="",T292="",U292=""),"必填欄位未完整",""))</f>
        <v/>
      </c>
      <c r="AI292" s="12">
        <f>IF(A292="","",A292&amp;"|"&amp;G292)</f>
        <v/>
      </c>
      <c r="AJ292" s="12">
        <f>IF(A292="","",A292&amp;"|"&amp;H292)</f>
        <v/>
      </c>
    </row>
    <row r="293" ht="24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8" t="n"/>
      <c r="P293" s="8" t="n"/>
      <c r="Q293" s="8" t="n"/>
      <c r="R293" s="13">
        <f>IF(O293="","",SUM(O293:Q293))</f>
        <v/>
      </c>
      <c r="S293" s="9">
        <f>IF(R293="","",ROUND(R293/3.305785,3))</f>
        <v/>
      </c>
      <c r="T293" s="7" t="n"/>
      <c r="U293" s="7" t="n"/>
      <c r="V293" s="10">
        <f>IF(OR(T293="",U293="",U293=0),"",ROUND(T293/U293,6))</f>
        <v/>
      </c>
      <c r="W293" s="9">
        <f>IF(OR(R293="",T293="",U293="",U293=0),"",ROUND(R293*T293/U293,3))</f>
        <v/>
      </c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12">
        <f>IF(A293="","",IF(OR(B293="",C293="",D293="",E293="",H293="",O293="",T293="",U293=""),"必填欄位未完整",""))</f>
        <v/>
      </c>
      <c r="AI293" s="12">
        <f>IF(A293="","",A293&amp;"|"&amp;G293)</f>
        <v/>
      </c>
      <c r="AJ293" s="12">
        <f>IF(A293="","",A293&amp;"|"&amp;H293)</f>
        <v/>
      </c>
    </row>
    <row r="294" ht="24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8" t="n"/>
      <c r="P294" s="8" t="n"/>
      <c r="Q294" s="8" t="n"/>
      <c r="R294" s="13">
        <f>IF(O294="","",SUM(O294:Q294))</f>
        <v/>
      </c>
      <c r="S294" s="9">
        <f>IF(R294="","",ROUND(R294/3.305785,3))</f>
        <v/>
      </c>
      <c r="T294" s="7" t="n"/>
      <c r="U294" s="7" t="n"/>
      <c r="V294" s="10">
        <f>IF(OR(T294="",U294="",U294=0),"",ROUND(T294/U294,6))</f>
        <v/>
      </c>
      <c r="W294" s="9">
        <f>IF(OR(R294="",T294="",U294="",U294=0),"",ROUND(R294*T294/U294,3))</f>
        <v/>
      </c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12">
        <f>IF(A294="","",IF(OR(B294="",C294="",D294="",E294="",H294="",O294="",T294="",U294=""),"必填欄位未完整",""))</f>
        <v/>
      </c>
      <c r="AI294" s="12">
        <f>IF(A294="","",A294&amp;"|"&amp;G294)</f>
        <v/>
      </c>
      <c r="AJ294" s="12">
        <f>IF(A294="","",A294&amp;"|"&amp;H294)</f>
        <v/>
      </c>
    </row>
    <row r="295" ht="24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8" t="n"/>
      <c r="P295" s="8" t="n"/>
      <c r="Q295" s="8" t="n"/>
      <c r="R295" s="13">
        <f>IF(O295="","",SUM(O295:Q295))</f>
        <v/>
      </c>
      <c r="S295" s="9">
        <f>IF(R295="","",ROUND(R295/3.305785,3))</f>
        <v/>
      </c>
      <c r="T295" s="7" t="n"/>
      <c r="U295" s="7" t="n"/>
      <c r="V295" s="10">
        <f>IF(OR(T295="",U295="",U295=0),"",ROUND(T295/U295,6))</f>
        <v/>
      </c>
      <c r="W295" s="9">
        <f>IF(OR(R295="",T295="",U295="",U295=0),"",ROUND(R295*T295/U295,3))</f>
        <v/>
      </c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12">
        <f>IF(A295="","",IF(OR(B295="",C295="",D295="",E295="",H295="",O295="",T295="",U295=""),"必填欄位未完整",""))</f>
        <v/>
      </c>
      <c r="AI295" s="12">
        <f>IF(A295="","",A295&amp;"|"&amp;G295)</f>
        <v/>
      </c>
      <c r="AJ295" s="12">
        <f>IF(A295="","",A295&amp;"|"&amp;H295)</f>
        <v/>
      </c>
    </row>
    <row r="296" ht="24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8" t="n"/>
      <c r="P296" s="8" t="n"/>
      <c r="Q296" s="8" t="n"/>
      <c r="R296" s="13">
        <f>IF(O296="","",SUM(O296:Q296))</f>
        <v/>
      </c>
      <c r="S296" s="9">
        <f>IF(R296="","",ROUND(R296/3.305785,3))</f>
        <v/>
      </c>
      <c r="T296" s="7" t="n"/>
      <c r="U296" s="7" t="n"/>
      <c r="V296" s="10">
        <f>IF(OR(T296="",U296="",U296=0),"",ROUND(T296/U296,6))</f>
        <v/>
      </c>
      <c r="W296" s="9">
        <f>IF(OR(R296="",T296="",U296="",U296=0),"",ROUND(R296*T296/U296,3))</f>
        <v/>
      </c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12">
        <f>IF(A296="","",IF(OR(B296="",C296="",D296="",E296="",H296="",O296="",T296="",U296=""),"必填欄位未完整",""))</f>
        <v/>
      </c>
      <c r="AI296" s="12">
        <f>IF(A296="","",A296&amp;"|"&amp;G296)</f>
        <v/>
      </c>
      <c r="AJ296" s="12">
        <f>IF(A296="","",A296&amp;"|"&amp;H296)</f>
        <v/>
      </c>
    </row>
    <row r="297" ht="24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8" t="n"/>
      <c r="P297" s="8" t="n"/>
      <c r="Q297" s="8" t="n"/>
      <c r="R297" s="13">
        <f>IF(O297="","",SUM(O297:Q297))</f>
        <v/>
      </c>
      <c r="S297" s="9">
        <f>IF(R297="","",ROUND(R297/3.305785,3))</f>
        <v/>
      </c>
      <c r="T297" s="7" t="n"/>
      <c r="U297" s="7" t="n"/>
      <c r="V297" s="10">
        <f>IF(OR(T297="",U297="",U297=0),"",ROUND(T297/U297,6))</f>
        <v/>
      </c>
      <c r="W297" s="9">
        <f>IF(OR(R297="",T297="",U297="",U297=0),"",ROUND(R297*T297/U297,3))</f>
        <v/>
      </c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12">
        <f>IF(A297="","",IF(OR(B297="",C297="",D297="",E297="",H297="",O297="",T297="",U297=""),"必填欄位未完整",""))</f>
        <v/>
      </c>
      <c r="AI297" s="12">
        <f>IF(A297="","",A297&amp;"|"&amp;G297)</f>
        <v/>
      </c>
      <c r="AJ297" s="12">
        <f>IF(A297="","",A297&amp;"|"&amp;H297)</f>
        <v/>
      </c>
    </row>
    <row r="298" ht="24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8" t="n"/>
      <c r="P298" s="8" t="n"/>
      <c r="Q298" s="8" t="n"/>
      <c r="R298" s="13">
        <f>IF(O298="","",SUM(O298:Q298))</f>
        <v/>
      </c>
      <c r="S298" s="9">
        <f>IF(R298="","",ROUND(R298/3.305785,3))</f>
        <v/>
      </c>
      <c r="T298" s="7" t="n"/>
      <c r="U298" s="7" t="n"/>
      <c r="V298" s="10">
        <f>IF(OR(T298="",U298="",U298=0),"",ROUND(T298/U298,6))</f>
        <v/>
      </c>
      <c r="W298" s="9">
        <f>IF(OR(R298="",T298="",U298="",U298=0),"",ROUND(R298*T298/U298,3))</f>
        <v/>
      </c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12">
        <f>IF(A298="","",IF(OR(B298="",C298="",D298="",E298="",H298="",O298="",T298="",U298=""),"必填欄位未完整",""))</f>
        <v/>
      </c>
      <c r="AI298" s="12">
        <f>IF(A298="","",A298&amp;"|"&amp;G298)</f>
        <v/>
      </c>
      <c r="AJ298" s="12">
        <f>IF(A298="","",A298&amp;"|"&amp;H298)</f>
        <v/>
      </c>
    </row>
    <row r="299" ht="24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8" t="n"/>
      <c r="P299" s="8" t="n"/>
      <c r="Q299" s="8" t="n"/>
      <c r="R299" s="13">
        <f>IF(O299="","",SUM(O299:Q299))</f>
        <v/>
      </c>
      <c r="S299" s="9">
        <f>IF(R299="","",ROUND(R299/3.305785,3))</f>
        <v/>
      </c>
      <c r="T299" s="7" t="n"/>
      <c r="U299" s="7" t="n"/>
      <c r="V299" s="10">
        <f>IF(OR(T299="",U299="",U299=0),"",ROUND(T299/U299,6))</f>
        <v/>
      </c>
      <c r="W299" s="9">
        <f>IF(OR(R299="",T299="",U299="",U299=0),"",ROUND(R299*T299/U299,3))</f>
        <v/>
      </c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12">
        <f>IF(A299="","",IF(OR(B299="",C299="",D299="",E299="",H299="",O299="",T299="",U299=""),"必填欄位未完整",""))</f>
        <v/>
      </c>
      <c r="AI299" s="12">
        <f>IF(A299="","",A299&amp;"|"&amp;G299)</f>
        <v/>
      </c>
      <c r="AJ299" s="12">
        <f>IF(A299="","",A299&amp;"|"&amp;H299)</f>
        <v/>
      </c>
    </row>
    <row r="300" ht="24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8" t="n"/>
      <c r="P300" s="8" t="n"/>
      <c r="Q300" s="8" t="n"/>
      <c r="R300" s="13">
        <f>IF(O300="","",SUM(O300:Q300))</f>
        <v/>
      </c>
      <c r="S300" s="9">
        <f>IF(R300="","",ROUND(R300/3.305785,3))</f>
        <v/>
      </c>
      <c r="T300" s="7" t="n"/>
      <c r="U300" s="7" t="n"/>
      <c r="V300" s="10">
        <f>IF(OR(T300="",U300="",U300=0),"",ROUND(T300/U300,6))</f>
        <v/>
      </c>
      <c r="W300" s="9">
        <f>IF(OR(R300="",T300="",U300="",U300=0),"",ROUND(R300*T300/U300,3))</f>
        <v/>
      </c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12">
        <f>IF(A300="","",IF(OR(B300="",C300="",D300="",E300="",H300="",O300="",T300="",U300=""),"必填欄位未完整",""))</f>
        <v/>
      </c>
      <c r="AI300" s="12">
        <f>IF(A300="","",A300&amp;"|"&amp;G300)</f>
        <v/>
      </c>
      <c r="AJ300" s="12">
        <f>IF(A300="","",A300&amp;"|"&amp;H300)</f>
        <v/>
      </c>
    </row>
    <row r="301" ht="24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8" t="n"/>
      <c r="P301" s="8" t="n"/>
      <c r="Q301" s="8" t="n"/>
      <c r="R301" s="13">
        <f>IF(O301="","",SUM(O301:Q301))</f>
        <v/>
      </c>
      <c r="S301" s="9">
        <f>IF(R301="","",ROUND(R301/3.305785,3))</f>
        <v/>
      </c>
      <c r="T301" s="7" t="n"/>
      <c r="U301" s="7" t="n"/>
      <c r="V301" s="10">
        <f>IF(OR(T301="",U301="",U301=0),"",ROUND(T301/U301,6))</f>
        <v/>
      </c>
      <c r="W301" s="9">
        <f>IF(OR(R301="",T301="",U301="",U301=0),"",ROUND(R301*T301/U301,3))</f>
        <v/>
      </c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12">
        <f>IF(A301="","",IF(OR(B301="",C301="",D301="",E301="",H301="",O301="",T301="",U301=""),"必填欄位未完整",""))</f>
        <v/>
      </c>
      <c r="AI301" s="12">
        <f>IF(A301="","",A301&amp;"|"&amp;G301)</f>
        <v/>
      </c>
      <c r="AJ301" s="12">
        <f>IF(A301="","",A301&amp;"|"&amp;H301)</f>
        <v/>
      </c>
    </row>
    <row r="302" ht="24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8" t="n"/>
      <c r="P302" s="8" t="n"/>
      <c r="Q302" s="8" t="n"/>
      <c r="R302" s="13">
        <f>IF(O302="","",SUM(O302:Q302))</f>
        <v/>
      </c>
      <c r="S302" s="9">
        <f>IF(R302="","",ROUND(R302/3.305785,3))</f>
        <v/>
      </c>
      <c r="T302" s="7" t="n"/>
      <c r="U302" s="7" t="n"/>
      <c r="V302" s="10">
        <f>IF(OR(T302="",U302="",U302=0),"",ROUND(T302/U302,6))</f>
        <v/>
      </c>
      <c r="W302" s="9">
        <f>IF(OR(R302="",T302="",U302="",U302=0),"",ROUND(R302*T302/U302,3))</f>
        <v/>
      </c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12">
        <f>IF(A302="","",IF(OR(B302="",C302="",D302="",E302="",H302="",O302="",T302="",U302=""),"必填欄位未完整",""))</f>
        <v/>
      </c>
      <c r="AI302" s="12">
        <f>IF(A302="","",A302&amp;"|"&amp;G302)</f>
        <v/>
      </c>
      <c r="AJ302" s="12">
        <f>IF(A302="","",A302&amp;"|"&amp;H302)</f>
        <v/>
      </c>
    </row>
    <row r="303" ht="24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8" t="n"/>
      <c r="P303" s="8" t="n"/>
      <c r="Q303" s="8" t="n"/>
      <c r="R303" s="13">
        <f>IF(O303="","",SUM(O303:Q303))</f>
        <v/>
      </c>
      <c r="S303" s="9">
        <f>IF(R303="","",ROUND(R303/3.305785,3))</f>
        <v/>
      </c>
      <c r="T303" s="7" t="n"/>
      <c r="U303" s="7" t="n"/>
      <c r="V303" s="10">
        <f>IF(OR(T303="",U303="",U303=0),"",ROUND(T303/U303,6))</f>
        <v/>
      </c>
      <c r="W303" s="9">
        <f>IF(OR(R303="",T303="",U303="",U303=0),"",ROUND(R303*T303/U303,3))</f>
        <v/>
      </c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12">
        <f>IF(A303="","",IF(OR(B303="",C303="",D303="",E303="",H303="",O303="",T303="",U303=""),"必填欄位未完整",""))</f>
        <v/>
      </c>
      <c r="AI303" s="12">
        <f>IF(A303="","",A303&amp;"|"&amp;G303)</f>
        <v/>
      </c>
      <c r="AJ303" s="12">
        <f>IF(A303="","",A303&amp;"|"&amp;H303)</f>
        <v/>
      </c>
    </row>
    <row r="304" ht="24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8" t="n"/>
      <c r="P304" s="8" t="n"/>
      <c r="Q304" s="8" t="n"/>
      <c r="R304" s="13">
        <f>IF(O304="","",SUM(O304:Q304))</f>
        <v/>
      </c>
      <c r="S304" s="9">
        <f>IF(R304="","",ROUND(R304/3.305785,3))</f>
        <v/>
      </c>
      <c r="T304" s="7" t="n"/>
      <c r="U304" s="7" t="n"/>
      <c r="V304" s="10">
        <f>IF(OR(T304="",U304="",U304=0),"",ROUND(T304/U304,6))</f>
        <v/>
      </c>
      <c r="W304" s="9">
        <f>IF(OR(R304="",T304="",U304="",U304=0),"",ROUND(R304*T304/U304,3))</f>
        <v/>
      </c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12">
        <f>IF(A304="","",IF(OR(B304="",C304="",D304="",E304="",H304="",O304="",T304="",U304=""),"必填欄位未完整",""))</f>
        <v/>
      </c>
      <c r="AI304" s="12">
        <f>IF(A304="","",A304&amp;"|"&amp;G304)</f>
        <v/>
      </c>
      <c r="AJ304" s="12">
        <f>IF(A304="","",A304&amp;"|"&amp;H304)</f>
        <v/>
      </c>
    </row>
    <row r="305" ht="24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8" t="n"/>
      <c r="P305" s="8" t="n"/>
      <c r="Q305" s="8" t="n"/>
      <c r="R305" s="13">
        <f>IF(O305="","",SUM(O305:Q305))</f>
        <v/>
      </c>
      <c r="S305" s="9">
        <f>IF(R305="","",ROUND(R305/3.305785,3))</f>
        <v/>
      </c>
      <c r="T305" s="7" t="n"/>
      <c r="U305" s="7" t="n"/>
      <c r="V305" s="10">
        <f>IF(OR(T305="",U305="",U305=0),"",ROUND(T305/U305,6))</f>
        <v/>
      </c>
      <c r="W305" s="9">
        <f>IF(OR(R305="",T305="",U305="",U305=0),"",ROUND(R305*T305/U305,3))</f>
        <v/>
      </c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12">
        <f>IF(A305="","",IF(OR(B305="",C305="",D305="",E305="",H305="",O305="",T305="",U305=""),"必填欄位未完整",""))</f>
        <v/>
      </c>
      <c r="AI305" s="12">
        <f>IF(A305="","",A305&amp;"|"&amp;G305)</f>
        <v/>
      </c>
      <c r="AJ305" s="12">
        <f>IF(A305="","",A305&amp;"|"&amp;H305)</f>
        <v/>
      </c>
    </row>
    <row r="306" ht="24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8" t="n"/>
      <c r="P306" s="8" t="n"/>
      <c r="Q306" s="8" t="n"/>
      <c r="R306" s="13">
        <f>IF(O306="","",SUM(O306:Q306))</f>
        <v/>
      </c>
      <c r="S306" s="9">
        <f>IF(R306="","",ROUND(R306/3.305785,3))</f>
        <v/>
      </c>
      <c r="T306" s="7" t="n"/>
      <c r="U306" s="7" t="n"/>
      <c r="V306" s="10">
        <f>IF(OR(T306="",U306="",U306=0),"",ROUND(T306/U306,6))</f>
        <v/>
      </c>
      <c r="W306" s="9">
        <f>IF(OR(R306="",T306="",U306="",U306=0),"",ROUND(R306*T306/U306,3))</f>
        <v/>
      </c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12">
        <f>IF(A306="","",IF(OR(B306="",C306="",D306="",E306="",H306="",O306="",T306="",U306=""),"必填欄位未完整",""))</f>
        <v/>
      </c>
      <c r="AI306" s="12">
        <f>IF(A306="","",A306&amp;"|"&amp;G306)</f>
        <v/>
      </c>
      <c r="AJ306" s="12">
        <f>IF(A306="","",A306&amp;"|"&amp;H306)</f>
        <v/>
      </c>
    </row>
    <row r="307" ht="24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8" t="n"/>
      <c r="P307" s="8" t="n"/>
      <c r="Q307" s="8" t="n"/>
      <c r="R307" s="13">
        <f>IF(O307="","",SUM(O307:Q307))</f>
        <v/>
      </c>
      <c r="S307" s="9">
        <f>IF(R307="","",ROUND(R307/3.305785,3))</f>
        <v/>
      </c>
      <c r="T307" s="7" t="n"/>
      <c r="U307" s="7" t="n"/>
      <c r="V307" s="10">
        <f>IF(OR(T307="",U307="",U307=0),"",ROUND(T307/U307,6))</f>
        <v/>
      </c>
      <c r="W307" s="9">
        <f>IF(OR(R307="",T307="",U307="",U307=0),"",ROUND(R307*T307/U307,3))</f>
        <v/>
      </c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12">
        <f>IF(A307="","",IF(OR(B307="",C307="",D307="",E307="",H307="",O307="",T307="",U307=""),"必填欄位未完整",""))</f>
        <v/>
      </c>
      <c r="AI307" s="12">
        <f>IF(A307="","",A307&amp;"|"&amp;G307)</f>
        <v/>
      </c>
      <c r="AJ307" s="12">
        <f>IF(A307="","",A307&amp;"|"&amp;H307)</f>
        <v/>
      </c>
    </row>
    <row r="308" ht="24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8" t="n"/>
      <c r="P308" s="8" t="n"/>
      <c r="Q308" s="8" t="n"/>
      <c r="R308" s="13">
        <f>IF(O308="","",SUM(O308:Q308))</f>
        <v/>
      </c>
      <c r="S308" s="9">
        <f>IF(R308="","",ROUND(R308/3.305785,3))</f>
        <v/>
      </c>
      <c r="T308" s="7" t="n"/>
      <c r="U308" s="7" t="n"/>
      <c r="V308" s="10">
        <f>IF(OR(T308="",U308="",U308=0),"",ROUND(T308/U308,6))</f>
        <v/>
      </c>
      <c r="W308" s="9">
        <f>IF(OR(R308="",T308="",U308="",U308=0),"",ROUND(R308*T308/U308,3))</f>
        <v/>
      </c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12">
        <f>IF(A308="","",IF(OR(B308="",C308="",D308="",E308="",H308="",O308="",T308="",U308=""),"必填欄位未完整",""))</f>
        <v/>
      </c>
      <c r="AI308" s="12">
        <f>IF(A308="","",A308&amp;"|"&amp;G308)</f>
        <v/>
      </c>
      <c r="AJ308" s="12">
        <f>IF(A308="","",A308&amp;"|"&amp;H308)</f>
        <v/>
      </c>
    </row>
    <row r="309" ht="24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8" t="n"/>
      <c r="P309" s="8" t="n"/>
      <c r="Q309" s="8" t="n"/>
      <c r="R309" s="13">
        <f>IF(O309="","",SUM(O309:Q309))</f>
        <v/>
      </c>
      <c r="S309" s="9">
        <f>IF(R309="","",ROUND(R309/3.305785,3))</f>
        <v/>
      </c>
      <c r="T309" s="7" t="n"/>
      <c r="U309" s="7" t="n"/>
      <c r="V309" s="10">
        <f>IF(OR(T309="",U309="",U309=0),"",ROUND(T309/U309,6))</f>
        <v/>
      </c>
      <c r="W309" s="9">
        <f>IF(OR(R309="",T309="",U309="",U309=0),"",ROUND(R309*T309/U309,3))</f>
        <v/>
      </c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12">
        <f>IF(A309="","",IF(OR(B309="",C309="",D309="",E309="",H309="",O309="",T309="",U309=""),"必填欄位未完整",""))</f>
        <v/>
      </c>
      <c r="AI309" s="12">
        <f>IF(A309="","",A309&amp;"|"&amp;G309)</f>
        <v/>
      </c>
      <c r="AJ309" s="12">
        <f>IF(A309="","",A309&amp;"|"&amp;H309)</f>
        <v/>
      </c>
    </row>
    <row r="310" ht="24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8" t="n"/>
      <c r="P310" s="8" t="n"/>
      <c r="Q310" s="8" t="n"/>
      <c r="R310" s="13">
        <f>IF(O310="","",SUM(O310:Q310))</f>
        <v/>
      </c>
      <c r="S310" s="9">
        <f>IF(R310="","",ROUND(R310/3.305785,3))</f>
        <v/>
      </c>
      <c r="T310" s="7" t="n"/>
      <c r="U310" s="7" t="n"/>
      <c r="V310" s="10">
        <f>IF(OR(T310="",U310="",U310=0),"",ROUND(T310/U310,6))</f>
        <v/>
      </c>
      <c r="W310" s="9">
        <f>IF(OR(R310="",T310="",U310="",U310=0),"",ROUND(R310*T310/U310,3))</f>
        <v/>
      </c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12">
        <f>IF(A310="","",IF(OR(B310="",C310="",D310="",E310="",H310="",O310="",T310="",U310=""),"必填欄位未完整",""))</f>
        <v/>
      </c>
      <c r="AI310" s="12">
        <f>IF(A310="","",A310&amp;"|"&amp;G310)</f>
        <v/>
      </c>
      <c r="AJ310" s="12">
        <f>IF(A310="","",A310&amp;"|"&amp;H310)</f>
        <v/>
      </c>
    </row>
    <row r="311" ht="24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8" t="n"/>
      <c r="P311" s="8" t="n"/>
      <c r="Q311" s="8" t="n"/>
      <c r="R311" s="13">
        <f>IF(O311="","",SUM(O311:Q311))</f>
        <v/>
      </c>
      <c r="S311" s="9">
        <f>IF(R311="","",ROUND(R311/3.305785,3))</f>
        <v/>
      </c>
      <c r="T311" s="7" t="n"/>
      <c r="U311" s="7" t="n"/>
      <c r="V311" s="10">
        <f>IF(OR(T311="",U311="",U311=0),"",ROUND(T311/U311,6))</f>
        <v/>
      </c>
      <c r="W311" s="9">
        <f>IF(OR(R311="",T311="",U311="",U311=0),"",ROUND(R311*T311/U311,3))</f>
        <v/>
      </c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12">
        <f>IF(A311="","",IF(OR(B311="",C311="",D311="",E311="",H311="",O311="",T311="",U311=""),"必填欄位未完整",""))</f>
        <v/>
      </c>
      <c r="AI311" s="12">
        <f>IF(A311="","",A311&amp;"|"&amp;G311)</f>
        <v/>
      </c>
      <c r="AJ311" s="12">
        <f>IF(A311="","",A311&amp;"|"&amp;H311)</f>
        <v/>
      </c>
    </row>
    <row r="312" ht="24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8" t="n"/>
      <c r="P312" s="8" t="n"/>
      <c r="Q312" s="8" t="n"/>
      <c r="R312" s="13">
        <f>IF(O312="","",SUM(O312:Q312))</f>
        <v/>
      </c>
      <c r="S312" s="9">
        <f>IF(R312="","",ROUND(R312/3.305785,3))</f>
        <v/>
      </c>
      <c r="T312" s="7" t="n"/>
      <c r="U312" s="7" t="n"/>
      <c r="V312" s="10">
        <f>IF(OR(T312="",U312="",U312=0),"",ROUND(T312/U312,6))</f>
        <v/>
      </c>
      <c r="W312" s="9">
        <f>IF(OR(R312="",T312="",U312="",U312=0),"",ROUND(R312*T312/U312,3))</f>
        <v/>
      </c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12">
        <f>IF(A312="","",IF(OR(B312="",C312="",D312="",E312="",H312="",O312="",T312="",U312=""),"必填欄位未完整",""))</f>
        <v/>
      </c>
      <c r="AI312" s="12">
        <f>IF(A312="","",A312&amp;"|"&amp;G312)</f>
        <v/>
      </c>
      <c r="AJ312" s="12">
        <f>IF(A312="","",A312&amp;"|"&amp;H312)</f>
        <v/>
      </c>
    </row>
    <row r="313" ht="24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8" t="n"/>
      <c r="P313" s="8" t="n"/>
      <c r="Q313" s="8" t="n"/>
      <c r="R313" s="13">
        <f>IF(O313="","",SUM(O313:Q313))</f>
        <v/>
      </c>
      <c r="S313" s="9">
        <f>IF(R313="","",ROUND(R313/3.305785,3))</f>
        <v/>
      </c>
      <c r="T313" s="7" t="n"/>
      <c r="U313" s="7" t="n"/>
      <c r="V313" s="10">
        <f>IF(OR(T313="",U313="",U313=0),"",ROUND(T313/U313,6))</f>
        <v/>
      </c>
      <c r="W313" s="9">
        <f>IF(OR(R313="",T313="",U313="",U313=0),"",ROUND(R313*T313/U313,3))</f>
        <v/>
      </c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12">
        <f>IF(A313="","",IF(OR(B313="",C313="",D313="",E313="",H313="",O313="",T313="",U313=""),"必填欄位未完整",""))</f>
        <v/>
      </c>
      <c r="AI313" s="12">
        <f>IF(A313="","",A313&amp;"|"&amp;G313)</f>
        <v/>
      </c>
      <c r="AJ313" s="12">
        <f>IF(A313="","",A313&amp;"|"&amp;H313)</f>
        <v/>
      </c>
    </row>
    <row r="314" ht="24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8" t="n"/>
      <c r="P314" s="8" t="n"/>
      <c r="Q314" s="8" t="n"/>
      <c r="R314" s="13">
        <f>IF(O314="","",SUM(O314:Q314))</f>
        <v/>
      </c>
      <c r="S314" s="9">
        <f>IF(R314="","",ROUND(R314/3.305785,3))</f>
        <v/>
      </c>
      <c r="T314" s="7" t="n"/>
      <c r="U314" s="7" t="n"/>
      <c r="V314" s="10">
        <f>IF(OR(T314="",U314="",U314=0),"",ROUND(T314/U314,6))</f>
        <v/>
      </c>
      <c r="W314" s="9">
        <f>IF(OR(R314="",T314="",U314="",U314=0),"",ROUND(R314*T314/U314,3))</f>
        <v/>
      </c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12">
        <f>IF(A314="","",IF(OR(B314="",C314="",D314="",E314="",H314="",O314="",T314="",U314=""),"必填欄位未完整",""))</f>
        <v/>
      </c>
      <c r="AI314" s="12">
        <f>IF(A314="","",A314&amp;"|"&amp;G314)</f>
        <v/>
      </c>
      <c r="AJ314" s="12">
        <f>IF(A314="","",A314&amp;"|"&amp;H314)</f>
        <v/>
      </c>
    </row>
    <row r="315" ht="24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8" t="n"/>
      <c r="P315" s="8" t="n"/>
      <c r="Q315" s="8" t="n"/>
      <c r="R315" s="13">
        <f>IF(O315="","",SUM(O315:Q315))</f>
        <v/>
      </c>
      <c r="S315" s="9">
        <f>IF(R315="","",ROUND(R315/3.305785,3))</f>
        <v/>
      </c>
      <c r="T315" s="7" t="n"/>
      <c r="U315" s="7" t="n"/>
      <c r="V315" s="10">
        <f>IF(OR(T315="",U315="",U315=0),"",ROUND(T315/U315,6))</f>
        <v/>
      </c>
      <c r="W315" s="9">
        <f>IF(OR(R315="",T315="",U315="",U315=0),"",ROUND(R315*T315/U315,3))</f>
        <v/>
      </c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12">
        <f>IF(A315="","",IF(OR(B315="",C315="",D315="",E315="",H315="",O315="",T315="",U315=""),"必填欄位未完整",""))</f>
        <v/>
      </c>
      <c r="AI315" s="12">
        <f>IF(A315="","",A315&amp;"|"&amp;G315)</f>
        <v/>
      </c>
      <c r="AJ315" s="12">
        <f>IF(A315="","",A315&amp;"|"&amp;H315)</f>
        <v/>
      </c>
    </row>
    <row r="316" ht="24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8" t="n"/>
      <c r="P316" s="8" t="n"/>
      <c r="Q316" s="8" t="n"/>
      <c r="R316" s="13">
        <f>IF(O316="","",SUM(O316:Q316))</f>
        <v/>
      </c>
      <c r="S316" s="9">
        <f>IF(R316="","",ROUND(R316/3.305785,3))</f>
        <v/>
      </c>
      <c r="T316" s="7" t="n"/>
      <c r="U316" s="7" t="n"/>
      <c r="V316" s="10">
        <f>IF(OR(T316="",U316="",U316=0),"",ROUND(T316/U316,6))</f>
        <v/>
      </c>
      <c r="W316" s="9">
        <f>IF(OR(R316="",T316="",U316="",U316=0),"",ROUND(R316*T316/U316,3))</f>
        <v/>
      </c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12">
        <f>IF(A316="","",IF(OR(B316="",C316="",D316="",E316="",H316="",O316="",T316="",U316=""),"必填欄位未完整",""))</f>
        <v/>
      </c>
      <c r="AI316" s="12">
        <f>IF(A316="","",A316&amp;"|"&amp;G316)</f>
        <v/>
      </c>
      <c r="AJ316" s="12">
        <f>IF(A316="","",A316&amp;"|"&amp;H316)</f>
        <v/>
      </c>
    </row>
    <row r="317" ht="24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8" t="n"/>
      <c r="P317" s="8" t="n"/>
      <c r="Q317" s="8" t="n"/>
      <c r="R317" s="13">
        <f>IF(O317="","",SUM(O317:Q317))</f>
        <v/>
      </c>
      <c r="S317" s="9">
        <f>IF(R317="","",ROUND(R317/3.305785,3))</f>
        <v/>
      </c>
      <c r="T317" s="7" t="n"/>
      <c r="U317" s="7" t="n"/>
      <c r="V317" s="10">
        <f>IF(OR(T317="",U317="",U317=0),"",ROUND(T317/U317,6))</f>
        <v/>
      </c>
      <c r="W317" s="9">
        <f>IF(OR(R317="",T317="",U317="",U317=0),"",ROUND(R317*T317/U317,3))</f>
        <v/>
      </c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12">
        <f>IF(A317="","",IF(OR(B317="",C317="",D317="",E317="",H317="",O317="",T317="",U317=""),"必填欄位未完整",""))</f>
        <v/>
      </c>
      <c r="AI317" s="12">
        <f>IF(A317="","",A317&amp;"|"&amp;G317)</f>
        <v/>
      </c>
      <c r="AJ317" s="12">
        <f>IF(A317="","",A317&amp;"|"&amp;H317)</f>
        <v/>
      </c>
    </row>
    <row r="318" ht="24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8" t="n"/>
      <c r="P318" s="8" t="n"/>
      <c r="Q318" s="8" t="n"/>
      <c r="R318" s="13">
        <f>IF(O318="","",SUM(O318:Q318))</f>
        <v/>
      </c>
      <c r="S318" s="9">
        <f>IF(R318="","",ROUND(R318/3.305785,3))</f>
        <v/>
      </c>
      <c r="T318" s="7" t="n"/>
      <c r="U318" s="7" t="n"/>
      <c r="V318" s="10">
        <f>IF(OR(T318="",U318="",U318=0),"",ROUND(T318/U318,6))</f>
        <v/>
      </c>
      <c r="W318" s="9">
        <f>IF(OR(R318="",T318="",U318="",U318=0),"",ROUND(R318*T318/U318,3))</f>
        <v/>
      </c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12">
        <f>IF(A318="","",IF(OR(B318="",C318="",D318="",E318="",H318="",O318="",T318="",U318=""),"必填欄位未完整",""))</f>
        <v/>
      </c>
      <c r="AI318" s="12">
        <f>IF(A318="","",A318&amp;"|"&amp;G318)</f>
        <v/>
      </c>
      <c r="AJ318" s="12">
        <f>IF(A318="","",A318&amp;"|"&amp;H318)</f>
        <v/>
      </c>
    </row>
    <row r="319" ht="24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8" t="n"/>
      <c r="P319" s="8" t="n"/>
      <c r="Q319" s="8" t="n"/>
      <c r="R319" s="13">
        <f>IF(O319="","",SUM(O319:Q319))</f>
        <v/>
      </c>
      <c r="S319" s="9">
        <f>IF(R319="","",ROUND(R319/3.305785,3))</f>
        <v/>
      </c>
      <c r="T319" s="7" t="n"/>
      <c r="U319" s="7" t="n"/>
      <c r="V319" s="10">
        <f>IF(OR(T319="",U319="",U319=0),"",ROUND(T319/U319,6))</f>
        <v/>
      </c>
      <c r="W319" s="9">
        <f>IF(OR(R319="",T319="",U319="",U319=0),"",ROUND(R319*T319/U319,3))</f>
        <v/>
      </c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12">
        <f>IF(A319="","",IF(OR(B319="",C319="",D319="",E319="",H319="",O319="",T319="",U319=""),"必填欄位未完整",""))</f>
        <v/>
      </c>
      <c r="AI319" s="12">
        <f>IF(A319="","",A319&amp;"|"&amp;G319)</f>
        <v/>
      </c>
      <c r="AJ319" s="12">
        <f>IF(A319="","",A319&amp;"|"&amp;H319)</f>
        <v/>
      </c>
    </row>
    <row r="320" ht="24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8" t="n"/>
      <c r="P320" s="8" t="n"/>
      <c r="Q320" s="8" t="n"/>
      <c r="R320" s="13">
        <f>IF(O320="","",SUM(O320:Q320))</f>
        <v/>
      </c>
      <c r="S320" s="9">
        <f>IF(R320="","",ROUND(R320/3.305785,3))</f>
        <v/>
      </c>
      <c r="T320" s="7" t="n"/>
      <c r="U320" s="7" t="n"/>
      <c r="V320" s="10">
        <f>IF(OR(T320="",U320="",U320=0),"",ROUND(T320/U320,6))</f>
        <v/>
      </c>
      <c r="W320" s="9">
        <f>IF(OR(R320="",T320="",U320="",U320=0),"",ROUND(R320*T320/U320,3))</f>
        <v/>
      </c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12">
        <f>IF(A320="","",IF(OR(B320="",C320="",D320="",E320="",H320="",O320="",T320="",U320=""),"必填欄位未完整",""))</f>
        <v/>
      </c>
      <c r="AI320" s="12">
        <f>IF(A320="","",A320&amp;"|"&amp;G320)</f>
        <v/>
      </c>
      <c r="AJ320" s="12">
        <f>IF(A320="","",A320&amp;"|"&amp;H320)</f>
        <v/>
      </c>
    </row>
    <row r="321" ht="24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8" t="n"/>
      <c r="P321" s="8" t="n"/>
      <c r="Q321" s="8" t="n"/>
      <c r="R321" s="13">
        <f>IF(O321="","",SUM(O321:Q321))</f>
        <v/>
      </c>
      <c r="S321" s="9">
        <f>IF(R321="","",ROUND(R321/3.305785,3))</f>
        <v/>
      </c>
      <c r="T321" s="7" t="n"/>
      <c r="U321" s="7" t="n"/>
      <c r="V321" s="10">
        <f>IF(OR(T321="",U321="",U321=0),"",ROUND(T321/U321,6))</f>
        <v/>
      </c>
      <c r="W321" s="9">
        <f>IF(OR(R321="",T321="",U321="",U321=0),"",ROUND(R321*T321/U321,3))</f>
        <v/>
      </c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12">
        <f>IF(A321="","",IF(OR(B321="",C321="",D321="",E321="",H321="",O321="",T321="",U321=""),"必填欄位未完整",""))</f>
        <v/>
      </c>
      <c r="AI321" s="12">
        <f>IF(A321="","",A321&amp;"|"&amp;G321)</f>
        <v/>
      </c>
      <c r="AJ321" s="12">
        <f>IF(A321="","",A321&amp;"|"&amp;H321)</f>
        <v/>
      </c>
    </row>
    <row r="322" ht="24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8" t="n"/>
      <c r="P322" s="8" t="n"/>
      <c r="Q322" s="8" t="n"/>
      <c r="R322" s="13">
        <f>IF(O322="","",SUM(O322:Q322))</f>
        <v/>
      </c>
      <c r="S322" s="9">
        <f>IF(R322="","",ROUND(R322/3.305785,3))</f>
        <v/>
      </c>
      <c r="T322" s="7" t="n"/>
      <c r="U322" s="7" t="n"/>
      <c r="V322" s="10">
        <f>IF(OR(T322="",U322="",U322=0),"",ROUND(T322/U322,6))</f>
        <v/>
      </c>
      <c r="W322" s="9">
        <f>IF(OR(R322="",T322="",U322="",U322=0),"",ROUND(R322*T322/U322,3))</f>
        <v/>
      </c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12">
        <f>IF(A322="","",IF(OR(B322="",C322="",D322="",E322="",H322="",O322="",T322="",U322=""),"必填欄位未完整",""))</f>
        <v/>
      </c>
      <c r="AI322" s="12">
        <f>IF(A322="","",A322&amp;"|"&amp;G322)</f>
        <v/>
      </c>
      <c r="AJ322" s="12">
        <f>IF(A322="","",A322&amp;"|"&amp;H322)</f>
        <v/>
      </c>
    </row>
    <row r="323" ht="24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8" t="n"/>
      <c r="P323" s="8" t="n"/>
      <c r="Q323" s="8" t="n"/>
      <c r="R323" s="13">
        <f>IF(O323="","",SUM(O323:Q323))</f>
        <v/>
      </c>
      <c r="S323" s="9">
        <f>IF(R323="","",ROUND(R323/3.305785,3))</f>
        <v/>
      </c>
      <c r="T323" s="7" t="n"/>
      <c r="U323" s="7" t="n"/>
      <c r="V323" s="10">
        <f>IF(OR(T323="",U323="",U323=0),"",ROUND(T323/U323,6))</f>
        <v/>
      </c>
      <c r="W323" s="9">
        <f>IF(OR(R323="",T323="",U323="",U323=0),"",ROUND(R323*T323/U323,3))</f>
        <v/>
      </c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12">
        <f>IF(A323="","",IF(OR(B323="",C323="",D323="",E323="",H323="",O323="",T323="",U323=""),"必填欄位未完整",""))</f>
        <v/>
      </c>
      <c r="AI323" s="12">
        <f>IF(A323="","",A323&amp;"|"&amp;G323)</f>
        <v/>
      </c>
      <c r="AJ323" s="12">
        <f>IF(A323="","",A323&amp;"|"&amp;H323)</f>
        <v/>
      </c>
    </row>
    <row r="324" ht="24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8" t="n"/>
      <c r="P324" s="8" t="n"/>
      <c r="Q324" s="8" t="n"/>
      <c r="R324" s="13">
        <f>IF(O324="","",SUM(O324:Q324))</f>
        <v/>
      </c>
      <c r="S324" s="9">
        <f>IF(R324="","",ROUND(R324/3.305785,3))</f>
        <v/>
      </c>
      <c r="T324" s="7" t="n"/>
      <c r="U324" s="7" t="n"/>
      <c r="V324" s="10">
        <f>IF(OR(T324="",U324="",U324=0),"",ROUND(T324/U324,6))</f>
        <v/>
      </c>
      <c r="W324" s="9">
        <f>IF(OR(R324="",T324="",U324="",U324=0),"",ROUND(R324*T324/U324,3))</f>
        <v/>
      </c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12">
        <f>IF(A324="","",IF(OR(B324="",C324="",D324="",E324="",H324="",O324="",T324="",U324=""),"必填欄位未完整",""))</f>
        <v/>
      </c>
      <c r="AI324" s="12">
        <f>IF(A324="","",A324&amp;"|"&amp;G324)</f>
        <v/>
      </c>
      <c r="AJ324" s="12">
        <f>IF(A324="","",A324&amp;"|"&amp;H324)</f>
        <v/>
      </c>
    </row>
    <row r="325" ht="24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8" t="n"/>
      <c r="P325" s="8" t="n"/>
      <c r="Q325" s="8" t="n"/>
      <c r="R325" s="13">
        <f>IF(O325="","",SUM(O325:Q325))</f>
        <v/>
      </c>
      <c r="S325" s="9">
        <f>IF(R325="","",ROUND(R325/3.305785,3))</f>
        <v/>
      </c>
      <c r="T325" s="7" t="n"/>
      <c r="U325" s="7" t="n"/>
      <c r="V325" s="10">
        <f>IF(OR(T325="",U325="",U325=0),"",ROUND(T325/U325,6))</f>
        <v/>
      </c>
      <c r="W325" s="9">
        <f>IF(OR(R325="",T325="",U325="",U325=0),"",ROUND(R325*T325/U325,3))</f>
        <v/>
      </c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12">
        <f>IF(A325="","",IF(OR(B325="",C325="",D325="",E325="",H325="",O325="",T325="",U325=""),"必填欄位未完整",""))</f>
        <v/>
      </c>
      <c r="AI325" s="12">
        <f>IF(A325="","",A325&amp;"|"&amp;G325)</f>
        <v/>
      </c>
      <c r="AJ325" s="12">
        <f>IF(A325="","",A325&amp;"|"&amp;H325)</f>
        <v/>
      </c>
    </row>
    <row r="326" ht="24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8" t="n"/>
      <c r="P326" s="8" t="n"/>
      <c r="Q326" s="8" t="n"/>
      <c r="R326" s="13">
        <f>IF(O326="","",SUM(O326:Q326))</f>
        <v/>
      </c>
      <c r="S326" s="9">
        <f>IF(R326="","",ROUND(R326/3.305785,3))</f>
        <v/>
      </c>
      <c r="T326" s="7" t="n"/>
      <c r="U326" s="7" t="n"/>
      <c r="V326" s="10">
        <f>IF(OR(T326="",U326="",U326=0),"",ROUND(T326/U326,6))</f>
        <v/>
      </c>
      <c r="W326" s="9">
        <f>IF(OR(R326="",T326="",U326="",U326=0),"",ROUND(R326*T326/U326,3))</f>
        <v/>
      </c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12">
        <f>IF(A326="","",IF(OR(B326="",C326="",D326="",E326="",H326="",O326="",T326="",U326=""),"必填欄位未完整",""))</f>
        <v/>
      </c>
      <c r="AI326" s="12">
        <f>IF(A326="","",A326&amp;"|"&amp;G326)</f>
        <v/>
      </c>
      <c r="AJ326" s="12">
        <f>IF(A326="","",A326&amp;"|"&amp;H326)</f>
        <v/>
      </c>
    </row>
    <row r="327" ht="24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8" t="n"/>
      <c r="P327" s="8" t="n"/>
      <c r="Q327" s="8" t="n"/>
      <c r="R327" s="13">
        <f>IF(O327="","",SUM(O327:Q327))</f>
        <v/>
      </c>
      <c r="S327" s="9">
        <f>IF(R327="","",ROUND(R327/3.305785,3))</f>
        <v/>
      </c>
      <c r="T327" s="7" t="n"/>
      <c r="U327" s="7" t="n"/>
      <c r="V327" s="10">
        <f>IF(OR(T327="",U327="",U327=0),"",ROUND(T327/U327,6))</f>
        <v/>
      </c>
      <c r="W327" s="9">
        <f>IF(OR(R327="",T327="",U327="",U327=0),"",ROUND(R327*T327/U327,3))</f>
        <v/>
      </c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12">
        <f>IF(A327="","",IF(OR(B327="",C327="",D327="",E327="",H327="",O327="",T327="",U327=""),"必填欄位未完整",""))</f>
        <v/>
      </c>
      <c r="AI327" s="12">
        <f>IF(A327="","",A327&amp;"|"&amp;G327)</f>
        <v/>
      </c>
      <c r="AJ327" s="12">
        <f>IF(A327="","",A327&amp;"|"&amp;H327)</f>
        <v/>
      </c>
    </row>
    <row r="328" ht="24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8" t="n"/>
      <c r="P328" s="8" t="n"/>
      <c r="Q328" s="8" t="n"/>
      <c r="R328" s="13">
        <f>IF(O328="","",SUM(O328:Q328))</f>
        <v/>
      </c>
      <c r="S328" s="9">
        <f>IF(R328="","",ROUND(R328/3.305785,3))</f>
        <v/>
      </c>
      <c r="T328" s="7" t="n"/>
      <c r="U328" s="7" t="n"/>
      <c r="V328" s="10">
        <f>IF(OR(T328="",U328="",U328=0),"",ROUND(T328/U328,6))</f>
        <v/>
      </c>
      <c r="W328" s="9">
        <f>IF(OR(R328="",T328="",U328="",U328=0),"",ROUND(R328*T328/U328,3))</f>
        <v/>
      </c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12">
        <f>IF(A328="","",IF(OR(B328="",C328="",D328="",E328="",H328="",O328="",T328="",U328=""),"必填欄位未完整",""))</f>
        <v/>
      </c>
      <c r="AI328" s="12">
        <f>IF(A328="","",A328&amp;"|"&amp;G328)</f>
        <v/>
      </c>
      <c r="AJ328" s="12">
        <f>IF(A328="","",A328&amp;"|"&amp;H328)</f>
        <v/>
      </c>
    </row>
    <row r="329" ht="24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8" t="n"/>
      <c r="P329" s="8" t="n"/>
      <c r="Q329" s="8" t="n"/>
      <c r="R329" s="13">
        <f>IF(O329="","",SUM(O329:Q329))</f>
        <v/>
      </c>
      <c r="S329" s="9">
        <f>IF(R329="","",ROUND(R329/3.305785,3))</f>
        <v/>
      </c>
      <c r="T329" s="7" t="n"/>
      <c r="U329" s="7" t="n"/>
      <c r="V329" s="10">
        <f>IF(OR(T329="",U329="",U329=0),"",ROUND(T329/U329,6))</f>
        <v/>
      </c>
      <c r="W329" s="9">
        <f>IF(OR(R329="",T329="",U329="",U329=0),"",ROUND(R329*T329/U329,3))</f>
        <v/>
      </c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12">
        <f>IF(A329="","",IF(OR(B329="",C329="",D329="",E329="",H329="",O329="",T329="",U329=""),"必填欄位未完整",""))</f>
        <v/>
      </c>
      <c r="AI329" s="12">
        <f>IF(A329="","",A329&amp;"|"&amp;G329)</f>
        <v/>
      </c>
      <c r="AJ329" s="12">
        <f>IF(A329="","",A329&amp;"|"&amp;H329)</f>
        <v/>
      </c>
    </row>
    <row r="330" ht="24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8" t="n"/>
      <c r="P330" s="8" t="n"/>
      <c r="Q330" s="8" t="n"/>
      <c r="R330" s="13">
        <f>IF(O330="","",SUM(O330:Q330))</f>
        <v/>
      </c>
      <c r="S330" s="9">
        <f>IF(R330="","",ROUND(R330/3.305785,3))</f>
        <v/>
      </c>
      <c r="T330" s="7" t="n"/>
      <c r="U330" s="7" t="n"/>
      <c r="V330" s="10">
        <f>IF(OR(T330="",U330="",U330=0),"",ROUND(T330/U330,6))</f>
        <v/>
      </c>
      <c r="W330" s="9">
        <f>IF(OR(R330="",T330="",U330="",U330=0),"",ROUND(R330*T330/U330,3))</f>
        <v/>
      </c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12">
        <f>IF(A330="","",IF(OR(B330="",C330="",D330="",E330="",H330="",O330="",T330="",U330=""),"必填欄位未完整",""))</f>
        <v/>
      </c>
      <c r="AI330" s="12">
        <f>IF(A330="","",A330&amp;"|"&amp;G330)</f>
        <v/>
      </c>
      <c r="AJ330" s="12">
        <f>IF(A330="","",A330&amp;"|"&amp;H330)</f>
        <v/>
      </c>
    </row>
    <row r="331" ht="24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8" t="n"/>
      <c r="P331" s="8" t="n"/>
      <c r="Q331" s="8" t="n"/>
      <c r="R331" s="13">
        <f>IF(O331="","",SUM(O331:Q331))</f>
        <v/>
      </c>
      <c r="S331" s="9">
        <f>IF(R331="","",ROUND(R331/3.305785,3))</f>
        <v/>
      </c>
      <c r="T331" s="7" t="n"/>
      <c r="U331" s="7" t="n"/>
      <c r="V331" s="10">
        <f>IF(OR(T331="",U331="",U331=0),"",ROUND(T331/U331,6))</f>
        <v/>
      </c>
      <c r="W331" s="9">
        <f>IF(OR(R331="",T331="",U331="",U331=0),"",ROUND(R331*T331/U331,3))</f>
        <v/>
      </c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12">
        <f>IF(A331="","",IF(OR(B331="",C331="",D331="",E331="",H331="",O331="",T331="",U331=""),"必填欄位未完整",""))</f>
        <v/>
      </c>
      <c r="AI331" s="12">
        <f>IF(A331="","",A331&amp;"|"&amp;G331)</f>
        <v/>
      </c>
      <c r="AJ331" s="12">
        <f>IF(A331="","",A331&amp;"|"&amp;H331)</f>
        <v/>
      </c>
    </row>
    <row r="332" ht="24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8" t="n"/>
      <c r="P332" s="8" t="n"/>
      <c r="Q332" s="8" t="n"/>
      <c r="R332" s="13">
        <f>IF(O332="","",SUM(O332:Q332))</f>
        <v/>
      </c>
      <c r="S332" s="9">
        <f>IF(R332="","",ROUND(R332/3.305785,3))</f>
        <v/>
      </c>
      <c r="T332" s="7" t="n"/>
      <c r="U332" s="7" t="n"/>
      <c r="V332" s="10">
        <f>IF(OR(T332="",U332="",U332=0),"",ROUND(T332/U332,6))</f>
        <v/>
      </c>
      <c r="W332" s="9">
        <f>IF(OR(R332="",T332="",U332="",U332=0),"",ROUND(R332*T332/U332,3))</f>
        <v/>
      </c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12">
        <f>IF(A332="","",IF(OR(B332="",C332="",D332="",E332="",H332="",O332="",T332="",U332=""),"必填欄位未完整",""))</f>
        <v/>
      </c>
      <c r="AI332" s="12">
        <f>IF(A332="","",A332&amp;"|"&amp;G332)</f>
        <v/>
      </c>
      <c r="AJ332" s="12">
        <f>IF(A332="","",A332&amp;"|"&amp;H332)</f>
        <v/>
      </c>
    </row>
    <row r="333" ht="24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8" t="n"/>
      <c r="P333" s="8" t="n"/>
      <c r="Q333" s="8" t="n"/>
      <c r="R333" s="13">
        <f>IF(O333="","",SUM(O333:Q333))</f>
        <v/>
      </c>
      <c r="S333" s="9">
        <f>IF(R333="","",ROUND(R333/3.305785,3))</f>
        <v/>
      </c>
      <c r="T333" s="7" t="n"/>
      <c r="U333" s="7" t="n"/>
      <c r="V333" s="10">
        <f>IF(OR(T333="",U333="",U333=0),"",ROUND(T333/U333,6))</f>
        <v/>
      </c>
      <c r="W333" s="9">
        <f>IF(OR(R333="",T333="",U333="",U333=0),"",ROUND(R333*T333/U333,3))</f>
        <v/>
      </c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12">
        <f>IF(A333="","",IF(OR(B333="",C333="",D333="",E333="",H333="",O333="",T333="",U333=""),"必填欄位未完整",""))</f>
        <v/>
      </c>
      <c r="AI333" s="12">
        <f>IF(A333="","",A333&amp;"|"&amp;G333)</f>
        <v/>
      </c>
      <c r="AJ333" s="12">
        <f>IF(A333="","",A333&amp;"|"&amp;H333)</f>
        <v/>
      </c>
    </row>
    <row r="334" ht="24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8" t="n"/>
      <c r="P334" s="8" t="n"/>
      <c r="Q334" s="8" t="n"/>
      <c r="R334" s="13">
        <f>IF(O334="","",SUM(O334:Q334))</f>
        <v/>
      </c>
      <c r="S334" s="9">
        <f>IF(R334="","",ROUND(R334/3.305785,3))</f>
        <v/>
      </c>
      <c r="T334" s="7" t="n"/>
      <c r="U334" s="7" t="n"/>
      <c r="V334" s="10">
        <f>IF(OR(T334="",U334="",U334=0),"",ROUND(T334/U334,6))</f>
        <v/>
      </c>
      <c r="W334" s="9">
        <f>IF(OR(R334="",T334="",U334="",U334=0),"",ROUND(R334*T334/U334,3))</f>
        <v/>
      </c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12">
        <f>IF(A334="","",IF(OR(B334="",C334="",D334="",E334="",H334="",O334="",T334="",U334=""),"必填欄位未完整",""))</f>
        <v/>
      </c>
      <c r="AI334" s="12">
        <f>IF(A334="","",A334&amp;"|"&amp;G334)</f>
        <v/>
      </c>
      <c r="AJ334" s="12">
        <f>IF(A334="","",A334&amp;"|"&amp;H334)</f>
        <v/>
      </c>
    </row>
    <row r="335" ht="24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8" t="n"/>
      <c r="P335" s="8" t="n"/>
      <c r="Q335" s="8" t="n"/>
      <c r="R335" s="13">
        <f>IF(O335="","",SUM(O335:Q335))</f>
        <v/>
      </c>
      <c r="S335" s="9">
        <f>IF(R335="","",ROUND(R335/3.305785,3))</f>
        <v/>
      </c>
      <c r="T335" s="7" t="n"/>
      <c r="U335" s="7" t="n"/>
      <c r="V335" s="10">
        <f>IF(OR(T335="",U335="",U335=0),"",ROUND(T335/U335,6))</f>
        <v/>
      </c>
      <c r="W335" s="9">
        <f>IF(OR(R335="",T335="",U335="",U335=0),"",ROUND(R335*T335/U335,3))</f>
        <v/>
      </c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12">
        <f>IF(A335="","",IF(OR(B335="",C335="",D335="",E335="",H335="",O335="",T335="",U335=""),"必填欄位未完整",""))</f>
        <v/>
      </c>
      <c r="AI335" s="12">
        <f>IF(A335="","",A335&amp;"|"&amp;G335)</f>
        <v/>
      </c>
      <c r="AJ335" s="12">
        <f>IF(A335="","",A335&amp;"|"&amp;H335)</f>
        <v/>
      </c>
    </row>
    <row r="336" ht="24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8" t="n"/>
      <c r="P336" s="8" t="n"/>
      <c r="Q336" s="8" t="n"/>
      <c r="R336" s="13">
        <f>IF(O336="","",SUM(O336:Q336))</f>
        <v/>
      </c>
      <c r="S336" s="9">
        <f>IF(R336="","",ROUND(R336/3.305785,3))</f>
        <v/>
      </c>
      <c r="T336" s="7" t="n"/>
      <c r="U336" s="7" t="n"/>
      <c r="V336" s="10">
        <f>IF(OR(T336="",U336="",U336=0),"",ROUND(T336/U336,6))</f>
        <v/>
      </c>
      <c r="W336" s="9">
        <f>IF(OR(R336="",T336="",U336="",U336=0),"",ROUND(R336*T336/U336,3))</f>
        <v/>
      </c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12">
        <f>IF(A336="","",IF(OR(B336="",C336="",D336="",E336="",H336="",O336="",T336="",U336=""),"必填欄位未完整",""))</f>
        <v/>
      </c>
      <c r="AI336" s="12">
        <f>IF(A336="","",A336&amp;"|"&amp;G336)</f>
        <v/>
      </c>
      <c r="AJ336" s="12">
        <f>IF(A336="","",A336&amp;"|"&amp;H336)</f>
        <v/>
      </c>
    </row>
    <row r="337" ht="24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8" t="n"/>
      <c r="P337" s="8" t="n"/>
      <c r="Q337" s="8" t="n"/>
      <c r="R337" s="13">
        <f>IF(O337="","",SUM(O337:Q337))</f>
        <v/>
      </c>
      <c r="S337" s="9">
        <f>IF(R337="","",ROUND(R337/3.305785,3))</f>
        <v/>
      </c>
      <c r="T337" s="7" t="n"/>
      <c r="U337" s="7" t="n"/>
      <c r="V337" s="10">
        <f>IF(OR(T337="",U337="",U337=0),"",ROUND(T337/U337,6))</f>
        <v/>
      </c>
      <c r="W337" s="9">
        <f>IF(OR(R337="",T337="",U337="",U337=0),"",ROUND(R337*T337/U337,3))</f>
        <v/>
      </c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12">
        <f>IF(A337="","",IF(OR(B337="",C337="",D337="",E337="",H337="",O337="",T337="",U337=""),"必填欄位未完整",""))</f>
        <v/>
      </c>
      <c r="AI337" s="12">
        <f>IF(A337="","",A337&amp;"|"&amp;G337)</f>
        <v/>
      </c>
      <c r="AJ337" s="12">
        <f>IF(A337="","",A337&amp;"|"&amp;H337)</f>
        <v/>
      </c>
    </row>
    <row r="338" ht="24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8" t="n"/>
      <c r="P338" s="8" t="n"/>
      <c r="Q338" s="8" t="n"/>
      <c r="R338" s="13">
        <f>IF(O338="","",SUM(O338:Q338))</f>
        <v/>
      </c>
      <c r="S338" s="9">
        <f>IF(R338="","",ROUND(R338/3.305785,3))</f>
        <v/>
      </c>
      <c r="T338" s="7" t="n"/>
      <c r="U338" s="7" t="n"/>
      <c r="V338" s="10">
        <f>IF(OR(T338="",U338="",U338=0),"",ROUND(T338/U338,6))</f>
        <v/>
      </c>
      <c r="W338" s="9">
        <f>IF(OR(R338="",T338="",U338="",U338=0),"",ROUND(R338*T338/U338,3))</f>
        <v/>
      </c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12">
        <f>IF(A338="","",IF(OR(B338="",C338="",D338="",E338="",H338="",O338="",T338="",U338=""),"必填欄位未完整",""))</f>
        <v/>
      </c>
      <c r="AI338" s="12">
        <f>IF(A338="","",A338&amp;"|"&amp;G338)</f>
        <v/>
      </c>
      <c r="AJ338" s="12">
        <f>IF(A338="","",A338&amp;"|"&amp;H338)</f>
        <v/>
      </c>
    </row>
    <row r="339" ht="24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8" t="n"/>
      <c r="P339" s="8" t="n"/>
      <c r="Q339" s="8" t="n"/>
      <c r="R339" s="13">
        <f>IF(O339="","",SUM(O339:Q339))</f>
        <v/>
      </c>
      <c r="S339" s="9">
        <f>IF(R339="","",ROUND(R339/3.305785,3))</f>
        <v/>
      </c>
      <c r="T339" s="7" t="n"/>
      <c r="U339" s="7" t="n"/>
      <c r="V339" s="10">
        <f>IF(OR(T339="",U339="",U339=0),"",ROUND(T339/U339,6))</f>
        <v/>
      </c>
      <c r="W339" s="9">
        <f>IF(OR(R339="",T339="",U339="",U339=0),"",ROUND(R339*T339/U339,3))</f>
        <v/>
      </c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12">
        <f>IF(A339="","",IF(OR(B339="",C339="",D339="",E339="",H339="",O339="",T339="",U339=""),"必填欄位未完整",""))</f>
        <v/>
      </c>
      <c r="AI339" s="12">
        <f>IF(A339="","",A339&amp;"|"&amp;G339)</f>
        <v/>
      </c>
      <c r="AJ339" s="12">
        <f>IF(A339="","",A339&amp;"|"&amp;H339)</f>
        <v/>
      </c>
    </row>
    <row r="340" ht="24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8" t="n"/>
      <c r="P340" s="8" t="n"/>
      <c r="Q340" s="8" t="n"/>
      <c r="R340" s="13">
        <f>IF(O340="","",SUM(O340:Q340))</f>
        <v/>
      </c>
      <c r="S340" s="9">
        <f>IF(R340="","",ROUND(R340/3.305785,3))</f>
        <v/>
      </c>
      <c r="T340" s="7" t="n"/>
      <c r="U340" s="7" t="n"/>
      <c r="V340" s="10">
        <f>IF(OR(T340="",U340="",U340=0),"",ROUND(T340/U340,6))</f>
        <v/>
      </c>
      <c r="W340" s="9">
        <f>IF(OR(R340="",T340="",U340="",U340=0),"",ROUND(R340*T340/U340,3))</f>
        <v/>
      </c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12">
        <f>IF(A340="","",IF(OR(B340="",C340="",D340="",E340="",H340="",O340="",T340="",U340=""),"必填欄位未完整",""))</f>
        <v/>
      </c>
      <c r="AI340" s="12">
        <f>IF(A340="","",A340&amp;"|"&amp;G340)</f>
        <v/>
      </c>
      <c r="AJ340" s="12">
        <f>IF(A340="","",A340&amp;"|"&amp;H340)</f>
        <v/>
      </c>
    </row>
    <row r="341" ht="24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8" t="n"/>
      <c r="P341" s="8" t="n"/>
      <c r="Q341" s="8" t="n"/>
      <c r="R341" s="13">
        <f>IF(O341="","",SUM(O341:Q341))</f>
        <v/>
      </c>
      <c r="S341" s="9">
        <f>IF(R341="","",ROUND(R341/3.305785,3))</f>
        <v/>
      </c>
      <c r="T341" s="7" t="n"/>
      <c r="U341" s="7" t="n"/>
      <c r="V341" s="10">
        <f>IF(OR(T341="",U341="",U341=0),"",ROUND(T341/U341,6))</f>
        <v/>
      </c>
      <c r="W341" s="9">
        <f>IF(OR(R341="",T341="",U341="",U341=0),"",ROUND(R341*T341/U341,3))</f>
        <v/>
      </c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12">
        <f>IF(A341="","",IF(OR(B341="",C341="",D341="",E341="",H341="",O341="",T341="",U341=""),"必填欄位未完整",""))</f>
        <v/>
      </c>
      <c r="AI341" s="12">
        <f>IF(A341="","",A341&amp;"|"&amp;G341)</f>
        <v/>
      </c>
      <c r="AJ341" s="12">
        <f>IF(A341="","",A341&amp;"|"&amp;H341)</f>
        <v/>
      </c>
    </row>
    <row r="342" ht="24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8" t="n"/>
      <c r="P342" s="8" t="n"/>
      <c r="Q342" s="8" t="n"/>
      <c r="R342" s="13">
        <f>IF(O342="","",SUM(O342:Q342))</f>
        <v/>
      </c>
      <c r="S342" s="9">
        <f>IF(R342="","",ROUND(R342/3.305785,3))</f>
        <v/>
      </c>
      <c r="T342" s="7" t="n"/>
      <c r="U342" s="7" t="n"/>
      <c r="V342" s="10">
        <f>IF(OR(T342="",U342="",U342=0),"",ROUND(T342/U342,6))</f>
        <v/>
      </c>
      <c r="W342" s="9">
        <f>IF(OR(R342="",T342="",U342="",U342=0),"",ROUND(R342*T342/U342,3))</f>
        <v/>
      </c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12">
        <f>IF(A342="","",IF(OR(B342="",C342="",D342="",E342="",H342="",O342="",T342="",U342=""),"必填欄位未完整",""))</f>
        <v/>
      </c>
      <c r="AI342" s="12">
        <f>IF(A342="","",A342&amp;"|"&amp;G342)</f>
        <v/>
      </c>
      <c r="AJ342" s="12">
        <f>IF(A342="","",A342&amp;"|"&amp;H342)</f>
        <v/>
      </c>
    </row>
    <row r="343" ht="24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8" t="n"/>
      <c r="P343" s="8" t="n"/>
      <c r="Q343" s="8" t="n"/>
      <c r="R343" s="13">
        <f>IF(O343="","",SUM(O343:Q343))</f>
        <v/>
      </c>
      <c r="S343" s="9">
        <f>IF(R343="","",ROUND(R343/3.305785,3))</f>
        <v/>
      </c>
      <c r="T343" s="7" t="n"/>
      <c r="U343" s="7" t="n"/>
      <c r="V343" s="10">
        <f>IF(OR(T343="",U343="",U343=0),"",ROUND(T343/U343,6))</f>
        <v/>
      </c>
      <c r="W343" s="9">
        <f>IF(OR(R343="",T343="",U343="",U343=0),"",ROUND(R343*T343/U343,3))</f>
        <v/>
      </c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12">
        <f>IF(A343="","",IF(OR(B343="",C343="",D343="",E343="",H343="",O343="",T343="",U343=""),"必填欄位未完整",""))</f>
        <v/>
      </c>
      <c r="AI343" s="12">
        <f>IF(A343="","",A343&amp;"|"&amp;G343)</f>
        <v/>
      </c>
      <c r="AJ343" s="12">
        <f>IF(A343="","",A343&amp;"|"&amp;H343)</f>
        <v/>
      </c>
    </row>
    <row r="344" ht="24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8" t="n"/>
      <c r="P344" s="8" t="n"/>
      <c r="Q344" s="8" t="n"/>
      <c r="R344" s="13">
        <f>IF(O344="","",SUM(O344:Q344))</f>
        <v/>
      </c>
      <c r="S344" s="9">
        <f>IF(R344="","",ROUND(R344/3.305785,3))</f>
        <v/>
      </c>
      <c r="T344" s="7" t="n"/>
      <c r="U344" s="7" t="n"/>
      <c r="V344" s="10">
        <f>IF(OR(T344="",U344="",U344=0),"",ROUND(T344/U344,6))</f>
        <v/>
      </c>
      <c r="W344" s="9">
        <f>IF(OR(R344="",T344="",U344="",U344=0),"",ROUND(R344*T344/U344,3))</f>
        <v/>
      </c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12">
        <f>IF(A344="","",IF(OR(B344="",C344="",D344="",E344="",H344="",O344="",T344="",U344=""),"必填欄位未完整",""))</f>
        <v/>
      </c>
      <c r="AI344" s="12">
        <f>IF(A344="","",A344&amp;"|"&amp;G344)</f>
        <v/>
      </c>
      <c r="AJ344" s="12">
        <f>IF(A344="","",A344&amp;"|"&amp;H344)</f>
        <v/>
      </c>
    </row>
    <row r="345" ht="24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8" t="n"/>
      <c r="P345" s="8" t="n"/>
      <c r="Q345" s="8" t="n"/>
      <c r="R345" s="13">
        <f>IF(O345="","",SUM(O345:Q345))</f>
        <v/>
      </c>
      <c r="S345" s="9">
        <f>IF(R345="","",ROUND(R345/3.305785,3))</f>
        <v/>
      </c>
      <c r="T345" s="7" t="n"/>
      <c r="U345" s="7" t="n"/>
      <c r="V345" s="10">
        <f>IF(OR(T345="",U345="",U345=0),"",ROUND(T345/U345,6))</f>
        <v/>
      </c>
      <c r="W345" s="9">
        <f>IF(OR(R345="",T345="",U345="",U345=0),"",ROUND(R345*T345/U345,3))</f>
        <v/>
      </c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12">
        <f>IF(A345="","",IF(OR(B345="",C345="",D345="",E345="",H345="",O345="",T345="",U345=""),"必填欄位未完整",""))</f>
        <v/>
      </c>
      <c r="AI345" s="12">
        <f>IF(A345="","",A345&amp;"|"&amp;G345)</f>
        <v/>
      </c>
      <c r="AJ345" s="12">
        <f>IF(A345="","",A345&amp;"|"&amp;H345)</f>
        <v/>
      </c>
    </row>
    <row r="346" ht="24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8" t="n"/>
      <c r="P346" s="8" t="n"/>
      <c r="Q346" s="8" t="n"/>
      <c r="R346" s="13">
        <f>IF(O346="","",SUM(O346:Q346))</f>
        <v/>
      </c>
      <c r="S346" s="9">
        <f>IF(R346="","",ROUND(R346/3.305785,3))</f>
        <v/>
      </c>
      <c r="T346" s="7" t="n"/>
      <c r="U346" s="7" t="n"/>
      <c r="V346" s="10">
        <f>IF(OR(T346="",U346="",U346=0),"",ROUND(T346/U346,6))</f>
        <v/>
      </c>
      <c r="W346" s="9">
        <f>IF(OR(R346="",T346="",U346="",U346=0),"",ROUND(R346*T346/U346,3))</f>
        <v/>
      </c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12">
        <f>IF(A346="","",IF(OR(B346="",C346="",D346="",E346="",H346="",O346="",T346="",U346=""),"必填欄位未完整",""))</f>
        <v/>
      </c>
      <c r="AI346" s="12">
        <f>IF(A346="","",A346&amp;"|"&amp;G346)</f>
        <v/>
      </c>
      <c r="AJ346" s="12">
        <f>IF(A346="","",A346&amp;"|"&amp;H346)</f>
        <v/>
      </c>
    </row>
    <row r="347" ht="24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8" t="n"/>
      <c r="P347" s="8" t="n"/>
      <c r="Q347" s="8" t="n"/>
      <c r="R347" s="13">
        <f>IF(O347="","",SUM(O347:Q347))</f>
        <v/>
      </c>
      <c r="S347" s="9">
        <f>IF(R347="","",ROUND(R347/3.305785,3))</f>
        <v/>
      </c>
      <c r="T347" s="7" t="n"/>
      <c r="U347" s="7" t="n"/>
      <c r="V347" s="10">
        <f>IF(OR(T347="",U347="",U347=0),"",ROUND(T347/U347,6))</f>
        <v/>
      </c>
      <c r="W347" s="9">
        <f>IF(OR(R347="",T347="",U347="",U347=0),"",ROUND(R347*T347/U347,3))</f>
        <v/>
      </c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12">
        <f>IF(A347="","",IF(OR(B347="",C347="",D347="",E347="",H347="",O347="",T347="",U347=""),"必填欄位未完整",""))</f>
        <v/>
      </c>
      <c r="AI347" s="12">
        <f>IF(A347="","",A347&amp;"|"&amp;G347)</f>
        <v/>
      </c>
      <c r="AJ347" s="12">
        <f>IF(A347="","",A347&amp;"|"&amp;H347)</f>
        <v/>
      </c>
    </row>
    <row r="348" ht="24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8" t="n"/>
      <c r="P348" s="8" t="n"/>
      <c r="Q348" s="8" t="n"/>
      <c r="R348" s="13">
        <f>IF(O348="","",SUM(O348:Q348))</f>
        <v/>
      </c>
      <c r="S348" s="9">
        <f>IF(R348="","",ROUND(R348/3.305785,3))</f>
        <v/>
      </c>
      <c r="T348" s="7" t="n"/>
      <c r="U348" s="7" t="n"/>
      <c r="V348" s="10">
        <f>IF(OR(T348="",U348="",U348=0),"",ROUND(T348/U348,6))</f>
        <v/>
      </c>
      <c r="W348" s="9">
        <f>IF(OR(R348="",T348="",U348="",U348=0),"",ROUND(R348*T348/U348,3))</f>
        <v/>
      </c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12">
        <f>IF(A348="","",IF(OR(B348="",C348="",D348="",E348="",H348="",O348="",T348="",U348=""),"必填欄位未完整",""))</f>
        <v/>
      </c>
      <c r="AI348" s="12">
        <f>IF(A348="","",A348&amp;"|"&amp;G348)</f>
        <v/>
      </c>
      <c r="AJ348" s="12">
        <f>IF(A348="","",A348&amp;"|"&amp;H348)</f>
        <v/>
      </c>
    </row>
    <row r="349" ht="24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8" t="n"/>
      <c r="P349" s="8" t="n"/>
      <c r="Q349" s="8" t="n"/>
      <c r="R349" s="13">
        <f>IF(O349="","",SUM(O349:Q349))</f>
        <v/>
      </c>
      <c r="S349" s="9">
        <f>IF(R349="","",ROUND(R349/3.305785,3))</f>
        <v/>
      </c>
      <c r="T349" s="7" t="n"/>
      <c r="U349" s="7" t="n"/>
      <c r="V349" s="10">
        <f>IF(OR(T349="",U349="",U349=0),"",ROUND(T349/U349,6))</f>
        <v/>
      </c>
      <c r="W349" s="9">
        <f>IF(OR(R349="",T349="",U349="",U349=0),"",ROUND(R349*T349/U349,3))</f>
        <v/>
      </c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12">
        <f>IF(A349="","",IF(OR(B349="",C349="",D349="",E349="",H349="",O349="",T349="",U349=""),"必填欄位未完整",""))</f>
        <v/>
      </c>
      <c r="AI349" s="12">
        <f>IF(A349="","",A349&amp;"|"&amp;G349)</f>
        <v/>
      </c>
      <c r="AJ349" s="12">
        <f>IF(A349="","",A349&amp;"|"&amp;H349)</f>
        <v/>
      </c>
    </row>
    <row r="350" ht="24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8" t="n"/>
      <c r="P350" s="8" t="n"/>
      <c r="Q350" s="8" t="n"/>
      <c r="R350" s="13">
        <f>IF(O350="","",SUM(O350:Q350))</f>
        <v/>
      </c>
      <c r="S350" s="9">
        <f>IF(R350="","",ROUND(R350/3.305785,3))</f>
        <v/>
      </c>
      <c r="T350" s="7" t="n"/>
      <c r="U350" s="7" t="n"/>
      <c r="V350" s="10">
        <f>IF(OR(T350="",U350="",U350=0),"",ROUND(T350/U350,6))</f>
        <v/>
      </c>
      <c r="W350" s="9">
        <f>IF(OR(R350="",T350="",U350="",U350=0),"",ROUND(R350*T350/U350,3))</f>
        <v/>
      </c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12">
        <f>IF(A350="","",IF(OR(B350="",C350="",D350="",E350="",H350="",O350="",T350="",U350=""),"必填欄位未完整",""))</f>
        <v/>
      </c>
      <c r="AI350" s="12">
        <f>IF(A350="","",A350&amp;"|"&amp;G350)</f>
        <v/>
      </c>
      <c r="AJ350" s="12">
        <f>IF(A350="","",A350&amp;"|"&amp;H350)</f>
        <v/>
      </c>
    </row>
    <row r="351" ht="24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8" t="n"/>
      <c r="P351" s="8" t="n"/>
      <c r="Q351" s="8" t="n"/>
      <c r="R351" s="13">
        <f>IF(O351="","",SUM(O351:Q351))</f>
        <v/>
      </c>
      <c r="S351" s="9">
        <f>IF(R351="","",ROUND(R351/3.305785,3))</f>
        <v/>
      </c>
      <c r="T351" s="7" t="n"/>
      <c r="U351" s="7" t="n"/>
      <c r="V351" s="10">
        <f>IF(OR(T351="",U351="",U351=0),"",ROUND(T351/U351,6))</f>
        <v/>
      </c>
      <c r="W351" s="9">
        <f>IF(OR(R351="",T351="",U351="",U351=0),"",ROUND(R351*T351/U351,3))</f>
        <v/>
      </c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12">
        <f>IF(A351="","",IF(OR(B351="",C351="",D351="",E351="",H351="",O351="",T351="",U351=""),"必填欄位未完整",""))</f>
        <v/>
      </c>
      <c r="AI351" s="12">
        <f>IF(A351="","",A351&amp;"|"&amp;G351)</f>
        <v/>
      </c>
      <c r="AJ351" s="12">
        <f>IF(A351="","",A351&amp;"|"&amp;H351)</f>
        <v/>
      </c>
    </row>
    <row r="352" ht="24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8" t="n"/>
      <c r="P352" s="8" t="n"/>
      <c r="Q352" s="8" t="n"/>
      <c r="R352" s="13">
        <f>IF(O352="","",SUM(O352:Q352))</f>
        <v/>
      </c>
      <c r="S352" s="9">
        <f>IF(R352="","",ROUND(R352/3.305785,3))</f>
        <v/>
      </c>
      <c r="T352" s="7" t="n"/>
      <c r="U352" s="7" t="n"/>
      <c r="V352" s="10">
        <f>IF(OR(T352="",U352="",U352=0),"",ROUND(T352/U352,6))</f>
        <v/>
      </c>
      <c r="W352" s="9">
        <f>IF(OR(R352="",T352="",U352="",U352=0),"",ROUND(R352*T352/U352,3))</f>
        <v/>
      </c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12">
        <f>IF(A352="","",IF(OR(B352="",C352="",D352="",E352="",H352="",O352="",T352="",U352=""),"必填欄位未完整",""))</f>
        <v/>
      </c>
      <c r="AI352" s="12">
        <f>IF(A352="","",A352&amp;"|"&amp;G352)</f>
        <v/>
      </c>
      <c r="AJ352" s="12">
        <f>IF(A352="","",A352&amp;"|"&amp;H352)</f>
        <v/>
      </c>
    </row>
    <row r="353" ht="24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8" t="n"/>
      <c r="P353" s="8" t="n"/>
      <c r="Q353" s="8" t="n"/>
      <c r="R353" s="13">
        <f>IF(O353="","",SUM(O353:Q353))</f>
        <v/>
      </c>
      <c r="S353" s="9">
        <f>IF(R353="","",ROUND(R353/3.305785,3))</f>
        <v/>
      </c>
      <c r="T353" s="7" t="n"/>
      <c r="U353" s="7" t="n"/>
      <c r="V353" s="10">
        <f>IF(OR(T353="",U353="",U353=0),"",ROUND(T353/U353,6))</f>
        <v/>
      </c>
      <c r="W353" s="9">
        <f>IF(OR(R353="",T353="",U353="",U353=0),"",ROUND(R353*T353/U353,3))</f>
        <v/>
      </c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12">
        <f>IF(A353="","",IF(OR(B353="",C353="",D353="",E353="",H353="",O353="",T353="",U353=""),"必填欄位未完整",""))</f>
        <v/>
      </c>
      <c r="AI353" s="12">
        <f>IF(A353="","",A353&amp;"|"&amp;G353)</f>
        <v/>
      </c>
      <c r="AJ353" s="12">
        <f>IF(A353="","",A353&amp;"|"&amp;H353)</f>
        <v/>
      </c>
    </row>
    <row r="354" ht="24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8" t="n"/>
      <c r="P354" s="8" t="n"/>
      <c r="Q354" s="8" t="n"/>
      <c r="R354" s="13">
        <f>IF(O354="","",SUM(O354:Q354))</f>
        <v/>
      </c>
      <c r="S354" s="9">
        <f>IF(R354="","",ROUND(R354/3.305785,3))</f>
        <v/>
      </c>
      <c r="T354" s="7" t="n"/>
      <c r="U354" s="7" t="n"/>
      <c r="V354" s="10">
        <f>IF(OR(T354="",U354="",U354=0),"",ROUND(T354/U354,6))</f>
        <v/>
      </c>
      <c r="W354" s="9">
        <f>IF(OR(R354="",T354="",U354="",U354=0),"",ROUND(R354*T354/U354,3))</f>
        <v/>
      </c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12">
        <f>IF(A354="","",IF(OR(B354="",C354="",D354="",E354="",H354="",O354="",T354="",U354=""),"必填欄位未完整",""))</f>
        <v/>
      </c>
      <c r="AI354" s="12">
        <f>IF(A354="","",A354&amp;"|"&amp;G354)</f>
        <v/>
      </c>
      <c r="AJ354" s="12">
        <f>IF(A354="","",A354&amp;"|"&amp;H354)</f>
        <v/>
      </c>
    </row>
    <row r="355" ht="24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8" t="n"/>
      <c r="P355" s="8" t="n"/>
      <c r="Q355" s="8" t="n"/>
      <c r="R355" s="13">
        <f>IF(O355="","",SUM(O355:Q355))</f>
        <v/>
      </c>
      <c r="S355" s="9">
        <f>IF(R355="","",ROUND(R355/3.305785,3))</f>
        <v/>
      </c>
      <c r="T355" s="7" t="n"/>
      <c r="U355" s="7" t="n"/>
      <c r="V355" s="10">
        <f>IF(OR(T355="",U355="",U355=0),"",ROUND(T355/U355,6))</f>
        <v/>
      </c>
      <c r="W355" s="9">
        <f>IF(OR(R355="",T355="",U355="",U355=0),"",ROUND(R355*T355/U355,3))</f>
        <v/>
      </c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12">
        <f>IF(A355="","",IF(OR(B355="",C355="",D355="",E355="",H355="",O355="",T355="",U355=""),"必填欄位未完整",""))</f>
        <v/>
      </c>
      <c r="AI355" s="12">
        <f>IF(A355="","",A355&amp;"|"&amp;G355)</f>
        <v/>
      </c>
      <c r="AJ355" s="12">
        <f>IF(A355="","",A355&amp;"|"&amp;H355)</f>
        <v/>
      </c>
    </row>
    <row r="356" ht="24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8" t="n"/>
      <c r="P356" s="8" t="n"/>
      <c r="Q356" s="8" t="n"/>
      <c r="R356" s="13">
        <f>IF(O356="","",SUM(O356:Q356))</f>
        <v/>
      </c>
      <c r="S356" s="9">
        <f>IF(R356="","",ROUND(R356/3.305785,3))</f>
        <v/>
      </c>
      <c r="T356" s="7" t="n"/>
      <c r="U356" s="7" t="n"/>
      <c r="V356" s="10">
        <f>IF(OR(T356="",U356="",U356=0),"",ROUND(T356/U356,6))</f>
        <v/>
      </c>
      <c r="W356" s="9">
        <f>IF(OR(R356="",T356="",U356="",U356=0),"",ROUND(R356*T356/U356,3))</f>
        <v/>
      </c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12">
        <f>IF(A356="","",IF(OR(B356="",C356="",D356="",E356="",H356="",O356="",T356="",U356=""),"必填欄位未完整",""))</f>
        <v/>
      </c>
      <c r="AI356" s="12">
        <f>IF(A356="","",A356&amp;"|"&amp;G356)</f>
        <v/>
      </c>
      <c r="AJ356" s="12">
        <f>IF(A356="","",A356&amp;"|"&amp;H356)</f>
        <v/>
      </c>
    </row>
    <row r="357" ht="24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8" t="n"/>
      <c r="P357" s="8" t="n"/>
      <c r="Q357" s="8" t="n"/>
      <c r="R357" s="13">
        <f>IF(O357="","",SUM(O357:Q357))</f>
        <v/>
      </c>
      <c r="S357" s="9">
        <f>IF(R357="","",ROUND(R357/3.305785,3))</f>
        <v/>
      </c>
      <c r="T357" s="7" t="n"/>
      <c r="U357" s="7" t="n"/>
      <c r="V357" s="10">
        <f>IF(OR(T357="",U357="",U357=0),"",ROUND(T357/U357,6))</f>
        <v/>
      </c>
      <c r="W357" s="9">
        <f>IF(OR(R357="",T357="",U357="",U357=0),"",ROUND(R357*T357/U357,3))</f>
        <v/>
      </c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12">
        <f>IF(A357="","",IF(OR(B357="",C357="",D357="",E357="",H357="",O357="",T357="",U357=""),"必填欄位未完整",""))</f>
        <v/>
      </c>
      <c r="AI357" s="12">
        <f>IF(A357="","",A357&amp;"|"&amp;G357)</f>
        <v/>
      </c>
      <c r="AJ357" s="12">
        <f>IF(A357="","",A357&amp;"|"&amp;H357)</f>
        <v/>
      </c>
    </row>
    <row r="358" ht="24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8" t="n"/>
      <c r="P358" s="8" t="n"/>
      <c r="Q358" s="8" t="n"/>
      <c r="R358" s="13">
        <f>IF(O358="","",SUM(O358:Q358))</f>
        <v/>
      </c>
      <c r="S358" s="9">
        <f>IF(R358="","",ROUND(R358/3.305785,3))</f>
        <v/>
      </c>
      <c r="T358" s="7" t="n"/>
      <c r="U358" s="7" t="n"/>
      <c r="V358" s="10">
        <f>IF(OR(T358="",U358="",U358=0),"",ROUND(T358/U358,6))</f>
        <v/>
      </c>
      <c r="W358" s="9">
        <f>IF(OR(R358="",T358="",U358="",U358=0),"",ROUND(R358*T358/U358,3))</f>
        <v/>
      </c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12">
        <f>IF(A358="","",IF(OR(B358="",C358="",D358="",E358="",H358="",O358="",T358="",U358=""),"必填欄位未完整",""))</f>
        <v/>
      </c>
      <c r="AI358" s="12">
        <f>IF(A358="","",A358&amp;"|"&amp;G358)</f>
        <v/>
      </c>
      <c r="AJ358" s="12">
        <f>IF(A358="","",A358&amp;"|"&amp;H358)</f>
        <v/>
      </c>
    </row>
    <row r="359" ht="24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8" t="n"/>
      <c r="P359" s="8" t="n"/>
      <c r="Q359" s="8" t="n"/>
      <c r="R359" s="13">
        <f>IF(O359="","",SUM(O359:Q359))</f>
        <v/>
      </c>
      <c r="S359" s="9">
        <f>IF(R359="","",ROUND(R359/3.305785,3))</f>
        <v/>
      </c>
      <c r="T359" s="7" t="n"/>
      <c r="U359" s="7" t="n"/>
      <c r="V359" s="10">
        <f>IF(OR(T359="",U359="",U359=0),"",ROUND(T359/U359,6))</f>
        <v/>
      </c>
      <c r="W359" s="9">
        <f>IF(OR(R359="",T359="",U359="",U359=0),"",ROUND(R359*T359/U359,3))</f>
        <v/>
      </c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12">
        <f>IF(A359="","",IF(OR(B359="",C359="",D359="",E359="",H359="",O359="",T359="",U359=""),"必填欄位未完整",""))</f>
        <v/>
      </c>
      <c r="AI359" s="12">
        <f>IF(A359="","",A359&amp;"|"&amp;G359)</f>
        <v/>
      </c>
      <c r="AJ359" s="12">
        <f>IF(A359="","",A359&amp;"|"&amp;H359)</f>
        <v/>
      </c>
    </row>
    <row r="360" ht="24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8" t="n"/>
      <c r="P360" s="8" t="n"/>
      <c r="Q360" s="8" t="n"/>
      <c r="R360" s="13">
        <f>IF(O360="","",SUM(O360:Q360))</f>
        <v/>
      </c>
      <c r="S360" s="9">
        <f>IF(R360="","",ROUND(R360/3.305785,3))</f>
        <v/>
      </c>
      <c r="T360" s="7" t="n"/>
      <c r="U360" s="7" t="n"/>
      <c r="V360" s="10">
        <f>IF(OR(T360="",U360="",U360=0),"",ROUND(T360/U360,6))</f>
        <v/>
      </c>
      <c r="W360" s="9">
        <f>IF(OR(R360="",T360="",U360="",U360=0),"",ROUND(R360*T360/U360,3))</f>
        <v/>
      </c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12">
        <f>IF(A360="","",IF(OR(B360="",C360="",D360="",E360="",H360="",O360="",T360="",U360=""),"必填欄位未完整",""))</f>
        <v/>
      </c>
      <c r="AI360" s="12">
        <f>IF(A360="","",A360&amp;"|"&amp;G360)</f>
        <v/>
      </c>
      <c r="AJ360" s="12">
        <f>IF(A360="","",A360&amp;"|"&amp;H360)</f>
        <v/>
      </c>
    </row>
    <row r="361" ht="24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8" t="n"/>
      <c r="P361" s="8" t="n"/>
      <c r="Q361" s="8" t="n"/>
      <c r="R361" s="13">
        <f>IF(O361="","",SUM(O361:Q361))</f>
        <v/>
      </c>
      <c r="S361" s="9">
        <f>IF(R361="","",ROUND(R361/3.305785,3))</f>
        <v/>
      </c>
      <c r="T361" s="7" t="n"/>
      <c r="U361" s="7" t="n"/>
      <c r="V361" s="10">
        <f>IF(OR(T361="",U361="",U361=0),"",ROUND(T361/U361,6))</f>
        <v/>
      </c>
      <c r="W361" s="9">
        <f>IF(OR(R361="",T361="",U361="",U361=0),"",ROUND(R361*T361/U361,3))</f>
        <v/>
      </c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12">
        <f>IF(A361="","",IF(OR(B361="",C361="",D361="",E361="",H361="",O361="",T361="",U361=""),"必填欄位未完整",""))</f>
        <v/>
      </c>
      <c r="AI361" s="12">
        <f>IF(A361="","",A361&amp;"|"&amp;G361)</f>
        <v/>
      </c>
      <c r="AJ361" s="12">
        <f>IF(A361="","",A361&amp;"|"&amp;H361)</f>
        <v/>
      </c>
    </row>
    <row r="362" ht="24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8" t="n"/>
      <c r="P362" s="8" t="n"/>
      <c r="Q362" s="8" t="n"/>
      <c r="R362" s="13">
        <f>IF(O362="","",SUM(O362:Q362))</f>
        <v/>
      </c>
      <c r="S362" s="9">
        <f>IF(R362="","",ROUND(R362/3.305785,3))</f>
        <v/>
      </c>
      <c r="T362" s="7" t="n"/>
      <c r="U362" s="7" t="n"/>
      <c r="V362" s="10">
        <f>IF(OR(T362="",U362="",U362=0),"",ROUND(T362/U362,6))</f>
        <v/>
      </c>
      <c r="W362" s="9">
        <f>IF(OR(R362="",T362="",U362="",U362=0),"",ROUND(R362*T362/U362,3))</f>
        <v/>
      </c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12">
        <f>IF(A362="","",IF(OR(B362="",C362="",D362="",E362="",H362="",O362="",T362="",U362=""),"必填欄位未完整",""))</f>
        <v/>
      </c>
      <c r="AI362" s="12">
        <f>IF(A362="","",A362&amp;"|"&amp;G362)</f>
        <v/>
      </c>
      <c r="AJ362" s="12">
        <f>IF(A362="","",A362&amp;"|"&amp;H362)</f>
        <v/>
      </c>
    </row>
    <row r="363" ht="24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8" t="n"/>
      <c r="P363" s="8" t="n"/>
      <c r="Q363" s="8" t="n"/>
      <c r="R363" s="13">
        <f>IF(O363="","",SUM(O363:Q363))</f>
        <v/>
      </c>
      <c r="S363" s="9">
        <f>IF(R363="","",ROUND(R363/3.305785,3))</f>
        <v/>
      </c>
      <c r="T363" s="7" t="n"/>
      <c r="U363" s="7" t="n"/>
      <c r="V363" s="10">
        <f>IF(OR(T363="",U363="",U363=0),"",ROUND(T363/U363,6))</f>
        <v/>
      </c>
      <c r="W363" s="9">
        <f>IF(OR(R363="",T363="",U363="",U363=0),"",ROUND(R363*T363/U363,3))</f>
        <v/>
      </c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12">
        <f>IF(A363="","",IF(OR(B363="",C363="",D363="",E363="",H363="",O363="",T363="",U363=""),"必填欄位未完整",""))</f>
        <v/>
      </c>
      <c r="AI363" s="12">
        <f>IF(A363="","",A363&amp;"|"&amp;G363)</f>
        <v/>
      </c>
      <c r="AJ363" s="12">
        <f>IF(A363="","",A363&amp;"|"&amp;H363)</f>
        <v/>
      </c>
    </row>
    <row r="364" ht="24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8" t="n"/>
      <c r="P364" s="8" t="n"/>
      <c r="Q364" s="8" t="n"/>
      <c r="R364" s="13">
        <f>IF(O364="","",SUM(O364:Q364))</f>
        <v/>
      </c>
      <c r="S364" s="9">
        <f>IF(R364="","",ROUND(R364/3.305785,3))</f>
        <v/>
      </c>
      <c r="T364" s="7" t="n"/>
      <c r="U364" s="7" t="n"/>
      <c r="V364" s="10">
        <f>IF(OR(T364="",U364="",U364=0),"",ROUND(T364/U364,6))</f>
        <v/>
      </c>
      <c r="W364" s="9">
        <f>IF(OR(R364="",T364="",U364="",U364=0),"",ROUND(R364*T364/U364,3))</f>
        <v/>
      </c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12">
        <f>IF(A364="","",IF(OR(B364="",C364="",D364="",E364="",H364="",O364="",T364="",U364=""),"必填欄位未完整",""))</f>
        <v/>
      </c>
      <c r="AI364" s="12">
        <f>IF(A364="","",A364&amp;"|"&amp;G364)</f>
        <v/>
      </c>
      <c r="AJ364" s="12">
        <f>IF(A364="","",A364&amp;"|"&amp;H364)</f>
        <v/>
      </c>
    </row>
    <row r="365" ht="24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8" t="n"/>
      <c r="P365" s="8" t="n"/>
      <c r="Q365" s="8" t="n"/>
      <c r="R365" s="13">
        <f>IF(O365="","",SUM(O365:Q365))</f>
        <v/>
      </c>
      <c r="S365" s="9">
        <f>IF(R365="","",ROUND(R365/3.305785,3))</f>
        <v/>
      </c>
      <c r="T365" s="7" t="n"/>
      <c r="U365" s="7" t="n"/>
      <c r="V365" s="10">
        <f>IF(OR(T365="",U365="",U365=0),"",ROUND(T365/U365,6))</f>
        <v/>
      </c>
      <c r="W365" s="9">
        <f>IF(OR(R365="",T365="",U365="",U365=0),"",ROUND(R365*T365/U365,3))</f>
        <v/>
      </c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12">
        <f>IF(A365="","",IF(OR(B365="",C365="",D365="",E365="",H365="",O365="",T365="",U365=""),"必填欄位未完整",""))</f>
        <v/>
      </c>
      <c r="AI365" s="12">
        <f>IF(A365="","",A365&amp;"|"&amp;G365)</f>
        <v/>
      </c>
      <c r="AJ365" s="12">
        <f>IF(A365="","",A365&amp;"|"&amp;H365)</f>
        <v/>
      </c>
    </row>
    <row r="366" ht="24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8" t="n"/>
      <c r="P366" s="8" t="n"/>
      <c r="Q366" s="8" t="n"/>
      <c r="R366" s="13">
        <f>IF(O366="","",SUM(O366:Q366))</f>
        <v/>
      </c>
      <c r="S366" s="9">
        <f>IF(R366="","",ROUND(R366/3.305785,3))</f>
        <v/>
      </c>
      <c r="T366" s="7" t="n"/>
      <c r="U366" s="7" t="n"/>
      <c r="V366" s="10">
        <f>IF(OR(T366="",U366="",U366=0),"",ROUND(T366/U366,6))</f>
        <v/>
      </c>
      <c r="W366" s="9">
        <f>IF(OR(R366="",T366="",U366="",U366=0),"",ROUND(R366*T366/U366,3))</f>
        <v/>
      </c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12">
        <f>IF(A366="","",IF(OR(B366="",C366="",D366="",E366="",H366="",O366="",T366="",U366=""),"必填欄位未完整",""))</f>
        <v/>
      </c>
      <c r="AI366" s="12">
        <f>IF(A366="","",A366&amp;"|"&amp;G366)</f>
        <v/>
      </c>
      <c r="AJ366" s="12">
        <f>IF(A366="","",A366&amp;"|"&amp;H366)</f>
        <v/>
      </c>
    </row>
    <row r="367" ht="24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8" t="n"/>
      <c r="P367" s="8" t="n"/>
      <c r="Q367" s="8" t="n"/>
      <c r="R367" s="13">
        <f>IF(O367="","",SUM(O367:Q367))</f>
        <v/>
      </c>
      <c r="S367" s="9">
        <f>IF(R367="","",ROUND(R367/3.305785,3))</f>
        <v/>
      </c>
      <c r="T367" s="7" t="n"/>
      <c r="U367" s="7" t="n"/>
      <c r="V367" s="10">
        <f>IF(OR(T367="",U367="",U367=0),"",ROUND(T367/U367,6))</f>
        <v/>
      </c>
      <c r="W367" s="9">
        <f>IF(OR(R367="",T367="",U367="",U367=0),"",ROUND(R367*T367/U367,3))</f>
        <v/>
      </c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12">
        <f>IF(A367="","",IF(OR(B367="",C367="",D367="",E367="",H367="",O367="",T367="",U367=""),"必填欄位未完整",""))</f>
        <v/>
      </c>
      <c r="AI367" s="12">
        <f>IF(A367="","",A367&amp;"|"&amp;G367)</f>
        <v/>
      </c>
      <c r="AJ367" s="12">
        <f>IF(A367="","",A367&amp;"|"&amp;H367)</f>
        <v/>
      </c>
    </row>
    <row r="368" ht="24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8" t="n"/>
      <c r="P368" s="8" t="n"/>
      <c r="Q368" s="8" t="n"/>
      <c r="R368" s="13">
        <f>IF(O368="","",SUM(O368:Q368))</f>
        <v/>
      </c>
      <c r="S368" s="9">
        <f>IF(R368="","",ROUND(R368/3.305785,3))</f>
        <v/>
      </c>
      <c r="T368" s="7" t="n"/>
      <c r="U368" s="7" t="n"/>
      <c r="V368" s="10">
        <f>IF(OR(T368="",U368="",U368=0),"",ROUND(T368/U368,6))</f>
        <v/>
      </c>
      <c r="W368" s="9">
        <f>IF(OR(R368="",T368="",U368="",U368=0),"",ROUND(R368*T368/U368,3))</f>
        <v/>
      </c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12">
        <f>IF(A368="","",IF(OR(B368="",C368="",D368="",E368="",H368="",O368="",T368="",U368=""),"必填欄位未完整",""))</f>
        <v/>
      </c>
      <c r="AI368" s="12">
        <f>IF(A368="","",A368&amp;"|"&amp;G368)</f>
        <v/>
      </c>
      <c r="AJ368" s="12">
        <f>IF(A368="","",A368&amp;"|"&amp;H368)</f>
        <v/>
      </c>
    </row>
    <row r="369" ht="24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8" t="n"/>
      <c r="P369" s="8" t="n"/>
      <c r="Q369" s="8" t="n"/>
      <c r="R369" s="13">
        <f>IF(O369="","",SUM(O369:Q369))</f>
        <v/>
      </c>
      <c r="S369" s="9">
        <f>IF(R369="","",ROUND(R369/3.305785,3))</f>
        <v/>
      </c>
      <c r="T369" s="7" t="n"/>
      <c r="U369" s="7" t="n"/>
      <c r="V369" s="10">
        <f>IF(OR(T369="",U369="",U369=0),"",ROUND(T369/U369,6))</f>
        <v/>
      </c>
      <c r="W369" s="9">
        <f>IF(OR(R369="",T369="",U369="",U369=0),"",ROUND(R369*T369/U369,3))</f>
        <v/>
      </c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12">
        <f>IF(A369="","",IF(OR(B369="",C369="",D369="",E369="",H369="",O369="",T369="",U369=""),"必填欄位未完整",""))</f>
        <v/>
      </c>
      <c r="AI369" s="12">
        <f>IF(A369="","",A369&amp;"|"&amp;G369)</f>
        <v/>
      </c>
      <c r="AJ369" s="12">
        <f>IF(A369="","",A369&amp;"|"&amp;H369)</f>
        <v/>
      </c>
    </row>
    <row r="370" ht="24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8" t="n"/>
      <c r="P370" s="8" t="n"/>
      <c r="Q370" s="8" t="n"/>
      <c r="R370" s="13">
        <f>IF(O370="","",SUM(O370:Q370))</f>
        <v/>
      </c>
      <c r="S370" s="9">
        <f>IF(R370="","",ROUND(R370/3.305785,3))</f>
        <v/>
      </c>
      <c r="T370" s="7" t="n"/>
      <c r="U370" s="7" t="n"/>
      <c r="V370" s="10">
        <f>IF(OR(T370="",U370="",U370=0),"",ROUND(T370/U370,6))</f>
        <v/>
      </c>
      <c r="W370" s="9">
        <f>IF(OR(R370="",T370="",U370="",U370=0),"",ROUND(R370*T370/U370,3))</f>
        <v/>
      </c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12">
        <f>IF(A370="","",IF(OR(B370="",C370="",D370="",E370="",H370="",O370="",T370="",U370=""),"必填欄位未完整",""))</f>
        <v/>
      </c>
      <c r="AI370" s="12">
        <f>IF(A370="","",A370&amp;"|"&amp;G370)</f>
        <v/>
      </c>
      <c r="AJ370" s="12">
        <f>IF(A370="","",A370&amp;"|"&amp;H370)</f>
        <v/>
      </c>
    </row>
    <row r="371" ht="24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8" t="n"/>
      <c r="P371" s="8" t="n"/>
      <c r="Q371" s="8" t="n"/>
      <c r="R371" s="13">
        <f>IF(O371="","",SUM(O371:Q371))</f>
        <v/>
      </c>
      <c r="S371" s="9">
        <f>IF(R371="","",ROUND(R371/3.305785,3))</f>
        <v/>
      </c>
      <c r="T371" s="7" t="n"/>
      <c r="U371" s="7" t="n"/>
      <c r="V371" s="10">
        <f>IF(OR(T371="",U371="",U371=0),"",ROUND(T371/U371,6))</f>
        <v/>
      </c>
      <c r="W371" s="9">
        <f>IF(OR(R371="",T371="",U371="",U371=0),"",ROUND(R371*T371/U371,3))</f>
        <v/>
      </c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12">
        <f>IF(A371="","",IF(OR(B371="",C371="",D371="",E371="",H371="",O371="",T371="",U371=""),"必填欄位未完整",""))</f>
        <v/>
      </c>
      <c r="AI371" s="12">
        <f>IF(A371="","",A371&amp;"|"&amp;G371)</f>
        <v/>
      </c>
      <c r="AJ371" s="12">
        <f>IF(A371="","",A371&amp;"|"&amp;H371)</f>
        <v/>
      </c>
    </row>
    <row r="372" ht="24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8" t="n"/>
      <c r="P372" s="8" t="n"/>
      <c r="Q372" s="8" t="n"/>
      <c r="R372" s="13">
        <f>IF(O372="","",SUM(O372:Q372))</f>
        <v/>
      </c>
      <c r="S372" s="9">
        <f>IF(R372="","",ROUND(R372/3.305785,3))</f>
        <v/>
      </c>
      <c r="T372" s="7" t="n"/>
      <c r="U372" s="7" t="n"/>
      <c r="V372" s="10">
        <f>IF(OR(T372="",U372="",U372=0),"",ROUND(T372/U372,6))</f>
        <v/>
      </c>
      <c r="W372" s="9">
        <f>IF(OR(R372="",T372="",U372="",U372=0),"",ROUND(R372*T372/U372,3))</f>
        <v/>
      </c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12">
        <f>IF(A372="","",IF(OR(B372="",C372="",D372="",E372="",H372="",O372="",T372="",U372=""),"必填欄位未完整",""))</f>
        <v/>
      </c>
      <c r="AI372" s="12">
        <f>IF(A372="","",A372&amp;"|"&amp;G372)</f>
        <v/>
      </c>
      <c r="AJ372" s="12">
        <f>IF(A372="","",A372&amp;"|"&amp;H372)</f>
        <v/>
      </c>
    </row>
    <row r="373" ht="24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8" t="n"/>
      <c r="P373" s="8" t="n"/>
      <c r="Q373" s="8" t="n"/>
      <c r="R373" s="13">
        <f>IF(O373="","",SUM(O373:Q373))</f>
        <v/>
      </c>
      <c r="S373" s="9">
        <f>IF(R373="","",ROUND(R373/3.305785,3))</f>
        <v/>
      </c>
      <c r="T373" s="7" t="n"/>
      <c r="U373" s="7" t="n"/>
      <c r="V373" s="10">
        <f>IF(OR(T373="",U373="",U373=0),"",ROUND(T373/U373,6))</f>
        <v/>
      </c>
      <c r="W373" s="9">
        <f>IF(OR(R373="",T373="",U373="",U373=0),"",ROUND(R373*T373/U373,3))</f>
        <v/>
      </c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12">
        <f>IF(A373="","",IF(OR(B373="",C373="",D373="",E373="",H373="",O373="",T373="",U373=""),"必填欄位未完整",""))</f>
        <v/>
      </c>
      <c r="AI373" s="12">
        <f>IF(A373="","",A373&amp;"|"&amp;G373)</f>
        <v/>
      </c>
      <c r="AJ373" s="12">
        <f>IF(A373="","",A373&amp;"|"&amp;H373)</f>
        <v/>
      </c>
    </row>
    <row r="374" ht="24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8" t="n"/>
      <c r="P374" s="8" t="n"/>
      <c r="Q374" s="8" t="n"/>
      <c r="R374" s="13">
        <f>IF(O374="","",SUM(O374:Q374))</f>
        <v/>
      </c>
      <c r="S374" s="9">
        <f>IF(R374="","",ROUND(R374/3.305785,3))</f>
        <v/>
      </c>
      <c r="T374" s="7" t="n"/>
      <c r="U374" s="7" t="n"/>
      <c r="V374" s="10">
        <f>IF(OR(T374="",U374="",U374=0),"",ROUND(T374/U374,6))</f>
        <v/>
      </c>
      <c r="W374" s="9">
        <f>IF(OR(R374="",T374="",U374="",U374=0),"",ROUND(R374*T374/U374,3))</f>
        <v/>
      </c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12">
        <f>IF(A374="","",IF(OR(B374="",C374="",D374="",E374="",H374="",O374="",T374="",U374=""),"必填欄位未完整",""))</f>
        <v/>
      </c>
      <c r="AI374" s="12">
        <f>IF(A374="","",A374&amp;"|"&amp;G374)</f>
        <v/>
      </c>
      <c r="AJ374" s="12">
        <f>IF(A374="","",A374&amp;"|"&amp;H374)</f>
        <v/>
      </c>
    </row>
    <row r="375" ht="24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8" t="n"/>
      <c r="P375" s="8" t="n"/>
      <c r="Q375" s="8" t="n"/>
      <c r="R375" s="13">
        <f>IF(O375="","",SUM(O375:Q375))</f>
        <v/>
      </c>
      <c r="S375" s="9">
        <f>IF(R375="","",ROUND(R375/3.305785,3))</f>
        <v/>
      </c>
      <c r="T375" s="7" t="n"/>
      <c r="U375" s="7" t="n"/>
      <c r="V375" s="10">
        <f>IF(OR(T375="",U375="",U375=0),"",ROUND(T375/U375,6))</f>
        <v/>
      </c>
      <c r="W375" s="9">
        <f>IF(OR(R375="",T375="",U375="",U375=0),"",ROUND(R375*T375/U375,3))</f>
        <v/>
      </c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12">
        <f>IF(A375="","",IF(OR(B375="",C375="",D375="",E375="",H375="",O375="",T375="",U375=""),"必填欄位未完整",""))</f>
        <v/>
      </c>
      <c r="AI375" s="12">
        <f>IF(A375="","",A375&amp;"|"&amp;G375)</f>
        <v/>
      </c>
      <c r="AJ375" s="12">
        <f>IF(A375="","",A375&amp;"|"&amp;H375)</f>
        <v/>
      </c>
    </row>
    <row r="376" ht="24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8" t="n"/>
      <c r="P376" s="8" t="n"/>
      <c r="Q376" s="8" t="n"/>
      <c r="R376" s="13">
        <f>IF(O376="","",SUM(O376:Q376))</f>
        <v/>
      </c>
      <c r="S376" s="9">
        <f>IF(R376="","",ROUND(R376/3.305785,3))</f>
        <v/>
      </c>
      <c r="T376" s="7" t="n"/>
      <c r="U376" s="7" t="n"/>
      <c r="V376" s="10">
        <f>IF(OR(T376="",U376="",U376=0),"",ROUND(T376/U376,6))</f>
        <v/>
      </c>
      <c r="W376" s="9">
        <f>IF(OR(R376="",T376="",U376="",U376=0),"",ROUND(R376*T376/U376,3))</f>
        <v/>
      </c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12">
        <f>IF(A376="","",IF(OR(B376="",C376="",D376="",E376="",H376="",O376="",T376="",U376=""),"必填欄位未完整",""))</f>
        <v/>
      </c>
      <c r="AI376" s="12">
        <f>IF(A376="","",A376&amp;"|"&amp;G376)</f>
        <v/>
      </c>
      <c r="AJ376" s="12">
        <f>IF(A376="","",A376&amp;"|"&amp;H376)</f>
        <v/>
      </c>
    </row>
    <row r="377" ht="24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8" t="n"/>
      <c r="P377" s="8" t="n"/>
      <c r="Q377" s="8" t="n"/>
      <c r="R377" s="13">
        <f>IF(O377="","",SUM(O377:Q377))</f>
        <v/>
      </c>
      <c r="S377" s="9">
        <f>IF(R377="","",ROUND(R377/3.305785,3))</f>
        <v/>
      </c>
      <c r="T377" s="7" t="n"/>
      <c r="U377" s="7" t="n"/>
      <c r="V377" s="10">
        <f>IF(OR(T377="",U377="",U377=0),"",ROUND(T377/U377,6))</f>
        <v/>
      </c>
      <c r="W377" s="9">
        <f>IF(OR(R377="",T377="",U377="",U377=0),"",ROUND(R377*T377/U377,3))</f>
        <v/>
      </c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12">
        <f>IF(A377="","",IF(OR(B377="",C377="",D377="",E377="",H377="",O377="",T377="",U377=""),"必填欄位未完整",""))</f>
        <v/>
      </c>
      <c r="AI377" s="12">
        <f>IF(A377="","",A377&amp;"|"&amp;G377)</f>
        <v/>
      </c>
      <c r="AJ377" s="12">
        <f>IF(A377="","",A377&amp;"|"&amp;H377)</f>
        <v/>
      </c>
    </row>
    <row r="378" ht="24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8" t="n"/>
      <c r="P378" s="8" t="n"/>
      <c r="Q378" s="8" t="n"/>
      <c r="R378" s="13">
        <f>IF(O378="","",SUM(O378:Q378))</f>
        <v/>
      </c>
      <c r="S378" s="9">
        <f>IF(R378="","",ROUND(R378/3.305785,3))</f>
        <v/>
      </c>
      <c r="T378" s="7" t="n"/>
      <c r="U378" s="7" t="n"/>
      <c r="V378" s="10">
        <f>IF(OR(T378="",U378="",U378=0),"",ROUND(T378/U378,6))</f>
        <v/>
      </c>
      <c r="W378" s="9">
        <f>IF(OR(R378="",T378="",U378="",U378=0),"",ROUND(R378*T378/U378,3))</f>
        <v/>
      </c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12">
        <f>IF(A378="","",IF(OR(B378="",C378="",D378="",E378="",H378="",O378="",T378="",U378=""),"必填欄位未完整",""))</f>
        <v/>
      </c>
      <c r="AI378" s="12">
        <f>IF(A378="","",A378&amp;"|"&amp;G378)</f>
        <v/>
      </c>
      <c r="AJ378" s="12">
        <f>IF(A378="","",A378&amp;"|"&amp;H378)</f>
        <v/>
      </c>
    </row>
    <row r="379" ht="24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8" t="n"/>
      <c r="P379" s="8" t="n"/>
      <c r="Q379" s="8" t="n"/>
      <c r="R379" s="13">
        <f>IF(O379="","",SUM(O379:Q379))</f>
        <v/>
      </c>
      <c r="S379" s="9">
        <f>IF(R379="","",ROUND(R379/3.305785,3))</f>
        <v/>
      </c>
      <c r="T379" s="7" t="n"/>
      <c r="U379" s="7" t="n"/>
      <c r="V379" s="10">
        <f>IF(OR(T379="",U379="",U379=0),"",ROUND(T379/U379,6))</f>
        <v/>
      </c>
      <c r="W379" s="9">
        <f>IF(OR(R379="",T379="",U379="",U379=0),"",ROUND(R379*T379/U379,3))</f>
        <v/>
      </c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12">
        <f>IF(A379="","",IF(OR(B379="",C379="",D379="",E379="",H379="",O379="",T379="",U379=""),"必填欄位未完整",""))</f>
        <v/>
      </c>
      <c r="AI379" s="12">
        <f>IF(A379="","",A379&amp;"|"&amp;G379)</f>
        <v/>
      </c>
      <c r="AJ379" s="12">
        <f>IF(A379="","",A379&amp;"|"&amp;H379)</f>
        <v/>
      </c>
    </row>
    <row r="380" ht="24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8" t="n"/>
      <c r="P380" s="8" t="n"/>
      <c r="Q380" s="8" t="n"/>
      <c r="R380" s="13">
        <f>IF(O380="","",SUM(O380:Q380))</f>
        <v/>
      </c>
      <c r="S380" s="9">
        <f>IF(R380="","",ROUND(R380/3.305785,3))</f>
        <v/>
      </c>
      <c r="T380" s="7" t="n"/>
      <c r="U380" s="7" t="n"/>
      <c r="V380" s="10">
        <f>IF(OR(T380="",U380="",U380=0),"",ROUND(T380/U380,6))</f>
        <v/>
      </c>
      <c r="W380" s="9">
        <f>IF(OR(R380="",T380="",U380="",U380=0),"",ROUND(R380*T380/U380,3))</f>
        <v/>
      </c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12">
        <f>IF(A380="","",IF(OR(B380="",C380="",D380="",E380="",H380="",O380="",T380="",U380=""),"必填欄位未完整",""))</f>
        <v/>
      </c>
      <c r="AI380" s="12">
        <f>IF(A380="","",A380&amp;"|"&amp;G380)</f>
        <v/>
      </c>
      <c r="AJ380" s="12">
        <f>IF(A380="","",A380&amp;"|"&amp;H380)</f>
        <v/>
      </c>
    </row>
    <row r="381" ht="24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8" t="n"/>
      <c r="P381" s="8" t="n"/>
      <c r="Q381" s="8" t="n"/>
      <c r="R381" s="13">
        <f>IF(O381="","",SUM(O381:Q381))</f>
        <v/>
      </c>
      <c r="S381" s="9">
        <f>IF(R381="","",ROUND(R381/3.305785,3))</f>
        <v/>
      </c>
      <c r="T381" s="7" t="n"/>
      <c r="U381" s="7" t="n"/>
      <c r="V381" s="10">
        <f>IF(OR(T381="",U381="",U381=0),"",ROUND(T381/U381,6))</f>
        <v/>
      </c>
      <c r="W381" s="9">
        <f>IF(OR(R381="",T381="",U381="",U381=0),"",ROUND(R381*T381/U381,3))</f>
        <v/>
      </c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12">
        <f>IF(A381="","",IF(OR(B381="",C381="",D381="",E381="",H381="",O381="",T381="",U381=""),"必填欄位未完整",""))</f>
        <v/>
      </c>
      <c r="AI381" s="12">
        <f>IF(A381="","",A381&amp;"|"&amp;G381)</f>
        <v/>
      </c>
      <c r="AJ381" s="12">
        <f>IF(A381="","",A381&amp;"|"&amp;H381)</f>
        <v/>
      </c>
    </row>
    <row r="382" ht="24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8" t="n"/>
      <c r="P382" s="8" t="n"/>
      <c r="Q382" s="8" t="n"/>
      <c r="R382" s="13">
        <f>IF(O382="","",SUM(O382:Q382))</f>
        <v/>
      </c>
      <c r="S382" s="9">
        <f>IF(R382="","",ROUND(R382/3.305785,3))</f>
        <v/>
      </c>
      <c r="T382" s="7" t="n"/>
      <c r="U382" s="7" t="n"/>
      <c r="V382" s="10">
        <f>IF(OR(T382="",U382="",U382=0),"",ROUND(T382/U382,6))</f>
        <v/>
      </c>
      <c r="W382" s="9">
        <f>IF(OR(R382="",T382="",U382="",U382=0),"",ROUND(R382*T382/U382,3))</f>
        <v/>
      </c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12">
        <f>IF(A382="","",IF(OR(B382="",C382="",D382="",E382="",H382="",O382="",T382="",U382=""),"必填欄位未完整",""))</f>
        <v/>
      </c>
      <c r="AI382" s="12">
        <f>IF(A382="","",A382&amp;"|"&amp;G382)</f>
        <v/>
      </c>
      <c r="AJ382" s="12">
        <f>IF(A382="","",A382&amp;"|"&amp;H382)</f>
        <v/>
      </c>
    </row>
    <row r="383" ht="24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8" t="n"/>
      <c r="P383" s="8" t="n"/>
      <c r="Q383" s="8" t="n"/>
      <c r="R383" s="13">
        <f>IF(O383="","",SUM(O383:Q383))</f>
        <v/>
      </c>
      <c r="S383" s="9">
        <f>IF(R383="","",ROUND(R383/3.305785,3))</f>
        <v/>
      </c>
      <c r="T383" s="7" t="n"/>
      <c r="U383" s="7" t="n"/>
      <c r="V383" s="10">
        <f>IF(OR(T383="",U383="",U383=0),"",ROUND(T383/U383,6))</f>
        <v/>
      </c>
      <c r="W383" s="9">
        <f>IF(OR(R383="",T383="",U383="",U383=0),"",ROUND(R383*T383/U383,3))</f>
        <v/>
      </c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12">
        <f>IF(A383="","",IF(OR(B383="",C383="",D383="",E383="",H383="",O383="",T383="",U383=""),"必填欄位未完整",""))</f>
        <v/>
      </c>
      <c r="AI383" s="12">
        <f>IF(A383="","",A383&amp;"|"&amp;G383)</f>
        <v/>
      </c>
      <c r="AJ383" s="12">
        <f>IF(A383="","",A383&amp;"|"&amp;H383)</f>
        <v/>
      </c>
    </row>
    <row r="384" ht="24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8" t="n"/>
      <c r="P384" s="8" t="n"/>
      <c r="Q384" s="8" t="n"/>
      <c r="R384" s="13">
        <f>IF(O384="","",SUM(O384:Q384))</f>
        <v/>
      </c>
      <c r="S384" s="9">
        <f>IF(R384="","",ROUND(R384/3.305785,3))</f>
        <v/>
      </c>
      <c r="T384" s="7" t="n"/>
      <c r="U384" s="7" t="n"/>
      <c r="V384" s="10">
        <f>IF(OR(T384="",U384="",U384=0),"",ROUND(T384/U384,6))</f>
        <v/>
      </c>
      <c r="W384" s="9">
        <f>IF(OR(R384="",T384="",U384="",U384=0),"",ROUND(R384*T384/U384,3))</f>
        <v/>
      </c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12">
        <f>IF(A384="","",IF(OR(B384="",C384="",D384="",E384="",H384="",O384="",T384="",U384=""),"必填欄位未完整",""))</f>
        <v/>
      </c>
      <c r="AI384" s="12">
        <f>IF(A384="","",A384&amp;"|"&amp;G384)</f>
        <v/>
      </c>
      <c r="AJ384" s="12">
        <f>IF(A384="","",A384&amp;"|"&amp;H384)</f>
        <v/>
      </c>
    </row>
    <row r="385" ht="24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8" t="n"/>
      <c r="P385" s="8" t="n"/>
      <c r="Q385" s="8" t="n"/>
      <c r="R385" s="13">
        <f>IF(O385="","",SUM(O385:Q385))</f>
        <v/>
      </c>
      <c r="S385" s="9">
        <f>IF(R385="","",ROUND(R385/3.305785,3))</f>
        <v/>
      </c>
      <c r="T385" s="7" t="n"/>
      <c r="U385" s="7" t="n"/>
      <c r="V385" s="10">
        <f>IF(OR(T385="",U385="",U385=0),"",ROUND(T385/U385,6))</f>
        <v/>
      </c>
      <c r="W385" s="9">
        <f>IF(OR(R385="",T385="",U385="",U385=0),"",ROUND(R385*T385/U385,3))</f>
        <v/>
      </c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12">
        <f>IF(A385="","",IF(OR(B385="",C385="",D385="",E385="",H385="",O385="",T385="",U385=""),"必填欄位未完整",""))</f>
        <v/>
      </c>
      <c r="AI385" s="12">
        <f>IF(A385="","",A385&amp;"|"&amp;G385)</f>
        <v/>
      </c>
      <c r="AJ385" s="12">
        <f>IF(A385="","",A385&amp;"|"&amp;H385)</f>
        <v/>
      </c>
    </row>
    <row r="386" ht="24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8" t="n"/>
      <c r="P386" s="8" t="n"/>
      <c r="Q386" s="8" t="n"/>
      <c r="R386" s="13">
        <f>IF(O386="","",SUM(O386:Q386))</f>
        <v/>
      </c>
      <c r="S386" s="9">
        <f>IF(R386="","",ROUND(R386/3.305785,3))</f>
        <v/>
      </c>
      <c r="T386" s="7" t="n"/>
      <c r="U386" s="7" t="n"/>
      <c r="V386" s="10">
        <f>IF(OR(T386="",U386="",U386=0),"",ROUND(T386/U386,6))</f>
        <v/>
      </c>
      <c r="W386" s="9">
        <f>IF(OR(R386="",T386="",U386="",U386=0),"",ROUND(R386*T386/U386,3))</f>
        <v/>
      </c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12">
        <f>IF(A386="","",IF(OR(B386="",C386="",D386="",E386="",H386="",O386="",T386="",U386=""),"必填欄位未完整",""))</f>
        <v/>
      </c>
      <c r="AI386" s="12">
        <f>IF(A386="","",A386&amp;"|"&amp;G386)</f>
        <v/>
      </c>
      <c r="AJ386" s="12">
        <f>IF(A386="","",A386&amp;"|"&amp;H386)</f>
        <v/>
      </c>
    </row>
    <row r="387" ht="24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8" t="n"/>
      <c r="P387" s="8" t="n"/>
      <c r="Q387" s="8" t="n"/>
      <c r="R387" s="13">
        <f>IF(O387="","",SUM(O387:Q387))</f>
        <v/>
      </c>
      <c r="S387" s="9">
        <f>IF(R387="","",ROUND(R387/3.305785,3))</f>
        <v/>
      </c>
      <c r="T387" s="7" t="n"/>
      <c r="U387" s="7" t="n"/>
      <c r="V387" s="10">
        <f>IF(OR(T387="",U387="",U387=0),"",ROUND(T387/U387,6))</f>
        <v/>
      </c>
      <c r="W387" s="9">
        <f>IF(OR(R387="",T387="",U387="",U387=0),"",ROUND(R387*T387/U387,3))</f>
        <v/>
      </c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12">
        <f>IF(A387="","",IF(OR(B387="",C387="",D387="",E387="",H387="",O387="",T387="",U387=""),"必填欄位未完整",""))</f>
        <v/>
      </c>
      <c r="AI387" s="12">
        <f>IF(A387="","",A387&amp;"|"&amp;G387)</f>
        <v/>
      </c>
      <c r="AJ387" s="12">
        <f>IF(A387="","",A387&amp;"|"&amp;H387)</f>
        <v/>
      </c>
    </row>
    <row r="388" ht="24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8" t="n"/>
      <c r="P388" s="8" t="n"/>
      <c r="Q388" s="8" t="n"/>
      <c r="R388" s="13">
        <f>IF(O388="","",SUM(O388:Q388))</f>
        <v/>
      </c>
      <c r="S388" s="9">
        <f>IF(R388="","",ROUND(R388/3.305785,3))</f>
        <v/>
      </c>
      <c r="T388" s="7" t="n"/>
      <c r="U388" s="7" t="n"/>
      <c r="V388" s="10">
        <f>IF(OR(T388="",U388="",U388=0),"",ROUND(T388/U388,6))</f>
        <v/>
      </c>
      <c r="W388" s="9">
        <f>IF(OR(R388="",T388="",U388="",U388=0),"",ROUND(R388*T388/U388,3))</f>
        <v/>
      </c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12">
        <f>IF(A388="","",IF(OR(B388="",C388="",D388="",E388="",H388="",O388="",T388="",U388=""),"必填欄位未完整",""))</f>
        <v/>
      </c>
      <c r="AI388" s="12">
        <f>IF(A388="","",A388&amp;"|"&amp;G388)</f>
        <v/>
      </c>
      <c r="AJ388" s="12">
        <f>IF(A388="","",A388&amp;"|"&amp;H388)</f>
        <v/>
      </c>
    </row>
    <row r="389" ht="24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8" t="n"/>
      <c r="P389" s="8" t="n"/>
      <c r="Q389" s="8" t="n"/>
      <c r="R389" s="13">
        <f>IF(O389="","",SUM(O389:Q389))</f>
        <v/>
      </c>
      <c r="S389" s="9">
        <f>IF(R389="","",ROUND(R389/3.305785,3))</f>
        <v/>
      </c>
      <c r="T389" s="7" t="n"/>
      <c r="U389" s="7" t="n"/>
      <c r="V389" s="10">
        <f>IF(OR(T389="",U389="",U389=0),"",ROUND(T389/U389,6))</f>
        <v/>
      </c>
      <c r="W389" s="9">
        <f>IF(OR(R389="",T389="",U389="",U389=0),"",ROUND(R389*T389/U389,3))</f>
        <v/>
      </c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12">
        <f>IF(A389="","",IF(OR(B389="",C389="",D389="",E389="",H389="",O389="",T389="",U389=""),"必填欄位未完整",""))</f>
        <v/>
      </c>
      <c r="AI389" s="12">
        <f>IF(A389="","",A389&amp;"|"&amp;G389)</f>
        <v/>
      </c>
      <c r="AJ389" s="12">
        <f>IF(A389="","",A389&amp;"|"&amp;H389)</f>
        <v/>
      </c>
    </row>
    <row r="390" ht="24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8" t="n"/>
      <c r="P390" s="8" t="n"/>
      <c r="Q390" s="8" t="n"/>
      <c r="R390" s="13">
        <f>IF(O390="","",SUM(O390:Q390))</f>
        <v/>
      </c>
      <c r="S390" s="9">
        <f>IF(R390="","",ROUND(R390/3.305785,3))</f>
        <v/>
      </c>
      <c r="T390" s="7" t="n"/>
      <c r="U390" s="7" t="n"/>
      <c r="V390" s="10">
        <f>IF(OR(T390="",U390="",U390=0),"",ROUND(T390/U390,6))</f>
        <v/>
      </c>
      <c r="W390" s="9">
        <f>IF(OR(R390="",T390="",U390="",U390=0),"",ROUND(R390*T390/U390,3))</f>
        <v/>
      </c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12">
        <f>IF(A390="","",IF(OR(B390="",C390="",D390="",E390="",H390="",O390="",T390="",U390=""),"必填欄位未完整",""))</f>
        <v/>
      </c>
      <c r="AI390" s="12">
        <f>IF(A390="","",A390&amp;"|"&amp;G390)</f>
        <v/>
      </c>
      <c r="AJ390" s="12">
        <f>IF(A390="","",A390&amp;"|"&amp;H390)</f>
        <v/>
      </c>
    </row>
    <row r="391" ht="24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8" t="n"/>
      <c r="P391" s="8" t="n"/>
      <c r="Q391" s="8" t="n"/>
      <c r="R391" s="13">
        <f>IF(O391="","",SUM(O391:Q391))</f>
        <v/>
      </c>
      <c r="S391" s="9">
        <f>IF(R391="","",ROUND(R391/3.305785,3))</f>
        <v/>
      </c>
      <c r="T391" s="7" t="n"/>
      <c r="U391" s="7" t="n"/>
      <c r="V391" s="10">
        <f>IF(OR(T391="",U391="",U391=0),"",ROUND(T391/U391,6))</f>
        <v/>
      </c>
      <c r="W391" s="9">
        <f>IF(OR(R391="",T391="",U391="",U391=0),"",ROUND(R391*T391/U391,3))</f>
        <v/>
      </c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12">
        <f>IF(A391="","",IF(OR(B391="",C391="",D391="",E391="",H391="",O391="",T391="",U391=""),"必填欄位未完整",""))</f>
        <v/>
      </c>
      <c r="AI391" s="12">
        <f>IF(A391="","",A391&amp;"|"&amp;G391)</f>
        <v/>
      </c>
      <c r="AJ391" s="12">
        <f>IF(A391="","",A391&amp;"|"&amp;H391)</f>
        <v/>
      </c>
    </row>
    <row r="392" ht="24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8" t="n"/>
      <c r="P392" s="8" t="n"/>
      <c r="Q392" s="8" t="n"/>
      <c r="R392" s="13">
        <f>IF(O392="","",SUM(O392:Q392))</f>
        <v/>
      </c>
      <c r="S392" s="9">
        <f>IF(R392="","",ROUND(R392/3.305785,3))</f>
        <v/>
      </c>
      <c r="T392" s="7" t="n"/>
      <c r="U392" s="7" t="n"/>
      <c r="V392" s="10">
        <f>IF(OR(T392="",U392="",U392=0),"",ROUND(T392/U392,6))</f>
        <v/>
      </c>
      <c r="W392" s="9">
        <f>IF(OR(R392="",T392="",U392="",U392=0),"",ROUND(R392*T392/U392,3))</f>
        <v/>
      </c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12">
        <f>IF(A392="","",IF(OR(B392="",C392="",D392="",E392="",H392="",O392="",T392="",U392=""),"必填欄位未完整",""))</f>
        <v/>
      </c>
      <c r="AI392" s="12">
        <f>IF(A392="","",A392&amp;"|"&amp;G392)</f>
        <v/>
      </c>
      <c r="AJ392" s="12">
        <f>IF(A392="","",A392&amp;"|"&amp;H392)</f>
        <v/>
      </c>
    </row>
    <row r="393" ht="24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8" t="n"/>
      <c r="P393" s="8" t="n"/>
      <c r="Q393" s="8" t="n"/>
      <c r="R393" s="13">
        <f>IF(O393="","",SUM(O393:Q393))</f>
        <v/>
      </c>
      <c r="S393" s="9">
        <f>IF(R393="","",ROUND(R393/3.305785,3))</f>
        <v/>
      </c>
      <c r="T393" s="7" t="n"/>
      <c r="U393" s="7" t="n"/>
      <c r="V393" s="10">
        <f>IF(OR(T393="",U393="",U393=0),"",ROUND(T393/U393,6))</f>
        <v/>
      </c>
      <c r="W393" s="9">
        <f>IF(OR(R393="",T393="",U393="",U393=0),"",ROUND(R393*T393/U393,3))</f>
        <v/>
      </c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12">
        <f>IF(A393="","",IF(OR(B393="",C393="",D393="",E393="",H393="",O393="",T393="",U393=""),"必填欄位未完整",""))</f>
        <v/>
      </c>
      <c r="AI393" s="12">
        <f>IF(A393="","",A393&amp;"|"&amp;G393)</f>
        <v/>
      </c>
      <c r="AJ393" s="12">
        <f>IF(A393="","",A393&amp;"|"&amp;H393)</f>
        <v/>
      </c>
    </row>
    <row r="394" ht="24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8" t="n"/>
      <c r="P394" s="8" t="n"/>
      <c r="Q394" s="8" t="n"/>
      <c r="R394" s="13">
        <f>IF(O394="","",SUM(O394:Q394))</f>
        <v/>
      </c>
      <c r="S394" s="9">
        <f>IF(R394="","",ROUND(R394/3.305785,3))</f>
        <v/>
      </c>
      <c r="T394" s="7" t="n"/>
      <c r="U394" s="7" t="n"/>
      <c r="V394" s="10">
        <f>IF(OR(T394="",U394="",U394=0),"",ROUND(T394/U394,6))</f>
        <v/>
      </c>
      <c r="W394" s="9">
        <f>IF(OR(R394="",T394="",U394="",U394=0),"",ROUND(R394*T394/U394,3))</f>
        <v/>
      </c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12">
        <f>IF(A394="","",IF(OR(B394="",C394="",D394="",E394="",H394="",O394="",T394="",U394=""),"必填欄位未完整",""))</f>
        <v/>
      </c>
      <c r="AI394" s="12">
        <f>IF(A394="","",A394&amp;"|"&amp;G394)</f>
        <v/>
      </c>
      <c r="AJ394" s="12">
        <f>IF(A394="","",A394&amp;"|"&amp;H394)</f>
        <v/>
      </c>
    </row>
    <row r="395" ht="24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8" t="n"/>
      <c r="P395" s="8" t="n"/>
      <c r="Q395" s="8" t="n"/>
      <c r="R395" s="13">
        <f>IF(O395="","",SUM(O395:Q395))</f>
        <v/>
      </c>
      <c r="S395" s="9">
        <f>IF(R395="","",ROUND(R395/3.305785,3))</f>
        <v/>
      </c>
      <c r="T395" s="7" t="n"/>
      <c r="U395" s="7" t="n"/>
      <c r="V395" s="10">
        <f>IF(OR(T395="",U395="",U395=0),"",ROUND(T395/U395,6))</f>
        <v/>
      </c>
      <c r="W395" s="9">
        <f>IF(OR(R395="",T395="",U395="",U395=0),"",ROUND(R395*T395/U395,3))</f>
        <v/>
      </c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12">
        <f>IF(A395="","",IF(OR(B395="",C395="",D395="",E395="",H395="",O395="",T395="",U395=""),"必填欄位未完整",""))</f>
        <v/>
      </c>
      <c r="AI395" s="12">
        <f>IF(A395="","",A395&amp;"|"&amp;G395)</f>
        <v/>
      </c>
      <c r="AJ395" s="12">
        <f>IF(A395="","",A395&amp;"|"&amp;H395)</f>
        <v/>
      </c>
    </row>
    <row r="396" ht="24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8" t="n"/>
      <c r="P396" s="8" t="n"/>
      <c r="Q396" s="8" t="n"/>
      <c r="R396" s="13">
        <f>IF(O396="","",SUM(O396:Q396))</f>
        <v/>
      </c>
      <c r="S396" s="9">
        <f>IF(R396="","",ROUND(R396/3.305785,3))</f>
        <v/>
      </c>
      <c r="T396" s="7" t="n"/>
      <c r="U396" s="7" t="n"/>
      <c r="V396" s="10">
        <f>IF(OR(T396="",U396="",U396=0),"",ROUND(T396/U396,6))</f>
        <v/>
      </c>
      <c r="W396" s="9">
        <f>IF(OR(R396="",T396="",U396="",U396=0),"",ROUND(R396*T396/U396,3))</f>
        <v/>
      </c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12">
        <f>IF(A396="","",IF(OR(B396="",C396="",D396="",E396="",H396="",O396="",T396="",U396=""),"必填欄位未完整",""))</f>
        <v/>
      </c>
      <c r="AI396" s="12">
        <f>IF(A396="","",A396&amp;"|"&amp;G396)</f>
        <v/>
      </c>
      <c r="AJ396" s="12">
        <f>IF(A396="","",A396&amp;"|"&amp;H396)</f>
        <v/>
      </c>
    </row>
    <row r="397" ht="24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8" t="n"/>
      <c r="P397" s="8" t="n"/>
      <c r="Q397" s="8" t="n"/>
      <c r="R397" s="13">
        <f>IF(O397="","",SUM(O397:Q397))</f>
        <v/>
      </c>
      <c r="S397" s="9">
        <f>IF(R397="","",ROUND(R397/3.305785,3))</f>
        <v/>
      </c>
      <c r="T397" s="7" t="n"/>
      <c r="U397" s="7" t="n"/>
      <c r="V397" s="10">
        <f>IF(OR(T397="",U397="",U397=0),"",ROUND(T397/U397,6))</f>
        <v/>
      </c>
      <c r="W397" s="9">
        <f>IF(OR(R397="",T397="",U397="",U397=0),"",ROUND(R397*T397/U397,3))</f>
        <v/>
      </c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12">
        <f>IF(A397="","",IF(OR(B397="",C397="",D397="",E397="",H397="",O397="",T397="",U397=""),"必填欄位未完整",""))</f>
        <v/>
      </c>
      <c r="AI397" s="12">
        <f>IF(A397="","",A397&amp;"|"&amp;G397)</f>
        <v/>
      </c>
      <c r="AJ397" s="12">
        <f>IF(A397="","",A397&amp;"|"&amp;H397)</f>
        <v/>
      </c>
    </row>
    <row r="398" ht="24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8" t="n"/>
      <c r="P398" s="8" t="n"/>
      <c r="Q398" s="8" t="n"/>
      <c r="R398" s="13">
        <f>IF(O398="","",SUM(O398:Q398))</f>
        <v/>
      </c>
      <c r="S398" s="9">
        <f>IF(R398="","",ROUND(R398/3.305785,3))</f>
        <v/>
      </c>
      <c r="T398" s="7" t="n"/>
      <c r="U398" s="7" t="n"/>
      <c r="V398" s="10">
        <f>IF(OR(T398="",U398="",U398=0),"",ROUND(T398/U398,6))</f>
        <v/>
      </c>
      <c r="W398" s="9">
        <f>IF(OR(R398="",T398="",U398="",U398=0),"",ROUND(R398*T398/U398,3))</f>
        <v/>
      </c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12">
        <f>IF(A398="","",IF(OR(B398="",C398="",D398="",E398="",H398="",O398="",T398="",U398=""),"必填欄位未完整",""))</f>
        <v/>
      </c>
      <c r="AI398" s="12">
        <f>IF(A398="","",A398&amp;"|"&amp;G398)</f>
        <v/>
      </c>
      <c r="AJ398" s="12">
        <f>IF(A398="","",A398&amp;"|"&amp;H398)</f>
        <v/>
      </c>
    </row>
    <row r="399" ht="24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8" t="n"/>
      <c r="P399" s="8" t="n"/>
      <c r="Q399" s="8" t="n"/>
      <c r="R399" s="13">
        <f>IF(O399="","",SUM(O399:Q399))</f>
        <v/>
      </c>
      <c r="S399" s="9">
        <f>IF(R399="","",ROUND(R399/3.305785,3))</f>
        <v/>
      </c>
      <c r="T399" s="7" t="n"/>
      <c r="U399" s="7" t="n"/>
      <c r="V399" s="10">
        <f>IF(OR(T399="",U399="",U399=0),"",ROUND(T399/U399,6))</f>
        <v/>
      </c>
      <c r="W399" s="9">
        <f>IF(OR(R399="",T399="",U399="",U399=0),"",ROUND(R399*T399/U399,3))</f>
        <v/>
      </c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12">
        <f>IF(A399="","",IF(OR(B399="",C399="",D399="",E399="",H399="",O399="",T399="",U399=""),"必填欄位未完整",""))</f>
        <v/>
      </c>
      <c r="AI399" s="12">
        <f>IF(A399="","",A399&amp;"|"&amp;G399)</f>
        <v/>
      </c>
      <c r="AJ399" s="12">
        <f>IF(A399="","",A399&amp;"|"&amp;H399)</f>
        <v/>
      </c>
    </row>
    <row r="400" ht="24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8" t="n"/>
      <c r="P400" s="8" t="n"/>
      <c r="Q400" s="8" t="n"/>
      <c r="R400" s="13">
        <f>IF(O400="","",SUM(O400:Q400))</f>
        <v/>
      </c>
      <c r="S400" s="9">
        <f>IF(R400="","",ROUND(R400/3.305785,3))</f>
        <v/>
      </c>
      <c r="T400" s="7" t="n"/>
      <c r="U400" s="7" t="n"/>
      <c r="V400" s="10">
        <f>IF(OR(T400="",U400="",U400=0),"",ROUND(T400/U400,6))</f>
        <v/>
      </c>
      <c r="W400" s="9">
        <f>IF(OR(R400="",T400="",U400="",U400=0),"",ROUND(R400*T400/U400,3))</f>
        <v/>
      </c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12">
        <f>IF(A400="","",IF(OR(B400="",C400="",D400="",E400="",H400="",O400="",T400="",U400=""),"必填欄位未完整",""))</f>
        <v/>
      </c>
      <c r="AI400" s="12">
        <f>IF(A400="","",A400&amp;"|"&amp;G400)</f>
        <v/>
      </c>
      <c r="AJ400" s="12">
        <f>IF(A400="","",A400&amp;"|"&amp;H400)</f>
        <v/>
      </c>
    </row>
    <row r="401" ht="24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8" t="n"/>
      <c r="P401" s="8" t="n"/>
      <c r="Q401" s="8" t="n"/>
      <c r="R401" s="13">
        <f>IF(O401="","",SUM(O401:Q401))</f>
        <v/>
      </c>
      <c r="S401" s="9">
        <f>IF(R401="","",ROUND(R401/3.305785,3))</f>
        <v/>
      </c>
      <c r="T401" s="7" t="n"/>
      <c r="U401" s="7" t="n"/>
      <c r="V401" s="10">
        <f>IF(OR(T401="",U401="",U401=0),"",ROUND(T401/U401,6))</f>
        <v/>
      </c>
      <c r="W401" s="9">
        <f>IF(OR(R401="",T401="",U401="",U401=0),"",ROUND(R401*T401/U401,3))</f>
        <v/>
      </c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12">
        <f>IF(A401="","",IF(OR(B401="",C401="",D401="",E401="",H401="",O401="",T401="",U401=""),"必填欄位未完整",""))</f>
        <v/>
      </c>
      <c r="AI401" s="12">
        <f>IF(A401="","",A401&amp;"|"&amp;G401)</f>
        <v/>
      </c>
      <c r="AJ401" s="12">
        <f>IF(A401="","",A401&amp;"|"&amp;H401)</f>
        <v/>
      </c>
    </row>
    <row r="402" ht="24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8" t="n"/>
      <c r="P402" s="8" t="n"/>
      <c r="Q402" s="8" t="n"/>
      <c r="R402" s="13">
        <f>IF(O402="","",SUM(O402:Q402))</f>
        <v/>
      </c>
      <c r="S402" s="9">
        <f>IF(R402="","",ROUND(R402/3.305785,3))</f>
        <v/>
      </c>
      <c r="T402" s="7" t="n"/>
      <c r="U402" s="7" t="n"/>
      <c r="V402" s="10">
        <f>IF(OR(T402="",U402="",U402=0),"",ROUND(T402/U402,6))</f>
        <v/>
      </c>
      <c r="W402" s="9">
        <f>IF(OR(R402="",T402="",U402="",U402=0),"",ROUND(R402*T402/U402,3))</f>
        <v/>
      </c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12">
        <f>IF(A402="","",IF(OR(B402="",C402="",D402="",E402="",H402="",O402="",T402="",U402=""),"必填欄位未完整",""))</f>
        <v/>
      </c>
      <c r="AI402" s="12">
        <f>IF(A402="","",A402&amp;"|"&amp;G402)</f>
        <v/>
      </c>
      <c r="AJ402" s="12">
        <f>IF(A402="","",A402&amp;"|"&amp;H402)</f>
        <v/>
      </c>
    </row>
    <row r="403" ht="24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8" t="n"/>
      <c r="P403" s="8" t="n"/>
      <c r="Q403" s="8" t="n"/>
      <c r="R403" s="13">
        <f>IF(O403="","",SUM(O403:Q403))</f>
        <v/>
      </c>
      <c r="S403" s="9">
        <f>IF(R403="","",ROUND(R403/3.305785,3))</f>
        <v/>
      </c>
      <c r="T403" s="7" t="n"/>
      <c r="U403" s="7" t="n"/>
      <c r="V403" s="10">
        <f>IF(OR(T403="",U403="",U403=0),"",ROUND(T403/U403,6))</f>
        <v/>
      </c>
      <c r="W403" s="9">
        <f>IF(OR(R403="",T403="",U403="",U403=0),"",ROUND(R403*T403/U403,3))</f>
        <v/>
      </c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12">
        <f>IF(A403="","",IF(OR(B403="",C403="",D403="",E403="",H403="",O403="",T403="",U403=""),"必填欄位未完整",""))</f>
        <v/>
      </c>
      <c r="AI403" s="12">
        <f>IF(A403="","",A403&amp;"|"&amp;G403)</f>
        <v/>
      </c>
      <c r="AJ403" s="12">
        <f>IF(A403="","",A403&amp;"|"&amp;H403)</f>
        <v/>
      </c>
    </row>
    <row r="404" ht="24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8" t="n"/>
      <c r="P404" s="8" t="n"/>
      <c r="Q404" s="8" t="n"/>
      <c r="R404" s="13">
        <f>IF(O404="","",SUM(O404:Q404))</f>
        <v/>
      </c>
      <c r="S404" s="9">
        <f>IF(R404="","",ROUND(R404/3.305785,3))</f>
        <v/>
      </c>
      <c r="T404" s="7" t="n"/>
      <c r="U404" s="7" t="n"/>
      <c r="V404" s="10">
        <f>IF(OR(T404="",U404="",U404=0),"",ROUND(T404/U404,6))</f>
        <v/>
      </c>
      <c r="W404" s="9">
        <f>IF(OR(R404="",T404="",U404="",U404=0),"",ROUND(R404*T404/U404,3))</f>
        <v/>
      </c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12">
        <f>IF(A404="","",IF(OR(B404="",C404="",D404="",E404="",H404="",O404="",T404="",U404=""),"必填欄位未完整",""))</f>
        <v/>
      </c>
      <c r="AI404" s="12">
        <f>IF(A404="","",A404&amp;"|"&amp;G404)</f>
        <v/>
      </c>
      <c r="AJ404" s="12">
        <f>IF(A404="","",A404&amp;"|"&amp;H404)</f>
        <v/>
      </c>
    </row>
    <row r="405" ht="24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8" t="n"/>
      <c r="P405" s="8" t="n"/>
      <c r="Q405" s="8" t="n"/>
      <c r="R405" s="13">
        <f>IF(O405="","",SUM(O405:Q405))</f>
        <v/>
      </c>
      <c r="S405" s="9">
        <f>IF(R405="","",ROUND(R405/3.305785,3))</f>
        <v/>
      </c>
      <c r="T405" s="7" t="n"/>
      <c r="U405" s="7" t="n"/>
      <c r="V405" s="10">
        <f>IF(OR(T405="",U405="",U405=0),"",ROUND(T405/U405,6))</f>
        <v/>
      </c>
      <c r="W405" s="9">
        <f>IF(OR(R405="",T405="",U405="",U405=0),"",ROUND(R405*T405/U405,3))</f>
        <v/>
      </c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12">
        <f>IF(A405="","",IF(OR(B405="",C405="",D405="",E405="",H405="",O405="",T405="",U405=""),"必填欄位未完整",""))</f>
        <v/>
      </c>
      <c r="AI405" s="12">
        <f>IF(A405="","",A405&amp;"|"&amp;G405)</f>
        <v/>
      </c>
      <c r="AJ405" s="12">
        <f>IF(A405="","",A405&amp;"|"&amp;H405)</f>
        <v/>
      </c>
    </row>
    <row r="406" ht="24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8" t="n"/>
      <c r="P406" s="8" t="n"/>
      <c r="Q406" s="8" t="n"/>
      <c r="R406" s="13">
        <f>IF(O406="","",SUM(O406:Q406))</f>
        <v/>
      </c>
      <c r="S406" s="9">
        <f>IF(R406="","",ROUND(R406/3.305785,3))</f>
        <v/>
      </c>
      <c r="T406" s="7" t="n"/>
      <c r="U406" s="7" t="n"/>
      <c r="V406" s="10">
        <f>IF(OR(T406="",U406="",U406=0),"",ROUND(T406/U406,6))</f>
        <v/>
      </c>
      <c r="W406" s="9">
        <f>IF(OR(R406="",T406="",U406="",U406=0),"",ROUND(R406*T406/U406,3))</f>
        <v/>
      </c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12">
        <f>IF(A406="","",IF(OR(B406="",C406="",D406="",E406="",H406="",O406="",T406="",U406=""),"必填欄位未完整",""))</f>
        <v/>
      </c>
      <c r="AI406" s="12">
        <f>IF(A406="","",A406&amp;"|"&amp;G406)</f>
        <v/>
      </c>
      <c r="AJ406" s="12">
        <f>IF(A406="","",A406&amp;"|"&amp;H406)</f>
        <v/>
      </c>
    </row>
    <row r="407" ht="24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8" t="n"/>
      <c r="P407" s="8" t="n"/>
      <c r="Q407" s="8" t="n"/>
      <c r="R407" s="13">
        <f>IF(O407="","",SUM(O407:Q407))</f>
        <v/>
      </c>
      <c r="S407" s="9">
        <f>IF(R407="","",ROUND(R407/3.305785,3))</f>
        <v/>
      </c>
      <c r="T407" s="7" t="n"/>
      <c r="U407" s="7" t="n"/>
      <c r="V407" s="10">
        <f>IF(OR(T407="",U407="",U407=0),"",ROUND(T407/U407,6))</f>
        <v/>
      </c>
      <c r="W407" s="9">
        <f>IF(OR(R407="",T407="",U407="",U407=0),"",ROUND(R407*T407/U407,3))</f>
        <v/>
      </c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12">
        <f>IF(A407="","",IF(OR(B407="",C407="",D407="",E407="",H407="",O407="",T407="",U407=""),"必填欄位未完整",""))</f>
        <v/>
      </c>
      <c r="AI407" s="12">
        <f>IF(A407="","",A407&amp;"|"&amp;G407)</f>
        <v/>
      </c>
      <c r="AJ407" s="12">
        <f>IF(A407="","",A407&amp;"|"&amp;H407)</f>
        <v/>
      </c>
    </row>
    <row r="408" ht="24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8" t="n"/>
      <c r="P408" s="8" t="n"/>
      <c r="Q408" s="8" t="n"/>
      <c r="R408" s="13">
        <f>IF(O408="","",SUM(O408:Q408))</f>
        <v/>
      </c>
      <c r="S408" s="9">
        <f>IF(R408="","",ROUND(R408/3.305785,3))</f>
        <v/>
      </c>
      <c r="T408" s="7" t="n"/>
      <c r="U408" s="7" t="n"/>
      <c r="V408" s="10">
        <f>IF(OR(T408="",U408="",U408=0),"",ROUND(T408/U408,6))</f>
        <v/>
      </c>
      <c r="W408" s="9">
        <f>IF(OR(R408="",T408="",U408="",U408=0),"",ROUND(R408*T408/U408,3))</f>
        <v/>
      </c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12">
        <f>IF(A408="","",IF(OR(B408="",C408="",D408="",E408="",H408="",O408="",T408="",U408=""),"必填欄位未完整",""))</f>
        <v/>
      </c>
      <c r="AI408" s="12">
        <f>IF(A408="","",A408&amp;"|"&amp;G408)</f>
        <v/>
      </c>
      <c r="AJ408" s="12">
        <f>IF(A408="","",A408&amp;"|"&amp;H408)</f>
        <v/>
      </c>
    </row>
    <row r="409" ht="24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8" t="n"/>
      <c r="P409" s="8" t="n"/>
      <c r="Q409" s="8" t="n"/>
      <c r="R409" s="13">
        <f>IF(O409="","",SUM(O409:Q409))</f>
        <v/>
      </c>
      <c r="S409" s="9">
        <f>IF(R409="","",ROUND(R409/3.305785,3))</f>
        <v/>
      </c>
      <c r="T409" s="7" t="n"/>
      <c r="U409" s="7" t="n"/>
      <c r="V409" s="10">
        <f>IF(OR(T409="",U409="",U409=0),"",ROUND(T409/U409,6))</f>
        <v/>
      </c>
      <c r="W409" s="9">
        <f>IF(OR(R409="",T409="",U409="",U409=0),"",ROUND(R409*T409/U409,3))</f>
        <v/>
      </c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12">
        <f>IF(A409="","",IF(OR(B409="",C409="",D409="",E409="",H409="",O409="",T409="",U409=""),"必填欄位未完整",""))</f>
        <v/>
      </c>
      <c r="AI409" s="12">
        <f>IF(A409="","",A409&amp;"|"&amp;G409)</f>
        <v/>
      </c>
      <c r="AJ409" s="12">
        <f>IF(A409="","",A409&amp;"|"&amp;H409)</f>
        <v/>
      </c>
    </row>
    <row r="410" ht="24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8" t="n"/>
      <c r="P410" s="8" t="n"/>
      <c r="Q410" s="8" t="n"/>
      <c r="R410" s="13">
        <f>IF(O410="","",SUM(O410:Q410))</f>
        <v/>
      </c>
      <c r="S410" s="9">
        <f>IF(R410="","",ROUND(R410/3.305785,3))</f>
        <v/>
      </c>
      <c r="T410" s="7" t="n"/>
      <c r="U410" s="7" t="n"/>
      <c r="V410" s="10">
        <f>IF(OR(T410="",U410="",U410=0),"",ROUND(T410/U410,6))</f>
        <v/>
      </c>
      <c r="W410" s="9">
        <f>IF(OR(R410="",T410="",U410="",U410=0),"",ROUND(R410*T410/U410,3))</f>
        <v/>
      </c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12">
        <f>IF(A410="","",IF(OR(B410="",C410="",D410="",E410="",H410="",O410="",T410="",U410=""),"必填欄位未完整",""))</f>
        <v/>
      </c>
      <c r="AI410" s="12">
        <f>IF(A410="","",A410&amp;"|"&amp;G410)</f>
        <v/>
      </c>
      <c r="AJ410" s="12">
        <f>IF(A410="","",A410&amp;"|"&amp;H410)</f>
        <v/>
      </c>
    </row>
    <row r="411" ht="24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8" t="n"/>
      <c r="P411" s="8" t="n"/>
      <c r="Q411" s="8" t="n"/>
      <c r="R411" s="13">
        <f>IF(O411="","",SUM(O411:Q411))</f>
        <v/>
      </c>
      <c r="S411" s="9">
        <f>IF(R411="","",ROUND(R411/3.305785,3))</f>
        <v/>
      </c>
      <c r="T411" s="7" t="n"/>
      <c r="U411" s="7" t="n"/>
      <c r="V411" s="10">
        <f>IF(OR(T411="",U411="",U411=0),"",ROUND(T411/U411,6))</f>
        <v/>
      </c>
      <c r="W411" s="9">
        <f>IF(OR(R411="",T411="",U411="",U411=0),"",ROUND(R411*T411/U411,3))</f>
        <v/>
      </c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12">
        <f>IF(A411="","",IF(OR(B411="",C411="",D411="",E411="",H411="",O411="",T411="",U411=""),"必填欄位未完整",""))</f>
        <v/>
      </c>
      <c r="AI411" s="12">
        <f>IF(A411="","",A411&amp;"|"&amp;G411)</f>
        <v/>
      </c>
      <c r="AJ411" s="12">
        <f>IF(A411="","",A411&amp;"|"&amp;H411)</f>
        <v/>
      </c>
    </row>
    <row r="412" ht="24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8" t="n"/>
      <c r="P412" s="8" t="n"/>
      <c r="Q412" s="8" t="n"/>
      <c r="R412" s="13">
        <f>IF(O412="","",SUM(O412:Q412))</f>
        <v/>
      </c>
      <c r="S412" s="9">
        <f>IF(R412="","",ROUND(R412/3.305785,3))</f>
        <v/>
      </c>
      <c r="T412" s="7" t="n"/>
      <c r="U412" s="7" t="n"/>
      <c r="V412" s="10">
        <f>IF(OR(T412="",U412="",U412=0),"",ROUND(T412/U412,6))</f>
        <v/>
      </c>
      <c r="W412" s="9">
        <f>IF(OR(R412="",T412="",U412="",U412=0),"",ROUND(R412*T412/U412,3))</f>
        <v/>
      </c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12">
        <f>IF(A412="","",IF(OR(B412="",C412="",D412="",E412="",H412="",O412="",T412="",U412=""),"必填欄位未完整",""))</f>
        <v/>
      </c>
      <c r="AI412" s="12">
        <f>IF(A412="","",A412&amp;"|"&amp;G412)</f>
        <v/>
      </c>
      <c r="AJ412" s="12">
        <f>IF(A412="","",A412&amp;"|"&amp;H412)</f>
        <v/>
      </c>
    </row>
    <row r="413" ht="24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8" t="n"/>
      <c r="P413" s="8" t="n"/>
      <c r="Q413" s="8" t="n"/>
      <c r="R413" s="13">
        <f>IF(O413="","",SUM(O413:Q413))</f>
        <v/>
      </c>
      <c r="S413" s="9">
        <f>IF(R413="","",ROUND(R413/3.305785,3))</f>
        <v/>
      </c>
      <c r="T413" s="7" t="n"/>
      <c r="U413" s="7" t="n"/>
      <c r="V413" s="10">
        <f>IF(OR(T413="",U413="",U413=0),"",ROUND(T413/U413,6))</f>
        <v/>
      </c>
      <c r="W413" s="9">
        <f>IF(OR(R413="",T413="",U413="",U413=0),"",ROUND(R413*T413/U413,3))</f>
        <v/>
      </c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12">
        <f>IF(A413="","",IF(OR(B413="",C413="",D413="",E413="",H413="",O413="",T413="",U413=""),"必填欄位未完整",""))</f>
        <v/>
      </c>
      <c r="AI413" s="12">
        <f>IF(A413="","",A413&amp;"|"&amp;G413)</f>
        <v/>
      </c>
      <c r="AJ413" s="12">
        <f>IF(A413="","",A413&amp;"|"&amp;H413)</f>
        <v/>
      </c>
    </row>
    <row r="414" ht="24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8" t="n"/>
      <c r="P414" s="8" t="n"/>
      <c r="Q414" s="8" t="n"/>
      <c r="R414" s="13">
        <f>IF(O414="","",SUM(O414:Q414))</f>
        <v/>
      </c>
      <c r="S414" s="9">
        <f>IF(R414="","",ROUND(R414/3.305785,3))</f>
        <v/>
      </c>
      <c r="T414" s="7" t="n"/>
      <c r="U414" s="7" t="n"/>
      <c r="V414" s="10">
        <f>IF(OR(T414="",U414="",U414=0),"",ROUND(T414/U414,6))</f>
        <v/>
      </c>
      <c r="W414" s="9">
        <f>IF(OR(R414="",T414="",U414="",U414=0),"",ROUND(R414*T414/U414,3))</f>
        <v/>
      </c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12">
        <f>IF(A414="","",IF(OR(B414="",C414="",D414="",E414="",H414="",O414="",T414="",U414=""),"必填欄位未完整",""))</f>
        <v/>
      </c>
      <c r="AI414" s="12">
        <f>IF(A414="","",A414&amp;"|"&amp;G414)</f>
        <v/>
      </c>
      <c r="AJ414" s="12">
        <f>IF(A414="","",A414&amp;"|"&amp;H414)</f>
        <v/>
      </c>
    </row>
    <row r="415" ht="24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8" t="n"/>
      <c r="P415" s="8" t="n"/>
      <c r="Q415" s="8" t="n"/>
      <c r="R415" s="13">
        <f>IF(O415="","",SUM(O415:Q415))</f>
        <v/>
      </c>
      <c r="S415" s="9">
        <f>IF(R415="","",ROUND(R415/3.305785,3))</f>
        <v/>
      </c>
      <c r="T415" s="7" t="n"/>
      <c r="U415" s="7" t="n"/>
      <c r="V415" s="10">
        <f>IF(OR(T415="",U415="",U415=0),"",ROUND(T415/U415,6))</f>
        <v/>
      </c>
      <c r="W415" s="9">
        <f>IF(OR(R415="",T415="",U415="",U415=0),"",ROUND(R415*T415/U415,3))</f>
        <v/>
      </c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12">
        <f>IF(A415="","",IF(OR(B415="",C415="",D415="",E415="",H415="",O415="",T415="",U415=""),"必填欄位未完整",""))</f>
        <v/>
      </c>
      <c r="AI415" s="12">
        <f>IF(A415="","",A415&amp;"|"&amp;G415)</f>
        <v/>
      </c>
      <c r="AJ415" s="12">
        <f>IF(A415="","",A415&amp;"|"&amp;H415)</f>
        <v/>
      </c>
    </row>
    <row r="416" ht="24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8" t="n"/>
      <c r="P416" s="8" t="n"/>
      <c r="Q416" s="8" t="n"/>
      <c r="R416" s="13">
        <f>IF(O416="","",SUM(O416:Q416))</f>
        <v/>
      </c>
      <c r="S416" s="9">
        <f>IF(R416="","",ROUND(R416/3.305785,3))</f>
        <v/>
      </c>
      <c r="T416" s="7" t="n"/>
      <c r="U416" s="7" t="n"/>
      <c r="V416" s="10">
        <f>IF(OR(T416="",U416="",U416=0),"",ROUND(T416/U416,6))</f>
        <v/>
      </c>
      <c r="W416" s="9">
        <f>IF(OR(R416="",T416="",U416="",U416=0),"",ROUND(R416*T416/U416,3))</f>
        <v/>
      </c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12">
        <f>IF(A416="","",IF(OR(B416="",C416="",D416="",E416="",H416="",O416="",T416="",U416=""),"必填欄位未完整",""))</f>
        <v/>
      </c>
      <c r="AI416" s="12">
        <f>IF(A416="","",A416&amp;"|"&amp;G416)</f>
        <v/>
      </c>
      <c r="AJ416" s="12">
        <f>IF(A416="","",A416&amp;"|"&amp;H416)</f>
        <v/>
      </c>
    </row>
    <row r="417" ht="24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8" t="n"/>
      <c r="P417" s="8" t="n"/>
      <c r="Q417" s="8" t="n"/>
      <c r="R417" s="13">
        <f>IF(O417="","",SUM(O417:Q417))</f>
        <v/>
      </c>
      <c r="S417" s="9">
        <f>IF(R417="","",ROUND(R417/3.305785,3))</f>
        <v/>
      </c>
      <c r="T417" s="7" t="n"/>
      <c r="U417" s="7" t="n"/>
      <c r="V417" s="10">
        <f>IF(OR(T417="",U417="",U417=0),"",ROUND(T417/U417,6))</f>
        <v/>
      </c>
      <c r="W417" s="9">
        <f>IF(OR(R417="",T417="",U417="",U417=0),"",ROUND(R417*T417/U417,3))</f>
        <v/>
      </c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12">
        <f>IF(A417="","",IF(OR(B417="",C417="",D417="",E417="",H417="",O417="",T417="",U417=""),"必填欄位未完整",""))</f>
        <v/>
      </c>
      <c r="AI417" s="12">
        <f>IF(A417="","",A417&amp;"|"&amp;G417)</f>
        <v/>
      </c>
      <c r="AJ417" s="12">
        <f>IF(A417="","",A417&amp;"|"&amp;H417)</f>
        <v/>
      </c>
    </row>
    <row r="418" ht="24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8" t="n"/>
      <c r="P418" s="8" t="n"/>
      <c r="Q418" s="8" t="n"/>
      <c r="R418" s="13">
        <f>IF(O418="","",SUM(O418:Q418))</f>
        <v/>
      </c>
      <c r="S418" s="9">
        <f>IF(R418="","",ROUND(R418/3.305785,3))</f>
        <v/>
      </c>
      <c r="T418" s="7" t="n"/>
      <c r="U418" s="7" t="n"/>
      <c r="V418" s="10">
        <f>IF(OR(T418="",U418="",U418=0),"",ROUND(T418/U418,6))</f>
        <v/>
      </c>
      <c r="W418" s="9">
        <f>IF(OR(R418="",T418="",U418="",U418=0),"",ROUND(R418*T418/U418,3))</f>
        <v/>
      </c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12">
        <f>IF(A418="","",IF(OR(B418="",C418="",D418="",E418="",H418="",O418="",T418="",U418=""),"必填欄位未完整",""))</f>
        <v/>
      </c>
      <c r="AI418" s="12">
        <f>IF(A418="","",A418&amp;"|"&amp;G418)</f>
        <v/>
      </c>
      <c r="AJ418" s="12">
        <f>IF(A418="","",A418&amp;"|"&amp;H418)</f>
        <v/>
      </c>
    </row>
    <row r="419" ht="24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8" t="n"/>
      <c r="P419" s="8" t="n"/>
      <c r="Q419" s="8" t="n"/>
      <c r="R419" s="13">
        <f>IF(O419="","",SUM(O419:Q419))</f>
        <v/>
      </c>
      <c r="S419" s="9">
        <f>IF(R419="","",ROUND(R419/3.305785,3))</f>
        <v/>
      </c>
      <c r="T419" s="7" t="n"/>
      <c r="U419" s="7" t="n"/>
      <c r="V419" s="10">
        <f>IF(OR(T419="",U419="",U419=0),"",ROUND(T419/U419,6))</f>
        <v/>
      </c>
      <c r="W419" s="9">
        <f>IF(OR(R419="",T419="",U419="",U419=0),"",ROUND(R419*T419/U419,3))</f>
        <v/>
      </c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12">
        <f>IF(A419="","",IF(OR(B419="",C419="",D419="",E419="",H419="",O419="",T419="",U419=""),"必填欄位未完整",""))</f>
        <v/>
      </c>
      <c r="AI419" s="12">
        <f>IF(A419="","",A419&amp;"|"&amp;G419)</f>
        <v/>
      </c>
      <c r="AJ419" s="12">
        <f>IF(A419="","",A419&amp;"|"&amp;H419)</f>
        <v/>
      </c>
    </row>
    <row r="420" ht="24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8" t="n"/>
      <c r="P420" s="8" t="n"/>
      <c r="Q420" s="8" t="n"/>
      <c r="R420" s="13">
        <f>IF(O420="","",SUM(O420:Q420))</f>
        <v/>
      </c>
      <c r="S420" s="9">
        <f>IF(R420="","",ROUND(R420/3.305785,3))</f>
        <v/>
      </c>
      <c r="T420" s="7" t="n"/>
      <c r="U420" s="7" t="n"/>
      <c r="V420" s="10">
        <f>IF(OR(T420="",U420="",U420=0),"",ROUND(T420/U420,6))</f>
        <v/>
      </c>
      <c r="W420" s="9">
        <f>IF(OR(R420="",T420="",U420="",U420=0),"",ROUND(R420*T420/U420,3))</f>
        <v/>
      </c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12">
        <f>IF(A420="","",IF(OR(B420="",C420="",D420="",E420="",H420="",O420="",T420="",U420=""),"必填欄位未完整",""))</f>
        <v/>
      </c>
      <c r="AI420" s="12">
        <f>IF(A420="","",A420&amp;"|"&amp;G420)</f>
        <v/>
      </c>
      <c r="AJ420" s="12">
        <f>IF(A420="","",A420&amp;"|"&amp;H420)</f>
        <v/>
      </c>
    </row>
    <row r="421" ht="24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8" t="n"/>
      <c r="P421" s="8" t="n"/>
      <c r="Q421" s="8" t="n"/>
      <c r="R421" s="13">
        <f>IF(O421="","",SUM(O421:Q421))</f>
        <v/>
      </c>
      <c r="S421" s="9">
        <f>IF(R421="","",ROUND(R421/3.305785,3))</f>
        <v/>
      </c>
      <c r="T421" s="7" t="n"/>
      <c r="U421" s="7" t="n"/>
      <c r="V421" s="10">
        <f>IF(OR(T421="",U421="",U421=0),"",ROUND(T421/U421,6))</f>
        <v/>
      </c>
      <c r="W421" s="9">
        <f>IF(OR(R421="",T421="",U421="",U421=0),"",ROUND(R421*T421/U421,3))</f>
        <v/>
      </c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12">
        <f>IF(A421="","",IF(OR(B421="",C421="",D421="",E421="",H421="",O421="",T421="",U421=""),"必填欄位未完整",""))</f>
        <v/>
      </c>
      <c r="AI421" s="12">
        <f>IF(A421="","",A421&amp;"|"&amp;G421)</f>
        <v/>
      </c>
      <c r="AJ421" s="12">
        <f>IF(A421="","",A421&amp;"|"&amp;H421)</f>
        <v/>
      </c>
    </row>
    <row r="422" ht="24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8" t="n"/>
      <c r="P422" s="8" t="n"/>
      <c r="Q422" s="8" t="n"/>
      <c r="R422" s="13">
        <f>IF(O422="","",SUM(O422:Q422))</f>
        <v/>
      </c>
      <c r="S422" s="9">
        <f>IF(R422="","",ROUND(R422/3.305785,3))</f>
        <v/>
      </c>
      <c r="T422" s="7" t="n"/>
      <c r="U422" s="7" t="n"/>
      <c r="V422" s="10">
        <f>IF(OR(T422="",U422="",U422=0),"",ROUND(T422/U422,6))</f>
        <v/>
      </c>
      <c r="W422" s="9">
        <f>IF(OR(R422="",T422="",U422="",U422=0),"",ROUND(R422*T422/U422,3))</f>
        <v/>
      </c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12">
        <f>IF(A422="","",IF(OR(B422="",C422="",D422="",E422="",H422="",O422="",T422="",U422=""),"必填欄位未完整",""))</f>
        <v/>
      </c>
      <c r="AI422" s="12">
        <f>IF(A422="","",A422&amp;"|"&amp;G422)</f>
        <v/>
      </c>
      <c r="AJ422" s="12">
        <f>IF(A422="","",A422&amp;"|"&amp;H422)</f>
        <v/>
      </c>
    </row>
    <row r="423" ht="24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8" t="n"/>
      <c r="P423" s="8" t="n"/>
      <c r="Q423" s="8" t="n"/>
      <c r="R423" s="13">
        <f>IF(O423="","",SUM(O423:Q423))</f>
        <v/>
      </c>
      <c r="S423" s="9">
        <f>IF(R423="","",ROUND(R423/3.305785,3))</f>
        <v/>
      </c>
      <c r="T423" s="7" t="n"/>
      <c r="U423" s="7" t="n"/>
      <c r="V423" s="10">
        <f>IF(OR(T423="",U423="",U423=0),"",ROUND(T423/U423,6))</f>
        <v/>
      </c>
      <c r="W423" s="9">
        <f>IF(OR(R423="",T423="",U423="",U423=0),"",ROUND(R423*T423/U423,3))</f>
        <v/>
      </c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12">
        <f>IF(A423="","",IF(OR(B423="",C423="",D423="",E423="",H423="",O423="",T423="",U423=""),"必填欄位未完整",""))</f>
        <v/>
      </c>
      <c r="AI423" s="12">
        <f>IF(A423="","",A423&amp;"|"&amp;G423)</f>
        <v/>
      </c>
      <c r="AJ423" s="12">
        <f>IF(A423="","",A423&amp;"|"&amp;H423)</f>
        <v/>
      </c>
    </row>
    <row r="424" ht="24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8" t="n"/>
      <c r="P424" s="8" t="n"/>
      <c r="Q424" s="8" t="n"/>
      <c r="R424" s="13">
        <f>IF(O424="","",SUM(O424:Q424))</f>
        <v/>
      </c>
      <c r="S424" s="9">
        <f>IF(R424="","",ROUND(R424/3.305785,3))</f>
        <v/>
      </c>
      <c r="T424" s="7" t="n"/>
      <c r="U424" s="7" t="n"/>
      <c r="V424" s="10">
        <f>IF(OR(T424="",U424="",U424=0),"",ROUND(T424/U424,6))</f>
        <v/>
      </c>
      <c r="W424" s="9">
        <f>IF(OR(R424="",T424="",U424="",U424=0),"",ROUND(R424*T424/U424,3))</f>
        <v/>
      </c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12">
        <f>IF(A424="","",IF(OR(B424="",C424="",D424="",E424="",H424="",O424="",T424="",U424=""),"必填欄位未完整",""))</f>
        <v/>
      </c>
      <c r="AI424" s="12">
        <f>IF(A424="","",A424&amp;"|"&amp;G424)</f>
        <v/>
      </c>
      <c r="AJ424" s="12">
        <f>IF(A424="","",A424&amp;"|"&amp;H424)</f>
        <v/>
      </c>
    </row>
    <row r="425" ht="24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8" t="n"/>
      <c r="P425" s="8" t="n"/>
      <c r="Q425" s="8" t="n"/>
      <c r="R425" s="13">
        <f>IF(O425="","",SUM(O425:Q425))</f>
        <v/>
      </c>
      <c r="S425" s="9">
        <f>IF(R425="","",ROUND(R425/3.305785,3))</f>
        <v/>
      </c>
      <c r="T425" s="7" t="n"/>
      <c r="U425" s="7" t="n"/>
      <c r="V425" s="10">
        <f>IF(OR(T425="",U425="",U425=0),"",ROUND(T425/U425,6))</f>
        <v/>
      </c>
      <c r="W425" s="9">
        <f>IF(OR(R425="",T425="",U425="",U425=0),"",ROUND(R425*T425/U425,3))</f>
        <v/>
      </c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12">
        <f>IF(A425="","",IF(OR(B425="",C425="",D425="",E425="",H425="",O425="",T425="",U425=""),"必填欄位未完整",""))</f>
        <v/>
      </c>
      <c r="AI425" s="12">
        <f>IF(A425="","",A425&amp;"|"&amp;G425)</f>
        <v/>
      </c>
      <c r="AJ425" s="12">
        <f>IF(A425="","",A425&amp;"|"&amp;H425)</f>
        <v/>
      </c>
    </row>
    <row r="426" ht="24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8" t="n"/>
      <c r="P426" s="8" t="n"/>
      <c r="Q426" s="8" t="n"/>
      <c r="R426" s="13">
        <f>IF(O426="","",SUM(O426:Q426))</f>
        <v/>
      </c>
      <c r="S426" s="9">
        <f>IF(R426="","",ROUND(R426/3.305785,3))</f>
        <v/>
      </c>
      <c r="T426" s="7" t="n"/>
      <c r="U426" s="7" t="n"/>
      <c r="V426" s="10">
        <f>IF(OR(T426="",U426="",U426=0),"",ROUND(T426/U426,6))</f>
        <v/>
      </c>
      <c r="W426" s="9">
        <f>IF(OR(R426="",T426="",U426="",U426=0),"",ROUND(R426*T426/U426,3))</f>
        <v/>
      </c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12">
        <f>IF(A426="","",IF(OR(B426="",C426="",D426="",E426="",H426="",O426="",T426="",U426=""),"必填欄位未完整",""))</f>
        <v/>
      </c>
      <c r="AI426" s="12">
        <f>IF(A426="","",A426&amp;"|"&amp;G426)</f>
        <v/>
      </c>
      <c r="AJ426" s="12">
        <f>IF(A426="","",A426&amp;"|"&amp;H426)</f>
        <v/>
      </c>
    </row>
    <row r="427" ht="24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8" t="n"/>
      <c r="P427" s="8" t="n"/>
      <c r="Q427" s="8" t="n"/>
      <c r="R427" s="13">
        <f>IF(O427="","",SUM(O427:Q427))</f>
        <v/>
      </c>
      <c r="S427" s="9">
        <f>IF(R427="","",ROUND(R427/3.305785,3))</f>
        <v/>
      </c>
      <c r="T427" s="7" t="n"/>
      <c r="U427" s="7" t="n"/>
      <c r="V427" s="10">
        <f>IF(OR(T427="",U427="",U427=0),"",ROUND(T427/U427,6))</f>
        <v/>
      </c>
      <c r="W427" s="9">
        <f>IF(OR(R427="",T427="",U427="",U427=0),"",ROUND(R427*T427/U427,3))</f>
        <v/>
      </c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12">
        <f>IF(A427="","",IF(OR(B427="",C427="",D427="",E427="",H427="",O427="",T427="",U427=""),"必填欄位未完整",""))</f>
        <v/>
      </c>
      <c r="AI427" s="12">
        <f>IF(A427="","",A427&amp;"|"&amp;G427)</f>
        <v/>
      </c>
      <c r="AJ427" s="12">
        <f>IF(A427="","",A427&amp;"|"&amp;H427)</f>
        <v/>
      </c>
    </row>
    <row r="428" ht="24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8" t="n"/>
      <c r="P428" s="8" t="n"/>
      <c r="Q428" s="8" t="n"/>
      <c r="R428" s="13">
        <f>IF(O428="","",SUM(O428:Q428))</f>
        <v/>
      </c>
      <c r="S428" s="9">
        <f>IF(R428="","",ROUND(R428/3.305785,3))</f>
        <v/>
      </c>
      <c r="T428" s="7" t="n"/>
      <c r="U428" s="7" t="n"/>
      <c r="V428" s="10">
        <f>IF(OR(T428="",U428="",U428=0),"",ROUND(T428/U428,6))</f>
        <v/>
      </c>
      <c r="W428" s="9">
        <f>IF(OR(R428="",T428="",U428="",U428=0),"",ROUND(R428*T428/U428,3))</f>
        <v/>
      </c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12">
        <f>IF(A428="","",IF(OR(B428="",C428="",D428="",E428="",H428="",O428="",T428="",U428=""),"必填欄位未完整",""))</f>
        <v/>
      </c>
      <c r="AI428" s="12">
        <f>IF(A428="","",A428&amp;"|"&amp;G428)</f>
        <v/>
      </c>
      <c r="AJ428" s="12">
        <f>IF(A428="","",A428&amp;"|"&amp;H428)</f>
        <v/>
      </c>
    </row>
    <row r="429" ht="24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8" t="n"/>
      <c r="P429" s="8" t="n"/>
      <c r="Q429" s="8" t="n"/>
      <c r="R429" s="13">
        <f>IF(O429="","",SUM(O429:Q429))</f>
        <v/>
      </c>
      <c r="S429" s="9">
        <f>IF(R429="","",ROUND(R429/3.305785,3))</f>
        <v/>
      </c>
      <c r="T429" s="7" t="n"/>
      <c r="U429" s="7" t="n"/>
      <c r="V429" s="10">
        <f>IF(OR(T429="",U429="",U429=0),"",ROUND(T429/U429,6))</f>
        <v/>
      </c>
      <c r="W429" s="9">
        <f>IF(OR(R429="",T429="",U429="",U429=0),"",ROUND(R429*T429/U429,3))</f>
        <v/>
      </c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12">
        <f>IF(A429="","",IF(OR(B429="",C429="",D429="",E429="",H429="",O429="",T429="",U429=""),"必填欄位未完整",""))</f>
        <v/>
      </c>
      <c r="AI429" s="12">
        <f>IF(A429="","",A429&amp;"|"&amp;G429)</f>
        <v/>
      </c>
      <c r="AJ429" s="12">
        <f>IF(A429="","",A429&amp;"|"&amp;H429)</f>
        <v/>
      </c>
    </row>
    <row r="430" ht="24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8" t="n"/>
      <c r="P430" s="8" t="n"/>
      <c r="Q430" s="8" t="n"/>
      <c r="R430" s="13">
        <f>IF(O430="","",SUM(O430:Q430))</f>
        <v/>
      </c>
      <c r="S430" s="9">
        <f>IF(R430="","",ROUND(R430/3.305785,3))</f>
        <v/>
      </c>
      <c r="T430" s="7" t="n"/>
      <c r="U430" s="7" t="n"/>
      <c r="V430" s="10">
        <f>IF(OR(T430="",U430="",U430=0),"",ROUND(T430/U430,6))</f>
        <v/>
      </c>
      <c r="W430" s="9">
        <f>IF(OR(R430="",T430="",U430="",U430=0),"",ROUND(R430*T430/U430,3))</f>
        <v/>
      </c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12">
        <f>IF(A430="","",IF(OR(B430="",C430="",D430="",E430="",H430="",O430="",T430="",U430=""),"必填欄位未完整",""))</f>
        <v/>
      </c>
      <c r="AI430" s="12">
        <f>IF(A430="","",A430&amp;"|"&amp;G430)</f>
        <v/>
      </c>
      <c r="AJ430" s="12">
        <f>IF(A430="","",A430&amp;"|"&amp;H430)</f>
        <v/>
      </c>
    </row>
    <row r="431" ht="24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8" t="n"/>
      <c r="P431" s="8" t="n"/>
      <c r="Q431" s="8" t="n"/>
      <c r="R431" s="13">
        <f>IF(O431="","",SUM(O431:Q431))</f>
        <v/>
      </c>
      <c r="S431" s="9">
        <f>IF(R431="","",ROUND(R431/3.305785,3))</f>
        <v/>
      </c>
      <c r="T431" s="7" t="n"/>
      <c r="U431" s="7" t="n"/>
      <c r="V431" s="10">
        <f>IF(OR(T431="",U431="",U431=0),"",ROUND(T431/U431,6))</f>
        <v/>
      </c>
      <c r="W431" s="9">
        <f>IF(OR(R431="",T431="",U431="",U431=0),"",ROUND(R431*T431/U431,3))</f>
        <v/>
      </c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12">
        <f>IF(A431="","",IF(OR(B431="",C431="",D431="",E431="",H431="",O431="",T431="",U431=""),"必填欄位未完整",""))</f>
        <v/>
      </c>
      <c r="AI431" s="12">
        <f>IF(A431="","",A431&amp;"|"&amp;G431)</f>
        <v/>
      </c>
      <c r="AJ431" s="12">
        <f>IF(A431="","",A431&amp;"|"&amp;H431)</f>
        <v/>
      </c>
    </row>
    <row r="432" ht="24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8" t="n"/>
      <c r="P432" s="8" t="n"/>
      <c r="Q432" s="8" t="n"/>
      <c r="R432" s="13">
        <f>IF(O432="","",SUM(O432:Q432))</f>
        <v/>
      </c>
      <c r="S432" s="9">
        <f>IF(R432="","",ROUND(R432/3.305785,3))</f>
        <v/>
      </c>
      <c r="T432" s="7" t="n"/>
      <c r="U432" s="7" t="n"/>
      <c r="V432" s="10">
        <f>IF(OR(T432="",U432="",U432=0),"",ROUND(T432/U432,6))</f>
        <v/>
      </c>
      <c r="W432" s="9">
        <f>IF(OR(R432="",T432="",U432="",U432=0),"",ROUND(R432*T432/U432,3))</f>
        <v/>
      </c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12">
        <f>IF(A432="","",IF(OR(B432="",C432="",D432="",E432="",H432="",O432="",T432="",U432=""),"必填欄位未完整",""))</f>
        <v/>
      </c>
      <c r="AI432" s="12">
        <f>IF(A432="","",A432&amp;"|"&amp;G432)</f>
        <v/>
      </c>
      <c r="AJ432" s="12">
        <f>IF(A432="","",A432&amp;"|"&amp;H432)</f>
        <v/>
      </c>
    </row>
    <row r="433" ht="24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8" t="n"/>
      <c r="P433" s="8" t="n"/>
      <c r="Q433" s="8" t="n"/>
      <c r="R433" s="13">
        <f>IF(O433="","",SUM(O433:Q433))</f>
        <v/>
      </c>
      <c r="S433" s="9">
        <f>IF(R433="","",ROUND(R433/3.305785,3))</f>
        <v/>
      </c>
      <c r="T433" s="7" t="n"/>
      <c r="U433" s="7" t="n"/>
      <c r="V433" s="10">
        <f>IF(OR(T433="",U433="",U433=0),"",ROUND(T433/U433,6))</f>
        <v/>
      </c>
      <c r="W433" s="9">
        <f>IF(OR(R433="",T433="",U433="",U433=0),"",ROUND(R433*T433/U433,3))</f>
        <v/>
      </c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12">
        <f>IF(A433="","",IF(OR(B433="",C433="",D433="",E433="",H433="",O433="",T433="",U433=""),"必填欄位未完整",""))</f>
        <v/>
      </c>
      <c r="AI433" s="12">
        <f>IF(A433="","",A433&amp;"|"&amp;G433)</f>
        <v/>
      </c>
      <c r="AJ433" s="12">
        <f>IF(A433="","",A433&amp;"|"&amp;H433)</f>
        <v/>
      </c>
    </row>
    <row r="434" ht="24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8" t="n"/>
      <c r="P434" s="8" t="n"/>
      <c r="Q434" s="8" t="n"/>
      <c r="R434" s="13">
        <f>IF(O434="","",SUM(O434:Q434))</f>
        <v/>
      </c>
      <c r="S434" s="9">
        <f>IF(R434="","",ROUND(R434/3.305785,3))</f>
        <v/>
      </c>
      <c r="T434" s="7" t="n"/>
      <c r="U434" s="7" t="n"/>
      <c r="V434" s="10">
        <f>IF(OR(T434="",U434="",U434=0),"",ROUND(T434/U434,6))</f>
        <v/>
      </c>
      <c r="W434" s="9">
        <f>IF(OR(R434="",T434="",U434="",U434=0),"",ROUND(R434*T434/U434,3))</f>
        <v/>
      </c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12">
        <f>IF(A434="","",IF(OR(B434="",C434="",D434="",E434="",H434="",O434="",T434="",U434=""),"必填欄位未完整",""))</f>
        <v/>
      </c>
      <c r="AI434" s="12">
        <f>IF(A434="","",A434&amp;"|"&amp;G434)</f>
        <v/>
      </c>
      <c r="AJ434" s="12">
        <f>IF(A434="","",A434&amp;"|"&amp;H434)</f>
        <v/>
      </c>
    </row>
    <row r="435" ht="24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8" t="n"/>
      <c r="P435" s="8" t="n"/>
      <c r="Q435" s="8" t="n"/>
      <c r="R435" s="13">
        <f>IF(O435="","",SUM(O435:Q435))</f>
        <v/>
      </c>
      <c r="S435" s="9">
        <f>IF(R435="","",ROUND(R435/3.305785,3))</f>
        <v/>
      </c>
      <c r="T435" s="7" t="n"/>
      <c r="U435" s="7" t="n"/>
      <c r="V435" s="10">
        <f>IF(OR(T435="",U435="",U435=0),"",ROUND(T435/U435,6))</f>
        <v/>
      </c>
      <c r="W435" s="9">
        <f>IF(OR(R435="",T435="",U435="",U435=0),"",ROUND(R435*T435/U435,3))</f>
        <v/>
      </c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12">
        <f>IF(A435="","",IF(OR(B435="",C435="",D435="",E435="",H435="",O435="",T435="",U435=""),"必填欄位未完整",""))</f>
        <v/>
      </c>
      <c r="AI435" s="12">
        <f>IF(A435="","",A435&amp;"|"&amp;G435)</f>
        <v/>
      </c>
      <c r="AJ435" s="12">
        <f>IF(A435="","",A435&amp;"|"&amp;H435)</f>
        <v/>
      </c>
    </row>
    <row r="436" ht="24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8" t="n"/>
      <c r="P436" s="8" t="n"/>
      <c r="Q436" s="8" t="n"/>
      <c r="R436" s="13">
        <f>IF(O436="","",SUM(O436:Q436))</f>
        <v/>
      </c>
      <c r="S436" s="9">
        <f>IF(R436="","",ROUND(R436/3.305785,3))</f>
        <v/>
      </c>
      <c r="T436" s="7" t="n"/>
      <c r="U436" s="7" t="n"/>
      <c r="V436" s="10">
        <f>IF(OR(T436="",U436="",U436=0),"",ROUND(T436/U436,6))</f>
        <v/>
      </c>
      <c r="W436" s="9">
        <f>IF(OR(R436="",T436="",U436="",U436=0),"",ROUND(R436*T436/U436,3))</f>
        <v/>
      </c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12">
        <f>IF(A436="","",IF(OR(B436="",C436="",D436="",E436="",H436="",O436="",T436="",U436=""),"必填欄位未完整",""))</f>
        <v/>
      </c>
      <c r="AI436" s="12">
        <f>IF(A436="","",A436&amp;"|"&amp;G436)</f>
        <v/>
      </c>
      <c r="AJ436" s="12">
        <f>IF(A436="","",A436&amp;"|"&amp;H436)</f>
        <v/>
      </c>
    </row>
    <row r="437" ht="24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8" t="n"/>
      <c r="P437" s="8" t="n"/>
      <c r="Q437" s="8" t="n"/>
      <c r="R437" s="13">
        <f>IF(O437="","",SUM(O437:Q437))</f>
        <v/>
      </c>
      <c r="S437" s="9">
        <f>IF(R437="","",ROUND(R437/3.305785,3))</f>
        <v/>
      </c>
      <c r="T437" s="7" t="n"/>
      <c r="U437" s="7" t="n"/>
      <c r="V437" s="10">
        <f>IF(OR(T437="",U437="",U437=0),"",ROUND(T437/U437,6))</f>
        <v/>
      </c>
      <c r="W437" s="9">
        <f>IF(OR(R437="",T437="",U437="",U437=0),"",ROUND(R437*T437/U437,3))</f>
        <v/>
      </c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12">
        <f>IF(A437="","",IF(OR(B437="",C437="",D437="",E437="",H437="",O437="",T437="",U437=""),"必填欄位未完整",""))</f>
        <v/>
      </c>
      <c r="AI437" s="12">
        <f>IF(A437="","",A437&amp;"|"&amp;G437)</f>
        <v/>
      </c>
      <c r="AJ437" s="12">
        <f>IF(A437="","",A437&amp;"|"&amp;H437)</f>
        <v/>
      </c>
    </row>
    <row r="438" ht="24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8" t="n"/>
      <c r="P438" s="8" t="n"/>
      <c r="Q438" s="8" t="n"/>
      <c r="R438" s="13">
        <f>IF(O438="","",SUM(O438:Q438))</f>
        <v/>
      </c>
      <c r="S438" s="9">
        <f>IF(R438="","",ROUND(R438/3.305785,3))</f>
        <v/>
      </c>
      <c r="T438" s="7" t="n"/>
      <c r="U438" s="7" t="n"/>
      <c r="V438" s="10">
        <f>IF(OR(T438="",U438="",U438=0),"",ROUND(T438/U438,6))</f>
        <v/>
      </c>
      <c r="W438" s="9">
        <f>IF(OR(R438="",T438="",U438="",U438=0),"",ROUND(R438*T438/U438,3))</f>
        <v/>
      </c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12">
        <f>IF(A438="","",IF(OR(B438="",C438="",D438="",E438="",H438="",O438="",T438="",U438=""),"必填欄位未完整",""))</f>
        <v/>
      </c>
      <c r="AI438" s="12">
        <f>IF(A438="","",A438&amp;"|"&amp;G438)</f>
        <v/>
      </c>
      <c r="AJ438" s="12">
        <f>IF(A438="","",A438&amp;"|"&amp;H438)</f>
        <v/>
      </c>
    </row>
    <row r="439" ht="24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8" t="n"/>
      <c r="P439" s="8" t="n"/>
      <c r="Q439" s="8" t="n"/>
      <c r="R439" s="13">
        <f>IF(O439="","",SUM(O439:Q439))</f>
        <v/>
      </c>
      <c r="S439" s="9">
        <f>IF(R439="","",ROUND(R439/3.305785,3))</f>
        <v/>
      </c>
      <c r="T439" s="7" t="n"/>
      <c r="U439" s="7" t="n"/>
      <c r="V439" s="10">
        <f>IF(OR(T439="",U439="",U439=0),"",ROUND(T439/U439,6))</f>
        <v/>
      </c>
      <c r="W439" s="9">
        <f>IF(OR(R439="",T439="",U439="",U439=0),"",ROUND(R439*T439/U439,3))</f>
        <v/>
      </c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12">
        <f>IF(A439="","",IF(OR(B439="",C439="",D439="",E439="",H439="",O439="",T439="",U439=""),"必填欄位未完整",""))</f>
        <v/>
      </c>
      <c r="AI439" s="12">
        <f>IF(A439="","",A439&amp;"|"&amp;G439)</f>
        <v/>
      </c>
      <c r="AJ439" s="12">
        <f>IF(A439="","",A439&amp;"|"&amp;H439)</f>
        <v/>
      </c>
    </row>
    <row r="440" ht="24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8" t="n"/>
      <c r="P440" s="8" t="n"/>
      <c r="Q440" s="8" t="n"/>
      <c r="R440" s="13">
        <f>IF(O440="","",SUM(O440:Q440))</f>
        <v/>
      </c>
      <c r="S440" s="9">
        <f>IF(R440="","",ROUND(R440/3.305785,3))</f>
        <v/>
      </c>
      <c r="T440" s="7" t="n"/>
      <c r="U440" s="7" t="n"/>
      <c r="V440" s="10">
        <f>IF(OR(T440="",U440="",U440=0),"",ROUND(T440/U440,6))</f>
        <v/>
      </c>
      <c r="W440" s="9">
        <f>IF(OR(R440="",T440="",U440="",U440=0),"",ROUND(R440*T440/U440,3))</f>
        <v/>
      </c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12">
        <f>IF(A440="","",IF(OR(B440="",C440="",D440="",E440="",H440="",O440="",T440="",U440=""),"必填欄位未完整",""))</f>
        <v/>
      </c>
      <c r="AI440" s="12">
        <f>IF(A440="","",A440&amp;"|"&amp;G440)</f>
        <v/>
      </c>
      <c r="AJ440" s="12">
        <f>IF(A440="","",A440&amp;"|"&amp;H440)</f>
        <v/>
      </c>
    </row>
    <row r="441" ht="24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8" t="n"/>
      <c r="P441" s="8" t="n"/>
      <c r="Q441" s="8" t="n"/>
      <c r="R441" s="13">
        <f>IF(O441="","",SUM(O441:Q441))</f>
        <v/>
      </c>
      <c r="S441" s="9">
        <f>IF(R441="","",ROUND(R441/3.305785,3))</f>
        <v/>
      </c>
      <c r="T441" s="7" t="n"/>
      <c r="U441" s="7" t="n"/>
      <c r="V441" s="10">
        <f>IF(OR(T441="",U441="",U441=0),"",ROUND(T441/U441,6))</f>
        <v/>
      </c>
      <c r="W441" s="9">
        <f>IF(OR(R441="",T441="",U441="",U441=0),"",ROUND(R441*T441/U441,3))</f>
        <v/>
      </c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12">
        <f>IF(A441="","",IF(OR(B441="",C441="",D441="",E441="",H441="",O441="",T441="",U441=""),"必填欄位未完整",""))</f>
        <v/>
      </c>
      <c r="AI441" s="12">
        <f>IF(A441="","",A441&amp;"|"&amp;G441)</f>
        <v/>
      </c>
      <c r="AJ441" s="12">
        <f>IF(A441="","",A441&amp;"|"&amp;H441)</f>
        <v/>
      </c>
    </row>
    <row r="442" ht="24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8" t="n"/>
      <c r="P442" s="8" t="n"/>
      <c r="Q442" s="8" t="n"/>
      <c r="R442" s="13">
        <f>IF(O442="","",SUM(O442:Q442))</f>
        <v/>
      </c>
      <c r="S442" s="9">
        <f>IF(R442="","",ROUND(R442/3.305785,3))</f>
        <v/>
      </c>
      <c r="T442" s="7" t="n"/>
      <c r="U442" s="7" t="n"/>
      <c r="V442" s="10">
        <f>IF(OR(T442="",U442="",U442=0),"",ROUND(T442/U442,6))</f>
        <v/>
      </c>
      <c r="W442" s="9">
        <f>IF(OR(R442="",T442="",U442="",U442=0),"",ROUND(R442*T442/U442,3))</f>
        <v/>
      </c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12">
        <f>IF(A442="","",IF(OR(B442="",C442="",D442="",E442="",H442="",O442="",T442="",U442=""),"必填欄位未完整",""))</f>
        <v/>
      </c>
      <c r="AI442" s="12">
        <f>IF(A442="","",A442&amp;"|"&amp;G442)</f>
        <v/>
      </c>
      <c r="AJ442" s="12">
        <f>IF(A442="","",A442&amp;"|"&amp;H442)</f>
        <v/>
      </c>
    </row>
    <row r="443" ht="24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8" t="n"/>
      <c r="P443" s="8" t="n"/>
      <c r="Q443" s="8" t="n"/>
      <c r="R443" s="13">
        <f>IF(O443="","",SUM(O443:Q443))</f>
        <v/>
      </c>
      <c r="S443" s="9">
        <f>IF(R443="","",ROUND(R443/3.305785,3))</f>
        <v/>
      </c>
      <c r="T443" s="7" t="n"/>
      <c r="U443" s="7" t="n"/>
      <c r="V443" s="10">
        <f>IF(OR(T443="",U443="",U443=0),"",ROUND(T443/U443,6))</f>
        <v/>
      </c>
      <c r="W443" s="9">
        <f>IF(OR(R443="",T443="",U443="",U443=0),"",ROUND(R443*T443/U443,3))</f>
        <v/>
      </c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12">
        <f>IF(A443="","",IF(OR(B443="",C443="",D443="",E443="",H443="",O443="",T443="",U443=""),"必填欄位未完整",""))</f>
        <v/>
      </c>
      <c r="AI443" s="12">
        <f>IF(A443="","",A443&amp;"|"&amp;G443)</f>
        <v/>
      </c>
      <c r="AJ443" s="12">
        <f>IF(A443="","",A443&amp;"|"&amp;H443)</f>
        <v/>
      </c>
    </row>
    <row r="444" ht="24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8" t="n"/>
      <c r="P444" s="8" t="n"/>
      <c r="Q444" s="8" t="n"/>
      <c r="R444" s="13">
        <f>IF(O444="","",SUM(O444:Q444))</f>
        <v/>
      </c>
      <c r="S444" s="9">
        <f>IF(R444="","",ROUND(R444/3.305785,3))</f>
        <v/>
      </c>
      <c r="T444" s="7" t="n"/>
      <c r="U444" s="7" t="n"/>
      <c r="V444" s="10">
        <f>IF(OR(T444="",U444="",U444=0),"",ROUND(T444/U444,6))</f>
        <v/>
      </c>
      <c r="W444" s="9">
        <f>IF(OR(R444="",T444="",U444="",U444=0),"",ROUND(R444*T444/U444,3))</f>
        <v/>
      </c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12">
        <f>IF(A444="","",IF(OR(B444="",C444="",D444="",E444="",H444="",O444="",T444="",U444=""),"必填欄位未完整",""))</f>
        <v/>
      </c>
      <c r="AI444" s="12">
        <f>IF(A444="","",A444&amp;"|"&amp;G444)</f>
        <v/>
      </c>
      <c r="AJ444" s="12">
        <f>IF(A444="","",A444&amp;"|"&amp;H444)</f>
        <v/>
      </c>
    </row>
    <row r="445" ht="24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8" t="n"/>
      <c r="P445" s="8" t="n"/>
      <c r="Q445" s="8" t="n"/>
      <c r="R445" s="13">
        <f>IF(O445="","",SUM(O445:Q445))</f>
        <v/>
      </c>
      <c r="S445" s="9">
        <f>IF(R445="","",ROUND(R445/3.305785,3))</f>
        <v/>
      </c>
      <c r="T445" s="7" t="n"/>
      <c r="U445" s="7" t="n"/>
      <c r="V445" s="10">
        <f>IF(OR(T445="",U445="",U445=0),"",ROUND(T445/U445,6))</f>
        <v/>
      </c>
      <c r="W445" s="9">
        <f>IF(OR(R445="",T445="",U445="",U445=0),"",ROUND(R445*T445/U445,3))</f>
        <v/>
      </c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12">
        <f>IF(A445="","",IF(OR(B445="",C445="",D445="",E445="",H445="",O445="",T445="",U445=""),"必填欄位未完整",""))</f>
        <v/>
      </c>
      <c r="AI445" s="12">
        <f>IF(A445="","",A445&amp;"|"&amp;G445)</f>
        <v/>
      </c>
      <c r="AJ445" s="12">
        <f>IF(A445="","",A445&amp;"|"&amp;H445)</f>
        <v/>
      </c>
    </row>
    <row r="446" ht="24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8" t="n"/>
      <c r="P446" s="8" t="n"/>
      <c r="Q446" s="8" t="n"/>
      <c r="R446" s="13">
        <f>IF(O446="","",SUM(O446:Q446))</f>
        <v/>
      </c>
      <c r="S446" s="9">
        <f>IF(R446="","",ROUND(R446/3.305785,3))</f>
        <v/>
      </c>
      <c r="T446" s="7" t="n"/>
      <c r="U446" s="7" t="n"/>
      <c r="V446" s="10">
        <f>IF(OR(T446="",U446="",U446=0),"",ROUND(T446/U446,6))</f>
        <v/>
      </c>
      <c r="W446" s="9">
        <f>IF(OR(R446="",T446="",U446="",U446=0),"",ROUND(R446*T446/U446,3))</f>
        <v/>
      </c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12">
        <f>IF(A446="","",IF(OR(B446="",C446="",D446="",E446="",H446="",O446="",T446="",U446=""),"必填欄位未完整",""))</f>
        <v/>
      </c>
      <c r="AI446" s="12">
        <f>IF(A446="","",A446&amp;"|"&amp;G446)</f>
        <v/>
      </c>
      <c r="AJ446" s="12">
        <f>IF(A446="","",A446&amp;"|"&amp;H446)</f>
        <v/>
      </c>
    </row>
    <row r="447" ht="24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8" t="n"/>
      <c r="P447" s="8" t="n"/>
      <c r="Q447" s="8" t="n"/>
      <c r="R447" s="13">
        <f>IF(O447="","",SUM(O447:Q447))</f>
        <v/>
      </c>
      <c r="S447" s="9">
        <f>IF(R447="","",ROUND(R447/3.305785,3))</f>
        <v/>
      </c>
      <c r="T447" s="7" t="n"/>
      <c r="U447" s="7" t="n"/>
      <c r="V447" s="10">
        <f>IF(OR(T447="",U447="",U447=0),"",ROUND(T447/U447,6))</f>
        <v/>
      </c>
      <c r="W447" s="9">
        <f>IF(OR(R447="",T447="",U447="",U447=0),"",ROUND(R447*T447/U447,3))</f>
        <v/>
      </c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12">
        <f>IF(A447="","",IF(OR(B447="",C447="",D447="",E447="",H447="",O447="",T447="",U447=""),"必填欄位未完整",""))</f>
        <v/>
      </c>
      <c r="AI447" s="12">
        <f>IF(A447="","",A447&amp;"|"&amp;G447)</f>
        <v/>
      </c>
      <c r="AJ447" s="12">
        <f>IF(A447="","",A447&amp;"|"&amp;H447)</f>
        <v/>
      </c>
    </row>
    <row r="448" ht="24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8" t="n"/>
      <c r="P448" s="8" t="n"/>
      <c r="Q448" s="8" t="n"/>
      <c r="R448" s="13">
        <f>IF(O448="","",SUM(O448:Q448))</f>
        <v/>
      </c>
      <c r="S448" s="9">
        <f>IF(R448="","",ROUND(R448/3.305785,3))</f>
        <v/>
      </c>
      <c r="T448" s="7" t="n"/>
      <c r="U448" s="7" t="n"/>
      <c r="V448" s="10">
        <f>IF(OR(T448="",U448="",U448=0),"",ROUND(T448/U448,6))</f>
        <v/>
      </c>
      <c r="W448" s="9">
        <f>IF(OR(R448="",T448="",U448="",U448=0),"",ROUND(R448*T448/U448,3))</f>
        <v/>
      </c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12">
        <f>IF(A448="","",IF(OR(B448="",C448="",D448="",E448="",H448="",O448="",T448="",U448=""),"必填欄位未完整",""))</f>
        <v/>
      </c>
      <c r="AI448" s="12">
        <f>IF(A448="","",A448&amp;"|"&amp;G448)</f>
        <v/>
      </c>
      <c r="AJ448" s="12">
        <f>IF(A448="","",A448&amp;"|"&amp;H448)</f>
        <v/>
      </c>
    </row>
    <row r="449" ht="24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8" t="n"/>
      <c r="P449" s="8" t="n"/>
      <c r="Q449" s="8" t="n"/>
      <c r="R449" s="13">
        <f>IF(O449="","",SUM(O449:Q449))</f>
        <v/>
      </c>
      <c r="S449" s="9">
        <f>IF(R449="","",ROUND(R449/3.305785,3))</f>
        <v/>
      </c>
      <c r="T449" s="7" t="n"/>
      <c r="U449" s="7" t="n"/>
      <c r="V449" s="10">
        <f>IF(OR(T449="",U449="",U449=0),"",ROUND(T449/U449,6))</f>
        <v/>
      </c>
      <c r="W449" s="9">
        <f>IF(OR(R449="",T449="",U449="",U449=0),"",ROUND(R449*T449/U449,3))</f>
        <v/>
      </c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12">
        <f>IF(A449="","",IF(OR(B449="",C449="",D449="",E449="",H449="",O449="",T449="",U449=""),"必填欄位未完整",""))</f>
        <v/>
      </c>
      <c r="AI449" s="12">
        <f>IF(A449="","",A449&amp;"|"&amp;G449)</f>
        <v/>
      </c>
      <c r="AJ449" s="12">
        <f>IF(A449="","",A449&amp;"|"&amp;H449)</f>
        <v/>
      </c>
    </row>
    <row r="450" ht="24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8" t="n"/>
      <c r="P450" s="8" t="n"/>
      <c r="Q450" s="8" t="n"/>
      <c r="R450" s="13">
        <f>IF(O450="","",SUM(O450:Q450))</f>
        <v/>
      </c>
      <c r="S450" s="9">
        <f>IF(R450="","",ROUND(R450/3.305785,3))</f>
        <v/>
      </c>
      <c r="T450" s="7" t="n"/>
      <c r="U450" s="7" t="n"/>
      <c r="V450" s="10">
        <f>IF(OR(T450="",U450="",U450=0),"",ROUND(T450/U450,6))</f>
        <v/>
      </c>
      <c r="W450" s="9">
        <f>IF(OR(R450="",T450="",U450="",U450=0),"",ROUND(R450*T450/U450,3))</f>
        <v/>
      </c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12">
        <f>IF(A450="","",IF(OR(B450="",C450="",D450="",E450="",H450="",O450="",T450="",U450=""),"必填欄位未完整",""))</f>
        <v/>
      </c>
      <c r="AI450" s="12">
        <f>IF(A450="","",A450&amp;"|"&amp;G450)</f>
        <v/>
      </c>
      <c r="AJ450" s="12">
        <f>IF(A450="","",A450&amp;"|"&amp;H450)</f>
        <v/>
      </c>
    </row>
    <row r="451" ht="24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8" t="n"/>
      <c r="P451" s="8" t="n"/>
      <c r="Q451" s="8" t="n"/>
      <c r="R451" s="13">
        <f>IF(O451="","",SUM(O451:Q451))</f>
        <v/>
      </c>
      <c r="S451" s="9">
        <f>IF(R451="","",ROUND(R451/3.305785,3))</f>
        <v/>
      </c>
      <c r="T451" s="7" t="n"/>
      <c r="U451" s="7" t="n"/>
      <c r="V451" s="10">
        <f>IF(OR(T451="",U451="",U451=0),"",ROUND(T451/U451,6))</f>
        <v/>
      </c>
      <c r="W451" s="9">
        <f>IF(OR(R451="",T451="",U451="",U451=0),"",ROUND(R451*T451/U451,3))</f>
        <v/>
      </c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12">
        <f>IF(A451="","",IF(OR(B451="",C451="",D451="",E451="",H451="",O451="",T451="",U451=""),"必填欄位未完整",""))</f>
        <v/>
      </c>
      <c r="AI451" s="12">
        <f>IF(A451="","",A451&amp;"|"&amp;G451)</f>
        <v/>
      </c>
      <c r="AJ451" s="12">
        <f>IF(A451="","",A451&amp;"|"&amp;H451)</f>
        <v/>
      </c>
    </row>
    <row r="452" ht="24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8" t="n"/>
      <c r="P452" s="8" t="n"/>
      <c r="Q452" s="8" t="n"/>
      <c r="R452" s="13">
        <f>IF(O452="","",SUM(O452:Q452))</f>
        <v/>
      </c>
      <c r="S452" s="9">
        <f>IF(R452="","",ROUND(R452/3.305785,3))</f>
        <v/>
      </c>
      <c r="T452" s="7" t="n"/>
      <c r="U452" s="7" t="n"/>
      <c r="V452" s="10">
        <f>IF(OR(T452="",U452="",U452=0),"",ROUND(T452/U452,6))</f>
        <v/>
      </c>
      <c r="W452" s="9">
        <f>IF(OR(R452="",T452="",U452="",U452=0),"",ROUND(R452*T452/U452,3))</f>
        <v/>
      </c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12">
        <f>IF(A452="","",IF(OR(B452="",C452="",D452="",E452="",H452="",O452="",T452="",U452=""),"必填欄位未完整",""))</f>
        <v/>
      </c>
      <c r="AI452" s="12">
        <f>IF(A452="","",A452&amp;"|"&amp;G452)</f>
        <v/>
      </c>
      <c r="AJ452" s="12">
        <f>IF(A452="","",A452&amp;"|"&amp;H452)</f>
        <v/>
      </c>
    </row>
    <row r="453" ht="24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8" t="n"/>
      <c r="P453" s="8" t="n"/>
      <c r="Q453" s="8" t="n"/>
      <c r="R453" s="13">
        <f>IF(O453="","",SUM(O453:Q453))</f>
        <v/>
      </c>
      <c r="S453" s="9">
        <f>IF(R453="","",ROUND(R453/3.305785,3))</f>
        <v/>
      </c>
      <c r="T453" s="7" t="n"/>
      <c r="U453" s="7" t="n"/>
      <c r="V453" s="10">
        <f>IF(OR(T453="",U453="",U453=0),"",ROUND(T453/U453,6))</f>
        <v/>
      </c>
      <c r="W453" s="9">
        <f>IF(OR(R453="",T453="",U453="",U453=0),"",ROUND(R453*T453/U453,3))</f>
        <v/>
      </c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12">
        <f>IF(A453="","",IF(OR(B453="",C453="",D453="",E453="",H453="",O453="",T453="",U453=""),"必填欄位未完整",""))</f>
        <v/>
      </c>
      <c r="AI453" s="12">
        <f>IF(A453="","",A453&amp;"|"&amp;G453)</f>
        <v/>
      </c>
      <c r="AJ453" s="12">
        <f>IF(A453="","",A453&amp;"|"&amp;H453)</f>
        <v/>
      </c>
    </row>
    <row r="454" ht="24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8" t="n"/>
      <c r="P454" s="8" t="n"/>
      <c r="Q454" s="8" t="n"/>
      <c r="R454" s="13">
        <f>IF(O454="","",SUM(O454:Q454))</f>
        <v/>
      </c>
      <c r="S454" s="9">
        <f>IF(R454="","",ROUND(R454/3.305785,3))</f>
        <v/>
      </c>
      <c r="T454" s="7" t="n"/>
      <c r="U454" s="7" t="n"/>
      <c r="V454" s="10">
        <f>IF(OR(T454="",U454="",U454=0),"",ROUND(T454/U454,6))</f>
        <v/>
      </c>
      <c r="W454" s="9">
        <f>IF(OR(R454="",T454="",U454="",U454=0),"",ROUND(R454*T454/U454,3))</f>
        <v/>
      </c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12">
        <f>IF(A454="","",IF(OR(B454="",C454="",D454="",E454="",H454="",O454="",T454="",U454=""),"必填欄位未完整",""))</f>
        <v/>
      </c>
      <c r="AI454" s="12">
        <f>IF(A454="","",A454&amp;"|"&amp;G454)</f>
        <v/>
      </c>
      <c r="AJ454" s="12">
        <f>IF(A454="","",A454&amp;"|"&amp;H454)</f>
        <v/>
      </c>
    </row>
    <row r="455" ht="24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8" t="n"/>
      <c r="P455" s="8" t="n"/>
      <c r="Q455" s="8" t="n"/>
      <c r="R455" s="13">
        <f>IF(O455="","",SUM(O455:Q455))</f>
        <v/>
      </c>
      <c r="S455" s="9">
        <f>IF(R455="","",ROUND(R455/3.305785,3))</f>
        <v/>
      </c>
      <c r="T455" s="7" t="n"/>
      <c r="U455" s="7" t="n"/>
      <c r="V455" s="10">
        <f>IF(OR(T455="",U455="",U455=0),"",ROUND(T455/U455,6))</f>
        <v/>
      </c>
      <c r="W455" s="9">
        <f>IF(OR(R455="",T455="",U455="",U455=0),"",ROUND(R455*T455/U455,3))</f>
        <v/>
      </c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12">
        <f>IF(A455="","",IF(OR(B455="",C455="",D455="",E455="",H455="",O455="",T455="",U455=""),"必填欄位未完整",""))</f>
        <v/>
      </c>
      <c r="AI455" s="12">
        <f>IF(A455="","",A455&amp;"|"&amp;G455)</f>
        <v/>
      </c>
      <c r="AJ455" s="12">
        <f>IF(A455="","",A455&amp;"|"&amp;H455)</f>
        <v/>
      </c>
    </row>
    <row r="456" ht="24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8" t="n"/>
      <c r="P456" s="8" t="n"/>
      <c r="Q456" s="8" t="n"/>
      <c r="R456" s="13">
        <f>IF(O456="","",SUM(O456:Q456))</f>
        <v/>
      </c>
      <c r="S456" s="9">
        <f>IF(R456="","",ROUND(R456/3.305785,3))</f>
        <v/>
      </c>
      <c r="T456" s="7" t="n"/>
      <c r="U456" s="7" t="n"/>
      <c r="V456" s="10">
        <f>IF(OR(T456="",U456="",U456=0),"",ROUND(T456/U456,6))</f>
        <v/>
      </c>
      <c r="W456" s="9">
        <f>IF(OR(R456="",T456="",U456="",U456=0),"",ROUND(R456*T456/U456,3))</f>
        <v/>
      </c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12">
        <f>IF(A456="","",IF(OR(B456="",C456="",D456="",E456="",H456="",O456="",T456="",U456=""),"必填欄位未完整",""))</f>
        <v/>
      </c>
      <c r="AI456" s="12">
        <f>IF(A456="","",A456&amp;"|"&amp;G456)</f>
        <v/>
      </c>
      <c r="AJ456" s="12">
        <f>IF(A456="","",A456&amp;"|"&amp;H456)</f>
        <v/>
      </c>
    </row>
    <row r="457" ht="24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8" t="n"/>
      <c r="P457" s="8" t="n"/>
      <c r="Q457" s="8" t="n"/>
      <c r="R457" s="13">
        <f>IF(O457="","",SUM(O457:Q457))</f>
        <v/>
      </c>
      <c r="S457" s="9">
        <f>IF(R457="","",ROUND(R457/3.305785,3))</f>
        <v/>
      </c>
      <c r="T457" s="7" t="n"/>
      <c r="U457" s="7" t="n"/>
      <c r="V457" s="10">
        <f>IF(OR(T457="",U457="",U457=0),"",ROUND(T457/U457,6))</f>
        <v/>
      </c>
      <c r="W457" s="9">
        <f>IF(OR(R457="",T457="",U457="",U457=0),"",ROUND(R457*T457/U457,3))</f>
        <v/>
      </c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12">
        <f>IF(A457="","",IF(OR(B457="",C457="",D457="",E457="",H457="",O457="",T457="",U457=""),"必填欄位未完整",""))</f>
        <v/>
      </c>
      <c r="AI457" s="12">
        <f>IF(A457="","",A457&amp;"|"&amp;G457)</f>
        <v/>
      </c>
      <c r="AJ457" s="12">
        <f>IF(A457="","",A457&amp;"|"&amp;H457)</f>
        <v/>
      </c>
    </row>
    <row r="458" ht="24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8" t="n"/>
      <c r="P458" s="8" t="n"/>
      <c r="Q458" s="8" t="n"/>
      <c r="R458" s="13">
        <f>IF(O458="","",SUM(O458:Q458))</f>
        <v/>
      </c>
      <c r="S458" s="9">
        <f>IF(R458="","",ROUND(R458/3.305785,3))</f>
        <v/>
      </c>
      <c r="T458" s="7" t="n"/>
      <c r="U458" s="7" t="n"/>
      <c r="V458" s="10">
        <f>IF(OR(T458="",U458="",U458=0),"",ROUND(T458/U458,6))</f>
        <v/>
      </c>
      <c r="W458" s="9">
        <f>IF(OR(R458="",T458="",U458="",U458=0),"",ROUND(R458*T458/U458,3))</f>
        <v/>
      </c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12">
        <f>IF(A458="","",IF(OR(B458="",C458="",D458="",E458="",H458="",O458="",T458="",U458=""),"必填欄位未完整",""))</f>
        <v/>
      </c>
      <c r="AI458" s="12">
        <f>IF(A458="","",A458&amp;"|"&amp;G458)</f>
        <v/>
      </c>
      <c r="AJ458" s="12">
        <f>IF(A458="","",A458&amp;"|"&amp;H458)</f>
        <v/>
      </c>
    </row>
    <row r="459" ht="24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8" t="n"/>
      <c r="P459" s="8" t="n"/>
      <c r="Q459" s="8" t="n"/>
      <c r="R459" s="13">
        <f>IF(O459="","",SUM(O459:Q459))</f>
        <v/>
      </c>
      <c r="S459" s="9">
        <f>IF(R459="","",ROUND(R459/3.305785,3))</f>
        <v/>
      </c>
      <c r="T459" s="7" t="n"/>
      <c r="U459" s="7" t="n"/>
      <c r="V459" s="10">
        <f>IF(OR(T459="",U459="",U459=0),"",ROUND(T459/U459,6))</f>
        <v/>
      </c>
      <c r="W459" s="9">
        <f>IF(OR(R459="",T459="",U459="",U459=0),"",ROUND(R459*T459/U459,3))</f>
        <v/>
      </c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12">
        <f>IF(A459="","",IF(OR(B459="",C459="",D459="",E459="",H459="",O459="",T459="",U459=""),"必填欄位未完整",""))</f>
        <v/>
      </c>
      <c r="AI459" s="12">
        <f>IF(A459="","",A459&amp;"|"&amp;G459)</f>
        <v/>
      </c>
      <c r="AJ459" s="12">
        <f>IF(A459="","",A459&amp;"|"&amp;H459)</f>
        <v/>
      </c>
    </row>
    <row r="460" ht="24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8" t="n"/>
      <c r="P460" s="8" t="n"/>
      <c r="Q460" s="8" t="n"/>
      <c r="R460" s="13">
        <f>IF(O460="","",SUM(O460:Q460))</f>
        <v/>
      </c>
      <c r="S460" s="9">
        <f>IF(R460="","",ROUND(R460/3.305785,3))</f>
        <v/>
      </c>
      <c r="T460" s="7" t="n"/>
      <c r="U460" s="7" t="n"/>
      <c r="V460" s="10">
        <f>IF(OR(T460="",U460="",U460=0),"",ROUND(T460/U460,6))</f>
        <v/>
      </c>
      <c r="W460" s="9">
        <f>IF(OR(R460="",T460="",U460="",U460=0),"",ROUND(R460*T460/U460,3))</f>
        <v/>
      </c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12">
        <f>IF(A460="","",IF(OR(B460="",C460="",D460="",E460="",H460="",O460="",T460="",U460=""),"必填欄位未完整",""))</f>
        <v/>
      </c>
      <c r="AI460" s="12">
        <f>IF(A460="","",A460&amp;"|"&amp;G460)</f>
        <v/>
      </c>
      <c r="AJ460" s="12">
        <f>IF(A460="","",A460&amp;"|"&amp;H460)</f>
        <v/>
      </c>
    </row>
    <row r="461" ht="24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8" t="n"/>
      <c r="P461" s="8" t="n"/>
      <c r="Q461" s="8" t="n"/>
      <c r="R461" s="13">
        <f>IF(O461="","",SUM(O461:Q461))</f>
        <v/>
      </c>
      <c r="S461" s="9">
        <f>IF(R461="","",ROUND(R461/3.305785,3))</f>
        <v/>
      </c>
      <c r="T461" s="7" t="n"/>
      <c r="U461" s="7" t="n"/>
      <c r="V461" s="10">
        <f>IF(OR(T461="",U461="",U461=0),"",ROUND(T461/U461,6))</f>
        <v/>
      </c>
      <c r="W461" s="9">
        <f>IF(OR(R461="",T461="",U461="",U461=0),"",ROUND(R461*T461/U461,3))</f>
        <v/>
      </c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12">
        <f>IF(A461="","",IF(OR(B461="",C461="",D461="",E461="",H461="",O461="",T461="",U461=""),"必填欄位未完整",""))</f>
        <v/>
      </c>
      <c r="AI461" s="12">
        <f>IF(A461="","",A461&amp;"|"&amp;G461)</f>
        <v/>
      </c>
      <c r="AJ461" s="12">
        <f>IF(A461="","",A461&amp;"|"&amp;H461)</f>
        <v/>
      </c>
    </row>
    <row r="462" ht="24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8" t="n"/>
      <c r="P462" s="8" t="n"/>
      <c r="Q462" s="8" t="n"/>
      <c r="R462" s="13">
        <f>IF(O462="","",SUM(O462:Q462))</f>
        <v/>
      </c>
      <c r="S462" s="9">
        <f>IF(R462="","",ROUND(R462/3.305785,3))</f>
        <v/>
      </c>
      <c r="T462" s="7" t="n"/>
      <c r="U462" s="7" t="n"/>
      <c r="V462" s="10">
        <f>IF(OR(T462="",U462="",U462=0),"",ROUND(T462/U462,6))</f>
        <v/>
      </c>
      <c r="W462" s="9">
        <f>IF(OR(R462="",T462="",U462="",U462=0),"",ROUND(R462*T462/U462,3))</f>
        <v/>
      </c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12">
        <f>IF(A462="","",IF(OR(B462="",C462="",D462="",E462="",H462="",O462="",T462="",U462=""),"必填欄位未完整",""))</f>
        <v/>
      </c>
      <c r="AI462" s="12">
        <f>IF(A462="","",A462&amp;"|"&amp;G462)</f>
        <v/>
      </c>
      <c r="AJ462" s="12">
        <f>IF(A462="","",A462&amp;"|"&amp;H462)</f>
        <v/>
      </c>
    </row>
    <row r="463" ht="24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8" t="n"/>
      <c r="P463" s="8" t="n"/>
      <c r="Q463" s="8" t="n"/>
      <c r="R463" s="13">
        <f>IF(O463="","",SUM(O463:Q463))</f>
        <v/>
      </c>
      <c r="S463" s="9">
        <f>IF(R463="","",ROUND(R463/3.305785,3))</f>
        <v/>
      </c>
      <c r="T463" s="7" t="n"/>
      <c r="U463" s="7" t="n"/>
      <c r="V463" s="10">
        <f>IF(OR(T463="",U463="",U463=0),"",ROUND(T463/U463,6))</f>
        <v/>
      </c>
      <c r="W463" s="9">
        <f>IF(OR(R463="",T463="",U463="",U463=0),"",ROUND(R463*T463/U463,3))</f>
        <v/>
      </c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12">
        <f>IF(A463="","",IF(OR(B463="",C463="",D463="",E463="",H463="",O463="",T463="",U463=""),"必填欄位未完整",""))</f>
        <v/>
      </c>
      <c r="AI463" s="12">
        <f>IF(A463="","",A463&amp;"|"&amp;G463)</f>
        <v/>
      </c>
      <c r="AJ463" s="12">
        <f>IF(A463="","",A463&amp;"|"&amp;H463)</f>
        <v/>
      </c>
    </row>
    <row r="464" ht="24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8" t="n"/>
      <c r="P464" s="8" t="n"/>
      <c r="Q464" s="8" t="n"/>
      <c r="R464" s="13">
        <f>IF(O464="","",SUM(O464:Q464))</f>
        <v/>
      </c>
      <c r="S464" s="9">
        <f>IF(R464="","",ROUND(R464/3.305785,3))</f>
        <v/>
      </c>
      <c r="T464" s="7" t="n"/>
      <c r="U464" s="7" t="n"/>
      <c r="V464" s="10">
        <f>IF(OR(T464="",U464="",U464=0),"",ROUND(T464/U464,6))</f>
        <v/>
      </c>
      <c r="W464" s="9">
        <f>IF(OR(R464="",T464="",U464="",U464=0),"",ROUND(R464*T464/U464,3))</f>
        <v/>
      </c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12">
        <f>IF(A464="","",IF(OR(B464="",C464="",D464="",E464="",H464="",O464="",T464="",U464=""),"必填欄位未完整",""))</f>
        <v/>
      </c>
      <c r="AI464" s="12">
        <f>IF(A464="","",A464&amp;"|"&amp;G464)</f>
        <v/>
      </c>
      <c r="AJ464" s="12">
        <f>IF(A464="","",A464&amp;"|"&amp;H464)</f>
        <v/>
      </c>
    </row>
    <row r="465" ht="24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8" t="n"/>
      <c r="P465" s="8" t="n"/>
      <c r="Q465" s="8" t="n"/>
      <c r="R465" s="13">
        <f>IF(O465="","",SUM(O465:Q465))</f>
        <v/>
      </c>
      <c r="S465" s="9">
        <f>IF(R465="","",ROUND(R465/3.305785,3))</f>
        <v/>
      </c>
      <c r="T465" s="7" t="n"/>
      <c r="U465" s="7" t="n"/>
      <c r="V465" s="10">
        <f>IF(OR(T465="",U465="",U465=0),"",ROUND(T465/U465,6))</f>
        <v/>
      </c>
      <c r="W465" s="9">
        <f>IF(OR(R465="",T465="",U465="",U465=0),"",ROUND(R465*T465/U465,3))</f>
        <v/>
      </c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12">
        <f>IF(A465="","",IF(OR(B465="",C465="",D465="",E465="",H465="",O465="",T465="",U465=""),"必填欄位未完整",""))</f>
        <v/>
      </c>
      <c r="AI465" s="12">
        <f>IF(A465="","",A465&amp;"|"&amp;G465)</f>
        <v/>
      </c>
      <c r="AJ465" s="12">
        <f>IF(A465="","",A465&amp;"|"&amp;H465)</f>
        <v/>
      </c>
    </row>
    <row r="466" ht="24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8" t="n"/>
      <c r="P466" s="8" t="n"/>
      <c r="Q466" s="8" t="n"/>
      <c r="R466" s="13">
        <f>IF(O466="","",SUM(O466:Q466))</f>
        <v/>
      </c>
      <c r="S466" s="9">
        <f>IF(R466="","",ROUND(R466/3.305785,3))</f>
        <v/>
      </c>
      <c r="T466" s="7" t="n"/>
      <c r="U466" s="7" t="n"/>
      <c r="V466" s="10">
        <f>IF(OR(T466="",U466="",U466=0),"",ROUND(T466/U466,6))</f>
        <v/>
      </c>
      <c r="W466" s="9">
        <f>IF(OR(R466="",T466="",U466="",U466=0),"",ROUND(R466*T466/U466,3))</f>
        <v/>
      </c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12">
        <f>IF(A466="","",IF(OR(B466="",C466="",D466="",E466="",H466="",O466="",T466="",U466=""),"必填欄位未完整",""))</f>
        <v/>
      </c>
      <c r="AI466" s="12">
        <f>IF(A466="","",A466&amp;"|"&amp;G466)</f>
        <v/>
      </c>
      <c r="AJ466" s="12">
        <f>IF(A466="","",A466&amp;"|"&amp;H466)</f>
        <v/>
      </c>
    </row>
    <row r="467" ht="24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8" t="n"/>
      <c r="P467" s="8" t="n"/>
      <c r="Q467" s="8" t="n"/>
      <c r="R467" s="13">
        <f>IF(O467="","",SUM(O467:Q467))</f>
        <v/>
      </c>
      <c r="S467" s="9">
        <f>IF(R467="","",ROUND(R467/3.305785,3))</f>
        <v/>
      </c>
      <c r="T467" s="7" t="n"/>
      <c r="U467" s="7" t="n"/>
      <c r="V467" s="10">
        <f>IF(OR(T467="",U467="",U467=0),"",ROUND(T467/U467,6))</f>
        <v/>
      </c>
      <c r="W467" s="9">
        <f>IF(OR(R467="",T467="",U467="",U467=0),"",ROUND(R467*T467/U467,3))</f>
        <v/>
      </c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12">
        <f>IF(A467="","",IF(OR(B467="",C467="",D467="",E467="",H467="",O467="",T467="",U467=""),"必填欄位未完整",""))</f>
        <v/>
      </c>
      <c r="AI467" s="12">
        <f>IF(A467="","",A467&amp;"|"&amp;G467)</f>
        <v/>
      </c>
      <c r="AJ467" s="12">
        <f>IF(A467="","",A467&amp;"|"&amp;H467)</f>
        <v/>
      </c>
    </row>
    <row r="468" ht="24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8" t="n"/>
      <c r="P468" s="8" t="n"/>
      <c r="Q468" s="8" t="n"/>
      <c r="R468" s="13">
        <f>IF(O468="","",SUM(O468:Q468))</f>
        <v/>
      </c>
      <c r="S468" s="9">
        <f>IF(R468="","",ROUND(R468/3.305785,3))</f>
        <v/>
      </c>
      <c r="T468" s="7" t="n"/>
      <c r="U468" s="7" t="n"/>
      <c r="V468" s="10">
        <f>IF(OR(T468="",U468="",U468=0),"",ROUND(T468/U468,6))</f>
        <v/>
      </c>
      <c r="W468" s="9">
        <f>IF(OR(R468="",T468="",U468="",U468=0),"",ROUND(R468*T468/U468,3))</f>
        <v/>
      </c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12">
        <f>IF(A468="","",IF(OR(B468="",C468="",D468="",E468="",H468="",O468="",T468="",U468=""),"必填欄位未完整",""))</f>
        <v/>
      </c>
      <c r="AI468" s="12">
        <f>IF(A468="","",A468&amp;"|"&amp;G468)</f>
        <v/>
      </c>
      <c r="AJ468" s="12">
        <f>IF(A468="","",A468&amp;"|"&amp;H468)</f>
        <v/>
      </c>
    </row>
    <row r="469" ht="24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8" t="n"/>
      <c r="P469" s="8" t="n"/>
      <c r="Q469" s="8" t="n"/>
      <c r="R469" s="13">
        <f>IF(O469="","",SUM(O469:Q469))</f>
        <v/>
      </c>
      <c r="S469" s="9">
        <f>IF(R469="","",ROUND(R469/3.305785,3))</f>
        <v/>
      </c>
      <c r="T469" s="7" t="n"/>
      <c r="U469" s="7" t="n"/>
      <c r="V469" s="10">
        <f>IF(OR(T469="",U469="",U469=0),"",ROUND(T469/U469,6))</f>
        <v/>
      </c>
      <c r="W469" s="9">
        <f>IF(OR(R469="",T469="",U469="",U469=0),"",ROUND(R469*T469/U469,3))</f>
        <v/>
      </c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12">
        <f>IF(A469="","",IF(OR(B469="",C469="",D469="",E469="",H469="",O469="",T469="",U469=""),"必填欄位未完整",""))</f>
        <v/>
      </c>
      <c r="AI469" s="12">
        <f>IF(A469="","",A469&amp;"|"&amp;G469)</f>
        <v/>
      </c>
      <c r="AJ469" s="12">
        <f>IF(A469="","",A469&amp;"|"&amp;H469)</f>
        <v/>
      </c>
    </row>
    <row r="470" ht="24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8" t="n"/>
      <c r="P470" s="8" t="n"/>
      <c r="Q470" s="8" t="n"/>
      <c r="R470" s="13">
        <f>IF(O470="","",SUM(O470:Q470))</f>
        <v/>
      </c>
      <c r="S470" s="9">
        <f>IF(R470="","",ROUND(R470/3.305785,3))</f>
        <v/>
      </c>
      <c r="T470" s="7" t="n"/>
      <c r="U470" s="7" t="n"/>
      <c r="V470" s="10">
        <f>IF(OR(T470="",U470="",U470=0),"",ROUND(T470/U470,6))</f>
        <v/>
      </c>
      <c r="W470" s="9">
        <f>IF(OR(R470="",T470="",U470="",U470=0),"",ROUND(R470*T470/U470,3))</f>
        <v/>
      </c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12">
        <f>IF(A470="","",IF(OR(B470="",C470="",D470="",E470="",H470="",O470="",T470="",U470=""),"必填欄位未完整",""))</f>
        <v/>
      </c>
      <c r="AI470" s="12">
        <f>IF(A470="","",A470&amp;"|"&amp;G470)</f>
        <v/>
      </c>
      <c r="AJ470" s="12">
        <f>IF(A470="","",A470&amp;"|"&amp;H470)</f>
        <v/>
      </c>
    </row>
    <row r="471" ht="24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8" t="n"/>
      <c r="P471" s="8" t="n"/>
      <c r="Q471" s="8" t="n"/>
      <c r="R471" s="13">
        <f>IF(O471="","",SUM(O471:Q471))</f>
        <v/>
      </c>
      <c r="S471" s="9">
        <f>IF(R471="","",ROUND(R471/3.305785,3))</f>
        <v/>
      </c>
      <c r="T471" s="7" t="n"/>
      <c r="U471" s="7" t="n"/>
      <c r="V471" s="10">
        <f>IF(OR(T471="",U471="",U471=0),"",ROUND(T471/U471,6))</f>
        <v/>
      </c>
      <c r="W471" s="9">
        <f>IF(OR(R471="",T471="",U471="",U471=0),"",ROUND(R471*T471/U471,3))</f>
        <v/>
      </c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12">
        <f>IF(A471="","",IF(OR(B471="",C471="",D471="",E471="",H471="",O471="",T471="",U471=""),"必填欄位未完整",""))</f>
        <v/>
      </c>
      <c r="AI471" s="12">
        <f>IF(A471="","",A471&amp;"|"&amp;G471)</f>
        <v/>
      </c>
      <c r="AJ471" s="12">
        <f>IF(A471="","",A471&amp;"|"&amp;H471)</f>
        <v/>
      </c>
    </row>
    <row r="472" ht="24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8" t="n"/>
      <c r="P472" s="8" t="n"/>
      <c r="Q472" s="8" t="n"/>
      <c r="R472" s="13">
        <f>IF(O472="","",SUM(O472:Q472))</f>
        <v/>
      </c>
      <c r="S472" s="9">
        <f>IF(R472="","",ROUND(R472/3.305785,3))</f>
        <v/>
      </c>
      <c r="T472" s="7" t="n"/>
      <c r="U472" s="7" t="n"/>
      <c r="V472" s="10">
        <f>IF(OR(T472="",U472="",U472=0),"",ROUND(T472/U472,6))</f>
        <v/>
      </c>
      <c r="W472" s="9">
        <f>IF(OR(R472="",T472="",U472="",U472=0),"",ROUND(R472*T472/U472,3))</f>
        <v/>
      </c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12">
        <f>IF(A472="","",IF(OR(B472="",C472="",D472="",E472="",H472="",O472="",T472="",U472=""),"必填欄位未完整",""))</f>
        <v/>
      </c>
      <c r="AI472" s="12">
        <f>IF(A472="","",A472&amp;"|"&amp;G472)</f>
        <v/>
      </c>
      <c r="AJ472" s="12">
        <f>IF(A472="","",A472&amp;"|"&amp;H472)</f>
        <v/>
      </c>
    </row>
    <row r="473" ht="24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8" t="n"/>
      <c r="P473" s="8" t="n"/>
      <c r="Q473" s="8" t="n"/>
      <c r="R473" s="13">
        <f>IF(O473="","",SUM(O473:Q473))</f>
        <v/>
      </c>
      <c r="S473" s="9">
        <f>IF(R473="","",ROUND(R473/3.305785,3))</f>
        <v/>
      </c>
      <c r="T473" s="7" t="n"/>
      <c r="U473" s="7" t="n"/>
      <c r="V473" s="10">
        <f>IF(OR(T473="",U473="",U473=0),"",ROUND(T473/U473,6))</f>
        <v/>
      </c>
      <c r="W473" s="9">
        <f>IF(OR(R473="",T473="",U473="",U473=0),"",ROUND(R473*T473/U473,3))</f>
        <v/>
      </c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12">
        <f>IF(A473="","",IF(OR(B473="",C473="",D473="",E473="",H473="",O473="",T473="",U473=""),"必填欄位未完整",""))</f>
        <v/>
      </c>
      <c r="AI473" s="12">
        <f>IF(A473="","",A473&amp;"|"&amp;G473)</f>
        <v/>
      </c>
      <c r="AJ473" s="12">
        <f>IF(A473="","",A473&amp;"|"&amp;H473)</f>
        <v/>
      </c>
    </row>
    <row r="474" ht="24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8" t="n"/>
      <c r="P474" s="8" t="n"/>
      <c r="Q474" s="8" t="n"/>
      <c r="R474" s="13">
        <f>IF(O474="","",SUM(O474:Q474))</f>
        <v/>
      </c>
      <c r="S474" s="9">
        <f>IF(R474="","",ROUND(R474/3.305785,3))</f>
        <v/>
      </c>
      <c r="T474" s="7" t="n"/>
      <c r="U474" s="7" t="n"/>
      <c r="V474" s="10">
        <f>IF(OR(T474="",U474="",U474=0),"",ROUND(T474/U474,6))</f>
        <v/>
      </c>
      <c r="W474" s="9">
        <f>IF(OR(R474="",T474="",U474="",U474=0),"",ROUND(R474*T474/U474,3))</f>
        <v/>
      </c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12">
        <f>IF(A474="","",IF(OR(B474="",C474="",D474="",E474="",H474="",O474="",T474="",U474=""),"必填欄位未完整",""))</f>
        <v/>
      </c>
      <c r="AI474" s="12">
        <f>IF(A474="","",A474&amp;"|"&amp;G474)</f>
        <v/>
      </c>
      <c r="AJ474" s="12">
        <f>IF(A474="","",A474&amp;"|"&amp;H474)</f>
        <v/>
      </c>
    </row>
    <row r="475" ht="24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8" t="n"/>
      <c r="P475" s="8" t="n"/>
      <c r="Q475" s="8" t="n"/>
      <c r="R475" s="13">
        <f>IF(O475="","",SUM(O475:Q475))</f>
        <v/>
      </c>
      <c r="S475" s="9">
        <f>IF(R475="","",ROUND(R475/3.305785,3))</f>
        <v/>
      </c>
      <c r="T475" s="7" t="n"/>
      <c r="U475" s="7" t="n"/>
      <c r="V475" s="10">
        <f>IF(OR(T475="",U475="",U475=0),"",ROUND(T475/U475,6))</f>
        <v/>
      </c>
      <c r="W475" s="9">
        <f>IF(OR(R475="",T475="",U475="",U475=0),"",ROUND(R475*T475/U475,3))</f>
        <v/>
      </c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12">
        <f>IF(A475="","",IF(OR(B475="",C475="",D475="",E475="",H475="",O475="",T475="",U475=""),"必填欄位未完整",""))</f>
        <v/>
      </c>
      <c r="AI475" s="12">
        <f>IF(A475="","",A475&amp;"|"&amp;G475)</f>
        <v/>
      </c>
      <c r="AJ475" s="12">
        <f>IF(A475="","",A475&amp;"|"&amp;H475)</f>
        <v/>
      </c>
    </row>
    <row r="476" ht="24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8" t="n"/>
      <c r="P476" s="8" t="n"/>
      <c r="Q476" s="8" t="n"/>
      <c r="R476" s="13">
        <f>IF(O476="","",SUM(O476:Q476))</f>
        <v/>
      </c>
      <c r="S476" s="9">
        <f>IF(R476="","",ROUND(R476/3.305785,3))</f>
        <v/>
      </c>
      <c r="T476" s="7" t="n"/>
      <c r="U476" s="7" t="n"/>
      <c r="V476" s="10">
        <f>IF(OR(T476="",U476="",U476=0),"",ROUND(T476/U476,6))</f>
        <v/>
      </c>
      <c r="W476" s="9">
        <f>IF(OR(R476="",T476="",U476="",U476=0),"",ROUND(R476*T476/U476,3))</f>
        <v/>
      </c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12">
        <f>IF(A476="","",IF(OR(B476="",C476="",D476="",E476="",H476="",O476="",T476="",U476=""),"必填欄位未完整",""))</f>
        <v/>
      </c>
      <c r="AI476" s="12">
        <f>IF(A476="","",A476&amp;"|"&amp;G476)</f>
        <v/>
      </c>
      <c r="AJ476" s="12">
        <f>IF(A476="","",A476&amp;"|"&amp;H476)</f>
        <v/>
      </c>
    </row>
    <row r="477" ht="24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8" t="n"/>
      <c r="P477" s="8" t="n"/>
      <c r="Q477" s="8" t="n"/>
      <c r="R477" s="13">
        <f>IF(O477="","",SUM(O477:Q477))</f>
        <v/>
      </c>
      <c r="S477" s="9">
        <f>IF(R477="","",ROUND(R477/3.305785,3))</f>
        <v/>
      </c>
      <c r="T477" s="7" t="n"/>
      <c r="U477" s="7" t="n"/>
      <c r="V477" s="10">
        <f>IF(OR(T477="",U477="",U477=0),"",ROUND(T477/U477,6))</f>
        <v/>
      </c>
      <c r="W477" s="9">
        <f>IF(OR(R477="",T477="",U477="",U477=0),"",ROUND(R477*T477/U477,3))</f>
        <v/>
      </c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12">
        <f>IF(A477="","",IF(OR(B477="",C477="",D477="",E477="",H477="",O477="",T477="",U477=""),"必填欄位未完整",""))</f>
        <v/>
      </c>
      <c r="AI477" s="12">
        <f>IF(A477="","",A477&amp;"|"&amp;G477)</f>
        <v/>
      </c>
      <c r="AJ477" s="12">
        <f>IF(A477="","",A477&amp;"|"&amp;H477)</f>
        <v/>
      </c>
    </row>
    <row r="478" ht="24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8" t="n"/>
      <c r="P478" s="8" t="n"/>
      <c r="Q478" s="8" t="n"/>
      <c r="R478" s="13">
        <f>IF(O478="","",SUM(O478:Q478))</f>
        <v/>
      </c>
      <c r="S478" s="9">
        <f>IF(R478="","",ROUND(R478/3.305785,3))</f>
        <v/>
      </c>
      <c r="T478" s="7" t="n"/>
      <c r="U478" s="7" t="n"/>
      <c r="V478" s="10">
        <f>IF(OR(T478="",U478="",U478=0),"",ROUND(T478/U478,6))</f>
        <v/>
      </c>
      <c r="W478" s="9">
        <f>IF(OR(R478="",T478="",U478="",U478=0),"",ROUND(R478*T478/U478,3))</f>
        <v/>
      </c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12">
        <f>IF(A478="","",IF(OR(B478="",C478="",D478="",E478="",H478="",O478="",T478="",U478=""),"必填欄位未完整",""))</f>
        <v/>
      </c>
      <c r="AI478" s="12">
        <f>IF(A478="","",A478&amp;"|"&amp;G478)</f>
        <v/>
      </c>
      <c r="AJ478" s="12">
        <f>IF(A478="","",A478&amp;"|"&amp;H478)</f>
        <v/>
      </c>
    </row>
    <row r="479" ht="24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8" t="n"/>
      <c r="P479" s="8" t="n"/>
      <c r="Q479" s="8" t="n"/>
      <c r="R479" s="13">
        <f>IF(O479="","",SUM(O479:Q479))</f>
        <v/>
      </c>
      <c r="S479" s="9">
        <f>IF(R479="","",ROUND(R479/3.305785,3))</f>
        <v/>
      </c>
      <c r="T479" s="7" t="n"/>
      <c r="U479" s="7" t="n"/>
      <c r="V479" s="10">
        <f>IF(OR(T479="",U479="",U479=0),"",ROUND(T479/U479,6))</f>
        <v/>
      </c>
      <c r="W479" s="9">
        <f>IF(OR(R479="",T479="",U479="",U479=0),"",ROUND(R479*T479/U479,3))</f>
        <v/>
      </c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12">
        <f>IF(A479="","",IF(OR(B479="",C479="",D479="",E479="",H479="",O479="",T479="",U479=""),"必填欄位未完整",""))</f>
        <v/>
      </c>
      <c r="AI479" s="12">
        <f>IF(A479="","",A479&amp;"|"&amp;G479)</f>
        <v/>
      </c>
      <c r="AJ479" s="12">
        <f>IF(A479="","",A479&amp;"|"&amp;H479)</f>
        <v/>
      </c>
    </row>
    <row r="480" ht="24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8" t="n"/>
      <c r="P480" s="8" t="n"/>
      <c r="Q480" s="8" t="n"/>
      <c r="R480" s="13">
        <f>IF(O480="","",SUM(O480:Q480))</f>
        <v/>
      </c>
      <c r="S480" s="9">
        <f>IF(R480="","",ROUND(R480/3.305785,3))</f>
        <v/>
      </c>
      <c r="T480" s="7" t="n"/>
      <c r="U480" s="7" t="n"/>
      <c r="V480" s="10">
        <f>IF(OR(T480="",U480="",U480=0),"",ROUND(T480/U480,6))</f>
        <v/>
      </c>
      <c r="W480" s="9">
        <f>IF(OR(R480="",T480="",U480="",U480=0),"",ROUND(R480*T480/U480,3))</f>
        <v/>
      </c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12">
        <f>IF(A480="","",IF(OR(B480="",C480="",D480="",E480="",H480="",O480="",T480="",U480=""),"必填欄位未完整",""))</f>
        <v/>
      </c>
      <c r="AI480" s="12">
        <f>IF(A480="","",A480&amp;"|"&amp;G480)</f>
        <v/>
      </c>
      <c r="AJ480" s="12">
        <f>IF(A480="","",A480&amp;"|"&amp;H480)</f>
        <v/>
      </c>
    </row>
    <row r="481" ht="24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8" t="n"/>
      <c r="P481" s="8" t="n"/>
      <c r="Q481" s="8" t="n"/>
      <c r="R481" s="13">
        <f>IF(O481="","",SUM(O481:Q481))</f>
        <v/>
      </c>
      <c r="S481" s="9">
        <f>IF(R481="","",ROUND(R481/3.305785,3))</f>
        <v/>
      </c>
      <c r="T481" s="7" t="n"/>
      <c r="U481" s="7" t="n"/>
      <c r="V481" s="10">
        <f>IF(OR(T481="",U481="",U481=0),"",ROUND(T481/U481,6))</f>
        <v/>
      </c>
      <c r="W481" s="9">
        <f>IF(OR(R481="",T481="",U481="",U481=0),"",ROUND(R481*T481/U481,3))</f>
        <v/>
      </c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12">
        <f>IF(A481="","",IF(OR(B481="",C481="",D481="",E481="",H481="",O481="",T481="",U481=""),"必填欄位未完整",""))</f>
        <v/>
      </c>
      <c r="AI481" s="12">
        <f>IF(A481="","",A481&amp;"|"&amp;G481)</f>
        <v/>
      </c>
      <c r="AJ481" s="12">
        <f>IF(A481="","",A481&amp;"|"&amp;H481)</f>
        <v/>
      </c>
    </row>
    <row r="482" ht="24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8" t="n"/>
      <c r="P482" s="8" t="n"/>
      <c r="Q482" s="8" t="n"/>
      <c r="R482" s="13">
        <f>IF(O482="","",SUM(O482:Q482))</f>
        <v/>
      </c>
      <c r="S482" s="9">
        <f>IF(R482="","",ROUND(R482/3.305785,3))</f>
        <v/>
      </c>
      <c r="T482" s="7" t="n"/>
      <c r="U482" s="7" t="n"/>
      <c r="V482" s="10">
        <f>IF(OR(T482="",U482="",U482=0),"",ROUND(T482/U482,6))</f>
        <v/>
      </c>
      <c r="W482" s="9">
        <f>IF(OR(R482="",T482="",U482="",U482=0),"",ROUND(R482*T482/U482,3))</f>
        <v/>
      </c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12">
        <f>IF(A482="","",IF(OR(B482="",C482="",D482="",E482="",H482="",O482="",T482="",U482=""),"必填欄位未完整",""))</f>
        <v/>
      </c>
      <c r="AI482" s="12">
        <f>IF(A482="","",A482&amp;"|"&amp;G482)</f>
        <v/>
      </c>
      <c r="AJ482" s="12">
        <f>IF(A482="","",A482&amp;"|"&amp;H482)</f>
        <v/>
      </c>
    </row>
    <row r="483" ht="24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8" t="n"/>
      <c r="P483" s="8" t="n"/>
      <c r="Q483" s="8" t="n"/>
      <c r="R483" s="13">
        <f>IF(O483="","",SUM(O483:Q483))</f>
        <v/>
      </c>
      <c r="S483" s="9">
        <f>IF(R483="","",ROUND(R483/3.305785,3))</f>
        <v/>
      </c>
      <c r="T483" s="7" t="n"/>
      <c r="U483" s="7" t="n"/>
      <c r="V483" s="10">
        <f>IF(OR(T483="",U483="",U483=0),"",ROUND(T483/U483,6))</f>
        <v/>
      </c>
      <c r="W483" s="9">
        <f>IF(OR(R483="",T483="",U483="",U483=0),"",ROUND(R483*T483/U483,3))</f>
        <v/>
      </c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12">
        <f>IF(A483="","",IF(OR(B483="",C483="",D483="",E483="",H483="",O483="",T483="",U483=""),"必填欄位未完整",""))</f>
        <v/>
      </c>
      <c r="AI483" s="12">
        <f>IF(A483="","",A483&amp;"|"&amp;G483)</f>
        <v/>
      </c>
      <c r="AJ483" s="12">
        <f>IF(A483="","",A483&amp;"|"&amp;H483)</f>
        <v/>
      </c>
    </row>
    <row r="484" ht="24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8" t="n"/>
      <c r="P484" s="8" t="n"/>
      <c r="Q484" s="8" t="n"/>
      <c r="R484" s="13">
        <f>IF(O484="","",SUM(O484:Q484))</f>
        <v/>
      </c>
      <c r="S484" s="9">
        <f>IF(R484="","",ROUND(R484/3.305785,3))</f>
        <v/>
      </c>
      <c r="T484" s="7" t="n"/>
      <c r="U484" s="7" t="n"/>
      <c r="V484" s="10">
        <f>IF(OR(T484="",U484="",U484=0),"",ROUND(T484/U484,6))</f>
        <v/>
      </c>
      <c r="W484" s="9">
        <f>IF(OR(R484="",T484="",U484="",U484=0),"",ROUND(R484*T484/U484,3))</f>
        <v/>
      </c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12">
        <f>IF(A484="","",IF(OR(B484="",C484="",D484="",E484="",H484="",O484="",T484="",U484=""),"必填欄位未完整",""))</f>
        <v/>
      </c>
      <c r="AI484" s="12">
        <f>IF(A484="","",A484&amp;"|"&amp;G484)</f>
        <v/>
      </c>
      <c r="AJ484" s="12">
        <f>IF(A484="","",A484&amp;"|"&amp;H484)</f>
        <v/>
      </c>
    </row>
    <row r="485" ht="24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8" t="n"/>
      <c r="P485" s="8" t="n"/>
      <c r="Q485" s="8" t="n"/>
      <c r="R485" s="13">
        <f>IF(O485="","",SUM(O485:Q485))</f>
        <v/>
      </c>
      <c r="S485" s="9">
        <f>IF(R485="","",ROUND(R485/3.305785,3))</f>
        <v/>
      </c>
      <c r="T485" s="7" t="n"/>
      <c r="U485" s="7" t="n"/>
      <c r="V485" s="10">
        <f>IF(OR(T485="",U485="",U485=0),"",ROUND(T485/U485,6))</f>
        <v/>
      </c>
      <c r="W485" s="9">
        <f>IF(OR(R485="",T485="",U485="",U485=0),"",ROUND(R485*T485/U485,3))</f>
        <v/>
      </c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12">
        <f>IF(A485="","",IF(OR(B485="",C485="",D485="",E485="",H485="",O485="",T485="",U485=""),"必填欄位未完整",""))</f>
        <v/>
      </c>
      <c r="AI485" s="12">
        <f>IF(A485="","",A485&amp;"|"&amp;G485)</f>
        <v/>
      </c>
      <c r="AJ485" s="12">
        <f>IF(A485="","",A485&amp;"|"&amp;H485)</f>
        <v/>
      </c>
    </row>
    <row r="486" ht="24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8" t="n"/>
      <c r="P486" s="8" t="n"/>
      <c r="Q486" s="8" t="n"/>
      <c r="R486" s="13">
        <f>IF(O486="","",SUM(O486:Q486))</f>
        <v/>
      </c>
      <c r="S486" s="9">
        <f>IF(R486="","",ROUND(R486/3.305785,3))</f>
        <v/>
      </c>
      <c r="T486" s="7" t="n"/>
      <c r="U486" s="7" t="n"/>
      <c r="V486" s="10">
        <f>IF(OR(T486="",U486="",U486=0),"",ROUND(T486/U486,6))</f>
        <v/>
      </c>
      <c r="W486" s="9">
        <f>IF(OR(R486="",T486="",U486="",U486=0),"",ROUND(R486*T486/U486,3))</f>
        <v/>
      </c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12">
        <f>IF(A486="","",IF(OR(B486="",C486="",D486="",E486="",H486="",O486="",T486="",U486=""),"必填欄位未完整",""))</f>
        <v/>
      </c>
      <c r="AI486" s="12">
        <f>IF(A486="","",A486&amp;"|"&amp;G486)</f>
        <v/>
      </c>
      <c r="AJ486" s="12">
        <f>IF(A486="","",A486&amp;"|"&amp;H486)</f>
        <v/>
      </c>
    </row>
    <row r="487" ht="24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8" t="n"/>
      <c r="P487" s="8" t="n"/>
      <c r="Q487" s="8" t="n"/>
      <c r="R487" s="13">
        <f>IF(O487="","",SUM(O487:Q487))</f>
        <v/>
      </c>
      <c r="S487" s="9">
        <f>IF(R487="","",ROUND(R487/3.305785,3))</f>
        <v/>
      </c>
      <c r="T487" s="7" t="n"/>
      <c r="U487" s="7" t="n"/>
      <c r="V487" s="10">
        <f>IF(OR(T487="",U487="",U487=0),"",ROUND(T487/U487,6))</f>
        <v/>
      </c>
      <c r="W487" s="9">
        <f>IF(OR(R487="",T487="",U487="",U487=0),"",ROUND(R487*T487/U487,3))</f>
        <v/>
      </c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12">
        <f>IF(A487="","",IF(OR(B487="",C487="",D487="",E487="",H487="",O487="",T487="",U487=""),"必填欄位未完整",""))</f>
        <v/>
      </c>
      <c r="AI487" s="12">
        <f>IF(A487="","",A487&amp;"|"&amp;G487)</f>
        <v/>
      </c>
      <c r="AJ487" s="12">
        <f>IF(A487="","",A487&amp;"|"&amp;H487)</f>
        <v/>
      </c>
    </row>
    <row r="488" ht="24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8" t="n"/>
      <c r="P488" s="8" t="n"/>
      <c r="Q488" s="8" t="n"/>
      <c r="R488" s="13">
        <f>IF(O488="","",SUM(O488:Q488))</f>
        <v/>
      </c>
      <c r="S488" s="9">
        <f>IF(R488="","",ROUND(R488/3.305785,3))</f>
        <v/>
      </c>
      <c r="T488" s="7" t="n"/>
      <c r="U488" s="7" t="n"/>
      <c r="V488" s="10">
        <f>IF(OR(T488="",U488="",U488=0),"",ROUND(T488/U488,6))</f>
        <v/>
      </c>
      <c r="W488" s="9">
        <f>IF(OR(R488="",T488="",U488="",U488=0),"",ROUND(R488*T488/U488,3))</f>
        <v/>
      </c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12">
        <f>IF(A488="","",IF(OR(B488="",C488="",D488="",E488="",H488="",O488="",T488="",U488=""),"必填欄位未完整",""))</f>
        <v/>
      </c>
      <c r="AI488" s="12">
        <f>IF(A488="","",A488&amp;"|"&amp;G488)</f>
        <v/>
      </c>
      <c r="AJ488" s="12">
        <f>IF(A488="","",A488&amp;"|"&amp;H488)</f>
        <v/>
      </c>
    </row>
    <row r="489" ht="24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8" t="n"/>
      <c r="P489" s="8" t="n"/>
      <c r="Q489" s="8" t="n"/>
      <c r="R489" s="13">
        <f>IF(O489="","",SUM(O489:Q489))</f>
        <v/>
      </c>
      <c r="S489" s="9">
        <f>IF(R489="","",ROUND(R489/3.305785,3))</f>
        <v/>
      </c>
      <c r="T489" s="7" t="n"/>
      <c r="U489" s="7" t="n"/>
      <c r="V489" s="10">
        <f>IF(OR(T489="",U489="",U489=0),"",ROUND(T489/U489,6))</f>
        <v/>
      </c>
      <c r="W489" s="9">
        <f>IF(OR(R489="",T489="",U489="",U489=0),"",ROUND(R489*T489/U489,3))</f>
        <v/>
      </c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12">
        <f>IF(A489="","",IF(OR(B489="",C489="",D489="",E489="",H489="",O489="",T489="",U489=""),"必填欄位未完整",""))</f>
        <v/>
      </c>
      <c r="AI489" s="12">
        <f>IF(A489="","",A489&amp;"|"&amp;G489)</f>
        <v/>
      </c>
      <c r="AJ489" s="12">
        <f>IF(A489="","",A489&amp;"|"&amp;H489)</f>
        <v/>
      </c>
    </row>
    <row r="490" ht="24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8" t="n"/>
      <c r="P490" s="8" t="n"/>
      <c r="Q490" s="8" t="n"/>
      <c r="R490" s="13">
        <f>IF(O490="","",SUM(O490:Q490))</f>
        <v/>
      </c>
      <c r="S490" s="9">
        <f>IF(R490="","",ROUND(R490/3.305785,3))</f>
        <v/>
      </c>
      <c r="T490" s="7" t="n"/>
      <c r="U490" s="7" t="n"/>
      <c r="V490" s="10">
        <f>IF(OR(T490="",U490="",U490=0),"",ROUND(T490/U490,6))</f>
        <v/>
      </c>
      <c r="W490" s="9">
        <f>IF(OR(R490="",T490="",U490="",U490=0),"",ROUND(R490*T490/U490,3))</f>
        <v/>
      </c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12">
        <f>IF(A490="","",IF(OR(B490="",C490="",D490="",E490="",H490="",O490="",T490="",U490=""),"必填欄位未完整",""))</f>
        <v/>
      </c>
      <c r="AI490" s="12">
        <f>IF(A490="","",A490&amp;"|"&amp;G490)</f>
        <v/>
      </c>
      <c r="AJ490" s="12">
        <f>IF(A490="","",A490&amp;"|"&amp;H490)</f>
        <v/>
      </c>
    </row>
    <row r="491" ht="24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8" t="n"/>
      <c r="P491" s="8" t="n"/>
      <c r="Q491" s="8" t="n"/>
      <c r="R491" s="13">
        <f>IF(O491="","",SUM(O491:Q491))</f>
        <v/>
      </c>
      <c r="S491" s="9">
        <f>IF(R491="","",ROUND(R491/3.305785,3))</f>
        <v/>
      </c>
      <c r="T491" s="7" t="n"/>
      <c r="U491" s="7" t="n"/>
      <c r="V491" s="10">
        <f>IF(OR(T491="",U491="",U491=0),"",ROUND(T491/U491,6))</f>
        <v/>
      </c>
      <c r="W491" s="9">
        <f>IF(OR(R491="",T491="",U491="",U491=0),"",ROUND(R491*T491/U491,3))</f>
        <v/>
      </c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12">
        <f>IF(A491="","",IF(OR(B491="",C491="",D491="",E491="",H491="",O491="",T491="",U491=""),"必填欄位未完整",""))</f>
        <v/>
      </c>
      <c r="AI491" s="12">
        <f>IF(A491="","",A491&amp;"|"&amp;G491)</f>
        <v/>
      </c>
      <c r="AJ491" s="12">
        <f>IF(A491="","",A491&amp;"|"&amp;H491)</f>
        <v/>
      </c>
    </row>
    <row r="492" ht="24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8" t="n"/>
      <c r="P492" s="8" t="n"/>
      <c r="Q492" s="8" t="n"/>
      <c r="R492" s="13">
        <f>IF(O492="","",SUM(O492:Q492))</f>
        <v/>
      </c>
      <c r="S492" s="9">
        <f>IF(R492="","",ROUND(R492/3.305785,3))</f>
        <v/>
      </c>
      <c r="T492" s="7" t="n"/>
      <c r="U492" s="7" t="n"/>
      <c r="V492" s="10">
        <f>IF(OR(T492="",U492="",U492=0),"",ROUND(T492/U492,6))</f>
        <v/>
      </c>
      <c r="W492" s="9">
        <f>IF(OR(R492="",T492="",U492="",U492=0),"",ROUND(R492*T492/U492,3))</f>
        <v/>
      </c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12">
        <f>IF(A492="","",IF(OR(B492="",C492="",D492="",E492="",H492="",O492="",T492="",U492=""),"必填欄位未完整",""))</f>
        <v/>
      </c>
      <c r="AI492" s="12">
        <f>IF(A492="","",A492&amp;"|"&amp;G492)</f>
        <v/>
      </c>
      <c r="AJ492" s="12">
        <f>IF(A492="","",A492&amp;"|"&amp;H492)</f>
        <v/>
      </c>
    </row>
    <row r="493" ht="24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8" t="n"/>
      <c r="P493" s="8" t="n"/>
      <c r="Q493" s="8" t="n"/>
      <c r="R493" s="13">
        <f>IF(O493="","",SUM(O493:Q493))</f>
        <v/>
      </c>
      <c r="S493" s="9">
        <f>IF(R493="","",ROUND(R493/3.305785,3))</f>
        <v/>
      </c>
      <c r="T493" s="7" t="n"/>
      <c r="U493" s="7" t="n"/>
      <c r="V493" s="10">
        <f>IF(OR(T493="",U493="",U493=0),"",ROUND(T493/U493,6))</f>
        <v/>
      </c>
      <c r="W493" s="9">
        <f>IF(OR(R493="",T493="",U493="",U493=0),"",ROUND(R493*T493/U493,3))</f>
        <v/>
      </c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12">
        <f>IF(A493="","",IF(OR(B493="",C493="",D493="",E493="",H493="",O493="",T493="",U493=""),"必填欄位未完整",""))</f>
        <v/>
      </c>
      <c r="AI493" s="12">
        <f>IF(A493="","",A493&amp;"|"&amp;G493)</f>
        <v/>
      </c>
      <c r="AJ493" s="12">
        <f>IF(A493="","",A493&amp;"|"&amp;H493)</f>
        <v/>
      </c>
    </row>
    <row r="494" ht="24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8" t="n"/>
      <c r="P494" s="8" t="n"/>
      <c r="Q494" s="8" t="n"/>
      <c r="R494" s="13">
        <f>IF(O494="","",SUM(O494:Q494))</f>
        <v/>
      </c>
      <c r="S494" s="9">
        <f>IF(R494="","",ROUND(R494/3.305785,3))</f>
        <v/>
      </c>
      <c r="T494" s="7" t="n"/>
      <c r="U494" s="7" t="n"/>
      <c r="V494" s="10">
        <f>IF(OR(T494="",U494="",U494=0),"",ROUND(T494/U494,6))</f>
        <v/>
      </c>
      <c r="W494" s="9">
        <f>IF(OR(R494="",T494="",U494="",U494=0),"",ROUND(R494*T494/U494,3))</f>
        <v/>
      </c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12">
        <f>IF(A494="","",IF(OR(B494="",C494="",D494="",E494="",H494="",O494="",T494="",U494=""),"必填欄位未完整",""))</f>
        <v/>
      </c>
      <c r="AI494" s="12">
        <f>IF(A494="","",A494&amp;"|"&amp;G494)</f>
        <v/>
      </c>
      <c r="AJ494" s="12">
        <f>IF(A494="","",A494&amp;"|"&amp;H494)</f>
        <v/>
      </c>
    </row>
    <row r="495" ht="24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8" t="n"/>
      <c r="P495" s="8" t="n"/>
      <c r="Q495" s="8" t="n"/>
      <c r="R495" s="13">
        <f>IF(O495="","",SUM(O495:Q495))</f>
        <v/>
      </c>
      <c r="S495" s="9">
        <f>IF(R495="","",ROUND(R495/3.305785,3))</f>
        <v/>
      </c>
      <c r="T495" s="7" t="n"/>
      <c r="U495" s="7" t="n"/>
      <c r="V495" s="10">
        <f>IF(OR(T495="",U495="",U495=0),"",ROUND(T495/U495,6))</f>
        <v/>
      </c>
      <c r="W495" s="9">
        <f>IF(OR(R495="",T495="",U495="",U495=0),"",ROUND(R495*T495/U495,3))</f>
        <v/>
      </c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12">
        <f>IF(A495="","",IF(OR(B495="",C495="",D495="",E495="",H495="",O495="",T495="",U495=""),"必填欄位未完整",""))</f>
        <v/>
      </c>
      <c r="AI495" s="12">
        <f>IF(A495="","",A495&amp;"|"&amp;G495)</f>
        <v/>
      </c>
      <c r="AJ495" s="12">
        <f>IF(A495="","",A495&amp;"|"&amp;H495)</f>
        <v/>
      </c>
    </row>
    <row r="496" ht="24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8" t="n"/>
      <c r="P496" s="8" t="n"/>
      <c r="Q496" s="8" t="n"/>
      <c r="R496" s="13">
        <f>IF(O496="","",SUM(O496:Q496))</f>
        <v/>
      </c>
      <c r="S496" s="9">
        <f>IF(R496="","",ROUND(R496/3.305785,3))</f>
        <v/>
      </c>
      <c r="T496" s="7" t="n"/>
      <c r="U496" s="7" t="n"/>
      <c r="V496" s="10">
        <f>IF(OR(T496="",U496="",U496=0),"",ROUND(T496/U496,6))</f>
        <v/>
      </c>
      <c r="W496" s="9">
        <f>IF(OR(R496="",T496="",U496="",U496=0),"",ROUND(R496*T496/U496,3))</f>
        <v/>
      </c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12">
        <f>IF(A496="","",IF(OR(B496="",C496="",D496="",E496="",H496="",O496="",T496="",U496=""),"必填欄位未完整",""))</f>
        <v/>
      </c>
      <c r="AI496" s="12">
        <f>IF(A496="","",A496&amp;"|"&amp;G496)</f>
        <v/>
      </c>
      <c r="AJ496" s="12">
        <f>IF(A496="","",A496&amp;"|"&amp;H496)</f>
        <v/>
      </c>
    </row>
    <row r="497" ht="24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8" t="n"/>
      <c r="P497" s="8" t="n"/>
      <c r="Q497" s="8" t="n"/>
      <c r="R497" s="13">
        <f>IF(O497="","",SUM(O497:Q497))</f>
        <v/>
      </c>
      <c r="S497" s="9">
        <f>IF(R497="","",ROUND(R497/3.305785,3))</f>
        <v/>
      </c>
      <c r="T497" s="7" t="n"/>
      <c r="U497" s="7" t="n"/>
      <c r="V497" s="10">
        <f>IF(OR(T497="",U497="",U497=0),"",ROUND(T497/U497,6))</f>
        <v/>
      </c>
      <c r="W497" s="9">
        <f>IF(OR(R497="",T497="",U497="",U497=0),"",ROUND(R497*T497/U497,3))</f>
        <v/>
      </c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12">
        <f>IF(A497="","",IF(OR(B497="",C497="",D497="",E497="",H497="",O497="",T497="",U497=""),"必填欄位未完整",""))</f>
        <v/>
      </c>
      <c r="AI497" s="12">
        <f>IF(A497="","",A497&amp;"|"&amp;G497)</f>
        <v/>
      </c>
      <c r="AJ497" s="12">
        <f>IF(A497="","",A497&amp;"|"&amp;H497)</f>
        <v/>
      </c>
    </row>
    <row r="498" ht="24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8" t="n"/>
      <c r="P498" s="8" t="n"/>
      <c r="Q498" s="8" t="n"/>
      <c r="R498" s="13">
        <f>IF(O498="","",SUM(O498:Q498))</f>
        <v/>
      </c>
      <c r="S498" s="9">
        <f>IF(R498="","",ROUND(R498/3.305785,3))</f>
        <v/>
      </c>
      <c r="T498" s="7" t="n"/>
      <c r="U498" s="7" t="n"/>
      <c r="V498" s="10">
        <f>IF(OR(T498="",U498="",U498=0),"",ROUND(T498/U498,6))</f>
        <v/>
      </c>
      <c r="W498" s="9">
        <f>IF(OR(R498="",T498="",U498="",U498=0),"",ROUND(R498*T498/U498,3))</f>
        <v/>
      </c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12">
        <f>IF(A498="","",IF(OR(B498="",C498="",D498="",E498="",H498="",O498="",T498="",U498=""),"必填欄位未完整",""))</f>
        <v/>
      </c>
      <c r="AI498" s="12">
        <f>IF(A498="","",A498&amp;"|"&amp;G498)</f>
        <v/>
      </c>
      <c r="AJ498" s="12">
        <f>IF(A498="","",A498&amp;"|"&amp;H498)</f>
        <v/>
      </c>
    </row>
    <row r="499" ht="24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8" t="n"/>
      <c r="P499" s="8" t="n"/>
      <c r="Q499" s="8" t="n"/>
      <c r="R499" s="13">
        <f>IF(O499="","",SUM(O499:Q499))</f>
        <v/>
      </c>
      <c r="S499" s="9">
        <f>IF(R499="","",ROUND(R499/3.305785,3))</f>
        <v/>
      </c>
      <c r="T499" s="7" t="n"/>
      <c r="U499" s="7" t="n"/>
      <c r="V499" s="10">
        <f>IF(OR(T499="",U499="",U499=0),"",ROUND(T499/U499,6))</f>
        <v/>
      </c>
      <c r="W499" s="9">
        <f>IF(OR(R499="",T499="",U499="",U499=0),"",ROUND(R499*T499/U499,3))</f>
        <v/>
      </c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12">
        <f>IF(A499="","",IF(OR(B499="",C499="",D499="",E499="",H499="",O499="",T499="",U499=""),"必填欄位未完整",""))</f>
        <v/>
      </c>
      <c r="AI499" s="12">
        <f>IF(A499="","",A499&amp;"|"&amp;G499)</f>
        <v/>
      </c>
      <c r="AJ499" s="12">
        <f>IF(A499="","",A499&amp;"|"&amp;H499)</f>
        <v/>
      </c>
    </row>
    <row r="500" ht="24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8" t="n"/>
      <c r="P500" s="8" t="n"/>
      <c r="Q500" s="8" t="n"/>
      <c r="R500" s="13">
        <f>IF(O500="","",SUM(O500:Q500))</f>
        <v/>
      </c>
      <c r="S500" s="9">
        <f>IF(R500="","",ROUND(R500/3.305785,3))</f>
        <v/>
      </c>
      <c r="T500" s="7" t="n"/>
      <c r="U500" s="7" t="n"/>
      <c r="V500" s="10">
        <f>IF(OR(T500="",U500="",U500=0),"",ROUND(T500/U500,6))</f>
        <v/>
      </c>
      <c r="W500" s="9">
        <f>IF(OR(R500="",T500="",U500="",U500=0),"",ROUND(R500*T500/U500,3))</f>
        <v/>
      </c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12">
        <f>IF(A500="","",IF(OR(B500="",C500="",D500="",E500="",H500="",O500="",T500="",U500=""),"必填欄位未完整",""))</f>
        <v/>
      </c>
      <c r="AI500" s="12">
        <f>IF(A500="","",A500&amp;"|"&amp;G500)</f>
        <v/>
      </c>
      <c r="AJ500" s="12">
        <f>IF(A500="","",A500&amp;"|"&amp;H500)</f>
        <v/>
      </c>
    </row>
    <row r="501" ht="24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8" t="n"/>
      <c r="P501" s="8" t="n"/>
      <c r="Q501" s="8" t="n"/>
      <c r="R501" s="13">
        <f>IF(O501="","",SUM(O501:Q501))</f>
        <v/>
      </c>
      <c r="S501" s="9">
        <f>IF(R501="","",ROUND(R501/3.305785,3))</f>
        <v/>
      </c>
      <c r="T501" s="7" t="n"/>
      <c r="U501" s="7" t="n"/>
      <c r="V501" s="10">
        <f>IF(OR(T501="",U501="",U501=0),"",ROUND(T501/U501,6))</f>
        <v/>
      </c>
      <c r="W501" s="9">
        <f>IF(OR(R501="",T501="",U501="",U501=0),"",ROUND(R501*T501/U501,3))</f>
        <v/>
      </c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12">
        <f>IF(A501="","",IF(OR(B501="",C501="",D501="",E501="",H501="",O501="",T501="",U501=""),"必填欄位未完整",""))</f>
        <v/>
      </c>
      <c r="AI501" s="12">
        <f>IF(A501="","",A501&amp;"|"&amp;G501)</f>
        <v/>
      </c>
      <c r="AJ501" s="12">
        <f>IF(A501="","",A501&amp;"|"&amp;H501)</f>
        <v/>
      </c>
    </row>
    <row r="502" ht="24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8" t="n"/>
      <c r="P502" s="8" t="n"/>
      <c r="Q502" s="8" t="n"/>
      <c r="R502" s="13">
        <f>IF(O502="","",SUM(O502:Q502))</f>
        <v/>
      </c>
      <c r="S502" s="9">
        <f>IF(R502="","",ROUND(R502/3.305785,3))</f>
        <v/>
      </c>
      <c r="T502" s="7" t="n"/>
      <c r="U502" s="7" t="n"/>
      <c r="V502" s="10">
        <f>IF(OR(T502="",U502="",U502=0),"",ROUND(T502/U502,6))</f>
        <v/>
      </c>
      <c r="W502" s="9">
        <f>IF(OR(R502="",T502="",U502="",U502=0),"",ROUND(R502*T502/U502,3))</f>
        <v/>
      </c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12">
        <f>IF(A502="","",IF(OR(B502="",C502="",D502="",E502="",H502="",O502="",T502="",U502=""),"必填欄位未完整",""))</f>
        <v/>
      </c>
      <c r="AI502" s="12">
        <f>IF(A502="","",A502&amp;"|"&amp;G502)</f>
        <v/>
      </c>
      <c r="AJ502" s="12">
        <f>IF(A502="","",A502&amp;"|"&amp;H502)</f>
        <v/>
      </c>
    </row>
    <row r="503" ht="24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8" t="n"/>
      <c r="P503" s="8" t="n"/>
      <c r="Q503" s="8" t="n"/>
      <c r="R503" s="13">
        <f>IF(O503="","",SUM(O503:Q503))</f>
        <v/>
      </c>
      <c r="S503" s="9">
        <f>IF(R503="","",ROUND(R503/3.305785,3))</f>
        <v/>
      </c>
      <c r="T503" s="7" t="n"/>
      <c r="U503" s="7" t="n"/>
      <c r="V503" s="10">
        <f>IF(OR(T503="",U503="",U503=0),"",ROUND(T503/U503,6))</f>
        <v/>
      </c>
      <c r="W503" s="9">
        <f>IF(OR(R503="",T503="",U503="",U503=0),"",ROUND(R503*T503/U503,3))</f>
        <v/>
      </c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12">
        <f>IF(A503="","",IF(OR(B503="",C503="",D503="",E503="",H503="",O503="",T503="",U503=""),"必填欄位未完整",""))</f>
        <v/>
      </c>
      <c r="AI503" s="12">
        <f>IF(A503="","",A503&amp;"|"&amp;G503)</f>
        <v/>
      </c>
      <c r="AJ503" s="12">
        <f>IF(A503="","",A503&amp;"|"&amp;H503)</f>
        <v/>
      </c>
    </row>
    <row r="504" ht="24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8" t="n"/>
      <c r="P504" s="8" t="n"/>
      <c r="Q504" s="8" t="n"/>
      <c r="R504" s="13">
        <f>IF(O504="","",SUM(O504:Q504))</f>
        <v/>
      </c>
      <c r="S504" s="9">
        <f>IF(R504="","",ROUND(R504/3.305785,3))</f>
        <v/>
      </c>
      <c r="T504" s="7" t="n"/>
      <c r="U504" s="7" t="n"/>
      <c r="V504" s="10">
        <f>IF(OR(T504="",U504="",U504=0),"",ROUND(T504/U504,6))</f>
        <v/>
      </c>
      <c r="W504" s="9">
        <f>IF(OR(R504="",T504="",U504="",U504=0),"",ROUND(R504*T504/U504,3))</f>
        <v/>
      </c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12">
        <f>IF(A504="","",IF(OR(B504="",C504="",D504="",E504="",H504="",O504="",T504="",U504=""),"必填欄位未完整",""))</f>
        <v/>
      </c>
      <c r="AI504" s="12">
        <f>IF(A504="","",A504&amp;"|"&amp;G504)</f>
        <v/>
      </c>
      <c r="AJ504" s="12">
        <f>IF(A504="","",A504&amp;"|"&amp;H504)</f>
        <v/>
      </c>
    </row>
    <row r="505" ht="24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8" t="n"/>
      <c r="P505" s="8" t="n"/>
      <c r="Q505" s="8" t="n"/>
      <c r="R505" s="13">
        <f>IF(O505="","",SUM(O505:Q505))</f>
        <v/>
      </c>
      <c r="S505" s="9">
        <f>IF(R505="","",ROUND(R505/3.305785,3))</f>
        <v/>
      </c>
      <c r="T505" s="7" t="n"/>
      <c r="U505" s="7" t="n"/>
      <c r="V505" s="10">
        <f>IF(OR(T505="",U505="",U505=0),"",ROUND(T505/U505,6))</f>
        <v/>
      </c>
      <c r="W505" s="9">
        <f>IF(OR(R505="",T505="",U505="",U505=0),"",ROUND(R505*T505/U505,3))</f>
        <v/>
      </c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12">
        <f>IF(A505="","",IF(OR(B505="",C505="",D505="",E505="",H505="",O505="",T505="",U505=""),"必填欄位未完整",""))</f>
        <v/>
      </c>
      <c r="AI505" s="12">
        <f>IF(A505="","",A505&amp;"|"&amp;G505)</f>
        <v/>
      </c>
      <c r="AJ505" s="12">
        <f>IF(A505="","",A505&amp;"|"&amp;H505)</f>
        <v/>
      </c>
    </row>
    <row r="506" ht="24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8" t="n"/>
      <c r="P506" s="8" t="n"/>
      <c r="Q506" s="8" t="n"/>
      <c r="R506" s="13">
        <f>IF(O506="","",SUM(O506:Q506))</f>
        <v/>
      </c>
      <c r="S506" s="9">
        <f>IF(R506="","",ROUND(R506/3.305785,3))</f>
        <v/>
      </c>
      <c r="T506" s="7" t="n"/>
      <c r="U506" s="7" t="n"/>
      <c r="V506" s="10">
        <f>IF(OR(T506="",U506="",U506=0),"",ROUND(T506/U506,6))</f>
        <v/>
      </c>
      <c r="W506" s="9">
        <f>IF(OR(R506="",T506="",U506="",U506=0),"",ROUND(R506*T506/U506,3))</f>
        <v/>
      </c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12">
        <f>IF(A506="","",IF(OR(B506="",C506="",D506="",E506="",H506="",O506="",T506="",U506=""),"必填欄位未完整",""))</f>
        <v/>
      </c>
      <c r="AI506" s="12">
        <f>IF(A506="","",A506&amp;"|"&amp;G506)</f>
        <v/>
      </c>
      <c r="AJ506" s="12">
        <f>IF(A506="","",A506&amp;"|"&amp;H506)</f>
        <v/>
      </c>
    </row>
    <row r="507" ht="24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8" t="n"/>
      <c r="P507" s="8" t="n"/>
      <c r="Q507" s="8" t="n"/>
      <c r="R507" s="13">
        <f>IF(O507="","",SUM(O507:Q507))</f>
        <v/>
      </c>
      <c r="S507" s="9">
        <f>IF(R507="","",ROUND(R507/3.305785,3))</f>
        <v/>
      </c>
      <c r="T507" s="7" t="n"/>
      <c r="U507" s="7" t="n"/>
      <c r="V507" s="10">
        <f>IF(OR(T507="",U507="",U507=0),"",ROUND(T507/U507,6))</f>
        <v/>
      </c>
      <c r="W507" s="9">
        <f>IF(OR(R507="",T507="",U507="",U507=0),"",ROUND(R507*T507/U507,3))</f>
        <v/>
      </c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12">
        <f>IF(A507="","",IF(OR(B507="",C507="",D507="",E507="",H507="",O507="",T507="",U507=""),"必填欄位未完整",""))</f>
        <v/>
      </c>
      <c r="AI507" s="12">
        <f>IF(A507="","",A507&amp;"|"&amp;G507)</f>
        <v/>
      </c>
      <c r="AJ507" s="12">
        <f>IF(A507="","",A507&amp;"|"&amp;H507)</f>
        <v/>
      </c>
    </row>
    <row r="508" ht="24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8" t="n"/>
      <c r="P508" s="8" t="n"/>
      <c r="Q508" s="8" t="n"/>
      <c r="R508" s="13">
        <f>IF(O508="","",SUM(O508:Q508))</f>
        <v/>
      </c>
      <c r="S508" s="9">
        <f>IF(R508="","",ROUND(R508/3.305785,3))</f>
        <v/>
      </c>
      <c r="T508" s="7" t="n"/>
      <c r="U508" s="7" t="n"/>
      <c r="V508" s="10">
        <f>IF(OR(T508="",U508="",U508=0),"",ROUND(T508/U508,6))</f>
        <v/>
      </c>
      <c r="W508" s="9">
        <f>IF(OR(R508="",T508="",U508="",U508=0),"",ROUND(R508*T508/U508,3))</f>
        <v/>
      </c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12">
        <f>IF(A508="","",IF(OR(B508="",C508="",D508="",E508="",H508="",O508="",T508="",U508=""),"必填欄位未完整",""))</f>
        <v/>
      </c>
      <c r="AI508" s="12">
        <f>IF(A508="","",A508&amp;"|"&amp;G508)</f>
        <v/>
      </c>
      <c r="AJ508" s="12">
        <f>IF(A508="","",A508&amp;"|"&amp;H508)</f>
        <v/>
      </c>
    </row>
    <row r="509" ht="24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8" t="n"/>
      <c r="P509" s="8" t="n"/>
      <c r="Q509" s="8" t="n"/>
      <c r="R509" s="13">
        <f>IF(O509="","",SUM(O509:Q509))</f>
        <v/>
      </c>
      <c r="S509" s="9">
        <f>IF(R509="","",ROUND(R509/3.305785,3))</f>
        <v/>
      </c>
      <c r="T509" s="7" t="n"/>
      <c r="U509" s="7" t="n"/>
      <c r="V509" s="10">
        <f>IF(OR(T509="",U509="",U509=0),"",ROUND(T509/U509,6))</f>
        <v/>
      </c>
      <c r="W509" s="9">
        <f>IF(OR(R509="",T509="",U509="",U509=0),"",ROUND(R509*T509/U509,3))</f>
        <v/>
      </c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12">
        <f>IF(A509="","",IF(OR(B509="",C509="",D509="",E509="",H509="",O509="",T509="",U509=""),"必填欄位未完整",""))</f>
        <v/>
      </c>
      <c r="AI509" s="12">
        <f>IF(A509="","",A509&amp;"|"&amp;G509)</f>
        <v/>
      </c>
      <c r="AJ509" s="12">
        <f>IF(A509="","",A509&amp;"|"&amp;H509)</f>
        <v/>
      </c>
    </row>
    <row r="510" ht="24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8" t="n"/>
      <c r="P510" s="8" t="n"/>
      <c r="Q510" s="8" t="n"/>
      <c r="R510" s="13">
        <f>IF(O510="","",SUM(O510:Q510))</f>
        <v/>
      </c>
      <c r="S510" s="9">
        <f>IF(R510="","",ROUND(R510/3.305785,3))</f>
        <v/>
      </c>
      <c r="T510" s="7" t="n"/>
      <c r="U510" s="7" t="n"/>
      <c r="V510" s="10">
        <f>IF(OR(T510="",U510="",U510=0),"",ROUND(T510/U510,6))</f>
        <v/>
      </c>
      <c r="W510" s="9">
        <f>IF(OR(R510="",T510="",U510="",U510=0),"",ROUND(R510*T510/U510,3))</f>
        <v/>
      </c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12">
        <f>IF(A510="","",IF(OR(B510="",C510="",D510="",E510="",H510="",O510="",T510="",U510=""),"必填欄位未完整",""))</f>
        <v/>
      </c>
      <c r="AI510" s="12">
        <f>IF(A510="","",A510&amp;"|"&amp;G510)</f>
        <v/>
      </c>
      <c r="AJ510" s="12">
        <f>IF(A510="","",A510&amp;"|"&amp;H510)</f>
        <v/>
      </c>
    </row>
    <row r="511" ht="24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8" t="n"/>
      <c r="P511" s="8" t="n"/>
      <c r="Q511" s="8" t="n"/>
      <c r="R511" s="13">
        <f>IF(O511="","",SUM(O511:Q511))</f>
        <v/>
      </c>
      <c r="S511" s="9">
        <f>IF(R511="","",ROUND(R511/3.305785,3))</f>
        <v/>
      </c>
      <c r="T511" s="7" t="n"/>
      <c r="U511" s="7" t="n"/>
      <c r="V511" s="10">
        <f>IF(OR(T511="",U511="",U511=0),"",ROUND(T511/U511,6))</f>
        <v/>
      </c>
      <c r="W511" s="9">
        <f>IF(OR(R511="",T511="",U511="",U511=0),"",ROUND(R511*T511/U511,3))</f>
        <v/>
      </c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12">
        <f>IF(A511="","",IF(OR(B511="",C511="",D511="",E511="",H511="",O511="",T511="",U511=""),"必填欄位未完整",""))</f>
        <v/>
      </c>
      <c r="AI511" s="12">
        <f>IF(A511="","",A511&amp;"|"&amp;G511)</f>
        <v/>
      </c>
      <c r="AJ511" s="12">
        <f>IF(A511="","",A511&amp;"|"&amp;H511)</f>
        <v/>
      </c>
    </row>
    <row r="512" ht="24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8" t="n"/>
      <c r="P512" s="8" t="n"/>
      <c r="Q512" s="8" t="n"/>
      <c r="R512" s="13">
        <f>IF(O512="","",SUM(O512:Q512))</f>
        <v/>
      </c>
      <c r="S512" s="9">
        <f>IF(R512="","",ROUND(R512/3.305785,3))</f>
        <v/>
      </c>
      <c r="T512" s="7" t="n"/>
      <c r="U512" s="7" t="n"/>
      <c r="V512" s="10">
        <f>IF(OR(T512="",U512="",U512=0),"",ROUND(T512/U512,6))</f>
        <v/>
      </c>
      <c r="W512" s="9">
        <f>IF(OR(R512="",T512="",U512="",U512=0),"",ROUND(R512*T512/U512,3))</f>
        <v/>
      </c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12">
        <f>IF(A512="","",IF(OR(B512="",C512="",D512="",E512="",H512="",O512="",T512="",U512=""),"必填欄位未完整",""))</f>
        <v/>
      </c>
      <c r="AI512" s="12">
        <f>IF(A512="","",A512&amp;"|"&amp;G512)</f>
        <v/>
      </c>
      <c r="AJ512" s="12">
        <f>IF(A512="","",A512&amp;"|"&amp;H512)</f>
        <v/>
      </c>
    </row>
    <row r="513" ht="24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8" t="n"/>
      <c r="P513" s="8" t="n"/>
      <c r="Q513" s="8" t="n"/>
      <c r="R513" s="13">
        <f>IF(O513="","",SUM(O513:Q513))</f>
        <v/>
      </c>
      <c r="S513" s="9">
        <f>IF(R513="","",ROUND(R513/3.305785,3))</f>
        <v/>
      </c>
      <c r="T513" s="7" t="n"/>
      <c r="U513" s="7" t="n"/>
      <c r="V513" s="10">
        <f>IF(OR(T513="",U513="",U513=0),"",ROUND(T513/U513,6))</f>
        <v/>
      </c>
      <c r="W513" s="9">
        <f>IF(OR(R513="",T513="",U513="",U513=0),"",ROUND(R513*T513/U513,3))</f>
        <v/>
      </c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12">
        <f>IF(A513="","",IF(OR(B513="",C513="",D513="",E513="",H513="",O513="",T513="",U513=""),"必填欄位未完整",""))</f>
        <v/>
      </c>
      <c r="AI513" s="12">
        <f>IF(A513="","",A513&amp;"|"&amp;G513)</f>
        <v/>
      </c>
      <c r="AJ513" s="12">
        <f>IF(A513="","",A513&amp;"|"&amp;H513)</f>
        <v/>
      </c>
    </row>
    <row r="514" ht="24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8" t="n"/>
      <c r="P514" s="8" t="n"/>
      <c r="Q514" s="8" t="n"/>
      <c r="R514" s="13">
        <f>IF(O514="","",SUM(O514:Q514))</f>
        <v/>
      </c>
      <c r="S514" s="9">
        <f>IF(R514="","",ROUND(R514/3.305785,3))</f>
        <v/>
      </c>
      <c r="T514" s="7" t="n"/>
      <c r="U514" s="7" t="n"/>
      <c r="V514" s="10">
        <f>IF(OR(T514="",U514="",U514=0),"",ROUND(T514/U514,6))</f>
        <v/>
      </c>
      <c r="W514" s="9">
        <f>IF(OR(R514="",T514="",U514="",U514=0),"",ROUND(R514*T514/U514,3))</f>
        <v/>
      </c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12">
        <f>IF(A514="","",IF(OR(B514="",C514="",D514="",E514="",H514="",O514="",T514="",U514=""),"必填欄位未完整",""))</f>
        <v/>
      </c>
      <c r="AI514" s="12">
        <f>IF(A514="","",A514&amp;"|"&amp;G514)</f>
        <v/>
      </c>
      <c r="AJ514" s="12">
        <f>IF(A514="","",A514&amp;"|"&amp;H514)</f>
        <v/>
      </c>
    </row>
    <row r="515" ht="24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8" t="n"/>
      <c r="P515" s="8" t="n"/>
      <c r="Q515" s="8" t="n"/>
      <c r="R515" s="13">
        <f>IF(O515="","",SUM(O515:Q515))</f>
        <v/>
      </c>
      <c r="S515" s="9">
        <f>IF(R515="","",ROUND(R515/3.305785,3))</f>
        <v/>
      </c>
      <c r="T515" s="7" t="n"/>
      <c r="U515" s="7" t="n"/>
      <c r="V515" s="10">
        <f>IF(OR(T515="",U515="",U515=0),"",ROUND(T515/U515,6))</f>
        <v/>
      </c>
      <c r="W515" s="9">
        <f>IF(OR(R515="",T515="",U515="",U515=0),"",ROUND(R515*T515/U515,3))</f>
        <v/>
      </c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12">
        <f>IF(A515="","",IF(OR(B515="",C515="",D515="",E515="",H515="",O515="",T515="",U515=""),"必填欄位未完整",""))</f>
        <v/>
      </c>
      <c r="AI515" s="12">
        <f>IF(A515="","",A515&amp;"|"&amp;G515)</f>
        <v/>
      </c>
      <c r="AJ515" s="12">
        <f>IF(A515="","",A515&amp;"|"&amp;H515)</f>
        <v/>
      </c>
    </row>
    <row r="516" ht="24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8" t="n"/>
      <c r="P516" s="8" t="n"/>
      <c r="Q516" s="8" t="n"/>
      <c r="R516" s="13">
        <f>IF(O516="","",SUM(O516:Q516))</f>
        <v/>
      </c>
      <c r="S516" s="9">
        <f>IF(R516="","",ROUND(R516/3.305785,3))</f>
        <v/>
      </c>
      <c r="T516" s="7" t="n"/>
      <c r="U516" s="7" t="n"/>
      <c r="V516" s="10">
        <f>IF(OR(T516="",U516="",U516=0),"",ROUND(T516/U516,6))</f>
        <v/>
      </c>
      <c r="W516" s="9">
        <f>IF(OR(R516="",T516="",U516="",U516=0),"",ROUND(R516*T516/U516,3))</f>
        <v/>
      </c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12">
        <f>IF(A516="","",IF(OR(B516="",C516="",D516="",E516="",H516="",O516="",T516="",U516=""),"必填欄位未完整",""))</f>
        <v/>
      </c>
      <c r="AI516" s="12">
        <f>IF(A516="","",A516&amp;"|"&amp;G516)</f>
        <v/>
      </c>
      <c r="AJ516" s="12">
        <f>IF(A516="","",A516&amp;"|"&amp;H516)</f>
        <v/>
      </c>
    </row>
    <row r="517" ht="24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8" t="n"/>
      <c r="P517" s="8" t="n"/>
      <c r="Q517" s="8" t="n"/>
      <c r="R517" s="13">
        <f>IF(O517="","",SUM(O517:Q517))</f>
        <v/>
      </c>
      <c r="S517" s="9">
        <f>IF(R517="","",ROUND(R517/3.305785,3))</f>
        <v/>
      </c>
      <c r="T517" s="7" t="n"/>
      <c r="U517" s="7" t="n"/>
      <c r="V517" s="10">
        <f>IF(OR(T517="",U517="",U517=0),"",ROUND(T517/U517,6))</f>
        <v/>
      </c>
      <c r="W517" s="9">
        <f>IF(OR(R517="",T517="",U517="",U517=0),"",ROUND(R517*T517/U517,3))</f>
        <v/>
      </c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12">
        <f>IF(A517="","",IF(OR(B517="",C517="",D517="",E517="",H517="",O517="",T517="",U517=""),"必填欄位未完整",""))</f>
        <v/>
      </c>
      <c r="AI517" s="12">
        <f>IF(A517="","",A517&amp;"|"&amp;G517)</f>
        <v/>
      </c>
      <c r="AJ517" s="12">
        <f>IF(A517="","",A517&amp;"|"&amp;H517)</f>
        <v/>
      </c>
    </row>
    <row r="518" ht="24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8" t="n"/>
      <c r="P518" s="8" t="n"/>
      <c r="Q518" s="8" t="n"/>
      <c r="R518" s="13">
        <f>IF(O518="","",SUM(O518:Q518))</f>
        <v/>
      </c>
      <c r="S518" s="9">
        <f>IF(R518="","",ROUND(R518/3.305785,3))</f>
        <v/>
      </c>
      <c r="T518" s="7" t="n"/>
      <c r="U518" s="7" t="n"/>
      <c r="V518" s="10">
        <f>IF(OR(T518="",U518="",U518=0),"",ROUND(T518/U518,6))</f>
        <v/>
      </c>
      <c r="W518" s="9">
        <f>IF(OR(R518="",T518="",U518="",U518=0),"",ROUND(R518*T518/U518,3))</f>
        <v/>
      </c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12">
        <f>IF(A518="","",IF(OR(B518="",C518="",D518="",E518="",H518="",O518="",T518="",U518=""),"必填欄位未完整",""))</f>
        <v/>
      </c>
      <c r="AI518" s="12">
        <f>IF(A518="","",A518&amp;"|"&amp;G518)</f>
        <v/>
      </c>
      <c r="AJ518" s="12">
        <f>IF(A518="","",A518&amp;"|"&amp;H518)</f>
        <v/>
      </c>
    </row>
    <row r="519" ht="24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8" t="n"/>
      <c r="P519" s="8" t="n"/>
      <c r="Q519" s="8" t="n"/>
      <c r="R519" s="13">
        <f>IF(O519="","",SUM(O519:Q519))</f>
        <v/>
      </c>
      <c r="S519" s="9">
        <f>IF(R519="","",ROUND(R519/3.305785,3))</f>
        <v/>
      </c>
      <c r="T519" s="7" t="n"/>
      <c r="U519" s="7" t="n"/>
      <c r="V519" s="10">
        <f>IF(OR(T519="",U519="",U519=0),"",ROUND(T519/U519,6))</f>
        <v/>
      </c>
      <c r="W519" s="9">
        <f>IF(OR(R519="",T519="",U519="",U519=0),"",ROUND(R519*T519/U519,3))</f>
        <v/>
      </c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12">
        <f>IF(A519="","",IF(OR(B519="",C519="",D519="",E519="",H519="",O519="",T519="",U519=""),"必填欄位未完整",""))</f>
        <v/>
      </c>
      <c r="AI519" s="12">
        <f>IF(A519="","",A519&amp;"|"&amp;G519)</f>
        <v/>
      </c>
      <c r="AJ519" s="12">
        <f>IF(A519="","",A519&amp;"|"&amp;H519)</f>
        <v/>
      </c>
    </row>
    <row r="520" ht="24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8" t="n"/>
      <c r="P520" s="8" t="n"/>
      <c r="Q520" s="8" t="n"/>
      <c r="R520" s="13">
        <f>IF(O520="","",SUM(O520:Q520))</f>
        <v/>
      </c>
      <c r="S520" s="9">
        <f>IF(R520="","",ROUND(R520/3.305785,3))</f>
        <v/>
      </c>
      <c r="T520" s="7" t="n"/>
      <c r="U520" s="7" t="n"/>
      <c r="V520" s="10">
        <f>IF(OR(T520="",U520="",U520=0),"",ROUND(T520/U520,6))</f>
        <v/>
      </c>
      <c r="W520" s="9">
        <f>IF(OR(R520="",T520="",U520="",U520=0),"",ROUND(R520*T520/U520,3))</f>
        <v/>
      </c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12">
        <f>IF(A520="","",IF(OR(B520="",C520="",D520="",E520="",H520="",O520="",T520="",U520=""),"必填欄位未完整",""))</f>
        <v/>
      </c>
      <c r="AI520" s="12">
        <f>IF(A520="","",A520&amp;"|"&amp;G520)</f>
        <v/>
      </c>
      <c r="AJ520" s="12">
        <f>IF(A520="","",A520&amp;"|"&amp;H520)</f>
        <v/>
      </c>
    </row>
    <row r="521" ht="24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8" t="n"/>
      <c r="P521" s="8" t="n"/>
      <c r="Q521" s="8" t="n"/>
      <c r="R521" s="13">
        <f>IF(O521="","",SUM(O521:Q521))</f>
        <v/>
      </c>
      <c r="S521" s="9">
        <f>IF(R521="","",ROUND(R521/3.305785,3))</f>
        <v/>
      </c>
      <c r="T521" s="7" t="n"/>
      <c r="U521" s="7" t="n"/>
      <c r="V521" s="10">
        <f>IF(OR(T521="",U521="",U521=0),"",ROUND(T521/U521,6))</f>
        <v/>
      </c>
      <c r="W521" s="9">
        <f>IF(OR(R521="",T521="",U521="",U521=0),"",ROUND(R521*T521/U521,3))</f>
        <v/>
      </c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12">
        <f>IF(A521="","",IF(OR(B521="",C521="",D521="",E521="",H521="",O521="",T521="",U521=""),"必填欄位未完整",""))</f>
        <v/>
      </c>
      <c r="AI521" s="12">
        <f>IF(A521="","",A521&amp;"|"&amp;G521)</f>
        <v/>
      </c>
      <c r="AJ521" s="12">
        <f>IF(A521="","",A521&amp;"|"&amp;H521)</f>
        <v/>
      </c>
    </row>
    <row r="522" ht="24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8" t="n"/>
      <c r="P522" s="8" t="n"/>
      <c r="Q522" s="8" t="n"/>
      <c r="R522" s="13">
        <f>IF(O522="","",SUM(O522:Q522))</f>
        <v/>
      </c>
      <c r="S522" s="9">
        <f>IF(R522="","",ROUND(R522/3.305785,3))</f>
        <v/>
      </c>
      <c r="T522" s="7" t="n"/>
      <c r="U522" s="7" t="n"/>
      <c r="V522" s="10">
        <f>IF(OR(T522="",U522="",U522=0),"",ROUND(T522/U522,6))</f>
        <v/>
      </c>
      <c r="W522" s="9">
        <f>IF(OR(R522="",T522="",U522="",U522=0),"",ROUND(R522*T522/U522,3))</f>
        <v/>
      </c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12">
        <f>IF(A522="","",IF(OR(B522="",C522="",D522="",E522="",H522="",O522="",T522="",U522=""),"必填欄位未完整",""))</f>
        <v/>
      </c>
      <c r="AI522" s="12">
        <f>IF(A522="","",A522&amp;"|"&amp;G522)</f>
        <v/>
      </c>
      <c r="AJ522" s="12">
        <f>IF(A522="","",A522&amp;"|"&amp;H522)</f>
        <v/>
      </c>
    </row>
    <row r="523" ht="24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8" t="n"/>
      <c r="P523" s="8" t="n"/>
      <c r="Q523" s="8" t="n"/>
      <c r="R523" s="13">
        <f>IF(O523="","",SUM(O523:Q523))</f>
        <v/>
      </c>
      <c r="S523" s="9">
        <f>IF(R523="","",ROUND(R523/3.305785,3))</f>
        <v/>
      </c>
      <c r="T523" s="7" t="n"/>
      <c r="U523" s="7" t="n"/>
      <c r="V523" s="10">
        <f>IF(OR(T523="",U523="",U523=0),"",ROUND(T523/U523,6))</f>
        <v/>
      </c>
      <c r="W523" s="9">
        <f>IF(OR(R523="",T523="",U523="",U523=0),"",ROUND(R523*T523/U523,3))</f>
        <v/>
      </c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12">
        <f>IF(A523="","",IF(OR(B523="",C523="",D523="",E523="",H523="",O523="",T523="",U523=""),"必填欄位未完整",""))</f>
        <v/>
      </c>
      <c r="AI523" s="12">
        <f>IF(A523="","",A523&amp;"|"&amp;G523)</f>
        <v/>
      </c>
      <c r="AJ523" s="12">
        <f>IF(A523="","",A523&amp;"|"&amp;H523)</f>
        <v/>
      </c>
    </row>
    <row r="524" ht="24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8" t="n"/>
      <c r="P524" s="8" t="n"/>
      <c r="Q524" s="8" t="n"/>
      <c r="R524" s="13">
        <f>IF(O524="","",SUM(O524:Q524))</f>
        <v/>
      </c>
      <c r="S524" s="9">
        <f>IF(R524="","",ROUND(R524/3.305785,3))</f>
        <v/>
      </c>
      <c r="T524" s="7" t="n"/>
      <c r="U524" s="7" t="n"/>
      <c r="V524" s="10">
        <f>IF(OR(T524="",U524="",U524=0),"",ROUND(T524/U524,6))</f>
        <v/>
      </c>
      <c r="W524" s="9">
        <f>IF(OR(R524="",T524="",U524="",U524=0),"",ROUND(R524*T524/U524,3))</f>
        <v/>
      </c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12">
        <f>IF(A524="","",IF(OR(B524="",C524="",D524="",E524="",H524="",O524="",T524="",U524=""),"必填欄位未完整",""))</f>
        <v/>
      </c>
      <c r="AI524" s="12">
        <f>IF(A524="","",A524&amp;"|"&amp;G524)</f>
        <v/>
      </c>
      <c r="AJ524" s="12">
        <f>IF(A524="","",A524&amp;"|"&amp;H524)</f>
        <v/>
      </c>
    </row>
    <row r="525" ht="24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8" t="n"/>
      <c r="P525" s="8" t="n"/>
      <c r="Q525" s="8" t="n"/>
      <c r="R525" s="13">
        <f>IF(O525="","",SUM(O525:Q525))</f>
        <v/>
      </c>
      <c r="S525" s="9">
        <f>IF(R525="","",ROUND(R525/3.305785,3))</f>
        <v/>
      </c>
      <c r="T525" s="7" t="n"/>
      <c r="U525" s="7" t="n"/>
      <c r="V525" s="10">
        <f>IF(OR(T525="",U525="",U525=0),"",ROUND(T525/U525,6))</f>
        <v/>
      </c>
      <c r="W525" s="9">
        <f>IF(OR(R525="",T525="",U525="",U525=0),"",ROUND(R525*T525/U525,3))</f>
        <v/>
      </c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12">
        <f>IF(A525="","",IF(OR(B525="",C525="",D525="",E525="",H525="",O525="",T525="",U525=""),"必填欄位未完整",""))</f>
        <v/>
      </c>
      <c r="AI525" s="12">
        <f>IF(A525="","",A525&amp;"|"&amp;G525)</f>
        <v/>
      </c>
      <c r="AJ525" s="12">
        <f>IF(A525="","",A525&amp;"|"&amp;H525)</f>
        <v/>
      </c>
    </row>
    <row r="526" ht="24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8" t="n"/>
      <c r="P526" s="8" t="n"/>
      <c r="Q526" s="8" t="n"/>
      <c r="R526" s="13">
        <f>IF(O526="","",SUM(O526:Q526))</f>
        <v/>
      </c>
      <c r="S526" s="9">
        <f>IF(R526="","",ROUND(R526/3.305785,3))</f>
        <v/>
      </c>
      <c r="T526" s="7" t="n"/>
      <c r="U526" s="7" t="n"/>
      <c r="V526" s="10">
        <f>IF(OR(T526="",U526="",U526=0),"",ROUND(T526/U526,6))</f>
        <v/>
      </c>
      <c r="W526" s="9">
        <f>IF(OR(R526="",T526="",U526="",U526=0),"",ROUND(R526*T526/U526,3))</f>
        <v/>
      </c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12">
        <f>IF(A526="","",IF(OR(B526="",C526="",D526="",E526="",H526="",O526="",T526="",U526=""),"必填欄位未完整",""))</f>
        <v/>
      </c>
      <c r="AI526" s="12">
        <f>IF(A526="","",A526&amp;"|"&amp;G526)</f>
        <v/>
      </c>
      <c r="AJ526" s="12">
        <f>IF(A526="","",A526&amp;"|"&amp;H526)</f>
        <v/>
      </c>
    </row>
    <row r="527" ht="24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8" t="n"/>
      <c r="P527" s="8" t="n"/>
      <c r="Q527" s="8" t="n"/>
      <c r="R527" s="13">
        <f>IF(O527="","",SUM(O527:Q527))</f>
        <v/>
      </c>
      <c r="S527" s="9">
        <f>IF(R527="","",ROUND(R527/3.305785,3))</f>
        <v/>
      </c>
      <c r="T527" s="7" t="n"/>
      <c r="U527" s="7" t="n"/>
      <c r="V527" s="10">
        <f>IF(OR(T527="",U527="",U527=0),"",ROUND(T527/U527,6))</f>
        <v/>
      </c>
      <c r="W527" s="9">
        <f>IF(OR(R527="",T527="",U527="",U527=0),"",ROUND(R527*T527/U527,3))</f>
        <v/>
      </c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12">
        <f>IF(A527="","",IF(OR(B527="",C527="",D527="",E527="",H527="",O527="",T527="",U527=""),"必填欄位未完整",""))</f>
        <v/>
      </c>
      <c r="AI527" s="12">
        <f>IF(A527="","",A527&amp;"|"&amp;G527)</f>
        <v/>
      </c>
      <c r="AJ527" s="12">
        <f>IF(A527="","",A527&amp;"|"&amp;H527)</f>
        <v/>
      </c>
    </row>
    <row r="528" ht="24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8" t="n"/>
      <c r="P528" s="8" t="n"/>
      <c r="Q528" s="8" t="n"/>
      <c r="R528" s="13">
        <f>IF(O528="","",SUM(O528:Q528))</f>
        <v/>
      </c>
      <c r="S528" s="9">
        <f>IF(R528="","",ROUND(R528/3.305785,3))</f>
        <v/>
      </c>
      <c r="T528" s="7" t="n"/>
      <c r="U528" s="7" t="n"/>
      <c r="V528" s="10">
        <f>IF(OR(T528="",U528="",U528=0),"",ROUND(T528/U528,6))</f>
        <v/>
      </c>
      <c r="W528" s="9">
        <f>IF(OR(R528="",T528="",U528="",U528=0),"",ROUND(R528*T528/U528,3))</f>
        <v/>
      </c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12">
        <f>IF(A528="","",IF(OR(B528="",C528="",D528="",E528="",H528="",O528="",T528="",U528=""),"必填欄位未完整",""))</f>
        <v/>
      </c>
      <c r="AI528" s="12">
        <f>IF(A528="","",A528&amp;"|"&amp;G528)</f>
        <v/>
      </c>
      <c r="AJ528" s="12">
        <f>IF(A528="","",A528&amp;"|"&amp;H528)</f>
        <v/>
      </c>
    </row>
    <row r="529" ht="24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8" t="n"/>
      <c r="P529" s="8" t="n"/>
      <c r="Q529" s="8" t="n"/>
      <c r="R529" s="13">
        <f>IF(O529="","",SUM(O529:Q529))</f>
        <v/>
      </c>
      <c r="S529" s="9">
        <f>IF(R529="","",ROUND(R529/3.305785,3))</f>
        <v/>
      </c>
      <c r="T529" s="7" t="n"/>
      <c r="U529" s="7" t="n"/>
      <c r="V529" s="10">
        <f>IF(OR(T529="",U529="",U529=0),"",ROUND(T529/U529,6))</f>
        <v/>
      </c>
      <c r="W529" s="9">
        <f>IF(OR(R529="",T529="",U529="",U529=0),"",ROUND(R529*T529/U529,3))</f>
        <v/>
      </c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12">
        <f>IF(A529="","",IF(OR(B529="",C529="",D529="",E529="",H529="",O529="",T529="",U529=""),"必填欄位未完整",""))</f>
        <v/>
      </c>
      <c r="AI529" s="12">
        <f>IF(A529="","",A529&amp;"|"&amp;G529)</f>
        <v/>
      </c>
      <c r="AJ529" s="12">
        <f>IF(A529="","",A529&amp;"|"&amp;H529)</f>
        <v/>
      </c>
    </row>
    <row r="530" ht="24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8" t="n"/>
      <c r="P530" s="8" t="n"/>
      <c r="Q530" s="8" t="n"/>
      <c r="R530" s="13">
        <f>IF(O530="","",SUM(O530:Q530))</f>
        <v/>
      </c>
      <c r="S530" s="9">
        <f>IF(R530="","",ROUND(R530/3.305785,3))</f>
        <v/>
      </c>
      <c r="T530" s="7" t="n"/>
      <c r="U530" s="7" t="n"/>
      <c r="V530" s="10">
        <f>IF(OR(T530="",U530="",U530=0),"",ROUND(T530/U530,6))</f>
        <v/>
      </c>
      <c r="W530" s="9">
        <f>IF(OR(R530="",T530="",U530="",U530=0),"",ROUND(R530*T530/U530,3))</f>
        <v/>
      </c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12">
        <f>IF(A530="","",IF(OR(B530="",C530="",D530="",E530="",H530="",O530="",T530="",U530=""),"必填欄位未完整",""))</f>
        <v/>
      </c>
      <c r="AI530" s="12">
        <f>IF(A530="","",A530&amp;"|"&amp;G530)</f>
        <v/>
      </c>
      <c r="AJ530" s="12">
        <f>IF(A530="","",A530&amp;"|"&amp;H530)</f>
        <v/>
      </c>
    </row>
    <row r="531" ht="24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8" t="n"/>
      <c r="P531" s="8" t="n"/>
      <c r="Q531" s="8" t="n"/>
      <c r="R531" s="13">
        <f>IF(O531="","",SUM(O531:Q531))</f>
        <v/>
      </c>
      <c r="S531" s="9">
        <f>IF(R531="","",ROUND(R531/3.305785,3))</f>
        <v/>
      </c>
      <c r="T531" s="7" t="n"/>
      <c r="U531" s="7" t="n"/>
      <c r="V531" s="10">
        <f>IF(OR(T531="",U531="",U531=0),"",ROUND(T531/U531,6))</f>
        <v/>
      </c>
      <c r="W531" s="9">
        <f>IF(OR(R531="",T531="",U531="",U531=0),"",ROUND(R531*T531/U531,3))</f>
        <v/>
      </c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12">
        <f>IF(A531="","",IF(OR(B531="",C531="",D531="",E531="",H531="",O531="",T531="",U531=""),"必填欄位未完整",""))</f>
        <v/>
      </c>
      <c r="AI531" s="12">
        <f>IF(A531="","",A531&amp;"|"&amp;G531)</f>
        <v/>
      </c>
      <c r="AJ531" s="12">
        <f>IF(A531="","",A531&amp;"|"&amp;H531)</f>
        <v/>
      </c>
    </row>
    <row r="532" ht="24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8" t="n"/>
      <c r="P532" s="8" t="n"/>
      <c r="Q532" s="8" t="n"/>
      <c r="R532" s="13">
        <f>IF(O532="","",SUM(O532:Q532))</f>
        <v/>
      </c>
      <c r="S532" s="9">
        <f>IF(R532="","",ROUND(R532/3.305785,3))</f>
        <v/>
      </c>
      <c r="T532" s="7" t="n"/>
      <c r="U532" s="7" t="n"/>
      <c r="V532" s="10">
        <f>IF(OR(T532="",U532="",U532=0),"",ROUND(T532/U532,6))</f>
        <v/>
      </c>
      <c r="W532" s="9">
        <f>IF(OR(R532="",T532="",U532="",U532=0),"",ROUND(R532*T532/U532,3))</f>
        <v/>
      </c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12">
        <f>IF(A532="","",IF(OR(B532="",C532="",D532="",E532="",H532="",O532="",T532="",U532=""),"必填欄位未完整",""))</f>
        <v/>
      </c>
      <c r="AI532" s="12">
        <f>IF(A532="","",A532&amp;"|"&amp;G532)</f>
        <v/>
      </c>
      <c r="AJ532" s="12">
        <f>IF(A532="","",A532&amp;"|"&amp;H532)</f>
        <v/>
      </c>
    </row>
    <row r="533" ht="24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8" t="n"/>
      <c r="P533" s="8" t="n"/>
      <c r="Q533" s="8" t="n"/>
      <c r="R533" s="13">
        <f>IF(O533="","",SUM(O533:Q533))</f>
        <v/>
      </c>
      <c r="S533" s="9">
        <f>IF(R533="","",ROUND(R533/3.305785,3))</f>
        <v/>
      </c>
      <c r="T533" s="7" t="n"/>
      <c r="U533" s="7" t="n"/>
      <c r="V533" s="10">
        <f>IF(OR(T533="",U533="",U533=0),"",ROUND(T533/U533,6))</f>
        <v/>
      </c>
      <c r="W533" s="9">
        <f>IF(OR(R533="",T533="",U533="",U533=0),"",ROUND(R533*T533/U533,3))</f>
        <v/>
      </c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12">
        <f>IF(A533="","",IF(OR(B533="",C533="",D533="",E533="",H533="",O533="",T533="",U533=""),"必填欄位未完整",""))</f>
        <v/>
      </c>
      <c r="AI533" s="12">
        <f>IF(A533="","",A533&amp;"|"&amp;G533)</f>
        <v/>
      </c>
      <c r="AJ533" s="12">
        <f>IF(A533="","",A533&amp;"|"&amp;H533)</f>
        <v/>
      </c>
    </row>
    <row r="534" ht="24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8" t="n"/>
      <c r="P534" s="8" t="n"/>
      <c r="Q534" s="8" t="n"/>
      <c r="R534" s="13">
        <f>IF(O534="","",SUM(O534:Q534))</f>
        <v/>
      </c>
      <c r="S534" s="9">
        <f>IF(R534="","",ROUND(R534/3.305785,3))</f>
        <v/>
      </c>
      <c r="T534" s="7" t="n"/>
      <c r="U534" s="7" t="n"/>
      <c r="V534" s="10">
        <f>IF(OR(T534="",U534="",U534=0),"",ROUND(T534/U534,6))</f>
        <v/>
      </c>
      <c r="W534" s="9">
        <f>IF(OR(R534="",T534="",U534="",U534=0),"",ROUND(R534*T534/U534,3))</f>
        <v/>
      </c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12">
        <f>IF(A534="","",IF(OR(B534="",C534="",D534="",E534="",H534="",O534="",T534="",U534=""),"必填欄位未完整",""))</f>
        <v/>
      </c>
      <c r="AI534" s="12">
        <f>IF(A534="","",A534&amp;"|"&amp;G534)</f>
        <v/>
      </c>
      <c r="AJ534" s="12">
        <f>IF(A534="","",A534&amp;"|"&amp;H534)</f>
        <v/>
      </c>
    </row>
    <row r="535" ht="24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8" t="n"/>
      <c r="P535" s="8" t="n"/>
      <c r="Q535" s="8" t="n"/>
      <c r="R535" s="13">
        <f>IF(O535="","",SUM(O535:Q535))</f>
        <v/>
      </c>
      <c r="S535" s="9">
        <f>IF(R535="","",ROUND(R535/3.305785,3))</f>
        <v/>
      </c>
      <c r="T535" s="7" t="n"/>
      <c r="U535" s="7" t="n"/>
      <c r="V535" s="10">
        <f>IF(OR(T535="",U535="",U535=0),"",ROUND(T535/U535,6))</f>
        <v/>
      </c>
      <c r="W535" s="9">
        <f>IF(OR(R535="",T535="",U535="",U535=0),"",ROUND(R535*T535/U535,3))</f>
        <v/>
      </c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12">
        <f>IF(A535="","",IF(OR(B535="",C535="",D535="",E535="",H535="",O535="",T535="",U535=""),"必填欄位未完整",""))</f>
        <v/>
      </c>
      <c r="AI535" s="12">
        <f>IF(A535="","",A535&amp;"|"&amp;G535)</f>
        <v/>
      </c>
      <c r="AJ535" s="12">
        <f>IF(A535="","",A535&amp;"|"&amp;H535)</f>
        <v/>
      </c>
    </row>
    <row r="536" ht="24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8" t="n"/>
      <c r="P536" s="8" t="n"/>
      <c r="Q536" s="8" t="n"/>
      <c r="R536" s="13">
        <f>IF(O536="","",SUM(O536:Q536))</f>
        <v/>
      </c>
      <c r="S536" s="9">
        <f>IF(R536="","",ROUND(R536/3.305785,3))</f>
        <v/>
      </c>
      <c r="T536" s="7" t="n"/>
      <c r="U536" s="7" t="n"/>
      <c r="V536" s="10">
        <f>IF(OR(T536="",U536="",U536=0),"",ROUND(T536/U536,6))</f>
        <v/>
      </c>
      <c r="W536" s="9">
        <f>IF(OR(R536="",T536="",U536="",U536=0),"",ROUND(R536*T536/U536,3))</f>
        <v/>
      </c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12">
        <f>IF(A536="","",IF(OR(B536="",C536="",D536="",E536="",H536="",O536="",T536="",U536=""),"必填欄位未完整",""))</f>
        <v/>
      </c>
      <c r="AI536" s="12">
        <f>IF(A536="","",A536&amp;"|"&amp;G536)</f>
        <v/>
      </c>
      <c r="AJ536" s="12">
        <f>IF(A536="","",A536&amp;"|"&amp;H536)</f>
        <v/>
      </c>
    </row>
    <row r="537" ht="24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8" t="n"/>
      <c r="P537" s="8" t="n"/>
      <c r="Q537" s="8" t="n"/>
      <c r="R537" s="13">
        <f>IF(O537="","",SUM(O537:Q537))</f>
        <v/>
      </c>
      <c r="S537" s="9">
        <f>IF(R537="","",ROUND(R537/3.305785,3))</f>
        <v/>
      </c>
      <c r="T537" s="7" t="n"/>
      <c r="U537" s="7" t="n"/>
      <c r="V537" s="10">
        <f>IF(OR(T537="",U537="",U537=0),"",ROUND(T537/U537,6))</f>
        <v/>
      </c>
      <c r="W537" s="9">
        <f>IF(OR(R537="",T537="",U537="",U537=0),"",ROUND(R537*T537/U537,3))</f>
        <v/>
      </c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12">
        <f>IF(A537="","",IF(OR(B537="",C537="",D537="",E537="",H537="",O537="",T537="",U537=""),"必填欄位未完整",""))</f>
        <v/>
      </c>
      <c r="AI537" s="12">
        <f>IF(A537="","",A537&amp;"|"&amp;G537)</f>
        <v/>
      </c>
      <c r="AJ537" s="12">
        <f>IF(A537="","",A537&amp;"|"&amp;H537)</f>
        <v/>
      </c>
    </row>
    <row r="538" ht="24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8" t="n"/>
      <c r="P538" s="8" t="n"/>
      <c r="Q538" s="8" t="n"/>
      <c r="R538" s="13">
        <f>IF(O538="","",SUM(O538:Q538))</f>
        <v/>
      </c>
      <c r="S538" s="9">
        <f>IF(R538="","",ROUND(R538/3.305785,3))</f>
        <v/>
      </c>
      <c r="T538" s="7" t="n"/>
      <c r="U538" s="7" t="n"/>
      <c r="V538" s="10">
        <f>IF(OR(T538="",U538="",U538=0),"",ROUND(T538/U538,6))</f>
        <v/>
      </c>
      <c r="W538" s="9">
        <f>IF(OR(R538="",T538="",U538="",U538=0),"",ROUND(R538*T538/U538,3))</f>
        <v/>
      </c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12">
        <f>IF(A538="","",IF(OR(B538="",C538="",D538="",E538="",H538="",O538="",T538="",U538=""),"必填欄位未完整",""))</f>
        <v/>
      </c>
      <c r="AI538" s="12">
        <f>IF(A538="","",A538&amp;"|"&amp;G538)</f>
        <v/>
      </c>
      <c r="AJ538" s="12">
        <f>IF(A538="","",A538&amp;"|"&amp;H538)</f>
        <v/>
      </c>
    </row>
    <row r="539" ht="24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8" t="n"/>
      <c r="P539" s="8" t="n"/>
      <c r="Q539" s="8" t="n"/>
      <c r="R539" s="13">
        <f>IF(O539="","",SUM(O539:Q539))</f>
        <v/>
      </c>
      <c r="S539" s="9">
        <f>IF(R539="","",ROUND(R539/3.305785,3))</f>
        <v/>
      </c>
      <c r="T539" s="7" t="n"/>
      <c r="U539" s="7" t="n"/>
      <c r="V539" s="10">
        <f>IF(OR(T539="",U539="",U539=0),"",ROUND(T539/U539,6))</f>
        <v/>
      </c>
      <c r="W539" s="9">
        <f>IF(OR(R539="",T539="",U539="",U539=0),"",ROUND(R539*T539/U539,3))</f>
        <v/>
      </c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12">
        <f>IF(A539="","",IF(OR(B539="",C539="",D539="",E539="",H539="",O539="",T539="",U539=""),"必填欄位未完整",""))</f>
        <v/>
      </c>
      <c r="AI539" s="12">
        <f>IF(A539="","",A539&amp;"|"&amp;G539)</f>
        <v/>
      </c>
      <c r="AJ539" s="12">
        <f>IF(A539="","",A539&amp;"|"&amp;H539)</f>
        <v/>
      </c>
    </row>
    <row r="540" ht="24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8" t="n"/>
      <c r="P540" s="8" t="n"/>
      <c r="Q540" s="8" t="n"/>
      <c r="R540" s="13">
        <f>IF(O540="","",SUM(O540:Q540))</f>
        <v/>
      </c>
      <c r="S540" s="9">
        <f>IF(R540="","",ROUND(R540/3.305785,3))</f>
        <v/>
      </c>
      <c r="T540" s="7" t="n"/>
      <c r="U540" s="7" t="n"/>
      <c r="V540" s="10">
        <f>IF(OR(T540="",U540="",U540=0),"",ROUND(T540/U540,6))</f>
        <v/>
      </c>
      <c r="W540" s="9">
        <f>IF(OR(R540="",T540="",U540="",U540=0),"",ROUND(R540*T540/U540,3))</f>
        <v/>
      </c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12">
        <f>IF(A540="","",IF(OR(B540="",C540="",D540="",E540="",H540="",O540="",T540="",U540=""),"必填欄位未完整",""))</f>
        <v/>
      </c>
      <c r="AI540" s="12">
        <f>IF(A540="","",A540&amp;"|"&amp;G540)</f>
        <v/>
      </c>
      <c r="AJ540" s="12">
        <f>IF(A540="","",A540&amp;"|"&amp;H540)</f>
        <v/>
      </c>
    </row>
    <row r="541" ht="24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8" t="n"/>
      <c r="P541" s="8" t="n"/>
      <c r="Q541" s="8" t="n"/>
      <c r="R541" s="13">
        <f>IF(O541="","",SUM(O541:Q541))</f>
        <v/>
      </c>
      <c r="S541" s="9">
        <f>IF(R541="","",ROUND(R541/3.305785,3))</f>
        <v/>
      </c>
      <c r="T541" s="7" t="n"/>
      <c r="U541" s="7" t="n"/>
      <c r="V541" s="10">
        <f>IF(OR(T541="",U541="",U541=0),"",ROUND(T541/U541,6))</f>
        <v/>
      </c>
      <c r="W541" s="9">
        <f>IF(OR(R541="",T541="",U541="",U541=0),"",ROUND(R541*T541/U541,3))</f>
        <v/>
      </c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12">
        <f>IF(A541="","",IF(OR(B541="",C541="",D541="",E541="",H541="",O541="",T541="",U541=""),"必填欄位未完整",""))</f>
        <v/>
      </c>
      <c r="AI541" s="12">
        <f>IF(A541="","",A541&amp;"|"&amp;G541)</f>
        <v/>
      </c>
      <c r="AJ541" s="12">
        <f>IF(A541="","",A541&amp;"|"&amp;H541)</f>
        <v/>
      </c>
    </row>
    <row r="542" ht="24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8" t="n"/>
      <c r="P542" s="8" t="n"/>
      <c r="Q542" s="8" t="n"/>
      <c r="R542" s="13">
        <f>IF(O542="","",SUM(O542:Q542))</f>
        <v/>
      </c>
      <c r="S542" s="9">
        <f>IF(R542="","",ROUND(R542/3.305785,3))</f>
        <v/>
      </c>
      <c r="T542" s="7" t="n"/>
      <c r="U542" s="7" t="n"/>
      <c r="V542" s="10">
        <f>IF(OR(T542="",U542="",U542=0),"",ROUND(T542/U542,6))</f>
        <v/>
      </c>
      <c r="W542" s="9">
        <f>IF(OR(R542="",T542="",U542="",U542=0),"",ROUND(R542*T542/U542,3))</f>
        <v/>
      </c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12">
        <f>IF(A542="","",IF(OR(B542="",C542="",D542="",E542="",H542="",O542="",T542="",U542=""),"必填欄位未完整",""))</f>
        <v/>
      </c>
      <c r="AI542" s="12">
        <f>IF(A542="","",A542&amp;"|"&amp;G542)</f>
        <v/>
      </c>
      <c r="AJ542" s="12">
        <f>IF(A542="","",A542&amp;"|"&amp;H542)</f>
        <v/>
      </c>
    </row>
    <row r="543" ht="24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8" t="n"/>
      <c r="P543" s="8" t="n"/>
      <c r="Q543" s="8" t="n"/>
      <c r="R543" s="13">
        <f>IF(O543="","",SUM(O543:Q543))</f>
        <v/>
      </c>
      <c r="S543" s="9">
        <f>IF(R543="","",ROUND(R543/3.305785,3))</f>
        <v/>
      </c>
      <c r="T543" s="7" t="n"/>
      <c r="U543" s="7" t="n"/>
      <c r="V543" s="10">
        <f>IF(OR(T543="",U543="",U543=0),"",ROUND(T543/U543,6))</f>
        <v/>
      </c>
      <c r="W543" s="9">
        <f>IF(OR(R543="",T543="",U543="",U543=0),"",ROUND(R543*T543/U543,3))</f>
        <v/>
      </c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12">
        <f>IF(A543="","",IF(OR(B543="",C543="",D543="",E543="",H543="",O543="",T543="",U543=""),"必填欄位未完整",""))</f>
        <v/>
      </c>
      <c r="AI543" s="12">
        <f>IF(A543="","",A543&amp;"|"&amp;G543)</f>
        <v/>
      </c>
      <c r="AJ543" s="12">
        <f>IF(A543="","",A543&amp;"|"&amp;H543)</f>
        <v/>
      </c>
    </row>
    <row r="544" ht="24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8" t="n"/>
      <c r="P544" s="8" t="n"/>
      <c r="Q544" s="8" t="n"/>
      <c r="R544" s="13">
        <f>IF(O544="","",SUM(O544:Q544))</f>
        <v/>
      </c>
      <c r="S544" s="9">
        <f>IF(R544="","",ROUND(R544/3.305785,3))</f>
        <v/>
      </c>
      <c r="T544" s="7" t="n"/>
      <c r="U544" s="7" t="n"/>
      <c r="V544" s="10">
        <f>IF(OR(T544="",U544="",U544=0),"",ROUND(T544/U544,6))</f>
        <v/>
      </c>
      <c r="W544" s="9">
        <f>IF(OR(R544="",T544="",U544="",U544=0),"",ROUND(R544*T544/U544,3))</f>
        <v/>
      </c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12">
        <f>IF(A544="","",IF(OR(B544="",C544="",D544="",E544="",H544="",O544="",T544="",U544=""),"必填欄位未完整",""))</f>
        <v/>
      </c>
      <c r="AI544" s="12">
        <f>IF(A544="","",A544&amp;"|"&amp;G544)</f>
        <v/>
      </c>
      <c r="AJ544" s="12">
        <f>IF(A544="","",A544&amp;"|"&amp;H544)</f>
        <v/>
      </c>
    </row>
    <row r="545" ht="24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8" t="n"/>
      <c r="P545" s="8" t="n"/>
      <c r="Q545" s="8" t="n"/>
      <c r="R545" s="13">
        <f>IF(O545="","",SUM(O545:Q545))</f>
        <v/>
      </c>
      <c r="S545" s="9">
        <f>IF(R545="","",ROUND(R545/3.305785,3))</f>
        <v/>
      </c>
      <c r="T545" s="7" t="n"/>
      <c r="U545" s="7" t="n"/>
      <c r="V545" s="10">
        <f>IF(OR(T545="",U545="",U545=0),"",ROUND(T545/U545,6))</f>
        <v/>
      </c>
      <c r="W545" s="9">
        <f>IF(OR(R545="",T545="",U545="",U545=0),"",ROUND(R545*T545/U545,3))</f>
        <v/>
      </c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12">
        <f>IF(A545="","",IF(OR(B545="",C545="",D545="",E545="",H545="",O545="",T545="",U545=""),"必填欄位未完整",""))</f>
        <v/>
      </c>
      <c r="AI545" s="12">
        <f>IF(A545="","",A545&amp;"|"&amp;G545)</f>
        <v/>
      </c>
      <c r="AJ545" s="12">
        <f>IF(A545="","",A545&amp;"|"&amp;H545)</f>
        <v/>
      </c>
    </row>
    <row r="546" ht="24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8" t="n"/>
      <c r="P546" s="8" t="n"/>
      <c r="Q546" s="8" t="n"/>
      <c r="R546" s="13">
        <f>IF(O546="","",SUM(O546:Q546))</f>
        <v/>
      </c>
      <c r="S546" s="9">
        <f>IF(R546="","",ROUND(R546/3.305785,3))</f>
        <v/>
      </c>
      <c r="T546" s="7" t="n"/>
      <c r="U546" s="7" t="n"/>
      <c r="V546" s="10">
        <f>IF(OR(T546="",U546="",U546=0),"",ROUND(T546/U546,6))</f>
        <v/>
      </c>
      <c r="W546" s="9">
        <f>IF(OR(R546="",T546="",U546="",U546=0),"",ROUND(R546*T546/U546,3))</f>
        <v/>
      </c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12">
        <f>IF(A546="","",IF(OR(B546="",C546="",D546="",E546="",H546="",O546="",T546="",U546=""),"必填欄位未完整",""))</f>
        <v/>
      </c>
      <c r="AI546" s="12">
        <f>IF(A546="","",A546&amp;"|"&amp;G546)</f>
        <v/>
      </c>
      <c r="AJ546" s="12">
        <f>IF(A546="","",A546&amp;"|"&amp;H546)</f>
        <v/>
      </c>
    </row>
    <row r="547" ht="24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8" t="n"/>
      <c r="P547" s="8" t="n"/>
      <c r="Q547" s="8" t="n"/>
      <c r="R547" s="13">
        <f>IF(O547="","",SUM(O547:Q547))</f>
        <v/>
      </c>
      <c r="S547" s="9">
        <f>IF(R547="","",ROUND(R547/3.305785,3))</f>
        <v/>
      </c>
      <c r="T547" s="7" t="n"/>
      <c r="U547" s="7" t="n"/>
      <c r="V547" s="10">
        <f>IF(OR(T547="",U547="",U547=0),"",ROUND(T547/U547,6))</f>
        <v/>
      </c>
      <c r="W547" s="9">
        <f>IF(OR(R547="",T547="",U547="",U547=0),"",ROUND(R547*T547/U547,3))</f>
        <v/>
      </c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12">
        <f>IF(A547="","",IF(OR(B547="",C547="",D547="",E547="",H547="",O547="",T547="",U547=""),"必填欄位未完整",""))</f>
        <v/>
      </c>
      <c r="AI547" s="12">
        <f>IF(A547="","",A547&amp;"|"&amp;G547)</f>
        <v/>
      </c>
      <c r="AJ547" s="12">
        <f>IF(A547="","",A547&amp;"|"&amp;H547)</f>
        <v/>
      </c>
    </row>
    <row r="548" ht="24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8" t="n"/>
      <c r="P548" s="8" t="n"/>
      <c r="Q548" s="8" t="n"/>
      <c r="R548" s="13">
        <f>IF(O548="","",SUM(O548:Q548))</f>
        <v/>
      </c>
      <c r="S548" s="9">
        <f>IF(R548="","",ROUND(R548/3.305785,3))</f>
        <v/>
      </c>
      <c r="T548" s="7" t="n"/>
      <c r="U548" s="7" t="n"/>
      <c r="V548" s="10">
        <f>IF(OR(T548="",U548="",U548=0),"",ROUND(T548/U548,6))</f>
        <v/>
      </c>
      <c r="W548" s="9">
        <f>IF(OR(R548="",T548="",U548="",U548=0),"",ROUND(R548*T548/U548,3))</f>
        <v/>
      </c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12">
        <f>IF(A548="","",IF(OR(B548="",C548="",D548="",E548="",H548="",O548="",T548="",U548=""),"必填欄位未完整",""))</f>
        <v/>
      </c>
      <c r="AI548" s="12">
        <f>IF(A548="","",A548&amp;"|"&amp;G548)</f>
        <v/>
      </c>
      <c r="AJ548" s="12">
        <f>IF(A548="","",A548&amp;"|"&amp;H548)</f>
        <v/>
      </c>
    </row>
    <row r="549" ht="24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8" t="n"/>
      <c r="P549" s="8" t="n"/>
      <c r="Q549" s="8" t="n"/>
      <c r="R549" s="13">
        <f>IF(O549="","",SUM(O549:Q549))</f>
        <v/>
      </c>
      <c r="S549" s="9">
        <f>IF(R549="","",ROUND(R549/3.305785,3))</f>
        <v/>
      </c>
      <c r="T549" s="7" t="n"/>
      <c r="U549" s="7" t="n"/>
      <c r="V549" s="10">
        <f>IF(OR(T549="",U549="",U549=0),"",ROUND(T549/U549,6))</f>
        <v/>
      </c>
      <c r="W549" s="9">
        <f>IF(OR(R549="",T549="",U549="",U549=0),"",ROUND(R549*T549/U549,3))</f>
        <v/>
      </c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12">
        <f>IF(A549="","",IF(OR(B549="",C549="",D549="",E549="",H549="",O549="",T549="",U549=""),"必填欄位未完整",""))</f>
        <v/>
      </c>
      <c r="AI549" s="12">
        <f>IF(A549="","",A549&amp;"|"&amp;G549)</f>
        <v/>
      </c>
      <c r="AJ549" s="12">
        <f>IF(A549="","",A549&amp;"|"&amp;H549)</f>
        <v/>
      </c>
    </row>
    <row r="550" ht="24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8" t="n"/>
      <c r="P550" s="8" t="n"/>
      <c r="Q550" s="8" t="n"/>
      <c r="R550" s="13">
        <f>IF(O550="","",SUM(O550:Q550))</f>
        <v/>
      </c>
      <c r="S550" s="9">
        <f>IF(R550="","",ROUND(R550/3.305785,3))</f>
        <v/>
      </c>
      <c r="T550" s="7" t="n"/>
      <c r="U550" s="7" t="n"/>
      <c r="V550" s="10">
        <f>IF(OR(T550="",U550="",U550=0),"",ROUND(T550/U550,6))</f>
        <v/>
      </c>
      <c r="W550" s="9">
        <f>IF(OR(R550="",T550="",U550="",U550=0),"",ROUND(R550*T550/U550,3))</f>
        <v/>
      </c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12">
        <f>IF(A550="","",IF(OR(B550="",C550="",D550="",E550="",H550="",O550="",T550="",U550=""),"必填欄位未完整",""))</f>
        <v/>
      </c>
      <c r="AI550" s="12">
        <f>IF(A550="","",A550&amp;"|"&amp;G550)</f>
        <v/>
      </c>
      <c r="AJ550" s="12">
        <f>IF(A550="","",A550&amp;"|"&amp;H550)</f>
        <v/>
      </c>
    </row>
    <row r="551" ht="24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8" t="n"/>
      <c r="P551" s="8" t="n"/>
      <c r="Q551" s="8" t="n"/>
      <c r="R551" s="13">
        <f>IF(O551="","",SUM(O551:Q551))</f>
        <v/>
      </c>
      <c r="S551" s="9">
        <f>IF(R551="","",ROUND(R551/3.305785,3))</f>
        <v/>
      </c>
      <c r="T551" s="7" t="n"/>
      <c r="U551" s="7" t="n"/>
      <c r="V551" s="10">
        <f>IF(OR(T551="",U551="",U551=0),"",ROUND(T551/U551,6))</f>
        <v/>
      </c>
      <c r="W551" s="9">
        <f>IF(OR(R551="",T551="",U551="",U551=0),"",ROUND(R551*T551/U551,3))</f>
        <v/>
      </c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12">
        <f>IF(A551="","",IF(OR(B551="",C551="",D551="",E551="",H551="",O551="",T551="",U551=""),"必填欄位未完整",""))</f>
        <v/>
      </c>
      <c r="AI551" s="12">
        <f>IF(A551="","",A551&amp;"|"&amp;G551)</f>
        <v/>
      </c>
      <c r="AJ551" s="12">
        <f>IF(A551="","",A551&amp;"|"&amp;H551)</f>
        <v/>
      </c>
    </row>
    <row r="552" ht="24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8" t="n"/>
      <c r="P552" s="8" t="n"/>
      <c r="Q552" s="8" t="n"/>
      <c r="R552" s="13">
        <f>IF(O552="","",SUM(O552:Q552))</f>
        <v/>
      </c>
      <c r="S552" s="9">
        <f>IF(R552="","",ROUND(R552/3.305785,3))</f>
        <v/>
      </c>
      <c r="T552" s="7" t="n"/>
      <c r="U552" s="7" t="n"/>
      <c r="V552" s="10">
        <f>IF(OR(T552="",U552="",U552=0),"",ROUND(T552/U552,6))</f>
        <v/>
      </c>
      <c r="W552" s="9">
        <f>IF(OR(R552="",T552="",U552="",U552=0),"",ROUND(R552*T552/U552,3))</f>
        <v/>
      </c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12">
        <f>IF(A552="","",IF(OR(B552="",C552="",D552="",E552="",H552="",O552="",T552="",U552=""),"必填欄位未完整",""))</f>
        <v/>
      </c>
      <c r="AI552" s="12">
        <f>IF(A552="","",A552&amp;"|"&amp;G552)</f>
        <v/>
      </c>
      <c r="AJ552" s="12">
        <f>IF(A552="","",A552&amp;"|"&amp;H552)</f>
        <v/>
      </c>
    </row>
    <row r="553" ht="24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8" t="n"/>
      <c r="P553" s="8" t="n"/>
      <c r="Q553" s="8" t="n"/>
      <c r="R553" s="13">
        <f>IF(O553="","",SUM(O553:Q553))</f>
        <v/>
      </c>
      <c r="S553" s="9">
        <f>IF(R553="","",ROUND(R553/3.305785,3))</f>
        <v/>
      </c>
      <c r="T553" s="7" t="n"/>
      <c r="U553" s="7" t="n"/>
      <c r="V553" s="10">
        <f>IF(OR(T553="",U553="",U553=0),"",ROUND(T553/U553,6))</f>
        <v/>
      </c>
      <c r="W553" s="9">
        <f>IF(OR(R553="",T553="",U553="",U553=0),"",ROUND(R553*T553/U553,3))</f>
        <v/>
      </c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12">
        <f>IF(A553="","",IF(OR(B553="",C553="",D553="",E553="",H553="",O553="",T553="",U553=""),"必填欄位未完整",""))</f>
        <v/>
      </c>
      <c r="AI553" s="12">
        <f>IF(A553="","",A553&amp;"|"&amp;G553)</f>
        <v/>
      </c>
      <c r="AJ553" s="12">
        <f>IF(A553="","",A553&amp;"|"&amp;H553)</f>
        <v/>
      </c>
    </row>
    <row r="554" ht="24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8" t="n"/>
      <c r="P554" s="8" t="n"/>
      <c r="Q554" s="8" t="n"/>
      <c r="R554" s="13">
        <f>IF(O554="","",SUM(O554:Q554))</f>
        <v/>
      </c>
      <c r="S554" s="9">
        <f>IF(R554="","",ROUND(R554/3.305785,3))</f>
        <v/>
      </c>
      <c r="T554" s="7" t="n"/>
      <c r="U554" s="7" t="n"/>
      <c r="V554" s="10">
        <f>IF(OR(T554="",U554="",U554=0),"",ROUND(T554/U554,6))</f>
        <v/>
      </c>
      <c r="W554" s="9">
        <f>IF(OR(R554="",T554="",U554="",U554=0),"",ROUND(R554*T554/U554,3))</f>
        <v/>
      </c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12">
        <f>IF(A554="","",IF(OR(B554="",C554="",D554="",E554="",H554="",O554="",T554="",U554=""),"必填欄位未完整",""))</f>
        <v/>
      </c>
      <c r="AI554" s="12">
        <f>IF(A554="","",A554&amp;"|"&amp;G554)</f>
        <v/>
      </c>
      <c r="AJ554" s="12">
        <f>IF(A554="","",A554&amp;"|"&amp;H554)</f>
        <v/>
      </c>
    </row>
    <row r="555" ht="24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8" t="n"/>
      <c r="P555" s="8" t="n"/>
      <c r="Q555" s="8" t="n"/>
      <c r="R555" s="13">
        <f>IF(O555="","",SUM(O555:Q555))</f>
        <v/>
      </c>
      <c r="S555" s="9">
        <f>IF(R555="","",ROUND(R555/3.305785,3))</f>
        <v/>
      </c>
      <c r="T555" s="7" t="n"/>
      <c r="U555" s="7" t="n"/>
      <c r="V555" s="10">
        <f>IF(OR(T555="",U555="",U555=0),"",ROUND(T555/U555,6))</f>
        <v/>
      </c>
      <c r="W555" s="9">
        <f>IF(OR(R555="",T555="",U555="",U555=0),"",ROUND(R555*T555/U555,3))</f>
        <v/>
      </c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12">
        <f>IF(A555="","",IF(OR(B555="",C555="",D555="",E555="",H555="",O555="",T555="",U555=""),"必填欄位未完整",""))</f>
        <v/>
      </c>
      <c r="AI555" s="12">
        <f>IF(A555="","",A555&amp;"|"&amp;G555)</f>
        <v/>
      </c>
      <c r="AJ555" s="12">
        <f>IF(A555="","",A555&amp;"|"&amp;H555)</f>
        <v/>
      </c>
    </row>
    <row r="556" ht="24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8" t="n"/>
      <c r="P556" s="8" t="n"/>
      <c r="Q556" s="8" t="n"/>
      <c r="R556" s="13">
        <f>IF(O556="","",SUM(O556:Q556))</f>
        <v/>
      </c>
      <c r="S556" s="9">
        <f>IF(R556="","",ROUND(R556/3.305785,3))</f>
        <v/>
      </c>
      <c r="T556" s="7" t="n"/>
      <c r="U556" s="7" t="n"/>
      <c r="V556" s="10">
        <f>IF(OR(T556="",U556="",U556=0),"",ROUND(T556/U556,6))</f>
        <v/>
      </c>
      <c r="W556" s="9">
        <f>IF(OR(R556="",T556="",U556="",U556=0),"",ROUND(R556*T556/U556,3))</f>
        <v/>
      </c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12">
        <f>IF(A556="","",IF(OR(B556="",C556="",D556="",E556="",H556="",O556="",T556="",U556=""),"必填欄位未完整",""))</f>
        <v/>
      </c>
      <c r="AI556" s="12">
        <f>IF(A556="","",A556&amp;"|"&amp;G556)</f>
        <v/>
      </c>
      <c r="AJ556" s="12">
        <f>IF(A556="","",A556&amp;"|"&amp;H556)</f>
        <v/>
      </c>
    </row>
    <row r="557" ht="24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8" t="n"/>
      <c r="P557" s="8" t="n"/>
      <c r="Q557" s="8" t="n"/>
      <c r="R557" s="13">
        <f>IF(O557="","",SUM(O557:Q557))</f>
        <v/>
      </c>
      <c r="S557" s="9">
        <f>IF(R557="","",ROUND(R557/3.305785,3))</f>
        <v/>
      </c>
      <c r="T557" s="7" t="n"/>
      <c r="U557" s="7" t="n"/>
      <c r="V557" s="10">
        <f>IF(OR(T557="",U557="",U557=0),"",ROUND(T557/U557,6))</f>
        <v/>
      </c>
      <c r="W557" s="9">
        <f>IF(OR(R557="",T557="",U557="",U557=0),"",ROUND(R557*T557/U557,3))</f>
        <v/>
      </c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12">
        <f>IF(A557="","",IF(OR(B557="",C557="",D557="",E557="",H557="",O557="",T557="",U557=""),"必填欄位未完整",""))</f>
        <v/>
      </c>
      <c r="AI557" s="12">
        <f>IF(A557="","",A557&amp;"|"&amp;G557)</f>
        <v/>
      </c>
      <c r="AJ557" s="12">
        <f>IF(A557="","",A557&amp;"|"&amp;H557)</f>
        <v/>
      </c>
    </row>
    <row r="558" ht="24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8" t="n"/>
      <c r="P558" s="8" t="n"/>
      <c r="Q558" s="8" t="n"/>
      <c r="R558" s="13">
        <f>IF(O558="","",SUM(O558:Q558))</f>
        <v/>
      </c>
      <c r="S558" s="9">
        <f>IF(R558="","",ROUND(R558/3.305785,3))</f>
        <v/>
      </c>
      <c r="T558" s="7" t="n"/>
      <c r="U558" s="7" t="n"/>
      <c r="V558" s="10">
        <f>IF(OR(T558="",U558="",U558=0),"",ROUND(T558/U558,6))</f>
        <v/>
      </c>
      <c r="W558" s="9">
        <f>IF(OR(R558="",T558="",U558="",U558=0),"",ROUND(R558*T558/U558,3))</f>
        <v/>
      </c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12">
        <f>IF(A558="","",IF(OR(B558="",C558="",D558="",E558="",H558="",O558="",T558="",U558=""),"必填欄位未完整",""))</f>
        <v/>
      </c>
      <c r="AI558" s="12">
        <f>IF(A558="","",A558&amp;"|"&amp;G558)</f>
        <v/>
      </c>
      <c r="AJ558" s="12">
        <f>IF(A558="","",A558&amp;"|"&amp;H558)</f>
        <v/>
      </c>
    </row>
    <row r="559" ht="24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8" t="n"/>
      <c r="P559" s="8" t="n"/>
      <c r="Q559" s="8" t="n"/>
      <c r="R559" s="13">
        <f>IF(O559="","",SUM(O559:Q559))</f>
        <v/>
      </c>
      <c r="S559" s="9">
        <f>IF(R559="","",ROUND(R559/3.305785,3))</f>
        <v/>
      </c>
      <c r="T559" s="7" t="n"/>
      <c r="U559" s="7" t="n"/>
      <c r="V559" s="10">
        <f>IF(OR(T559="",U559="",U559=0),"",ROUND(T559/U559,6))</f>
        <v/>
      </c>
      <c r="W559" s="9">
        <f>IF(OR(R559="",T559="",U559="",U559=0),"",ROUND(R559*T559/U559,3))</f>
        <v/>
      </c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12">
        <f>IF(A559="","",IF(OR(B559="",C559="",D559="",E559="",H559="",O559="",T559="",U559=""),"必填欄位未完整",""))</f>
        <v/>
      </c>
      <c r="AI559" s="12">
        <f>IF(A559="","",A559&amp;"|"&amp;G559)</f>
        <v/>
      </c>
      <c r="AJ559" s="12">
        <f>IF(A559="","",A559&amp;"|"&amp;H559)</f>
        <v/>
      </c>
    </row>
    <row r="560" ht="24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8" t="n"/>
      <c r="P560" s="8" t="n"/>
      <c r="Q560" s="8" t="n"/>
      <c r="R560" s="13">
        <f>IF(O560="","",SUM(O560:Q560))</f>
        <v/>
      </c>
      <c r="S560" s="9">
        <f>IF(R560="","",ROUND(R560/3.305785,3))</f>
        <v/>
      </c>
      <c r="T560" s="7" t="n"/>
      <c r="U560" s="7" t="n"/>
      <c r="V560" s="10">
        <f>IF(OR(T560="",U560="",U560=0),"",ROUND(T560/U560,6))</f>
        <v/>
      </c>
      <c r="W560" s="9">
        <f>IF(OR(R560="",T560="",U560="",U560=0),"",ROUND(R560*T560/U560,3))</f>
        <v/>
      </c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12">
        <f>IF(A560="","",IF(OR(B560="",C560="",D560="",E560="",H560="",O560="",T560="",U560=""),"必填欄位未完整",""))</f>
        <v/>
      </c>
      <c r="AI560" s="12">
        <f>IF(A560="","",A560&amp;"|"&amp;G560)</f>
        <v/>
      </c>
      <c r="AJ560" s="12">
        <f>IF(A560="","",A560&amp;"|"&amp;H560)</f>
        <v/>
      </c>
    </row>
    <row r="561" ht="24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8" t="n"/>
      <c r="P561" s="8" t="n"/>
      <c r="Q561" s="8" t="n"/>
      <c r="R561" s="13">
        <f>IF(O561="","",SUM(O561:Q561))</f>
        <v/>
      </c>
      <c r="S561" s="9">
        <f>IF(R561="","",ROUND(R561/3.305785,3))</f>
        <v/>
      </c>
      <c r="T561" s="7" t="n"/>
      <c r="U561" s="7" t="n"/>
      <c r="V561" s="10">
        <f>IF(OR(T561="",U561="",U561=0),"",ROUND(T561/U561,6))</f>
        <v/>
      </c>
      <c r="W561" s="9">
        <f>IF(OR(R561="",T561="",U561="",U561=0),"",ROUND(R561*T561/U561,3))</f>
        <v/>
      </c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12">
        <f>IF(A561="","",IF(OR(B561="",C561="",D561="",E561="",H561="",O561="",T561="",U561=""),"必填欄位未完整",""))</f>
        <v/>
      </c>
      <c r="AI561" s="12">
        <f>IF(A561="","",A561&amp;"|"&amp;G561)</f>
        <v/>
      </c>
      <c r="AJ561" s="12">
        <f>IF(A561="","",A561&amp;"|"&amp;H561)</f>
        <v/>
      </c>
    </row>
    <row r="562" ht="24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8" t="n"/>
      <c r="P562" s="8" t="n"/>
      <c r="Q562" s="8" t="n"/>
      <c r="R562" s="13">
        <f>IF(O562="","",SUM(O562:Q562))</f>
        <v/>
      </c>
      <c r="S562" s="9">
        <f>IF(R562="","",ROUND(R562/3.305785,3))</f>
        <v/>
      </c>
      <c r="T562" s="7" t="n"/>
      <c r="U562" s="7" t="n"/>
      <c r="V562" s="10">
        <f>IF(OR(T562="",U562="",U562=0),"",ROUND(T562/U562,6))</f>
        <v/>
      </c>
      <c r="W562" s="9">
        <f>IF(OR(R562="",T562="",U562="",U562=0),"",ROUND(R562*T562/U562,3))</f>
        <v/>
      </c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12">
        <f>IF(A562="","",IF(OR(B562="",C562="",D562="",E562="",H562="",O562="",T562="",U562=""),"必填欄位未完整",""))</f>
        <v/>
      </c>
      <c r="AI562" s="12">
        <f>IF(A562="","",A562&amp;"|"&amp;G562)</f>
        <v/>
      </c>
      <c r="AJ562" s="12">
        <f>IF(A562="","",A562&amp;"|"&amp;H562)</f>
        <v/>
      </c>
    </row>
    <row r="563" ht="24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8" t="n"/>
      <c r="P563" s="8" t="n"/>
      <c r="Q563" s="8" t="n"/>
      <c r="R563" s="13">
        <f>IF(O563="","",SUM(O563:Q563))</f>
        <v/>
      </c>
      <c r="S563" s="9">
        <f>IF(R563="","",ROUND(R563/3.305785,3))</f>
        <v/>
      </c>
      <c r="T563" s="7" t="n"/>
      <c r="U563" s="7" t="n"/>
      <c r="V563" s="10">
        <f>IF(OR(T563="",U563="",U563=0),"",ROUND(T563/U563,6))</f>
        <v/>
      </c>
      <c r="W563" s="9">
        <f>IF(OR(R563="",T563="",U563="",U563=0),"",ROUND(R563*T563/U563,3))</f>
        <v/>
      </c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12">
        <f>IF(A563="","",IF(OR(B563="",C563="",D563="",E563="",H563="",O563="",T563="",U563=""),"必填欄位未完整",""))</f>
        <v/>
      </c>
      <c r="AI563" s="12">
        <f>IF(A563="","",A563&amp;"|"&amp;G563)</f>
        <v/>
      </c>
      <c r="AJ563" s="12">
        <f>IF(A563="","",A563&amp;"|"&amp;H563)</f>
        <v/>
      </c>
    </row>
    <row r="564" ht="24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8" t="n"/>
      <c r="P564" s="8" t="n"/>
      <c r="Q564" s="8" t="n"/>
      <c r="R564" s="13">
        <f>IF(O564="","",SUM(O564:Q564))</f>
        <v/>
      </c>
      <c r="S564" s="9">
        <f>IF(R564="","",ROUND(R564/3.305785,3))</f>
        <v/>
      </c>
      <c r="T564" s="7" t="n"/>
      <c r="U564" s="7" t="n"/>
      <c r="V564" s="10">
        <f>IF(OR(T564="",U564="",U564=0),"",ROUND(T564/U564,6))</f>
        <v/>
      </c>
      <c r="W564" s="9">
        <f>IF(OR(R564="",T564="",U564="",U564=0),"",ROUND(R564*T564/U564,3))</f>
        <v/>
      </c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12">
        <f>IF(A564="","",IF(OR(B564="",C564="",D564="",E564="",H564="",O564="",T564="",U564=""),"必填欄位未完整",""))</f>
        <v/>
      </c>
      <c r="AI564" s="12">
        <f>IF(A564="","",A564&amp;"|"&amp;G564)</f>
        <v/>
      </c>
      <c r="AJ564" s="12">
        <f>IF(A564="","",A564&amp;"|"&amp;H564)</f>
        <v/>
      </c>
    </row>
    <row r="565" ht="24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8" t="n"/>
      <c r="P565" s="8" t="n"/>
      <c r="Q565" s="8" t="n"/>
      <c r="R565" s="13">
        <f>IF(O565="","",SUM(O565:Q565))</f>
        <v/>
      </c>
      <c r="S565" s="9">
        <f>IF(R565="","",ROUND(R565/3.305785,3))</f>
        <v/>
      </c>
      <c r="T565" s="7" t="n"/>
      <c r="U565" s="7" t="n"/>
      <c r="V565" s="10">
        <f>IF(OR(T565="",U565="",U565=0),"",ROUND(T565/U565,6))</f>
        <v/>
      </c>
      <c r="W565" s="9">
        <f>IF(OR(R565="",T565="",U565="",U565=0),"",ROUND(R565*T565/U565,3))</f>
        <v/>
      </c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12">
        <f>IF(A565="","",IF(OR(B565="",C565="",D565="",E565="",H565="",O565="",T565="",U565=""),"必填欄位未完整",""))</f>
        <v/>
      </c>
      <c r="AI565" s="12">
        <f>IF(A565="","",A565&amp;"|"&amp;G565)</f>
        <v/>
      </c>
      <c r="AJ565" s="12">
        <f>IF(A565="","",A565&amp;"|"&amp;H565)</f>
        <v/>
      </c>
    </row>
    <row r="566" ht="24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8" t="n"/>
      <c r="P566" s="8" t="n"/>
      <c r="Q566" s="8" t="n"/>
      <c r="R566" s="13">
        <f>IF(O566="","",SUM(O566:Q566))</f>
        <v/>
      </c>
      <c r="S566" s="9">
        <f>IF(R566="","",ROUND(R566/3.305785,3))</f>
        <v/>
      </c>
      <c r="T566" s="7" t="n"/>
      <c r="U566" s="7" t="n"/>
      <c r="V566" s="10">
        <f>IF(OR(T566="",U566="",U566=0),"",ROUND(T566/U566,6))</f>
        <v/>
      </c>
      <c r="W566" s="9">
        <f>IF(OR(R566="",T566="",U566="",U566=0),"",ROUND(R566*T566/U566,3))</f>
        <v/>
      </c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12">
        <f>IF(A566="","",IF(OR(B566="",C566="",D566="",E566="",H566="",O566="",T566="",U566=""),"必填欄位未完整",""))</f>
        <v/>
      </c>
      <c r="AI566" s="12">
        <f>IF(A566="","",A566&amp;"|"&amp;G566)</f>
        <v/>
      </c>
      <c r="AJ566" s="12">
        <f>IF(A566="","",A566&amp;"|"&amp;H566)</f>
        <v/>
      </c>
    </row>
    <row r="567" ht="24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8" t="n"/>
      <c r="P567" s="8" t="n"/>
      <c r="Q567" s="8" t="n"/>
      <c r="R567" s="13">
        <f>IF(O567="","",SUM(O567:Q567))</f>
        <v/>
      </c>
      <c r="S567" s="9">
        <f>IF(R567="","",ROUND(R567/3.305785,3))</f>
        <v/>
      </c>
      <c r="T567" s="7" t="n"/>
      <c r="U567" s="7" t="n"/>
      <c r="V567" s="10">
        <f>IF(OR(T567="",U567="",U567=0),"",ROUND(T567/U567,6))</f>
        <v/>
      </c>
      <c r="W567" s="9">
        <f>IF(OR(R567="",T567="",U567="",U567=0),"",ROUND(R567*T567/U567,3))</f>
        <v/>
      </c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12">
        <f>IF(A567="","",IF(OR(B567="",C567="",D567="",E567="",H567="",O567="",T567="",U567=""),"必填欄位未完整",""))</f>
        <v/>
      </c>
      <c r="AI567" s="12">
        <f>IF(A567="","",A567&amp;"|"&amp;G567)</f>
        <v/>
      </c>
      <c r="AJ567" s="12">
        <f>IF(A567="","",A567&amp;"|"&amp;H567)</f>
        <v/>
      </c>
    </row>
    <row r="568" ht="24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8" t="n"/>
      <c r="P568" s="8" t="n"/>
      <c r="Q568" s="8" t="n"/>
      <c r="R568" s="13">
        <f>IF(O568="","",SUM(O568:Q568))</f>
        <v/>
      </c>
      <c r="S568" s="9">
        <f>IF(R568="","",ROUND(R568/3.305785,3))</f>
        <v/>
      </c>
      <c r="T568" s="7" t="n"/>
      <c r="U568" s="7" t="n"/>
      <c r="V568" s="10">
        <f>IF(OR(T568="",U568="",U568=0),"",ROUND(T568/U568,6))</f>
        <v/>
      </c>
      <c r="W568" s="9">
        <f>IF(OR(R568="",T568="",U568="",U568=0),"",ROUND(R568*T568/U568,3))</f>
        <v/>
      </c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12">
        <f>IF(A568="","",IF(OR(B568="",C568="",D568="",E568="",H568="",O568="",T568="",U568=""),"必填欄位未完整",""))</f>
        <v/>
      </c>
      <c r="AI568" s="12">
        <f>IF(A568="","",A568&amp;"|"&amp;G568)</f>
        <v/>
      </c>
      <c r="AJ568" s="12">
        <f>IF(A568="","",A568&amp;"|"&amp;H568)</f>
        <v/>
      </c>
    </row>
    <row r="569" ht="24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8" t="n"/>
      <c r="P569" s="8" t="n"/>
      <c r="Q569" s="8" t="n"/>
      <c r="R569" s="13">
        <f>IF(O569="","",SUM(O569:Q569))</f>
        <v/>
      </c>
      <c r="S569" s="9">
        <f>IF(R569="","",ROUND(R569/3.305785,3))</f>
        <v/>
      </c>
      <c r="T569" s="7" t="n"/>
      <c r="U569" s="7" t="n"/>
      <c r="V569" s="10">
        <f>IF(OR(T569="",U569="",U569=0),"",ROUND(T569/U569,6))</f>
        <v/>
      </c>
      <c r="W569" s="9">
        <f>IF(OR(R569="",T569="",U569="",U569=0),"",ROUND(R569*T569/U569,3))</f>
        <v/>
      </c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12">
        <f>IF(A569="","",IF(OR(B569="",C569="",D569="",E569="",H569="",O569="",T569="",U569=""),"必填欄位未完整",""))</f>
        <v/>
      </c>
      <c r="AI569" s="12">
        <f>IF(A569="","",A569&amp;"|"&amp;G569)</f>
        <v/>
      </c>
      <c r="AJ569" s="12">
        <f>IF(A569="","",A569&amp;"|"&amp;H569)</f>
        <v/>
      </c>
    </row>
    <row r="570" ht="24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8" t="n"/>
      <c r="P570" s="8" t="n"/>
      <c r="Q570" s="8" t="n"/>
      <c r="R570" s="13">
        <f>IF(O570="","",SUM(O570:Q570))</f>
        <v/>
      </c>
      <c r="S570" s="9">
        <f>IF(R570="","",ROUND(R570/3.305785,3))</f>
        <v/>
      </c>
      <c r="T570" s="7" t="n"/>
      <c r="U570" s="7" t="n"/>
      <c r="V570" s="10">
        <f>IF(OR(T570="",U570="",U570=0),"",ROUND(T570/U570,6))</f>
        <v/>
      </c>
      <c r="W570" s="9">
        <f>IF(OR(R570="",T570="",U570="",U570=0),"",ROUND(R570*T570/U570,3))</f>
        <v/>
      </c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12">
        <f>IF(A570="","",IF(OR(B570="",C570="",D570="",E570="",H570="",O570="",T570="",U570=""),"必填欄位未完整",""))</f>
        <v/>
      </c>
      <c r="AI570" s="12">
        <f>IF(A570="","",A570&amp;"|"&amp;G570)</f>
        <v/>
      </c>
      <c r="AJ570" s="12">
        <f>IF(A570="","",A570&amp;"|"&amp;H570)</f>
        <v/>
      </c>
    </row>
    <row r="571" ht="24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8" t="n"/>
      <c r="P571" s="8" t="n"/>
      <c r="Q571" s="8" t="n"/>
      <c r="R571" s="13">
        <f>IF(O571="","",SUM(O571:Q571))</f>
        <v/>
      </c>
      <c r="S571" s="9">
        <f>IF(R571="","",ROUND(R571/3.305785,3))</f>
        <v/>
      </c>
      <c r="T571" s="7" t="n"/>
      <c r="U571" s="7" t="n"/>
      <c r="V571" s="10">
        <f>IF(OR(T571="",U571="",U571=0),"",ROUND(T571/U571,6))</f>
        <v/>
      </c>
      <c r="W571" s="9">
        <f>IF(OR(R571="",T571="",U571="",U571=0),"",ROUND(R571*T571/U571,3))</f>
        <v/>
      </c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12">
        <f>IF(A571="","",IF(OR(B571="",C571="",D571="",E571="",H571="",O571="",T571="",U571=""),"必填欄位未完整",""))</f>
        <v/>
      </c>
      <c r="AI571" s="12">
        <f>IF(A571="","",A571&amp;"|"&amp;G571)</f>
        <v/>
      </c>
      <c r="AJ571" s="12">
        <f>IF(A571="","",A571&amp;"|"&amp;H571)</f>
        <v/>
      </c>
    </row>
    <row r="572" ht="24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8" t="n"/>
      <c r="P572" s="8" t="n"/>
      <c r="Q572" s="8" t="n"/>
      <c r="R572" s="13">
        <f>IF(O572="","",SUM(O572:Q572))</f>
        <v/>
      </c>
      <c r="S572" s="9">
        <f>IF(R572="","",ROUND(R572/3.305785,3))</f>
        <v/>
      </c>
      <c r="T572" s="7" t="n"/>
      <c r="U572" s="7" t="n"/>
      <c r="V572" s="10">
        <f>IF(OR(T572="",U572="",U572=0),"",ROUND(T572/U572,6))</f>
        <v/>
      </c>
      <c r="W572" s="9">
        <f>IF(OR(R572="",T572="",U572="",U572=0),"",ROUND(R572*T572/U572,3))</f>
        <v/>
      </c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12">
        <f>IF(A572="","",IF(OR(B572="",C572="",D572="",E572="",H572="",O572="",T572="",U572=""),"必填欄位未完整",""))</f>
        <v/>
      </c>
      <c r="AI572" s="12">
        <f>IF(A572="","",A572&amp;"|"&amp;G572)</f>
        <v/>
      </c>
      <c r="AJ572" s="12">
        <f>IF(A572="","",A572&amp;"|"&amp;H572)</f>
        <v/>
      </c>
    </row>
    <row r="573" ht="24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8" t="n"/>
      <c r="P573" s="8" t="n"/>
      <c r="Q573" s="8" t="n"/>
      <c r="R573" s="13">
        <f>IF(O573="","",SUM(O573:Q573))</f>
        <v/>
      </c>
      <c r="S573" s="9">
        <f>IF(R573="","",ROUND(R573/3.305785,3))</f>
        <v/>
      </c>
      <c r="T573" s="7" t="n"/>
      <c r="U573" s="7" t="n"/>
      <c r="V573" s="10">
        <f>IF(OR(T573="",U573="",U573=0),"",ROUND(T573/U573,6))</f>
        <v/>
      </c>
      <c r="W573" s="9">
        <f>IF(OR(R573="",T573="",U573="",U573=0),"",ROUND(R573*T573/U573,3))</f>
        <v/>
      </c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12">
        <f>IF(A573="","",IF(OR(B573="",C573="",D573="",E573="",H573="",O573="",T573="",U573=""),"必填欄位未完整",""))</f>
        <v/>
      </c>
      <c r="AI573" s="12">
        <f>IF(A573="","",A573&amp;"|"&amp;G573)</f>
        <v/>
      </c>
      <c r="AJ573" s="12">
        <f>IF(A573="","",A573&amp;"|"&amp;H573)</f>
        <v/>
      </c>
    </row>
    <row r="574" ht="24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8" t="n"/>
      <c r="P574" s="8" t="n"/>
      <c r="Q574" s="8" t="n"/>
      <c r="R574" s="13">
        <f>IF(O574="","",SUM(O574:Q574))</f>
        <v/>
      </c>
      <c r="S574" s="9">
        <f>IF(R574="","",ROUND(R574/3.305785,3))</f>
        <v/>
      </c>
      <c r="T574" s="7" t="n"/>
      <c r="U574" s="7" t="n"/>
      <c r="V574" s="10">
        <f>IF(OR(T574="",U574="",U574=0),"",ROUND(T574/U574,6))</f>
        <v/>
      </c>
      <c r="W574" s="9">
        <f>IF(OR(R574="",T574="",U574="",U574=0),"",ROUND(R574*T574/U574,3))</f>
        <v/>
      </c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12">
        <f>IF(A574="","",IF(OR(B574="",C574="",D574="",E574="",H574="",O574="",T574="",U574=""),"必填欄位未完整",""))</f>
        <v/>
      </c>
      <c r="AI574" s="12">
        <f>IF(A574="","",A574&amp;"|"&amp;G574)</f>
        <v/>
      </c>
      <c r="AJ574" s="12">
        <f>IF(A574="","",A574&amp;"|"&amp;H574)</f>
        <v/>
      </c>
    </row>
    <row r="575" ht="24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8" t="n"/>
      <c r="P575" s="8" t="n"/>
      <c r="Q575" s="8" t="n"/>
      <c r="R575" s="13">
        <f>IF(O575="","",SUM(O575:Q575))</f>
        <v/>
      </c>
      <c r="S575" s="9">
        <f>IF(R575="","",ROUND(R575/3.305785,3))</f>
        <v/>
      </c>
      <c r="T575" s="7" t="n"/>
      <c r="U575" s="7" t="n"/>
      <c r="V575" s="10">
        <f>IF(OR(T575="",U575="",U575=0),"",ROUND(T575/U575,6))</f>
        <v/>
      </c>
      <c r="W575" s="9">
        <f>IF(OR(R575="",T575="",U575="",U575=0),"",ROUND(R575*T575/U575,3))</f>
        <v/>
      </c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12">
        <f>IF(A575="","",IF(OR(B575="",C575="",D575="",E575="",H575="",O575="",T575="",U575=""),"必填欄位未完整",""))</f>
        <v/>
      </c>
      <c r="AI575" s="12">
        <f>IF(A575="","",A575&amp;"|"&amp;G575)</f>
        <v/>
      </c>
      <c r="AJ575" s="12">
        <f>IF(A575="","",A575&amp;"|"&amp;H575)</f>
        <v/>
      </c>
    </row>
    <row r="576" ht="24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8" t="n"/>
      <c r="P576" s="8" t="n"/>
      <c r="Q576" s="8" t="n"/>
      <c r="R576" s="13">
        <f>IF(O576="","",SUM(O576:Q576))</f>
        <v/>
      </c>
      <c r="S576" s="9">
        <f>IF(R576="","",ROUND(R576/3.305785,3))</f>
        <v/>
      </c>
      <c r="T576" s="7" t="n"/>
      <c r="U576" s="7" t="n"/>
      <c r="V576" s="10">
        <f>IF(OR(T576="",U576="",U576=0),"",ROUND(T576/U576,6))</f>
        <v/>
      </c>
      <c r="W576" s="9">
        <f>IF(OR(R576="",T576="",U576="",U576=0),"",ROUND(R576*T576/U576,3))</f>
        <v/>
      </c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12">
        <f>IF(A576="","",IF(OR(B576="",C576="",D576="",E576="",H576="",O576="",T576="",U576=""),"必填欄位未完整",""))</f>
        <v/>
      </c>
      <c r="AI576" s="12">
        <f>IF(A576="","",A576&amp;"|"&amp;G576)</f>
        <v/>
      </c>
      <c r="AJ576" s="12">
        <f>IF(A576="","",A576&amp;"|"&amp;H576)</f>
        <v/>
      </c>
    </row>
    <row r="577" ht="24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8" t="n"/>
      <c r="P577" s="8" t="n"/>
      <c r="Q577" s="8" t="n"/>
      <c r="R577" s="13">
        <f>IF(O577="","",SUM(O577:Q577))</f>
        <v/>
      </c>
      <c r="S577" s="9">
        <f>IF(R577="","",ROUND(R577/3.305785,3))</f>
        <v/>
      </c>
      <c r="T577" s="7" t="n"/>
      <c r="U577" s="7" t="n"/>
      <c r="V577" s="10">
        <f>IF(OR(T577="",U577="",U577=0),"",ROUND(T577/U577,6))</f>
        <v/>
      </c>
      <c r="W577" s="9">
        <f>IF(OR(R577="",T577="",U577="",U577=0),"",ROUND(R577*T577/U577,3))</f>
        <v/>
      </c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12">
        <f>IF(A577="","",IF(OR(B577="",C577="",D577="",E577="",H577="",O577="",T577="",U577=""),"必填欄位未完整",""))</f>
        <v/>
      </c>
      <c r="AI577" s="12">
        <f>IF(A577="","",A577&amp;"|"&amp;G577)</f>
        <v/>
      </c>
      <c r="AJ577" s="12">
        <f>IF(A577="","",A577&amp;"|"&amp;H577)</f>
        <v/>
      </c>
    </row>
    <row r="578" ht="24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8" t="n"/>
      <c r="P578" s="8" t="n"/>
      <c r="Q578" s="8" t="n"/>
      <c r="R578" s="13">
        <f>IF(O578="","",SUM(O578:Q578))</f>
        <v/>
      </c>
      <c r="S578" s="9">
        <f>IF(R578="","",ROUND(R578/3.305785,3))</f>
        <v/>
      </c>
      <c r="T578" s="7" t="n"/>
      <c r="U578" s="7" t="n"/>
      <c r="V578" s="10">
        <f>IF(OR(T578="",U578="",U578=0),"",ROUND(T578/U578,6))</f>
        <v/>
      </c>
      <c r="W578" s="9">
        <f>IF(OR(R578="",T578="",U578="",U578=0),"",ROUND(R578*T578/U578,3))</f>
        <v/>
      </c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12">
        <f>IF(A578="","",IF(OR(B578="",C578="",D578="",E578="",H578="",O578="",T578="",U578=""),"必填欄位未完整",""))</f>
        <v/>
      </c>
      <c r="AI578" s="12">
        <f>IF(A578="","",A578&amp;"|"&amp;G578)</f>
        <v/>
      </c>
      <c r="AJ578" s="12">
        <f>IF(A578="","",A578&amp;"|"&amp;H578)</f>
        <v/>
      </c>
    </row>
    <row r="579" ht="24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8" t="n"/>
      <c r="P579" s="8" t="n"/>
      <c r="Q579" s="8" t="n"/>
      <c r="R579" s="13">
        <f>IF(O579="","",SUM(O579:Q579))</f>
        <v/>
      </c>
      <c r="S579" s="9">
        <f>IF(R579="","",ROUND(R579/3.305785,3))</f>
        <v/>
      </c>
      <c r="T579" s="7" t="n"/>
      <c r="U579" s="7" t="n"/>
      <c r="V579" s="10">
        <f>IF(OR(T579="",U579="",U579=0),"",ROUND(T579/U579,6))</f>
        <v/>
      </c>
      <c r="W579" s="9">
        <f>IF(OR(R579="",T579="",U579="",U579=0),"",ROUND(R579*T579/U579,3))</f>
        <v/>
      </c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12">
        <f>IF(A579="","",IF(OR(B579="",C579="",D579="",E579="",H579="",O579="",T579="",U579=""),"必填欄位未完整",""))</f>
        <v/>
      </c>
      <c r="AI579" s="12">
        <f>IF(A579="","",A579&amp;"|"&amp;G579)</f>
        <v/>
      </c>
      <c r="AJ579" s="12">
        <f>IF(A579="","",A579&amp;"|"&amp;H579)</f>
        <v/>
      </c>
    </row>
    <row r="580" ht="24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8" t="n"/>
      <c r="P580" s="8" t="n"/>
      <c r="Q580" s="8" t="n"/>
      <c r="R580" s="13">
        <f>IF(O580="","",SUM(O580:Q580))</f>
        <v/>
      </c>
      <c r="S580" s="9">
        <f>IF(R580="","",ROUND(R580/3.305785,3))</f>
        <v/>
      </c>
      <c r="T580" s="7" t="n"/>
      <c r="U580" s="7" t="n"/>
      <c r="V580" s="10">
        <f>IF(OR(T580="",U580="",U580=0),"",ROUND(T580/U580,6))</f>
        <v/>
      </c>
      <c r="W580" s="9">
        <f>IF(OR(R580="",T580="",U580="",U580=0),"",ROUND(R580*T580/U580,3))</f>
        <v/>
      </c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12">
        <f>IF(A580="","",IF(OR(B580="",C580="",D580="",E580="",H580="",O580="",T580="",U580=""),"必填欄位未完整",""))</f>
        <v/>
      </c>
      <c r="AI580" s="12">
        <f>IF(A580="","",A580&amp;"|"&amp;G580)</f>
        <v/>
      </c>
      <c r="AJ580" s="12">
        <f>IF(A580="","",A580&amp;"|"&amp;H580)</f>
        <v/>
      </c>
    </row>
    <row r="581" ht="24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8" t="n"/>
      <c r="P581" s="8" t="n"/>
      <c r="Q581" s="8" t="n"/>
      <c r="R581" s="13">
        <f>IF(O581="","",SUM(O581:Q581))</f>
        <v/>
      </c>
      <c r="S581" s="9">
        <f>IF(R581="","",ROUND(R581/3.305785,3))</f>
        <v/>
      </c>
      <c r="T581" s="7" t="n"/>
      <c r="U581" s="7" t="n"/>
      <c r="V581" s="10">
        <f>IF(OR(T581="",U581="",U581=0),"",ROUND(T581/U581,6))</f>
        <v/>
      </c>
      <c r="W581" s="9">
        <f>IF(OR(R581="",T581="",U581="",U581=0),"",ROUND(R581*T581/U581,3))</f>
        <v/>
      </c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12">
        <f>IF(A581="","",IF(OR(B581="",C581="",D581="",E581="",H581="",O581="",T581="",U581=""),"必填欄位未完整",""))</f>
        <v/>
      </c>
      <c r="AI581" s="12">
        <f>IF(A581="","",A581&amp;"|"&amp;G581)</f>
        <v/>
      </c>
      <c r="AJ581" s="12">
        <f>IF(A581="","",A581&amp;"|"&amp;H581)</f>
        <v/>
      </c>
    </row>
    <row r="582" ht="24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8" t="n"/>
      <c r="P582" s="8" t="n"/>
      <c r="Q582" s="8" t="n"/>
      <c r="R582" s="13">
        <f>IF(O582="","",SUM(O582:Q582))</f>
        <v/>
      </c>
      <c r="S582" s="9">
        <f>IF(R582="","",ROUND(R582/3.305785,3))</f>
        <v/>
      </c>
      <c r="T582" s="7" t="n"/>
      <c r="U582" s="7" t="n"/>
      <c r="V582" s="10">
        <f>IF(OR(T582="",U582="",U582=0),"",ROUND(T582/U582,6))</f>
        <v/>
      </c>
      <c r="W582" s="9">
        <f>IF(OR(R582="",T582="",U582="",U582=0),"",ROUND(R582*T582/U582,3))</f>
        <v/>
      </c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12">
        <f>IF(A582="","",IF(OR(B582="",C582="",D582="",E582="",H582="",O582="",T582="",U582=""),"必填欄位未完整",""))</f>
        <v/>
      </c>
      <c r="AI582" s="12">
        <f>IF(A582="","",A582&amp;"|"&amp;G582)</f>
        <v/>
      </c>
      <c r="AJ582" s="12">
        <f>IF(A582="","",A582&amp;"|"&amp;H582)</f>
        <v/>
      </c>
    </row>
    <row r="583" ht="24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8" t="n"/>
      <c r="P583" s="8" t="n"/>
      <c r="Q583" s="8" t="n"/>
      <c r="R583" s="13">
        <f>IF(O583="","",SUM(O583:Q583))</f>
        <v/>
      </c>
      <c r="S583" s="9">
        <f>IF(R583="","",ROUND(R583/3.305785,3))</f>
        <v/>
      </c>
      <c r="T583" s="7" t="n"/>
      <c r="U583" s="7" t="n"/>
      <c r="V583" s="10">
        <f>IF(OR(T583="",U583="",U583=0),"",ROUND(T583/U583,6))</f>
        <v/>
      </c>
      <c r="W583" s="9">
        <f>IF(OR(R583="",T583="",U583="",U583=0),"",ROUND(R583*T583/U583,3))</f>
        <v/>
      </c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12">
        <f>IF(A583="","",IF(OR(B583="",C583="",D583="",E583="",H583="",O583="",T583="",U583=""),"必填欄位未完整",""))</f>
        <v/>
      </c>
      <c r="AI583" s="12">
        <f>IF(A583="","",A583&amp;"|"&amp;G583)</f>
        <v/>
      </c>
      <c r="AJ583" s="12">
        <f>IF(A583="","",A583&amp;"|"&amp;H583)</f>
        <v/>
      </c>
    </row>
    <row r="584" ht="24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8" t="n"/>
      <c r="P584" s="8" t="n"/>
      <c r="Q584" s="8" t="n"/>
      <c r="R584" s="13">
        <f>IF(O584="","",SUM(O584:Q584))</f>
        <v/>
      </c>
      <c r="S584" s="9">
        <f>IF(R584="","",ROUND(R584/3.305785,3))</f>
        <v/>
      </c>
      <c r="T584" s="7" t="n"/>
      <c r="U584" s="7" t="n"/>
      <c r="V584" s="10">
        <f>IF(OR(T584="",U584="",U584=0),"",ROUND(T584/U584,6))</f>
        <v/>
      </c>
      <c r="W584" s="9">
        <f>IF(OR(R584="",T584="",U584="",U584=0),"",ROUND(R584*T584/U584,3))</f>
        <v/>
      </c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12">
        <f>IF(A584="","",IF(OR(B584="",C584="",D584="",E584="",H584="",O584="",T584="",U584=""),"必填欄位未完整",""))</f>
        <v/>
      </c>
      <c r="AI584" s="12">
        <f>IF(A584="","",A584&amp;"|"&amp;G584)</f>
        <v/>
      </c>
      <c r="AJ584" s="12">
        <f>IF(A584="","",A584&amp;"|"&amp;H584)</f>
        <v/>
      </c>
    </row>
    <row r="585" ht="24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8" t="n"/>
      <c r="P585" s="8" t="n"/>
      <c r="Q585" s="8" t="n"/>
      <c r="R585" s="13">
        <f>IF(O585="","",SUM(O585:Q585))</f>
        <v/>
      </c>
      <c r="S585" s="9">
        <f>IF(R585="","",ROUND(R585/3.305785,3))</f>
        <v/>
      </c>
      <c r="T585" s="7" t="n"/>
      <c r="U585" s="7" t="n"/>
      <c r="V585" s="10">
        <f>IF(OR(T585="",U585="",U585=0),"",ROUND(T585/U585,6))</f>
        <v/>
      </c>
      <c r="W585" s="9">
        <f>IF(OR(R585="",T585="",U585="",U585=0),"",ROUND(R585*T585/U585,3))</f>
        <v/>
      </c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12">
        <f>IF(A585="","",IF(OR(B585="",C585="",D585="",E585="",H585="",O585="",T585="",U585=""),"必填欄位未完整",""))</f>
        <v/>
      </c>
      <c r="AI585" s="12">
        <f>IF(A585="","",A585&amp;"|"&amp;G585)</f>
        <v/>
      </c>
      <c r="AJ585" s="12">
        <f>IF(A585="","",A585&amp;"|"&amp;H585)</f>
        <v/>
      </c>
    </row>
    <row r="586" ht="24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8" t="n"/>
      <c r="P586" s="8" t="n"/>
      <c r="Q586" s="8" t="n"/>
      <c r="R586" s="13">
        <f>IF(O586="","",SUM(O586:Q586))</f>
        <v/>
      </c>
      <c r="S586" s="9">
        <f>IF(R586="","",ROUND(R586/3.305785,3))</f>
        <v/>
      </c>
      <c r="T586" s="7" t="n"/>
      <c r="U586" s="7" t="n"/>
      <c r="V586" s="10">
        <f>IF(OR(T586="",U586="",U586=0),"",ROUND(T586/U586,6))</f>
        <v/>
      </c>
      <c r="W586" s="9">
        <f>IF(OR(R586="",T586="",U586="",U586=0),"",ROUND(R586*T586/U586,3))</f>
        <v/>
      </c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12">
        <f>IF(A586="","",IF(OR(B586="",C586="",D586="",E586="",H586="",O586="",T586="",U586=""),"必填欄位未完整",""))</f>
        <v/>
      </c>
      <c r="AI586" s="12">
        <f>IF(A586="","",A586&amp;"|"&amp;G586)</f>
        <v/>
      </c>
      <c r="AJ586" s="12">
        <f>IF(A586="","",A586&amp;"|"&amp;H586)</f>
        <v/>
      </c>
    </row>
    <row r="587" ht="24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8" t="n"/>
      <c r="P587" s="8" t="n"/>
      <c r="Q587" s="8" t="n"/>
      <c r="R587" s="13">
        <f>IF(O587="","",SUM(O587:Q587))</f>
        <v/>
      </c>
      <c r="S587" s="9">
        <f>IF(R587="","",ROUND(R587/3.305785,3))</f>
        <v/>
      </c>
      <c r="T587" s="7" t="n"/>
      <c r="U587" s="7" t="n"/>
      <c r="V587" s="10">
        <f>IF(OR(T587="",U587="",U587=0),"",ROUND(T587/U587,6))</f>
        <v/>
      </c>
      <c r="W587" s="9">
        <f>IF(OR(R587="",T587="",U587="",U587=0),"",ROUND(R587*T587/U587,3))</f>
        <v/>
      </c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12">
        <f>IF(A587="","",IF(OR(B587="",C587="",D587="",E587="",H587="",O587="",T587="",U587=""),"必填欄位未完整",""))</f>
        <v/>
      </c>
      <c r="AI587" s="12">
        <f>IF(A587="","",A587&amp;"|"&amp;G587)</f>
        <v/>
      </c>
      <c r="AJ587" s="12">
        <f>IF(A587="","",A587&amp;"|"&amp;H587)</f>
        <v/>
      </c>
    </row>
    <row r="588" ht="24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8" t="n"/>
      <c r="P588" s="8" t="n"/>
      <c r="Q588" s="8" t="n"/>
      <c r="R588" s="13">
        <f>IF(O588="","",SUM(O588:Q588))</f>
        <v/>
      </c>
      <c r="S588" s="9">
        <f>IF(R588="","",ROUND(R588/3.305785,3))</f>
        <v/>
      </c>
      <c r="T588" s="7" t="n"/>
      <c r="U588" s="7" t="n"/>
      <c r="V588" s="10">
        <f>IF(OR(T588="",U588="",U588=0),"",ROUND(T588/U588,6))</f>
        <v/>
      </c>
      <c r="W588" s="9">
        <f>IF(OR(R588="",T588="",U588="",U588=0),"",ROUND(R588*T588/U588,3))</f>
        <v/>
      </c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12">
        <f>IF(A588="","",IF(OR(B588="",C588="",D588="",E588="",H588="",O588="",T588="",U588=""),"必填欄位未完整",""))</f>
        <v/>
      </c>
      <c r="AI588" s="12">
        <f>IF(A588="","",A588&amp;"|"&amp;G588)</f>
        <v/>
      </c>
      <c r="AJ588" s="12">
        <f>IF(A588="","",A588&amp;"|"&amp;H588)</f>
        <v/>
      </c>
    </row>
    <row r="589" ht="24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8" t="n"/>
      <c r="P589" s="8" t="n"/>
      <c r="Q589" s="8" t="n"/>
      <c r="R589" s="13">
        <f>IF(O589="","",SUM(O589:Q589))</f>
        <v/>
      </c>
      <c r="S589" s="9">
        <f>IF(R589="","",ROUND(R589/3.305785,3))</f>
        <v/>
      </c>
      <c r="T589" s="7" t="n"/>
      <c r="U589" s="7" t="n"/>
      <c r="V589" s="10">
        <f>IF(OR(T589="",U589="",U589=0),"",ROUND(T589/U589,6))</f>
        <v/>
      </c>
      <c r="W589" s="9">
        <f>IF(OR(R589="",T589="",U589="",U589=0),"",ROUND(R589*T589/U589,3))</f>
        <v/>
      </c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12">
        <f>IF(A589="","",IF(OR(B589="",C589="",D589="",E589="",H589="",O589="",T589="",U589=""),"必填欄位未完整",""))</f>
        <v/>
      </c>
      <c r="AI589" s="12">
        <f>IF(A589="","",A589&amp;"|"&amp;G589)</f>
        <v/>
      </c>
      <c r="AJ589" s="12">
        <f>IF(A589="","",A589&amp;"|"&amp;H589)</f>
        <v/>
      </c>
    </row>
    <row r="590" ht="24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8" t="n"/>
      <c r="P590" s="8" t="n"/>
      <c r="Q590" s="8" t="n"/>
      <c r="R590" s="13">
        <f>IF(O590="","",SUM(O590:Q590))</f>
        <v/>
      </c>
      <c r="S590" s="9">
        <f>IF(R590="","",ROUND(R590/3.305785,3))</f>
        <v/>
      </c>
      <c r="T590" s="7" t="n"/>
      <c r="U590" s="7" t="n"/>
      <c r="V590" s="10">
        <f>IF(OR(T590="",U590="",U590=0),"",ROUND(T590/U590,6))</f>
        <v/>
      </c>
      <c r="W590" s="9">
        <f>IF(OR(R590="",T590="",U590="",U590=0),"",ROUND(R590*T590/U590,3))</f>
        <v/>
      </c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12">
        <f>IF(A590="","",IF(OR(B590="",C590="",D590="",E590="",H590="",O590="",T590="",U590=""),"必填欄位未完整",""))</f>
        <v/>
      </c>
      <c r="AI590" s="12">
        <f>IF(A590="","",A590&amp;"|"&amp;G590)</f>
        <v/>
      </c>
      <c r="AJ590" s="12">
        <f>IF(A590="","",A590&amp;"|"&amp;H590)</f>
        <v/>
      </c>
    </row>
    <row r="591" ht="24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8" t="n"/>
      <c r="P591" s="8" t="n"/>
      <c r="Q591" s="8" t="n"/>
      <c r="R591" s="13">
        <f>IF(O591="","",SUM(O591:Q591))</f>
        <v/>
      </c>
      <c r="S591" s="9">
        <f>IF(R591="","",ROUND(R591/3.305785,3))</f>
        <v/>
      </c>
      <c r="T591" s="7" t="n"/>
      <c r="U591" s="7" t="n"/>
      <c r="V591" s="10">
        <f>IF(OR(T591="",U591="",U591=0),"",ROUND(T591/U591,6))</f>
        <v/>
      </c>
      <c r="W591" s="9">
        <f>IF(OR(R591="",T591="",U591="",U591=0),"",ROUND(R591*T591/U591,3))</f>
        <v/>
      </c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12">
        <f>IF(A591="","",IF(OR(B591="",C591="",D591="",E591="",H591="",O591="",T591="",U591=""),"必填欄位未完整",""))</f>
        <v/>
      </c>
      <c r="AI591" s="12">
        <f>IF(A591="","",A591&amp;"|"&amp;G591)</f>
        <v/>
      </c>
      <c r="AJ591" s="12">
        <f>IF(A591="","",A591&amp;"|"&amp;H591)</f>
        <v/>
      </c>
    </row>
    <row r="592" ht="24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8" t="n"/>
      <c r="P592" s="8" t="n"/>
      <c r="Q592" s="8" t="n"/>
      <c r="R592" s="13">
        <f>IF(O592="","",SUM(O592:Q592))</f>
        <v/>
      </c>
      <c r="S592" s="9">
        <f>IF(R592="","",ROUND(R592/3.305785,3))</f>
        <v/>
      </c>
      <c r="T592" s="7" t="n"/>
      <c r="U592" s="7" t="n"/>
      <c r="V592" s="10">
        <f>IF(OR(T592="",U592="",U592=0),"",ROUND(T592/U592,6))</f>
        <v/>
      </c>
      <c r="W592" s="9">
        <f>IF(OR(R592="",T592="",U592="",U592=0),"",ROUND(R592*T592/U592,3))</f>
        <v/>
      </c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12">
        <f>IF(A592="","",IF(OR(B592="",C592="",D592="",E592="",H592="",O592="",T592="",U592=""),"必填欄位未完整",""))</f>
        <v/>
      </c>
      <c r="AI592" s="12">
        <f>IF(A592="","",A592&amp;"|"&amp;G592)</f>
        <v/>
      </c>
      <c r="AJ592" s="12">
        <f>IF(A592="","",A592&amp;"|"&amp;H592)</f>
        <v/>
      </c>
    </row>
    <row r="593" ht="24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8" t="n"/>
      <c r="P593" s="8" t="n"/>
      <c r="Q593" s="8" t="n"/>
      <c r="R593" s="13">
        <f>IF(O593="","",SUM(O593:Q593))</f>
        <v/>
      </c>
      <c r="S593" s="9">
        <f>IF(R593="","",ROUND(R593/3.305785,3))</f>
        <v/>
      </c>
      <c r="T593" s="7" t="n"/>
      <c r="U593" s="7" t="n"/>
      <c r="V593" s="10">
        <f>IF(OR(T593="",U593="",U593=0),"",ROUND(T593/U593,6))</f>
        <v/>
      </c>
      <c r="W593" s="9">
        <f>IF(OR(R593="",T593="",U593="",U593=0),"",ROUND(R593*T593/U593,3))</f>
        <v/>
      </c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12">
        <f>IF(A593="","",IF(OR(B593="",C593="",D593="",E593="",H593="",O593="",T593="",U593=""),"必填欄位未完整",""))</f>
        <v/>
      </c>
      <c r="AI593" s="12">
        <f>IF(A593="","",A593&amp;"|"&amp;G593)</f>
        <v/>
      </c>
      <c r="AJ593" s="12">
        <f>IF(A593="","",A593&amp;"|"&amp;H593)</f>
        <v/>
      </c>
    </row>
    <row r="594" ht="24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8" t="n"/>
      <c r="P594" s="8" t="n"/>
      <c r="Q594" s="8" t="n"/>
      <c r="R594" s="13">
        <f>IF(O594="","",SUM(O594:Q594))</f>
        <v/>
      </c>
      <c r="S594" s="9">
        <f>IF(R594="","",ROUND(R594/3.305785,3))</f>
        <v/>
      </c>
      <c r="T594" s="7" t="n"/>
      <c r="U594" s="7" t="n"/>
      <c r="V594" s="10">
        <f>IF(OR(T594="",U594="",U594=0),"",ROUND(T594/U594,6))</f>
        <v/>
      </c>
      <c r="W594" s="9">
        <f>IF(OR(R594="",T594="",U594="",U594=0),"",ROUND(R594*T594/U594,3))</f>
        <v/>
      </c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12">
        <f>IF(A594="","",IF(OR(B594="",C594="",D594="",E594="",H594="",O594="",T594="",U594=""),"必填欄位未完整",""))</f>
        <v/>
      </c>
      <c r="AI594" s="12">
        <f>IF(A594="","",A594&amp;"|"&amp;G594)</f>
        <v/>
      </c>
      <c r="AJ594" s="12">
        <f>IF(A594="","",A594&amp;"|"&amp;H594)</f>
        <v/>
      </c>
    </row>
    <row r="595" ht="24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8" t="n"/>
      <c r="P595" s="8" t="n"/>
      <c r="Q595" s="8" t="n"/>
      <c r="R595" s="13">
        <f>IF(O595="","",SUM(O595:Q595))</f>
        <v/>
      </c>
      <c r="S595" s="9">
        <f>IF(R595="","",ROUND(R595/3.305785,3))</f>
        <v/>
      </c>
      <c r="T595" s="7" t="n"/>
      <c r="U595" s="7" t="n"/>
      <c r="V595" s="10">
        <f>IF(OR(T595="",U595="",U595=0),"",ROUND(T595/U595,6))</f>
        <v/>
      </c>
      <c r="W595" s="9">
        <f>IF(OR(R595="",T595="",U595="",U595=0),"",ROUND(R595*T595/U595,3))</f>
        <v/>
      </c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12">
        <f>IF(A595="","",IF(OR(B595="",C595="",D595="",E595="",H595="",O595="",T595="",U595=""),"必填欄位未完整",""))</f>
        <v/>
      </c>
      <c r="AI595" s="12">
        <f>IF(A595="","",A595&amp;"|"&amp;G595)</f>
        <v/>
      </c>
      <c r="AJ595" s="12">
        <f>IF(A595="","",A595&amp;"|"&amp;H595)</f>
        <v/>
      </c>
    </row>
    <row r="596" ht="24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8" t="n"/>
      <c r="P596" s="8" t="n"/>
      <c r="Q596" s="8" t="n"/>
      <c r="R596" s="13">
        <f>IF(O596="","",SUM(O596:Q596))</f>
        <v/>
      </c>
      <c r="S596" s="9">
        <f>IF(R596="","",ROUND(R596/3.305785,3))</f>
        <v/>
      </c>
      <c r="T596" s="7" t="n"/>
      <c r="U596" s="7" t="n"/>
      <c r="V596" s="10">
        <f>IF(OR(T596="",U596="",U596=0),"",ROUND(T596/U596,6))</f>
        <v/>
      </c>
      <c r="W596" s="9">
        <f>IF(OR(R596="",T596="",U596="",U596=0),"",ROUND(R596*T596/U596,3))</f>
        <v/>
      </c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12">
        <f>IF(A596="","",IF(OR(B596="",C596="",D596="",E596="",H596="",O596="",T596="",U596=""),"必填欄位未完整",""))</f>
        <v/>
      </c>
      <c r="AI596" s="12">
        <f>IF(A596="","",A596&amp;"|"&amp;G596)</f>
        <v/>
      </c>
      <c r="AJ596" s="12">
        <f>IF(A596="","",A596&amp;"|"&amp;H596)</f>
        <v/>
      </c>
    </row>
    <row r="597" ht="24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8" t="n"/>
      <c r="P597" s="8" t="n"/>
      <c r="Q597" s="8" t="n"/>
      <c r="R597" s="13">
        <f>IF(O597="","",SUM(O597:Q597))</f>
        <v/>
      </c>
      <c r="S597" s="9">
        <f>IF(R597="","",ROUND(R597/3.305785,3))</f>
        <v/>
      </c>
      <c r="T597" s="7" t="n"/>
      <c r="U597" s="7" t="n"/>
      <c r="V597" s="10">
        <f>IF(OR(T597="",U597="",U597=0),"",ROUND(T597/U597,6))</f>
        <v/>
      </c>
      <c r="W597" s="9">
        <f>IF(OR(R597="",T597="",U597="",U597=0),"",ROUND(R597*T597/U597,3))</f>
        <v/>
      </c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12">
        <f>IF(A597="","",IF(OR(B597="",C597="",D597="",E597="",H597="",O597="",T597="",U597=""),"必填欄位未完整",""))</f>
        <v/>
      </c>
      <c r="AI597" s="12">
        <f>IF(A597="","",A597&amp;"|"&amp;G597)</f>
        <v/>
      </c>
      <c r="AJ597" s="12">
        <f>IF(A597="","",A597&amp;"|"&amp;H597)</f>
        <v/>
      </c>
    </row>
    <row r="598" ht="24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8" t="n"/>
      <c r="P598" s="8" t="n"/>
      <c r="Q598" s="8" t="n"/>
      <c r="R598" s="13">
        <f>IF(O598="","",SUM(O598:Q598))</f>
        <v/>
      </c>
      <c r="S598" s="9">
        <f>IF(R598="","",ROUND(R598/3.305785,3))</f>
        <v/>
      </c>
      <c r="T598" s="7" t="n"/>
      <c r="U598" s="7" t="n"/>
      <c r="V598" s="10">
        <f>IF(OR(T598="",U598="",U598=0),"",ROUND(T598/U598,6))</f>
        <v/>
      </c>
      <c r="W598" s="9">
        <f>IF(OR(R598="",T598="",U598="",U598=0),"",ROUND(R598*T598/U598,3))</f>
        <v/>
      </c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12">
        <f>IF(A598="","",IF(OR(B598="",C598="",D598="",E598="",H598="",O598="",T598="",U598=""),"必填欄位未完整",""))</f>
        <v/>
      </c>
      <c r="AI598" s="12">
        <f>IF(A598="","",A598&amp;"|"&amp;G598)</f>
        <v/>
      </c>
      <c r="AJ598" s="12">
        <f>IF(A598="","",A598&amp;"|"&amp;H598)</f>
        <v/>
      </c>
    </row>
    <row r="599" ht="24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8" t="n"/>
      <c r="P599" s="8" t="n"/>
      <c r="Q599" s="8" t="n"/>
      <c r="R599" s="13">
        <f>IF(O599="","",SUM(O599:Q599))</f>
        <v/>
      </c>
      <c r="S599" s="9">
        <f>IF(R599="","",ROUND(R599/3.305785,3))</f>
        <v/>
      </c>
      <c r="T599" s="7" t="n"/>
      <c r="U599" s="7" t="n"/>
      <c r="V599" s="10">
        <f>IF(OR(T599="",U599="",U599=0),"",ROUND(T599/U599,6))</f>
        <v/>
      </c>
      <c r="W599" s="9">
        <f>IF(OR(R599="",T599="",U599="",U599=0),"",ROUND(R599*T599/U599,3))</f>
        <v/>
      </c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12">
        <f>IF(A599="","",IF(OR(B599="",C599="",D599="",E599="",H599="",O599="",T599="",U599=""),"必填欄位未完整",""))</f>
        <v/>
      </c>
      <c r="AI599" s="12">
        <f>IF(A599="","",A599&amp;"|"&amp;G599)</f>
        <v/>
      </c>
      <c r="AJ599" s="12">
        <f>IF(A599="","",A599&amp;"|"&amp;H599)</f>
        <v/>
      </c>
    </row>
    <row r="600" ht="24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8" t="n"/>
      <c r="P600" s="8" t="n"/>
      <c r="Q600" s="8" t="n"/>
      <c r="R600" s="13">
        <f>IF(O600="","",SUM(O600:Q600))</f>
        <v/>
      </c>
      <c r="S600" s="9">
        <f>IF(R600="","",ROUND(R600/3.305785,3))</f>
        <v/>
      </c>
      <c r="T600" s="7" t="n"/>
      <c r="U600" s="7" t="n"/>
      <c r="V600" s="10">
        <f>IF(OR(T600="",U600="",U600=0),"",ROUND(T600/U600,6))</f>
        <v/>
      </c>
      <c r="W600" s="9">
        <f>IF(OR(R600="",T600="",U600="",U600=0),"",ROUND(R600*T600/U600,3))</f>
        <v/>
      </c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12">
        <f>IF(A600="","",IF(OR(B600="",C600="",D600="",E600="",H600="",O600="",T600="",U600=""),"必填欄位未完整",""))</f>
        <v/>
      </c>
      <c r="AI600" s="12">
        <f>IF(A600="","",A600&amp;"|"&amp;G600)</f>
        <v/>
      </c>
      <c r="AJ600" s="12">
        <f>IF(A600="","",A600&amp;"|"&amp;H600)</f>
        <v/>
      </c>
    </row>
    <row r="601" ht="24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8" t="n"/>
      <c r="P601" s="8" t="n"/>
      <c r="Q601" s="8" t="n"/>
      <c r="R601" s="13">
        <f>IF(O601="","",SUM(O601:Q601))</f>
        <v/>
      </c>
      <c r="S601" s="9">
        <f>IF(R601="","",ROUND(R601/3.305785,3))</f>
        <v/>
      </c>
      <c r="T601" s="7" t="n"/>
      <c r="U601" s="7" t="n"/>
      <c r="V601" s="10">
        <f>IF(OR(T601="",U601="",U601=0),"",ROUND(T601/U601,6))</f>
        <v/>
      </c>
      <c r="W601" s="9">
        <f>IF(OR(R601="",T601="",U601="",U601=0),"",ROUND(R601*T601/U601,3))</f>
        <v/>
      </c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12">
        <f>IF(A601="","",IF(OR(B601="",C601="",D601="",E601="",H601="",O601="",T601="",U601=""),"必填欄位未完整",""))</f>
        <v/>
      </c>
      <c r="AI601" s="12">
        <f>IF(A601="","",A601&amp;"|"&amp;G601)</f>
        <v/>
      </c>
      <c r="AJ601" s="12">
        <f>IF(A601="","",A601&amp;"|"&amp;H601)</f>
        <v/>
      </c>
    </row>
    <row r="602" ht="24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8" t="n"/>
      <c r="P602" s="8" t="n"/>
      <c r="Q602" s="8" t="n"/>
      <c r="R602" s="13">
        <f>IF(O602="","",SUM(O602:Q602))</f>
        <v/>
      </c>
      <c r="S602" s="9">
        <f>IF(R602="","",ROUND(R602/3.305785,3))</f>
        <v/>
      </c>
      <c r="T602" s="7" t="n"/>
      <c r="U602" s="7" t="n"/>
      <c r="V602" s="10">
        <f>IF(OR(T602="",U602="",U602=0),"",ROUND(T602/U602,6))</f>
        <v/>
      </c>
      <c r="W602" s="9">
        <f>IF(OR(R602="",T602="",U602="",U602=0),"",ROUND(R602*T602/U602,3))</f>
        <v/>
      </c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12">
        <f>IF(A602="","",IF(OR(B602="",C602="",D602="",E602="",H602="",O602="",T602="",U602=""),"必填欄位未完整",""))</f>
        <v/>
      </c>
      <c r="AI602" s="12">
        <f>IF(A602="","",A602&amp;"|"&amp;G602)</f>
        <v/>
      </c>
      <c r="AJ602" s="12">
        <f>IF(A602="","",A602&amp;"|"&amp;H602)</f>
        <v/>
      </c>
    </row>
    <row r="603" ht="24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8" t="n"/>
      <c r="P603" s="8" t="n"/>
      <c r="Q603" s="8" t="n"/>
      <c r="R603" s="13">
        <f>IF(O603="","",SUM(O603:Q603))</f>
        <v/>
      </c>
      <c r="S603" s="9">
        <f>IF(R603="","",ROUND(R603/3.305785,3))</f>
        <v/>
      </c>
      <c r="T603" s="7" t="n"/>
      <c r="U603" s="7" t="n"/>
      <c r="V603" s="10">
        <f>IF(OR(T603="",U603="",U603=0),"",ROUND(T603/U603,6))</f>
        <v/>
      </c>
      <c r="W603" s="9">
        <f>IF(OR(R603="",T603="",U603="",U603=0),"",ROUND(R603*T603/U603,3))</f>
        <v/>
      </c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12">
        <f>IF(A603="","",IF(OR(B603="",C603="",D603="",E603="",H603="",O603="",T603="",U603=""),"必填欄位未完整",""))</f>
        <v/>
      </c>
      <c r="AI603" s="12">
        <f>IF(A603="","",A603&amp;"|"&amp;G603)</f>
        <v/>
      </c>
      <c r="AJ603" s="12">
        <f>IF(A603="","",A603&amp;"|"&amp;H603)</f>
        <v/>
      </c>
    </row>
    <row r="604" ht="24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8" t="n"/>
      <c r="P604" s="8" t="n"/>
      <c r="Q604" s="8" t="n"/>
      <c r="R604" s="13">
        <f>IF(O604="","",SUM(O604:Q604))</f>
        <v/>
      </c>
      <c r="S604" s="9">
        <f>IF(R604="","",ROUND(R604/3.305785,3))</f>
        <v/>
      </c>
      <c r="T604" s="7" t="n"/>
      <c r="U604" s="7" t="n"/>
      <c r="V604" s="10">
        <f>IF(OR(T604="",U604="",U604=0),"",ROUND(T604/U604,6))</f>
        <v/>
      </c>
      <c r="W604" s="9">
        <f>IF(OR(R604="",T604="",U604="",U604=0),"",ROUND(R604*T604/U604,3))</f>
        <v/>
      </c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12">
        <f>IF(A604="","",IF(OR(B604="",C604="",D604="",E604="",H604="",O604="",T604="",U604=""),"必填欄位未完整",""))</f>
        <v/>
      </c>
      <c r="AI604" s="12">
        <f>IF(A604="","",A604&amp;"|"&amp;G604)</f>
        <v/>
      </c>
      <c r="AJ604" s="12">
        <f>IF(A604="","",A604&amp;"|"&amp;H604)</f>
        <v/>
      </c>
    </row>
    <row r="605" ht="24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8" t="n"/>
      <c r="P605" s="8" t="n"/>
      <c r="Q605" s="8" t="n"/>
      <c r="R605" s="13">
        <f>IF(O605="","",SUM(O605:Q605))</f>
        <v/>
      </c>
      <c r="S605" s="9">
        <f>IF(R605="","",ROUND(R605/3.305785,3))</f>
        <v/>
      </c>
      <c r="T605" s="7" t="n"/>
      <c r="U605" s="7" t="n"/>
      <c r="V605" s="10">
        <f>IF(OR(T605="",U605="",U605=0),"",ROUND(T605/U605,6))</f>
        <v/>
      </c>
      <c r="W605" s="9">
        <f>IF(OR(R605="",T605="",U605="",U605=0),"",ROUND(R605*T605/U605,3))</f>
        <v/>
      </c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12">
        <f>IF(A605="","",IF(OR(B605="",C605="",D605="",E605="",H605="",O605="",T605="",U605=""),"必填欄位未完整",""))</f>
        <v/>
      </c>
      <c r="AI605" s="12">
        <f>IF(A605="","",A605&amp;"|"&amp;G605)</f>
        <v/>
      </c>
      <c r="AJ605" s="12">
        <f>IF(A605="","",A605&amp;"|"&amp;H605)</f>
        <v/>
      </c>
    </row>
    <row r="606" ht="24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8" t="n"/>
      <c r="P606" s="8" t="n"/>
      <c r="Q606" s="8" t="n"/>
      <c r="R606" s="13">
        <f>IF(O606="","",SUM(O606:Q606))</f>
        <v/>
      </c>
      <c r="S606" s="9">
        <f>IF(R606="","",ROUND(R606/3.305785,3))</f>
        <v/>
      </c>
      <c r="T606" s="7" t="n"/>
      <c r="U606" s="7" t="n"/>
      <c r="V606" s="10">
        <f>IF(OR(T606="",U606="",U606=0),"",ROUND(T606/U606,6))</f>
        <v/>
      </c>
      <c r="W606" s="9">
        <f>IF(OR(R606="",T606="",U606="",U606=0),"",ROUND(R606*T606/U606,3))</f>
        <v/>
      </c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12">
        <f>IF(A606="","",IF(OR(B606="",C606="",D606="",E606="",H606="",O606="",T606="",U606=""),"必填欄位未完整",""))</f>
        <v/>
      </c>
      <c r="AI606" s="12">
        <f>IF(A606="","",A606&amp;"|"&amp;G606)</f>
        <v/>
      </c>
      <c r="AJ606" s="12">
        <f>IF(A606="","",A606&amp;"|"&amp;H606)</f>
        <v/>
      </c>
    </row>
    <row r="607" ht="24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8" t="n"/>
      <c r="P607" s="8" t="n"/>
      <c r="Q607" s="8" t="n"/>
      <c r="R607" s="13">
        <f>IF(O607="","",SUM(O607:Q607))</f>
        <v/>
      </c>
      <c r="S607" s="9">
        <f>IF(R607="","",ROUND(R607/3.305785,3))</f>
        <v/>
      </c>
      <c r="T607" s="7" t="n"/>
      <c r="U607" s="7" t="n"/>
      <c r="V607" s="10">
        <f>IF(OR(T607="",U607="",U607=0),"",ROUND(T607/U607,6))</f>
        <v/>
      </c>
      <c r="W607" s="9">
        <f>IF(OR(R607="",T607="",U607="",U607=0),"",ROUND(R607*T607/U607,3))</f>
        <v/>
      </c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12">
        <f>IF(A607="","",IF(OR(B607="",C607="",D607="",E607="",H607="",O607="",T607="",U607=""),"必填欄位未完整",""))</f>
        <v/>
      </c>
      <c r="AI607" s="12">
        <f>IF(A607="","",A607&amp;"|"&amp;G607)</f>
        <v/>
      </c>
      <c r="AJ607" s="12">
        <f>IF(A607="","",A607&amp;"|"&amp;H607)</f>
        <v/>
      </c>
    </row>
    <row r="608" ht="24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8" t="n"/>
      <c r="P608" s="8" t="n"/>
      <c r="Q608" s="8" t="n"/>
      <c r="R608" s="13">
        <f>IF(O608="","",SUM(O608:Q608))</f>
        <v/>
      </c>
      <c r="S608" s="9">
        <f>IF(R608="","",ROUND(R608/3.305785,3))</f>
        <v/>
      </c>
      <c r="T608" s="7" t="n"/>
      <c r="U608" s="7" t="n"/>
      <c r="V608" s="10">
        <f>IF(OR(T608="",U608="",U608=0),"",ROUND(T608/U608,6))</f>
        <v/>
      </c>
      <c r="W608" s="9">
        <f>IF(OR(R608="",T608="",U608="",U608=0),"",ROUND(R608*T608/U608,3))</f>
        <v/>
      </c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12">
        <f>IF(A608="","",IF(OR(B608="",C608="",D608="",E608="",H608="",O608="",T608="",U608=""),"必填欄位未完整",""))</f>
        <v/>
      </c>
      <c r="AI608" s="12">
        <f>IF(A608="","",A608&amp;"|"&amp;G608)</f>
        <v/>
      </c>
      <c r="AJ608" s="12">
        <f>IF(A608="","",A608&amp;"|"&amp;H608)</f>
        <v/>
      </c>
    </row>
    <row r="609" ht="24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8" t="n"/>
      <c r="P609" s="8" t="n"/>
      <c r="Q609" s="8" t="n"/>
      <c r="R609" s="13">
        <f>IF(O609="","",SUM(O609:Q609))</f>
        <v/>
      </c>
      <c r="S609" s="9">
        <f>IF(R609="","",ROUND(R609/3.305785,3))</f>
        <v/>
      </c>
      <c r="T609" s="7" t="n"/>
      <c r="U609" s="7" t="n"/>
      <c r="V609" s="10">
        <f>IF(OR(T609="",U609="",U609=0),"",ROUND(T609/U609,6))</f>
        <v/>
      </c>
      <c r="W609" s="9">
        <f>IF(OR(R609="",T609="",U609="",U609=0),"",ROUND(R609*T609/U609,3))</f>
        <v/>
      </c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12">
        <f>IF(A609="","",IF(OR(B609="",C609="",D609="",E609="",H609="",O609="",T609="",U609=""),"必填欄位未完整",""))</f>
        <v/>
      </c>
      <c r="AI609" s="12">
        <f>IF(A609="","",A609&amp;"|"&amp;G609)</f>
        <v/>
      </c>
      <c r="AJ609" s="12">
        <f>IF(A609="","",A609&amp;"|"&amp;H609)</f>
        <v/>
      </c>
    </row>
    <row r="610" ht="24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8" t="n"/>
      <c r="P610" s="8" t="n"/>
      <c r="Q610" s="8" t="n"/>
      <c r="R610" s="13">
        <f>IF(O610="","",SUM(O610:Q610))</f>
        <v/>
      </c>
      <c r="S610" s="9">
        <f>IF(R610="","",ROUND(R610/3.305785,3))</f>
        <v/>
      </c>
      <c r="T610" s="7" t="n"/>
      <c r="U610" s="7" t="n"/>
      <c r="V610" s="10">
        <f>IF(OR(T610="",U610="",U610=0),"",ROUND(T610/U610,6))</f>
        <v/>
      </c>
      <c r="W610" s="9">
        <f>IF(OR(R610="",T610="",U610="",U610=0),"",ROUND(R610*T610/U610,3))</f>
        <v/>
      </c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12">
        <f>IF(A610="","",IF(OR(B610="",C610="",D610="",E610="",H610="",O610="",T610="",U610=""),"必填欄位未完整",""))</f>
        <v/>
      </c>
      <c r="AI610" s="12">
        <f>IF(A610="","",A610&amp;"|"&amp;G610)</f>
        <v/>
      </c>
      <c r="AJ610" s="12">
        <f>IF(A610="","",A610&amp;"|"&amp;H610)</f>
        <v/>
      </c>
    </row>
    <row r="611" ht="24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8" t="n"/>
      <c r="P611" s="8" t="n"/>
      <c r="Q611" s="8" t="n"/>
      <c r="R611" s="13">
        <f>IF(O611="","",SUM(O611:Q611))</f>
        <v/>
      </c>
      <c r="S611" s="9">
        <f>IF(R611="","",ROUND(R611/3.305785,3))</f>
        <v/>
      </c>
      <c r="T611" s="7" t="n"/>
      <c r="U611" s="7" t="n"/>
      <c r="V611" s="10">
        <f>IF(OR(T611="",U611="",U611=0),"",ROUND(T611/U611,6))</f>
        <v/>
      </c>
      <c r="W611" s="9">
        <f>IF(OR(R611="",T611="",U611="",U611=0),"",ROUND(R611*T611/U611,3))</f>
        <v/>
      </c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12">
        <f>IF(A611="","",IF(OR(B611="",C611="",D611="",E611="",H611="",O611="",T611="",U611=""),"必填欄位未完整",""))</f>
        <v/>
      </c>
      <c r="AI611" s="12">
        <f>IF(A611="","",A611&amp;"|"&amp;G611)</f>
        <v/>
      </c>
      <c r="AJ611" s="12">
        <f>IF(A611="","",A611&amp;"|"&amp;H611)</f>
        <v/>
      </c>
    </row>
    <row r="612" ht="24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8" t="n"/>
      <c r="P612" s="8" t="n"/>
      <c r="Q612" s="8" t="n"/>
      <c r="R612" s="13">
        <f>IF(O612="","",SUM(O612:Q612))</f>
        <v/>
      </c>
      <c r="S612" s="9">
        <f>IF(R612="","",ROUND(R612/3.305785,3))</f>
        <v/>
      </c>
      <c r="T612" s="7" t="n"/>
      <c r="U612" s="7" t="n"/>
      <c r="V612" s="10">
        <f>IF(OR(T612="",U612="",U612=0),"",ROUND(T612/U612,6))</f>
        <v/>
      </c>
      <c r="W612" s="9">
        <f>IF(OR(R612="",T612="",U612="",U612=0),"",ROUND(R612*T612/U612,3))</f>
        <v/>
      </c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12">
        <f>IF(A612="","",IF(OR(B612="",C612="",D612="",E612="",H612="",O612="",T612="",U612=""),"必填欄位未完整",""))</f>
        <v/>
      </c>
      <c r="AI612" s="12">
        <f>IF(A612="","",A612&amp;"|"&amp;G612)</f>
        <v/>
      </c>
      <c r="AJ612" s="12">
        <f>IF(A612="","",A612&amp;"|"&amp;H612)</f>
        <v/>
      </c>
    </row>
    <row r="613" ht="24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8" t="n"/>
      <c r="P613" s="8" t="n"/>
      <c r="Q613" s="8" t="n"/>
      <c r="R613" s="13">
        <f>IF(O613="","",SUM(O613:Q613))</f>
        <v/>
      </c>
      <c r="S613" s="9">
        <f>IF(R613="","",ROUND(R613/3.305785,3))</f>
        <v/>
      </c>
      <c r="T613" s="7" t="n"/>
      <c r="U613" s="7" t="n"/>
      <c r="V613" s="10">
        <f>IF(OR(T613="",U613="",U613=0),"",ROUND(T613/U613,6))</f>
        <v/>
      </c>
      <c r="W613" s="9">
        <f>IF(OR(R613="",T613="",U613="",U613=0),"",ROUND(R613*T613/U613,3))</f>
        <v/>
      </c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12">
        <f>IF(A613="","",IF(OR(B613="",C613="",D613="",E613="",H613="",O613="",T613="",U613=""),"必填欄位未完整",""))</f>
        <v/>
      </c>
      <c r="AI613" s="12">
        <f>IF(A613="","",A613&amp;"|"&amp;G613)</f>
        <v/>
      </c>
      <c r="AJ613" s="12">
        <f>IF(A613="","",A613&amp;"|"&amp;H613)</f>
        <v/>
      </c>
    </row>
    <row r="614" ht="24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8" t="n"/>
      <c r="P614" s="8" t="n"/>
      <c r="Q614" s="8" t="n"/>
      <c r="R614" s="13">
        <f>IF(O614="","",SUM(O614:Q614))</f>
        <v/>
      </c>
      <c r="S614" s="9">
        <f>IF(R614="","",ROUND(R614/3.305785,3))</f>
        <v/>
      </c>
      <c r="T614" s="7" t="n"/>
      <c r="U614" s="7" t="n"/>
      <c r="V614" s="10">
        <f>IF(OR(T614="",U614="",U614=0),"",ROUND(T614/U614,6))</f>
        <v/>
      </c>
      <c r="W614" s="9">
        <f>IF(OR(R614="",T614="",U614="",U614=0),"",ROUND(R614*T614/U614,3))</f>
        <v/>
      </c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12">
        <f>IF(A614="","",IF(OR(B614="",C614="",D614="",E614="",H614="",O614="",T614="",U614=""),"必填欄位未完整",""))</f>
        <v/>
      </c>
      <c r="AI614" s="12">
        <f>IF(A614="","",A614&amp;"|"&amp;G614)</f>
        <v/>
      </c>
      <c r="AJ614" s="12">
        <f>IF(A614="","",A614&amp;"|"&amp;H614)</f>
        <v/>
      </c>
    </row>
    <row r="615" ht="24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8" t="n"/>
      <c r="P615" s="8" t="n"/>
      <c r="Q615" s="8" t="n"/>
      <c r="R615" s="13">
        <f>IF(O615="","",SUM(O615:Q615))</f>
        <v/>
      </c>
      <c r="S615" s="9">
        <f>IF(R615="","",ROUND(R615/3.305785,3))</f>
        <v/>
      </c>
      <c r="T615" s="7" t="n"/>
      <c r="U615" s="7" t="n"/>
      <c r="V615" s="10">
        <f>IF(OR(T615="",U615="",U615=0),"",ROUND(T615/U615,6))</f>
        <v/>
      </c>
      <c r="W615" s="9">
        <f>IF(OR(R615="",T615="",U615="",U615=0),"",ROUND(R615*T615/U615,3))</f>
        <v/>
      </c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12">
        <f>IF(A615="","",IF(OR(B615="",C615="",D615="",E615="",H615="",O615="",T615="",U615=""),"必填欄位未完整",""))</f>
        <v/>
      </c>
      <c r="AI615" s="12">
        <f>IF(A615="","",A615&amp;"|"&amp;G615)</f>
        <v/>
      </c>
      <c r="AJ615" s="12">
        <f>IF(A615="","",A615&amp;"|"&amp;H615)</f>
        <v/>
      </c>
    </row>
    <row r="616" ht="24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8" t="n"/>
      <c r="P616" s="8" t="n"/>
      <c r="Q616" s="8" t="n"/>
      <c r="R616" s="13">
        <f>IF(O616="","",SUM(O616:Q616))</f>
        <v/>
      </c>
      <c r="S616" s="9">
        <f>IF(R616="","",ROUND(R616/3.305785,3))</f>
        <v/>
      </c>
      <c r="T616" s="7" t="n"/>
      <c r="U616" s="7" t="n"/>
      <c r="V616" s="10">
        <f>IF(OR(T616="",U616="",U616=0),"",ROUND(T616/U616,6))</f>
        <v/>
      </c>
      <c r="W616" s="9">
        <f>IF(OR(R616="",T616="",U616="",U616=0),"",ROUND(R616*T616/U616,3))</f>
        <v/>
      </c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12">
        <f>IF(A616="","",IF(OR(B616="",C616="",D616="",E616="",H616="",O616="",T616="",U616=""),"必填欄位未完整",""))</f>
        <v/>
      </c>
      <c r="AI616" s="12">
        <f>IF(A616="","",A616&amp;"|"&amp;G616)</f>
        <v/>
      </c>
      <c r="AJ616" s="12">
        <f>IF(A616="","",A616&amp;"|"&amp;H616)</f>
        <v/>
      </c>
    </row>
    <row r="617" ht="24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8" t="n"/>
      <c r="P617" s="8" t="n"/>
      <c r="Q617" s="8" t="n"/>
      <c r="R617" s="13">
        <f>IF(O617="","",SUM(O617:Q617))</f>
        <v/>
      </c>
      <c r="S617" s="9">
        <f>IF(R617="","",ROUND(R617/3.305785,3))</f>
        <v/>
      </c>
      <c r="T617" s="7" t="n"/>
      <c r="U617" s="7" t="n"/>
      <c r="V617" s="10">
        <f>IF(OR(T617="",U617="",U617=0),"",ROUND(T617/U617,6))</f>
        <v/>
      </c>
      <c r="W617" s="9">
        <f>IF(OR(R617="",T617="",U617="",U617=0),"",ROUND(R617*T617/U617,3))</f>
        <v/>
      </c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12">
        <f>IF(A617="","",IF(OR(B617="",C617="",D617="",E617="",H617="",O617="",T617="",U617=""),"必填欄位未完整",""))</f>
        <v/>
      </c>
      <c r="AI617" s="12">
        <f>IF(A617="","",A617&amp;"|"&amp;G617)</f>
        <v/>
      </c>
      <c r="AJ617" s="12">
        <f>IF(A617="","",A617&amp;"|"&amp;H617)</f>
        <v/>
      </c>
    </row>
    <row r="618" ht="24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8" t="n"/>
      <c r="P618" s="8" t="n"/>
      <c r="Q618" s="8" t="n"/>
      <c r="R618" s="13">
        <f>IF(O618="","",SUM(O618:Q618))</f>
        <v/>
      </c>
      <c r="S618" s="9">
        <f>IF(R618="","",ROUND(R618/3.305785,3))</f>
        <v/>
      </c>
      <c r="T618" s="7" t="n"/>
      <c r="U618" s="7" t="n"/>
      <c r="V618" s="10">
        <f>IF(OR(T618="",U618="",U618=0),"",ROUND(T618/U618,6))</f>
        <v/>
      </c>
      <c r="W618" s="9">
        <f>IF(OR(R618="",T618="",U618="",U618=0),"",ROUND(R618*T618/U618,3))</f>
        <v/>
      </c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12">
        <f>IF(A618="","",IF(OR(B618="",C618="",D618="",E618="",H618="",O618="",T618="",U618=""),"必填欄位未完整",""))</f>
        <v/>
      </c>
      <c r="AI618" s="12">
        <f>IF(A618="","",A618&amp;"|"&amp;G618)</f>
        <v/>
      </c>
      <c r="AJ618" s="12">
        <f>IF(A618="","",A618&amp;"|"&amp;H618)</f>
        <v/>
      </c>
    </row>
    <row r="619" ht="24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8" t="n"/>
      <c r="P619" s="8" t="n"/>
      <c r="Q619" s="8" t="n"/>
      <c r="R619" s="13">
        <f>IF(O619="","",SUM(O619:Q619))</f>
        <v/>
      </c>
      <c r="S619" s="9">
        <f>IF(R619="","",ROUND(R619/3.305785,3))</f>
        <v/>
      </c>
      <c r="T619" s="7" t="n"/>
      <c r="U619" s="7" t="n"/>
      <c r="V619" s="10">
        <f>IF(OR(T619="",U619="",U619=0),"",ROUND(T619/U619,6))</f>
        <v/>
      </c>
      <c r="W619" s="9">
        <f>IF(OR(R619="",T619="",U619="",U619=0),"",ROUND(R619*T619/U619,3))</f>
        <v/>
      </c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12">
        <f>IF(A619="","",IF(OR(B619="",C619="",D619="",E619="",H619="",O619="",T619="",U619=""),"必填欄位未完整",""))</f>
        <v/>
      </c>
      <c r="AI619" s="12">
        <f>IF(A619="","",A619&amp;"|"&amp;G619)</f>
        <v/>
      </c>
      <c r="AJ619" s="12">
        <f>IF(A619="","",A619&amp;"|"&amp;H619)</f>
        <v/>
      </c>
    </row>
    <row r="620" ht="24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8" t="n"/>
      <c r="P620" s="8" t="n"/>
      <c r="Q620" s="8" t="n"/>
      <c r="R620" s="13">
        <f>IF(O620="","",SUM(O620:Q620))</f>
        <v/>
      </c>
      <c r="S620" s="9">
        <f>IF(R620="","",ROUND(R620/3.305785,3))</f>
        <v/>
      </c>
      <c r="T620" s="7" t="n"/>
      <c r="U620" s="7" t="n"/>
      <c r="V620" s="10">
        <f>IF(OR(T620="",U620="",U620=0),"",ROUND(T620/U620,6))</f>
        <v/>
      </c>
      <c r="W620" s="9">
        <f>IF(OR(R620="",T620="",U620="",U620=0),"",ROUND(R620*T620/U620,3))</f>
        <v/>
      </c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12">
        <f>IF(A620="","",IF(OR(B620="",C620="",D620="",E620="",H620="",O620="",T620="",U620=""),"必填欄位未完整",""))</f>
        <v/>
      </c>
      <c r="AI620" s="12">
        <f>IF(A620="","",A620&amp;"|"&amp;G620)</f>
        <v/>
      </c>
      <c r="AJ620" s="12">
        <f>IF(A620="","",A620&amp;"|"&amp;H620)</f>
        <v/>
      </c>
    </row>
    <row r="621" ht="24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8" t="n"/>
      <c r="P621" s="8" t="n"/>
      <c r="Q621" s="8" t="n"/>
      <c r="R621" s="13">
        <f>IF(O621="","",SUM(O621:Q621))</f>
        <v/>
      </c>
      <c r="S621" s="9">
        <f>IF(R621="","",ROUND(R621/3.305785,3))</f>
        <v/>
      </c>
      <c r="T621" s="7" t="n"/>
      <c r="U621" s="7" t="n"/>
      <c r="V621" s="10">
        <f>IF(OR(T621="",U621="",U621=0),"",ROUND(T621/U621,6))</f>
        <v/>
      </c>
      <c r="W621" s="9">
        <f>IF(OR(R621="",T621="",U621="",U621=0),"",ROUND(R621*T621/U621,3))</f>
        <v/>
      </c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12">
        <f>IF(A621="","",IF(OR(B621="",C621="",D621="",E621="",H621="",O621="",T621="",U621=""),"必填欄位未完整",""))</f>
        <v/>
      </c>
      <c r="AI621" s="12">
        <f>IF(A621="","",A621&amp;"|"&amp;G621)</f>
        <v/>
      </c>
      <c r="AJ621" s="12">
        <f>IF(A621="","",A621&amp;"|"&amp;H621)</f>
        <v/>
      </c>
    </row>
    <row r="622" ht="24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8" t="n"/>
      <c r="P622" s="8" t="n"/>
      <c r="Q622" s="8" t="n"/>
      <c r="R622" s="13">
        <f>IF(O622="","",SUM(O622:Q622))</f>
        <v/>
      </c>
      <c r="S622" s="9">
        <f>IF(R622="","",ROUND(R622/3.305785,3))</f>
        <v/>
      </c>
      <c r="T622" s="7" t="n"/>
      <c r="U622" s="7" t="n"/>
      <c r="V622" s="10">
        <f>IF(OR(T622="",U622="",U622=0),"",ROUND(T622/U622,6))</f>
        <v/>
      </c>
      <c r="W622" s="9">
        <f>IF(OR(R622="",T622="",U622="",U622=0),"",ROUND(R622*T622/U622,3))</f>
        <v/>
      </c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12">
        <f>IF(A622="","",IF(OR(B622="",C622="",D622="",E622="",H622="",O622="",T622="",U622=""),"必填欄位未完整",""))</f>
        <v/>
      </c>
      <c r="AI622" s="12">
        <f>IF(A622="","",A622&amp;"|"&amp;G622)</f>
        <v/>
      </c>
      <c r="AJ622" s="12">
        <f>IF(A622="","",A622&amp;"|"&amp;H622)</f>
        <v/>
      </c>
    </row>
    <row r="623" ht="24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8" t="n"/>
      <c r="P623" s="8" t="n"/>
      <c r="Q623" s="8" t="n"/>
      <c r="R623" s="13">
        <f>IF(O623="","",SUM(O623:Q623))</f>
        <v/>
      </c>
      <c r="S623" s="9">
        <f>IF(R623="","",ROUND(R623/3.305785,3))</f>
        <v/>
      </c>
      <c r="T623" s="7" t="n"/>
      <c r="U623" s="7" t="n"/>
      <c r="V623" s="10">
        <f>IF(OR(T623="",U623="",U623=0),"",ROUND(T623/U623,6))</f>
        <v/>
      </c>
      <c r="W623" s="9">
        <f>IF(OR(R623="",T623="",U623="",U623=0),"",ROUND(R623*T623/U623,3))</f>
        <v/>
      </c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12">
        <f>IF(A623="","",IF(OR(B623="",C623="",D623="",E623="",H623="",O623="",T623="",U623=""),"必填欄位未完整",""))</f>
        <v/>
      </c>
      <c r="AI623" s="12">
        <f>IF(A623="","",A623&amp;"|"&amp;G623)</f>
        <v/>
      </c>
      <c r="AJ623" s="12">
        <f>IF(A623="","",A623&amp;"|"&amp;H623)</f>
        <v/>
      </c>
    </row>
    <row r="624" ht="24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8" t="n"/>
      <c r="P624" s="8" t="n"/>
      <c r="Q624" s="8" t="n"/>
      <c r="R624" s="13">
        <f>IF(O624="","",SUM(O624:Q624))</f>
        <v/>
      </c>
      <c r="S624" s="9">
        <f>IF(R624="","",ROUND(R624/3.305785,3))</f>
        <v/>
      </c>
      <c r="T624" s="7" t="n"/>
      <c r="U624" s="7" t="n"/>
      <c r="V624" s="10">
        <f>IF(OR(T624="",U624="",U624=0),"",ROUND(T624/U624,6))</f>
        <v/>
      </c>
      <c r="W624" s="9">
        <f>IF(OR(R624="",T624="",U624="",U624=0),"",ROUND(R624*T624/U624,3))</f>
        <v/>
      </c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12">
        <f>IF(A624="","",IF(OR(B624="",C624="",D624="",E624="",H624="",O624="",T624="",U624=""),"必填欄位未完整",""))</f>
        <v/>
      </c>
      <c r="AI624" s="12">
        <f>IF(A624="","",A624&amp;"|"&amp;G624)</f>
        <v/>
      </c>
      <c r="AJ624" s="12">
        <f>IF(A624="","",A624&amp;"|"&amp;H624)</f>
        <v/>
      </c>
    </row>
    <row r="625" ht="24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8" t="n"/>
      <c r="P625" s="8" t="n"/>
      <c r="Q625" s="8" t="n"/>
      <c r="R625" s="13">
        <f>IF(O625="","",SUM(O625:Q625))</f>
        <v/>
      </c>
      <c r="S625" s="9">
        <f>IF(R625="","",ROUND(R625/3.305785,3))</f>
        <v/>
      </c>
      <c r="T625" s="7" t="n"/>
      <c r="U625" s="7" t="n"/>
      <c r="V625" s="10">
        <f>IF(OR(T625="",U625="",U625=0),"",ROUND(T625/U625,6))</f>
        <v/>
      </c>
      <c r="W625" s="9">
        <f>IF(OR(R625="",T625="",U625="",U625=0),"",ROUND(R625*T625/U625,3))</f>
        <v/>
      </c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12">
        <f>IF(A625="","",IF(OR(B625="",C625="",D625="",E625="",H625="",O625="",T625="",U625=""),"必填欄位未完整",""))</f>
        <v/>
      </c>
      <c r="AI625" s="12">
        <f>IF(A625="","",A625&amp;"|"&amp;G625)</f>
        <v/>
      </c>
      <c r="AJ625" s="12">
        <f>IF(A625="","",A625&amp;"|"&amp;H625)</f>
        <v/>
      </c>
    </row>
    <row r="626" ht="24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8" t="n"/>
      <c r="P626" s="8" t="n"/>
      <c r="Q626" s="8" t="n"/>
      <c r="R626" s="13">
        <f>IF(O626="","",SUM(O626:Q626))</f>
        <v/>
      </c>
      <c r="S626" s="9">
        <f>IF(R626="","",ROUND(R626/3.305785,3))</f>
        <v/>
      </c>
      <c r="T626" s="7" t="n"/>
      <c r="U626" s="7" t="n"/>
      <c r="V626" s="10">
        <f>IF(OR(T626="",U626="",U626=0),"",ROUND(T626/U626,6))</f>
        <v/>
      </c>
      <c r="W626" s="9">
        <f>IF(OR(R626="",T626="",U626="",U626=0),"",ROUND(R626*T626/U626,3))</f>
        <v/>
      </c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12">
        <f>IF(A626="","",IF(OR(B626="",C626="",D626="",E626="",H626="",O626="",T626="",U626=""),"必填欄位未完整",""))</f>
        <v/>
      </c>
      <c r="AI626" s="12">
        <f>IF(A626="","",A626&amp;"|"&amp;G626)</f>
        <v/>
      </c>
      <c r="AJ626" s="12">
        <f>IF(A626="","",A626&amp;"|"&amp;H626)</f>
        <v/>
      </c>
    </row>
    <row r="627" ht="24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8" t="n"/>
      <c r="P627" s="8" t="n"/>
      <c r="Q627" s="8" t="n"/>
      <c r="R627" s="13">
        <f>IF(O627="","",SUM(O627:Q627))</f>
        <v/>
      </c>
      <c r="S627" s="9">
        <f>IF(R627="","",ROUND(R627/3.305785,3))</f>
        <v/>
      </c>
      <c r="T627" s="7" t="n"/>
      <c r="U627" s="7" t="n"/>
      <c r="V627" s="10">
        <f>IF(OR(T627="",U627="",U627=0),"",ROUND(T627/U627,6))</f>
        <v/>
      </c>
      <c r="W627" s="9">
        <f>IF(OR(R627="",T627="",U627="",U627=0),"",ROUND(R627*T627/U627,3))</f>
        <v/>
      </c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12">
        <f>IF(A627="","",IF(OR(B627="",C627="",D627="",E627="",H627="",O627="",T627="",U627=""),"必填欄位未完整",""))</f>
        <v/>
      </c>
      <c r="AI627" s="12">
        <f>IF(A627="","",A627&amp;"|"&amp;G627)</f>
        <v/>
      </c>
      <c r="AJ627" s="12">
        <f>IF(A627="","",A627&amp;"|"&amp;H627)</f>
        <v/>
      </c>
    </row>
    <row r="628" ht="24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8" t="n"/>
      <c r="P628" s="8" t="n"/>
      <c r="Q628" s="8" t="n"/>
      <c r="R628" s="13">
        <f>IF(O628="","",SUM(O628:Q628))</f>
        <v/>
      </c>
      <c r="S628" s="9">
        <f>IF(R628="","",ROUND(R628/3.305785,3))</f>
        <v/>
      </c>
      <c r="T628" s="7" t="n"/>
      <c r="U628" s="7" t="n"/>
      <c r="V628" s="10">
        <f>IF(OR(T628="",U628="",U628=0),"",ROUND(T628/U628,6))</f>
        <v/>
      </c>
      <c r="W628" s="9">
        <f>IF(OR(R628="",T628="",U628="",U628=0),"",ROUND(R628*T628/U628,3))</f>
        <v/>
      </c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12">
        <f>IF(A628="","",IF(OR(B628="",C628="",D628="",E628="",H628="",O628="",T628="",U628=""),"必填欄位未完整",""))</f>
        <v/>
      </c>
      <c r="AI628" s="12">
        <f>IF(A628="","",A628&amp;"|"&amp;G628)</f>
        <v/>
      </c>
      <c r="AJ628" s="12">
        <f>IF(A628="","",A628&amp;"|"&amp;H628)</f>
        <v/>
      </c>
    </row>
    <row r="629" ht="24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8" t="n"/>
      <c r="P629" s="8" t="n"/>
      <c r="Q629" s="8" t="n"/>
      <c r="R629" s="13">
        <f>IF(O629="","",SUM(O629:Q629))</f>
        <v/>
      </c>
      <c r="S629" s="9">
        <f>IF(R629="","",ROUND(R629/3.305785,3))</f>
        <v/>
      </c>
      <c r="T629" s="7" t="n"/>
      <c r="U629" s="7" t="n"/>
      <c r="V629" s="10">
        <f>IF(OR(T629="",U629="",U629=0),"",ROUND(T629/U629,6))</f>
        <v/>
      </c>
      <c r="W629" s="9">
        <f>IF(OR(R629="",T629="",U629="",U629=0),"",ROUND(R629*T629/U629,3))</f>
        <v/>
      </c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12">
        <f>IF(A629="","",IF(OR(B629="",C629="",D629="",E629="",H629="",O629="",T629="",U629=""),"必填欄位未完整",""))</f>
        <v/>
      </c>
      <c r="AI629" s="12">
        <f>IF(A629="","",A629&amp;"|"&amp;G629)</f>
        <v/>
      </c>
      <c r="AJ629" s="12">
        <f>IF(A629="","",A629&amp;"|"&amp;H629)</f>
        <v/>
      </c>
    </row>
    <row r="630" ht="24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8" t="n"/>
      <c r="P630" s="8" t="n"/>
      <c r="Q630" s="8" t="n"/>
      <c r="R630" s="13">
        <f>IF(O630="","",SUM(O630:Q630))</f>
        <v/>
      </c>
      <c r="S630" s="9">
        <f>IF(R630="","",ROUND(R630/3.305785,3))</f>
        <v/>
      </c>
      <c r="T630" s="7" t="n"/>
      <c r="U630" s="7" t="n"/>
      <c r="V630" s="10">
        <f>IF(OR(T630="",U630="",U630=0),"",ROUND(T630/U630,6))</f>
        <v/>
      </c>
      <c r="W630" s="9">
        <f>IF(OR(R630="",T630="",U630="",U630=0),"",ROUND(R630*T630/U630,3))</f>
        <v/>
      </c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12">
        <f>IF(A630="","",IF(OR(B630="",C630="",D630="",E630="",H630="",O630="",T630="",U630=""),"必填欄位未完整",""))</f>
        <v/>
      </c>
      <c r="AI630" s="12">
        <f>IF(A630="","",A630&amp;"|"&amp;G630)</f>
        <v/>
      </c>
      <c r="AJ630" s="12">
        <f>IF(A630="","",A630&amp;"|"&amp;H630)</f>
        <v/>
      </c>
    </row>
    <row r="631" ht="24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8" t="n"/>
      <c r="P631" s="8" t="n"/>
      <c r="Q631" s="8" t="n"/>
      <c r="R631" s="13">
        <f>IF(O631="","",SUM(O631:Q631))</f>
        <v/>
      </c>
      <c r="S631" s="9">
        <f>IF(R631="","",ROUND(R631/3.305785,3))</f>
        <v/>
      </c>
      <c r="T631" s="7" t="n"/>
      <c r="U631" s="7" t="n"/>
      <c r="V631" s="10">
        <f>IF(OR(T631="",U631="",U631=0),"",ROUND(T631/U631,6))</f>
        <v/>
      </c>
      <c r="W631" s="9">
        <f>IF(OR(R631="",T631="",U631="",U631=0),"",ROUND(R631*T631/U631,3))</f>
        <v/>
      </c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12">
        <f>IF(A631="","",IF(OR(B631="",C631="",D631="",E631="",H631="",O631="",T631="",U631=""),"必填欄位未完整",""))</f>
        <v/>
      </c>
      <c r="AI631" s="12">
        <f>IF(A631="","",A631&amp;"|"&amp;G631)</f>
        <v/>
      </c>
      <c r="AJ631" s="12">
        <f>IF(A631="","",A631&amp;"|"&amp;H631)</f>
        <v/>
      </c>
    </row>
    <row r="632" ht="24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8" t="n"/>
      <c r="P632" s="8" t="n"/>
      <c r="Q632" s="8" t="n"/>
      <c r="R632" s="13">
        <f>IF(O632="","",SUM(O632:Q632))</f>
        <v/>
      </c>
      <c r="S632" s="9">
        <f>IF(R632="","",ROUND(R632/3.305785,3))</f>
        <v/>
      </c>
      <c r="T632" s="7" t="n"/>
      <c r="U632" s="7" t="n"/>
      <c r="V632" s="10">
        <f>IF(OR(T632="",U632="",U632=0),"",ROUND(T632/U632,6))</f>
        <v/>
      </c>
      <c r="W632" s="9">
        <f>IF(OR(R632="",T632="",U632="",U632=0),"",ROUND(R632*T632/U632,3))</f>
        <v/>
      </c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12">
        <f>IF(A632="","",IF(OR(B632="",C632="",D632="",E632="",H632="",O632="",T632="",U632=""),"必填欄位未完整",""))</f>
        <v/>
      </c>
      <c r="AI632" s="12">
        <f>IF(A632="","",A632&amp;"|"&amp;G632)</f>
        <v/>
      </c>
      <c r="AJ632" s="12">
        <f>IF(A632="","",A632&amp;"|"&amp;H632)</f>
        <v/>
      </c>
    </row>
    <row r="633" ht="24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8" t="n"/>
      <c r="P633" s="8" t="n"/>
      <c r="Q633" s="8" t="n"/>
      <c r="R633" s="13">
        <f>IF(O633="","",SUM(O633:Q633))</f>
        <v/>
      </c>
      <c r="S633" s="9">
        <f>IF(R633="","",ROUND(R633/3.305785,3))</f>
        <v/>
      </c>
      <c r="T633" s="7" t="n"/>
      <c r="U633" s="7" t="n"/>
      <c r="V633" s="10">
        <f>IF(OR(T633="",U633="",U633=0),"",ROUND(T633/U633,6))</f>
        <v/>
      </c>
      <c r="W633" s="9">
        <f>IF(OR(R633="",T633="",U633="",U633=0),"",ROUND(R633*T633/U633,3))</f>
        <v/>
      </c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12">
        <f>IF(A633="","",IF(OR(B633="",C633="",D633="",E633="",H633="",O633="",T633="",U633=""),"必填欄位未完整",""))</f>
        <v/>
      </c>
      <c r="AI633" s="12">
        <f>IF(A633="","",A633&amp;"|"&amp;G633)</f>
        <v/>
      </c>
      <c r="AJ633" s="12">
        <f>IF(A633="","",A633&amp;"|"&amp;H633)</f>
        <v/>
      </c>
    </row>
    <row r="634" ht="24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8" t="n"/>
      <c r="P634" s="8" t="n"/>
      <c r="Q634" s="8" t="n"/>
      <c r="R634" s="13">
        <f>IF(O634="","",SUM(O634:Q634))</f>
        <v/>
      </c>
      <c r="S634" s="9">
        <f>IF(R634="","",ROUND(R634/3.305785,3))</f>
        <v/>
      </c>
      <c r="T634" s="7" t="n"/>
      <c r="U634" s="7" t="n"/>
      <c r="V634" s="10">
        <f>IF(OR(T634="",U634="",U634=0),"",ROUND(T634/U634,6))</f>
        <v/>
      </c>
      <c r="W634" s="9">
        <f>IF(OR(R634="",T634="",U634="",U634=0),"",ROUND(R634*T634/U634,3))</f>
        <v/>
      </c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12">
        <f>IF(A634="","",IF(OR(B634="",C634="",D634="",E634="",H634="",O634="",T634="",U634=""),"必填欄位未完整",""))</f>
        <v/>
      </c>
      <c r="AI634" s="12">
        <f>IF(A634="","",A634&amp;"|"&amp;G634)</f>
        <v/>
      </c>
      <c r="AJ634" s="12">
        <f>IF(A634="","",A634&amp;"|"&amp;H634)</f>
        <v/>
      </c>
    </row>
    <row r="635" ht="24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8" t="n"/>
      <c r="P635" s="8" t="n"/>
      <c r="Q635" s="8" t="n"/>
      <c r="R635" s="13">
        <f>IF(O635="","",SUM(O635:Q635))</f>
        <v/>
      </c>
      <c r="S635" s="9">
        <f>IF(R635="","",ROUND(R635/3.305785,3))</f>
        <v/>
      </c>
      <c r="T635" s="7" t="n"/>
      <c r="U635" s="7" t="n"/>
      <c r="V635" s="10">
        <f>IF(OR(T635="",U635="",U635=0),"",ROUND(T635/U635,6))</f>
        <v/>
      </c>
      <c r="W635" s="9">
        <f>IF(OR(R635="",T635="",U635="",U635=0),"",ROUND(R635*T635/U635,3))</f>
        <v/>
      </c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12">
        <f>IF(A635="","",IF(OR(B635="",C635="",D635="",E635="",H635="",O635="",T635="",U635=""),"必填欄位未完整",""))</f>
        <v/>
      </c>
      <c r="AI635" s="12">
        <f>IF(A635="","",A635&amp;"|"&amp;G635)</f>
        <v/>
      </c>
      <c r="AJ635" s="12">
        <f>IF(A635="","",A635&amp;"|"&amp;H635)</f>
        <v/>
      </c>
    </row>
    <row r="636" ht="24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8" t="n"/>
      <c r="P636" s="8" t="n"/>
      <c r="Q636" s="8" t="n"/>
      <c r="R636" s="13">
        <f>IF(O636="","",SUM(O636:Q636))</f>
        <v/>
      </c>
      <c r="S636" s="9">
        <f>IF(R636="","",ROUND(R636/3.305785,3))</f>
        <v/>
      </c>
      <c r="T636" s="7" t="n"/>
      <c r="U636" s="7" t="n"/>
      <c r="V636" s="10">
        <f>IF(OR(T636="",U636="",U636=0),"",ROUND(T636/U636,6))</f>
        <v/>
      </c>
      <c r="W636" s="9">
        <f>IF(OR(R636="",T636="",U636="",U636=0),"",ROUND(R636*T636/U636,3))</f>
        <v/>
      </c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12">
        <f>IF(A636="","",IF(OR(B636="",C636="",D636="",E636="",H636="",O636="",T636="",U636=""),"必填欄位未完整",""))</f>
        <v/>
      </c>
      <c r="AI636" s="12">
        <f>IF(A636="","",A636&amp;"|"&amp;G636)</f>
        <v/>
      </c>
      <c r="AJ636" s="12">
        <f>IF(A636="","",A636&amp;"|"&amp;H636)</f>
        <v/>
      </c>
    </row>
    <row r="637" ht="24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8" t="n"/>
      <c r="P637" s="8" t="n"/>
      <c r="Q637" s="8" t="n"/>
      <c r="R637" s="13">
        <f>IF(O637="","",SUM(O637:Q637))</f>
        <v/>
      </c>
      <c r="S637" s="9">
        <f>IF(R637="","",ROUND(R637/3.305785,3))</f>
        <v/>
      </c>
      <c r="T637" s="7" t="n"/>
      <c r="U637" s="7" t="n"/>
      <c r="V637" s="10">
        <f>IF(OR(T637="",U637="",U637=0),"",ROUND(T637/U637,6))</f>
        <v/>
      </c>
      <c r="W637" s="9">
        <f>IF(OR(R637="",T637="",U637="",U637=0),"",ROUND(R637*T637/U637,3))</f>
        <v/>
      </c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12">
        <f>IF(A637="","",IF(OR(B637="",C637="",D637="",E637="",H637="",O637="",T637="",U637=""),"必填欄位未完整",""))</f>
        <v/>
      </c>
      <c r="AI637" s="12">
        <f>IF(A637="","",A637&amp;"|"&amp;G637)</f>
        <v/>
      </c>
      <c r="AJ637" s="12">
        <f>IF(A637="","",A637&amp;"|"&amp;H637)</f>
        <v/>
      </c>
    </row>
    <row r="638" ht="24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8" t="n"/>
      <c r="P638" s="8" t="n"/>
      <c r="Q638" s="8" t="n"/>
      <c r="R638" s="13">
        <f>IF(O638="","",SUM(O638:Q638))</f>
        <v/>
      </c>
      <c r="S638" s="9">
        <f>IF(R638="","",ROUND(R638/3.305785,3))</f>
        <v/>
      </c>
      <c r="T638" s="7" t="n"/>
      <c r="U638" s="7" t="n"/>
      <c r="V638" s="10">
        <f>IF(OR(T638="",U638="",U638=0),"",ROUND(T638/U638,6))</f>
        <v/>
      </c>
      <c r="W638" s="9">
        <f>IF(OR(R638="",T638="",U638="",U638=0),"",ROUND(R638*T638/U638,3))</f>
        <v/>
      </c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12">
        <f>IF(A638="","",IF(OR(B638="",C638="",D638="",E638="",H638="",O638="",T638="",U638=""),"必填欄位未完整",""))</f>
        <v/>
      </c>
      <c r="AI638" s="12">
        <f>IF(A638="","",A638&amp;"|"&amp;G638)</f>
        <v/>
      </c>
      <c r="AJ638" s="12">
        <f>IF(A638="","",A638&amp;"|"&amp;H638)</f>
        <v/>
      </c>
    </row>
    <row r="639" ht="24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8" t="n"/>
      <c r="P639" s="8" t="n"/>
      <c r="Q639" s="8" t="n"/>
      <c r="R639" s="13">
        <f>IF(O639="","",SUM(O639:Q639))</f>
        <v/>
      </c>
      <c r="S639" s="9">
        <f>IF(R639="","",ROUND(R639/3.305785,3))</f>
        <v/>
      </c>
      <c r="T639" s="7" t="n"/>
      <c r="U639" s="7" t="n"/>
      <c r="V639" s="10">
        <f>IF(OR(T639="",U639="",U639=0),"",ROUND(T639/U639,6))</f>
        <v/>
      </c>
      <c r="W639" s="9">
        <f>IF(OR(R639="",T639="",U639="",U639=0),"",ROUND(R639*T639/U639,3))</f>
        <v/>
      </c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12">
        <f>IF(A639="","",IF(OR(B639="",C639="",D639="",E639="",H639="",O639="",T639="",U639=""),"必填欄位未完整",""))</f>
        <v/>
      </c>
      <c r="AI639" s="12">
        <f>IF(A639="","",A639&amp;"|"&amp;G639)</f>
        <v/>
      </c>
      <c r="AJ639" s="12">
        <f>IF(A639="","",A639&amp;"|"&amp;H639)</f>
        <v/>
      </c>
    </row>
    <row r="640" ht="24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8" t="n"/>
      <c r="P640" s="8" t="n"/>
      <c r="Q640" s="8" t="n"/>
      <c r="R640" s="13">
        <f>IF(O640="","",SUM(O640:Q640))</f>
        <v/>
      </c>
      <c r="S640" s="9">
        <f>IF(R640="","",ROUND(R640/3.305785,3))</f>
        <v/>
      </c>
      <c r="T640" s="7" t="n"/>
      <c r="U640" s="7" t="n"/>
      <c r="V640" s="10">
        <f>IF(OR(T640="",U640="",U640=0),"",ROUND(T640/U640,6))</f>
        <v/>
      </c>
      <c r="W640" s="9">
        <f>IF(OR(R640="",T640="",U640="",U640=0),"",ROUND(R640*T640/U640,3))</f>
        <v/>
      </c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12">
        <f>IF(A640="","",IF(OR(B640="",C640="",D640="",E640="",H640="",O640="",T640="",U640=""),"必填欄位未完整",""))</f>
        <v/>
      </c>
      <c r="AI640" s="12">
        <f>IF(A640="","",A640&amp;"|"&amp;G640)</f>
        <v/>
      </c>
      <c r="AJ640" s="12">
        <f>IF(A640="","",A640&amp;"|"&amp;H640)</f>
        <v/>
      </c>
    </row>
    <row r="641" ht="24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8" t="n"/>
      <c r="P641" s="8" t="n"/>
      <c r="Q641" s="8" t="n"/>
      <c r="R641" s="13">
        <f>IF(O641="","",SUM(O641:Q641))</f>
        <v/>
      </c>
      <c r="S641" s="9">
        <f>IF(R641="","",ROUND(R641/3.305785,3))</f>
        <v/>
      </c>
      <c r="T641" s="7" t="n"/>
      <c r="U641" s="7" t="n"/>
      <c r="V641" s="10">
        <f>IF(OR(T641="",U641="",U641=0),"",ROUND(T641/U641,6))</f>
        <v/>
      </c>
      <c r="W641" s="9">
        <f>IF(OR(R641="",T641="",U641="",U641=0),"",ROUND(R641*T641/U641,3))</f>
        <v/>
      </c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12">
        <f>IF(A641="","",IF(OR(B641="",C641="",D641="",E641="",H641="",O641="",T641="",U641=""),"必填欄位未完整",""))</f>
        <v/>
      </c>
      <c r="AI641" s="12">
        <f>IF(A641="","",A641&amp;"|"&amp;G641)</f>
        <v/>
      </c>
      <c r="AJ641" s="12">
        <f>IF(A641="","",A641&amp;"|"&amp;H641)</f>
        <v/>
      </c>
    </row>
    <row r="642" ht="24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8" t="n"/>
      <c r="P642" s="8" t="n"/>
      <c r="Q642" s="8" t="n"/>
      <c r="R642" s="13">
        <f>IF(O642="","",SUM(O642:Q642))</f>
        <v/>
      </c>
      <c r="S642" s="9">
        <f>IF(R642="","",ROUND(R642/3.305785,3))</f>
        <v/>
      </c>
      <c r="T642" s="7" t="n"/>
      <c r="U642" s="7" t="n"/>
      <c r="V642" s="10">
        <f>IF(OR(T642="",U642="",U642=0),"",ROUND(T642/U642,6))</f>
        <v/>
      </c>
      <c r="W642" s="9">
        <f>IF(OR(R642="",T642="",U642="",U642=0),"",ROUND(R642*T642/U642,3))</f>
        <v/>
      </c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12">
        <f>IF(A642="","",IF(OR(B642="",C642="",D642="",E642="",H642="",O642="",T642="",U642=""),"必填欄位未完整",""))</f>
        <v/>
      </c>
      <c r="AI642" s="12">
        <f>IF(A642="","",A642&amp;"|"&amp;G642)</f>
        <v/>
      </c>
      <c r="AJ642" s="12">
        <f>IF(A642="","",A642&amp;"|"&amp;H642)</f>
        <v/>
      </c>
    </row>
    <row r="643" ht="24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8" t="n"/>
      <c r="P643" s="8" t="n"/>
      <c r="Q643" s="8" t="n"/>
      <c r="R643" s="13">
        <f>IF(O643="","",SUM(O643:Q643))</f>
        <v/>
      </c>
      <c r="S643" s="9">
        <f>IF(R643="","",ROUND(R643/3.305785,3))</f>
        <v/>
      </c>
      <c r="T643" s="7" t="n"/>
      <c r="U643" s="7" t="n"/>
      <c r="V643" s="10">
        <f>IF(OR(T643="",U643="",U643=0),"",ROUND(T643/U643,6))</f>
        <v/>
      </c>
      <c r="W643" s="9">
        <f>IF(OR(R643="",T643="",U643="",U643=0),"",ROUND(R643*T643/U643,3))</f>
        <v/>
      </c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12">
        <f>IF(A643="","",IF(OR(B643="",C643="",D643="",E643="",H643="",O643="",T643="",U643=""),"必填欄位未完整",""))</f>
        <v/>
      </c>
      <c r="AI643" s="12">
        <f>IF(A643="","",A643&amp;"|"&amp;G643)</f>
        <v/>
      </c>
      <c r="AJ643" s="12">
        <f>IF(A643="","",A643&amp;"|"&amp;H643)</f>
        <v/>
      </c>
    </row>
    <row r="644" ht="24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8" t="n"/>
      <c r="P644" s="8" t="n"/>
      <c r="Q644" s="8" t="n"/>
      <c r="R644" s="13">
        <f>IF(O644="","",SUM(O644:Q644))</f>
        <v/>
      </c>
      <c r="S644" s="9">
        <f>IF(R644="","",ROUND(R644/3.305785,3))</f>
        <v/>
      </c>
      <c r="T644" s="7" t="n"/>
      <c r="U644" s="7" t="n"/>
      <c r="V644" s="10">
        <f>IF(OR(T644="",U644="",U644=0),"",ROUND(T644/U644,6))</f>
        <v/>
      </c>
      <c r="W644" s="9">
        <f>IF(OR(R644="",T644="",U644="",U644=0),"",ROUND(R644*T644/U644,3))</f>
        <v/>
      </c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12">
        <f>IF(A644="","",IF(OR(B644="",C644="",D644="",E644="",H644="",O644="",T644="",U644=""),"必填欄位未完整",""))</f>
        <v/>
      </c>
      <c r="AI644" s="12">
        <f>IF(A644="","",A644&amp;"|"&amp;G644)</f>
        <v/>
      </c>
      <c r="AJ644" s="12">
        <f>IF(A644="","",A644&amp;"|"&amp;H644)</f>
        <v/>
      </c>
    </row>
    <row r="645" ht="24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8" t="n"/>
      <c r="P645" s="8" t="n"/>
      <c r="Q645" s="8" t="n"/>
      <c r="R645" s="13">
        <f>IF(O645="","",SUM(O645:Q645))</f>
        <v/>
      </c>
      <c r="S645" s="9">
        <f>IF(R645="","",ROUND(R645/3.305785,3))</f>
        <v/>
      </c>
      <c r="T645" s="7" t="n"/>
      <c r="U645" s="7" t="n"/>
      <c r="V645" s="10">
        <f>IF(OR(T645="",U645="",U645=0),"",ROUND(T645/U645,6))</f>
        <v/>
      </c>
      <c r="W645" s="9">
        <f>IF(OR(R645="",T645="",U645="",U645=0),"",ROUND(R645*T645/U645,3))</f>
        <v/>
      </c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12">
        <f>IF(A645="","",IF(OR(B645="",C645="",D645="",E645="",H645="",O645="",T645="",U645=""),"必填欄位未完整",""))</f>
        <v/>
      </c>
      <c r="AI645" s="12">
        <f>IF(A645="","",A645&amp;"|"&amp;G645)</f>
        <v/>
      </c>
      <c r="AJ645" s="12">
        <f>IF(A645="","",A645&amp;"|"&amp;H645)</f>
        <v/>
      </c>
    </row>
    <row r="646" ht="24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8" t="n"/>
      <c r="P646" s="8" t="n"/>
      <c r="Q646" s="8" t="n"/>
      <c r="R646" s="13">
        <f>IF(O646="","",SUM(O646:Q646))</f>
        <v/>
      </c>
      <c r="S646" s="9">
        <f>IF(R646="","",ROUND(R646/3.305785,3))</f>
        <v/>
      </c>
      <c r="T646" s="7" t="n"/>
      <c r="U646" s="7" t="n"/>
      <c r="V646" s="10">
        <f>IF(OR(T646="",U646="",U646=0),"",ROUND(T646/U646,6))</f>
        <v/>
      </c>
      <c r="W646" s="9">
        <f>IF(OR(R646="",T646="",U646="",U646=0),"",ROUND(R646*T646/U646,3))</f>
        <v/>
      </c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12">
        <f>IF(A646="","",IF(OR(B646="",C646="",D646="",E646="",H646="",O646="",T646="",U646=""),"必填欄位未完整",""))</f>
        <v/>
      </c>
      <c r="AI646" s="12">
        <f>IF(A646="","",A646&amp;"|"&amp;G646)</f>
        <v/>
      </c>
      <c r="AJ646" s="12">
        <f>IF(A646="","",A646&amp;"|"&amp;H646)</f>
        <v/>
      </c>
    </row>
    <row r="647" ht="24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8" t="n"/>
      <c r="P647" s="8" t="n"/>
      <c r="Q647" s="8" t="n"/>
      <c r="R647" s="13">
        <f>IF(O647="","",SUM(O647:Q647))</f>
        <v/>
      </c>
      <c r="S647" s="9">
        <f>IF(R647="","",ROUND(R647/3.305785,3))</f>
        <v/>
      </c>
      <c r="T647" s="7" t="n"/>
      <c r="U647" s="7" t="n"/>
      <c r="V647" s="10">
        <f>IF(OR(T647="",U647="",U647=0),"",ROUND(T647/U647,6))</f>
        <v/>
      </c>
      <c r="W647" s="9">
        <f>IF(OR(R647="",T647="",U647="",U647=0),"",ROUND(R647*T647/U647,3))</f>
        <v/>
      </c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12">
        <f>IF(A647="","",IF(OR(B647="",C647="",D647="",E647="",H647="",O647="",T647="",U647=""),"必填欄位未完整",""))</f>
        <v/>
      </c>
      <c r="AI647" s="12">
        <f>IF(A647="","",A647&amp;"|"&amp;G647)</f>
        <v/>
      </c>
      <c r="AJ647" s="12">
        <f>IF(A647="","",A647&amp;"|"&amp;H647)</f>
        <v/>
      </c>
    </row>
    <row r="648" ht="24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8" t="n"/>
      <c r="P648" s="8" t="n"/>
      <c r="Q648" s="8" t="n"/>
      <c r="R648" s="13">
        <f>IF(O648="","",SUM(O648:Q648))</f>
        <v/>
      </c>
      <c r="S648" s="9">
        <f>IF(R648="","",ROUND(R648/3.305785,3))</f>
        <v/>
      </c>
      <c r="T648" s="7" t="n"/>
      <c r="U648" s="7" t="n"/>
      <c r="V648" s="10">
        <f>IF(OR(T648="",U648="",U648=0),"",ROUND(T648/U648,6))</f>
        <v/>
      </c>
      <c r="W648" s="9">
        <f>IF(OR(R648="",T648="",U648="",U648=0),"",ROUND(R648*T648/U648,3))</f>
        <v/>
      </c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12">
        <f>IF(A648="","",IF(OR(B648="",C648="",D648="",E648="",H648="",O648="",T648="",U648=""),"必填欄位未完整",""))</f>
        <v/>
      </c>
      <c r="AI648" s="12">
        <f>IF(A648="","",A648&amp;"|"&amp;G648)</f>
        <v/>
      </c>
      <c r="AJ648" s="12">
        <f>IF(A648="","",A648&amp;"|"&amp;H648)</f>
        <v/>
      </c>
    </row>
    <row r="649" ht="24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8" t="n"/>
      <c r="P649" s="8" t="n"/>
      <c r="Q649" s="8" t="n"/>
      <c r="R649" s="13">
        <f>IF(O649="","",SUM(O649:Q649))</f>
        <v/>
      </c>
      <c r="S649" s="9">
        <f>IF(R649="","",ROUND(R649/3.305785,3))</f>
        <v/>
      </c>
      <c r="T649" s="7" t="n"/>
      <c r="U649" s="7" t="n"/>
      <c r="V649" s="10">
        <f>IF(OR(T649="",U649="",U649=0),"",ROUND(T649/U649,6))</f>
        <v/>
      </c>
      <c r="W649" s="9">
        <f>IF(OR(R649="",T649="",U649="",U649=0),"",ROUND(R649*T649/U649,3))</f>
        <v/>
      </c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12">
        <f>IF(A649="","",IF(OR(B649="",C649="",D649="",E649="",H649="",O649="",T649="",U649=""),"必填欄位未完整",""))</f>
        <v/>
      </c>
      <c r="AI649" s="12">
        <f>IF(A649="","",A649&amp;"|"&amp;G649)</f>
        <v/>
      </c>
      <c r="AJ649" s="12">
        <f>IF(A649="","",A649&amp;"|"&amp;H649)</f>
        <v/>
      </c>
    </row>
    <row r="650" ht="24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8" t="n"/>
      <c r="P650" s="8" t="n"/>
      <c r="Q650" s="8" t="n"/>
      <c r="R650" s="13">
        <f>IF(O650="","",SUM(O650:Q650))</f>
        <v/>
      </c>
      <c r="S650" s="9">
        <f>IF(R650="","",ROUND(R650/3.305785,3))</f>
        <v/>
      </c>
      <c r="T650" s="7" t="n"/>
      <c r="U650" s="7" t="n"/>
      <c r="V650" s="10">
        <f>IF(OR(T650="",U650="",U650=0),"",ROUND(T650/U650,6))</f>
        <v/>
      </c>
      <c r="W650" s="9">
        <f>IF(OR(R650="",T650="",U650="",U650=0),"",ROUND(R650*T650/U650,3))</f>
        <v/>
      </c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12">
        <f>IF(A650="","",IF(OR(B650="",C650="",D650="",E650="",H650="",O650="",T650="",U650=""),"必填欄位未完整",""))</f>
        <v/>
      </c>
      <c r="AI650" s="12">
        <f>IF(A650="","",A650&amp;"|"&amp;G650)</f>
        <v/>
      </c>
      <c r="AJ650" s="12">
        <f>IF(A650="","",A650&amp;"|"&amp;H650)</f>
        <v/>
      </c>
    </row>
    <row r="651" ht="24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8" t="n"/>
      <c r="P651" s="8" t="n"/>
      <c r="Q651" s="8" t="n"/>
      <c r="R651" s="13">
        <f>IF(O651="","",SUM(O651:Q651))</f>
        <v/>
      </c>
      <c r="S651" s="9">
        <f>IF(R651="","",ROUND(R651/3.305785,3))</f>
        <v/>
      </c>
      <c r="T651" s="7" t="n"/>
      <c r="U651" s="7" t="n"/>
      <c r="V651" s="10">
        <f>IF(OR(T651="",U651="",U651=0),"",ROUND(T651/U651,6))</f>
        <v/>
      </c>
      <c r="W651" s="9">
        <f>IF(OR(R651="",T651="",U651="",U651=0),"",ROUND(R651*T651/U651,3))</f>
        <v/>
      </c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12">
        <f>IF(A651="","",IF(OR(B651="",C651="",D651="",E651="",H651="",O651="",T651="",U651=""),"必填欄位未完整",""))</f>
        <v/>
      </c>
      <c r="AI651" s="12">
        <f>IF(A651="","",A651&amp;"|"&amp;G651)</f>
        <v/>
      </c>
      <c r="AJ651" s="12">
        <f>IF(A651="","",A651&amp;"|"&amp;H651)</f>
        <v/>
      </c>
    </row>
    <row r="652" ht="24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8" t="n"/>
      <c r="P652" s="8" t="n"/>
      <c r="Q652" s="8" t="n"/>
      <c r="R652" s="13">
        <f>IF(O652="","",SUM(O652:Q652))</f>
        <v/>
      </c>
      <c r="S652" s="9">
        <f>IF(R652="","",ROUND(R652/3.305785,3))</f>
        <v/>
      </c>
      <c r="T652" s="7" t="n"/>
      <c r="U652" s="7" t="n"/>
      <c r="V652" s="10">
        <f>IF(OR(T652="",U652="",U652=0),"",ROUND(T652/U652,6))</f>
        <v/>
      </c>
      <c r="W652" s="9">
        <f>IF(OR(R652="",T652="",U652="",U652=0),"",ROUND(R652*T652/U652,3))</f>
        <v/>
      </c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12">
        <f>IF(A652="","",IF(OR(B652="",C652="",D652="",E652="",H652="",O652="",T652="",U652=""),"必填欄位未完整",""))</f>
        <v/>
      </c>
      <c r="AI652" s="12">
        <f>IF(A652="","",A652&amp;"|"&amp;G652)</f>
        <v/>
      </c>
      <c r="AJ652" s="12">
        <f>IF(A652="","",A652&amp;"|"&amp;H652)</f>
        <v/>
      </c>
    </row>
    <row r="653" ht="24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8" t="n"/>
      <c r="P653" s="8" t="n"/>
      <c r="Q653" s="8" t="n"/>
      <c r="R653" s="13">
        <f>IF(O653="","",SUM(O653:Q653))</f>
        <v/>
      </c>
      <c r="S653" s="9">
        <f>IF(R653="","",ROUND(R653/3.305785,3))</f>
        <v/>
      </c>
      <c r="T653" s="7" t="n"/>
      <c r="U653" s="7" t="n"/>
      <c r="V653" s="10">
        <f>IF(OR(T653="",U653="",U653=0),"",ROUND(T653/U653,6))</f>
        <v/>
      </c>
      <c r="W653" s="9">
        <f>IF(OR(R653="",T653="",U653="",U653=0),"",ROUND(R653*T653/U653,3))</f>
        <v/>
      </c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12">
        <f>IF(A653="","",IF(OR(B653="",C653="",D653="",E653="",H653="",O653="",T653="",U653=""),"必填欄位未完整",""))</f>
        <v/>
      </c>
      <c r="AI653" s="12">
        <f>IF(A653="","",A653&amp;"|"&amp;G653)</f>
        <v/>
      </c>
      <c r="AJ653" s="12">
        <f>IF(A653="","",A653&amp;"|"&amp;H653)</f>
        <v/>
      </c>
    </row>
    <row r="654" ht="24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8" t="n"/>
      <c r="P654" s="8" t="n"/>
      <c r="Q654" s="8" t="n"/>
      <c r="R654" s="13">
        <f>IF(O654="","",SUM(O654:Q654))</f>
        <v/>
      </c>
      <c r="S654" s="9">
        <f>IF(R654="","",ROUND(R654/3.305785,3))</f>
        <v/>
      </c>
      <c r="T654" s="7" t="n"/>
      <c r="U654" s="7" t="n"/>
      <c r="V654" s="10">
        <f>IF(OR(T654="",U654="",U654=0),"",ROUND(T654/U654,6))</f>
        <v/>
      </c>
      <c r="W654" s="9">
        <f>IF(OR(R654="",T654="",U654="",U654=0),"",ROUND(R654*T654/U654,3))</f>
        <v/>
      </c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12">
        <f>IF(A654="","",IF(OR(B654="",C654="",D654="",E654="",H654="",O654="",T654="",U654=""),"必填欄位未完整",""))</f>
        <v/>
      </c>
      <c r="AI654" s="12">
        <f>IF(A654="","",A654&amp;"|"&amp;G654)</f>
        <v/>
      </c>
      <c r="AJ654" s="12">
        <f>IF(A654="","",A654&amp;"|"&amp;H654)</f>
        <v/>
      </c>
    </row>
    <row r="655" ht="24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8" t="n"/>
      <c r="P655" s="8" t="n"/>
      <c r="Q655" s="8" t="n"/>
      <c r="R655" s="13">
        <f>IF(O655="","",SUM(O655:Q655))</f>
        <v/>
      </c>
      <c r="S655" s="9">
        <f>IF(R655="","",ROUND(R655/3.305785,3))</f>
        <v/>
      </c>
      <c r="T655" s="7" t="n"/>
      <c r="U655" s="7" t="n"/>
      <c r="V655" s="10">
        <f>IF(OR(T655="",U655="",U655=0),"",ROUND(T655/U655,6))</f>
        <v/>
      </c>
      <c r="W655" s="9">
        <f>IF(OR(R655="",T655="",U655="",U655=0),"",ROUND(R655*T655/U655,3))</f>
        <v/>
      </c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12">
        <f>IF(A655="","",IF(OR(B655="",C655="",D655="",E655="",H655="",O655="",T655="",U655=""),"必填欄位未完整",""))</f>
        <v/>
      </c>
      <c r="AI655" s="12">
        <f>IF(A655="","",A655&amp;"|"&amp;G655)</f>
        <v/>
      </c>
      <c r="AJ655" s="12">
        <f>IF(A655="","",A655&amp;"|"&amp;H655)</f>
        <v/>
      </c>
    </row>
    <row r="656" ht="24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8" t="n"/>
      <c r="P656" s="8" t="n"/>
      <c r="Q656" s="8" t="n"/>
      <c r="R656" s="13">
        <f>IF(O656="","",SUM(O656:Q656))</f>
        <v/>
      </c>
      <c r="S656" s="9">
        <f>IF(R656="","",ROUND(R656/3.305785,3))</f>
        <v/>
      </c>
      <c r="T656" s="7" t="n"/>
      <c r="U656" s="7" t="n"/>
      <c r="V656" s="10">
        <f>IF(OR(T656="",U656="",U656=0),"",ROUND(T656/U656,6))</f>
        <v/>
      </c>
      <c r="W656" s="9">
        <f>IF(OR(R656="",T656="",U656="",U656=0),"",ROUND(R656*T656/U656,3))</f>
        <v/>
      </c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12">
        <f>IF(A656="","",IF(OR(B656="",C656="",D656="",E656="",H656="",O656="",T656="",U656=""),"必填欄位未完整",""))</f>
        <v/>
      </c>
      <c r="AI656" s="12">
        <f>IF(A656="","",A656&amp;"|"&amp;G656)</f>
        <v/>
      </c>
      <c r="AJ656" s="12">
        <f>IF(A656="","",A656&amp;"|"&amp;H656)</f>
        <v/>
      </c>
    </row>
    <row r="657" ht="24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8" t="n"/>
      <c r="P657" s="8" t="n"/>
      <c r="Q657" s="8" t="n"/>
      <c r="R657" s="13">
        <f>IF(O657="","",SUM(O657:Q657))</f>
        <v/>
      </c>
      <c r="S657" s="9">
        <f>IF(R657="","",ROUND(R657/3.305785,3))</f>
        <v/>
      </c>
      <c r="T657" s="7" t="n"/>
      <c r="U657" s="7" t="n"/>
      <c r="V657" s="10">
        <f>IF(OR(T657="",U657="",U657=0),"",ROUND(T657/U657,6))</f>
        <v/>
      </c>
      <c r="W657" s="9">
        <f>IF(OR(R657="",T657="",U657="",U657=0),"",ROUND(R657*T657/U657,3))</f>
        <v/>
      </c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12">
        <f>IF(A657="","",IF(OR(B657="",C657="",D657="",E657="",H657="",O657="",T657="",U657=""),"必填欄位未完整",""))</f>
        <v/>
      </c>
      <c r="AI657" s="12">
        <f>IF(A657="","",A657&amp;"|"&amp;G657)</f>
        <v/>
      </c>
      <c r="AJ657" s="12">
        <f>IF(A657="","",A657&amp;"|"&amp;H657)</f>
        <v/>
      </c>
    </row>
    <row r="658" ht="24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8" t="n"/>
      <c r="P658" s="8" t="n"/>
      <c r="Q658" s="8" t="n"/>
      <c r="R658" s="13">
        <f>IF(O658="","",SUM(O658:Q658))</f>
        <v/>
      </c>
      <c r="S658" s="9">
        <f>IF(R658="","",ROUND(R658/3.305785,3))</f>
        <v/>
      </c>
      <c r="T658" s="7" t="n"/>
      <c r="U658" s="7" t="n"/>
      <c r="V658" s="10">
        <f>IF(OR(T658="",U658="",U658=0),"",ROUND(T658/U658,6))</f>
        <v/>
      </c>
      <c r="W658" s="9">
        <f>IF(OR(R658="",T658="",U658="",U658=0),"",ROUND(R658*T658/U658,3))</f>
        <v/>
      </c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12">
        <f>IF(A658="","",IF(OR(B658="",C658="",D658="",E658="",H658="",O658="",T658="",U658=""),"必填欄位未完整",""))</f>
        <v/>
      </c>
      <c r="AI658" s="12">
        <f>IF(A658="","",A658&amp;"|"&amp;G658)</f>
        <v/>
      </c>
      <c r="AJ658" s="12">
        <f>IF(A658="","",A658&amp;"|"&amp;H658)</f>
        <v/>
      </c>
    </row>
    <row r="659" ht="24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8" t="n"/>
      <c r="P659" s="8" t="n"/>
      <c r="Q659" s="8" t="n"/>
      <c r="R659" s="13">
        <f>IF(O659="","",SUM(O659:Q659))</f>
        <v/>
      </c>
      <c r="S659" s="9">
        <f>IF(R659="","",ROUND(R659/3.305785,3))</f>
        <v/>
      </c>
      <c r="T659" s="7" t="n"/>
      <c r="U659" s="7" t="n"/>
      <c r="V659" s="10">
        <f>IF(OR(T659="",U659="",U659=0),"",ROUND(T659/U659,6))</f>
        <v/>
      </c>
      <c r="W659" s="9">
        <f>IF(OR(R659="",T659="",U659="",U659=0),"",ROUND(R659*T659/U659,3))</f>
        <v/>
      </c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12">
        <f>IF(A659="","",IF(OR(B659="",C659="",D659="",E659="",H659="",O659="",T659="",U659=""),"必填欄位未完整",""))</f>
        <v/>
      </c>
      <c r="AI659" s="12">
        <f>IF(A659="","",A659&amp;"|"&amp;G659)</f>
        <v/>
      </c>
      <c r="AJ659" s="12">
        <f>IF(A659="","",A659&amp;"|"&amp;H659)</f>
        <v/>
      </c>
    </row>
    <row r="660" ht="24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8" t="n"/>
      <c r="P660" s="8" t="n"/>
      <c r="Q660" s="8" t="n"/>
      <c r="R660" s="13">
        <f>IF(O660="","",SUM(O660:Q660))</f>
        <v/>
      </c>
      <c r="S660" s="9">
        <f>IF(R660="","",ROUND(R660/3.305785,3))</f>
        <v/>
      </c>
      <c r="T660" s="7" t="n"/>
      <c r="U660" s="7" t="n"/>
      <c r="V660" s="10">
        <f>IF(OR(T660="",U660="",U660=0),"",ROUND(T660/U660,6))</f>
        <v/>
      </c>
      <c r="W660" s="9">
        <f>IF(OR(R660="",T660="",U660="",U660=0),"",ROUND(R660*T660/U660,3))</f>
        <v/>
      </c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12">
        <f>IF(A660="","",IF(OR(B660="",C660="",D660="",E660="",H660="",O660="",T660="",U660=""),"必填欄位未完整",""))</f>
        <v/>
      </c>
      <c r="AI660" s="12">
        <f>IF(A660="","",A660&amp;"|"&amp;G660)</f>
        <v/>
      </c>
      <c r="AJ660" s="12">
        <f>IF(A660="","",A660&amp;"|"&amp;H660)</f>
        <v/>
      </c>
    </row>
    <row r="661" ht="24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8" t="n"/>
      <c r="P661" s="8" t="n"/>
      <c r="Q661" s="8" t="n"/>
      <c r="R661" s="13">
        <f>IF(O661="","",SUM(O661:Q661))</f>
        <v/>
      </c>
      <c r="S661" s="9">
        <f>IF(R661="","",ROUND(R661/3.305785,3))</f>
        <v/>
      </c>
      <c r="T661" s="7" t="n"/>
      <c r="U661" s="7" t="n"/>
      <c r="V661" s="10">
        <f>IF(OR(T661="",U661="",U661=0),"",ROUND(T661/U661,6))</f>
        <v/>
      </c>
      <c r="W661" s="9">
        <f>IF(OR(R661="",T661="",U661="",U661=0),"",ROUND(R661*T661/U661,3))</f>
        <v/>
      </c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12">
        <f>IF(A661="","",IF(OR(B661="",C661="",D661="",E661="",H661="",O661="",T661="",U661=""),"必填欄位未完整",""))</f>
        <v/>
      </c>
      <c r="AI661" s="12">
        <f>IF(A661="","",A661&amp;"|"&amp;G661)</f>
        <v/>
      </c>
      <c r="AJ661" s="12">
        <f>IF(A661="","",A661&amp;"|"&amp;H661)</f>
        <v/>
      </c>
    </row>
    <row r="662" ht="24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8" t="n"/>
      <c r="P662" s="8" t="n"/>
      <c r="Q662" s="8" t="n"/>
      <c r="R662" s="13">
        <f>IF(O662="","",SUM(O662:Q662))</f>
        <v/>
      </c>
      <c r="S662" s="9">
        <f>IF(R662="","",ROUND(R662/3.305785,3))</f>
        <v/>
      </c>
      <c r="T662" s="7" t="n"/>
      <c r="U662" s="7" t="n"/>
      <c r="V662" s="10">
        <f>IF(OR(T662="",U662="",U662=0),"",ROUND(T662/U662,6))</f>
        <v/>
      </c>
      <c r="W662" s="9">
        <f>IF(OR(R662="",T662="",U662="",U662=0),"",ROUND(R662*T662/U662,3))</f>
        <v/>
      </c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12">
        <f>IF(A662="","",IF(OR(B662="",C662="",D662="",E662="",H662="",O662="",T662="",U662=""),"必填欄位未完整",""))</f>
        <v/>
      </c>
      <c r="AI662" s="12">
        <f>IF(A662="","",A662&amp;"|"&amp;G662)</f>
        <v/>
      </c>
      <c r="AJ662" s="12">
        <f>IF(A662="","",A662&amp;"|"&amp;H662)</f>
        <v/>
      </c>
    </row>
    <row r="663" ht="24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8" t="n"/>
      <c r="P663" s="8" t="n"/>
      <c r="Q663" s="8" t="n"/>
      <c r="R663" s="13">
        <f>IF(O663="","",SUM(O663:Q663))</f>
        <v/>
      </c>
      <c r="S663" s="9">
        <f>IF(R663="","",ROUND(R663/3.305785,3))</f>
        <v/>
      </c>
      <c r="T663" s="7" t="n"/>
      <c r="U663" s="7" t="n"/>
      <c r="V663" s="10">
        <f>IF(OR(T663="",U663="",U663=0),"",ROUND(T663/U663,6))</f>
        <v/>
      </c>
      <c r="W663" s="9">
        <f>IF(OR(R663="",T663="",U663="",U663=0),"",ROUND(R663*T663/U663,3))</f>
        <v/>
      </c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12">
        <f>IF(A663="","",IF(OR(B663="",C663="",D663="",E663="",H663="",O663="",T663="",U663=""),"必填欄位未完整",""))</f>
        <v/>
      </c>
      <c r="AI663" s="12">
        <f>IF(A663="","",A663&amp;"|"&amp;G663)</f>
        <v/>
      </c>
      <c r="AJ663" s="12">
        <f>IF(A663="","",A663&amp;"|"&amp;H663)</f>
        <v/>
      </c>
    </row>
    <row r="664" ht="24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8" t="n"/>
      <c r="P664" s="8" t="n"/>
      <c r="Q664" s="8" t="n"/>
      <c r="R664" s="13">
        <f>IF(O664="","",SUM(O664:Q664))</f>
        <v/>
      </c>
      <c r="S664" s="9">
        <f>IF(R664="","",ROUND(R664/3.305785,3))</f>
        <v/>
      </c>
      <c r="T664" s="7" t="n"/>
      <c r="U664" s="7" t="n"/>
      <c r="V664" s="10">
        <f>IF(OR(T664="",U664="",U664=0),"",ROUND(T664/U664,6))</f>
        <v/>
      </c>
      <c r="W664" s="9">
        <f>IF(OR(R664="",T664="",U664="",U664=0),"",ROUND(R664*T664/U664,3))</f>
        <v/>
      </c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12">
        <f>IF(A664="","",IF(OR(B664="",C664="",D664="",E664="",H664="",O664="",T664="",U664=""),"必填欄位未完整",""))</f>
        <v/>
      </c>
      <c r="AI664" s="12">
        <f>IF(A664="","",A664&amp;"|"&amp;G664)</f>
        <v/>
      </c>
      <c r="AJ664" s="12">
        <f>IF(A664="","",A664&amp;"|"&amp;H664)</f>
        <v/>
      </c>
    </row>
    <row r="665" ht="24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8" t="n"/>
      <c r="P665" s="8" t="n"/>
      <c r="Q665" s="8" t="n"/>
      <c r="R665" s="13">
        <f>IF(O665="","",SUM(O665:Q665))</f>
        <v/>
      </c>
      <c r="S665" s="9">
        <f>IF(R665="","",ROUND(R665/3.305785,3))</f>
        <v/>
      </c>
      <c r="T665" s="7" t="n"/>
      <c r="U665" s="7" t="n"/>
      <c r="V665" s="10">
        <f>IF(OR(T665="",U665="",U665=0),"",ROUND(T665/U665,6))</f>
        <v/>
      </c>
      <c r="W665" s="9">
        <f>IF(OR(R665="",T665="",U665="",U665=0),"",ROUND(R665*T665/U665,3))</f>
        <v/>
      </c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12">
        <f>IF(A665="","",IF(OR(B665="",C665="",D665="",E665="",H665="",O665="",T665="",U665=""),"必填欄位未完整",""))</f>
        <v/>
      </c>
      <c r="AI665" s="12">
        <f>IF(A665="","",A665&amp;"|"&amp;G665)</f>
        <v/>
      </c>
      <c r="AJ665" s="12">
        <f>IF(A665="","",A665&amp;"|"&amp;H665)</f>
        <v/>
      </c>
    </row>
    <row r="666" ht="24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8" t="n"/>
      <c r="P666" s="8" t="n"/>
      <c r="Q666" s="8" t="n"/>
      <c r="R666" s="13">
        <f>IF(O666="","",SUM(O666:Q666))</f>
        <v/>
      </c>
      <c r="S666" s="9">
        <f>IF(R666="","",ROUND(R666/3.305785,3))</f>
        <v/>
      </c>
      <c r="T666" s="7" t="n"/>
      <c r="U666" s="7" t="n"/>
      <c r="V666" s="10">
        <f>IF(OR(T666="",U666="",U666=0),"",ROUND(T666/U666,6))</f>
        <v/>
      </c>
      <c r="W666" s="9">
        <f>IF(OR(R666="",T666="",U666="",U666=0),"",ROUND(R666*T666/U666,3))</f>
        <v/>
      </c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12">
        <f>IF(A666="","",IF(OR(B666="",C666="",D666="",E666="",H666="",O666="",T666="",U666=""),"必填欄位未完整",""))</f>
        <v/>
      </c>
      <c r="AI666" s="12">
        <f>IF(A666="","",A666&amp;"|"&amp;G666)</f>
        <v/>
      </c>
      <c r="AJ666" s="12">
        <f>IF(A666="","",A666&amp;"|"&amp;H666)</f>
        <v/>
      </c>
    </row>
    <row r="667" ht="24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8" t="n"/>
      <c r="P667" s="8" t="n"/>
      <c r="Q667" s="8" t="n"/>
      <c r="R667" s="13">
        <f>IF(O667="","",SUM(O667:Q667))</f>
        <v/>
      </c>
      <c r="S667" s="9">
        <f>IF(R667="","",ROUND(R667/3.305785,3))</f>
        <v/>
      </c>
      <c r="T667" s="7" t="n"/>
      <c r="U667" s="7" t="n"/>
      <c r="V667" s="10">
        <f>IF(OR(T667="",U667="",U667=0),"",ROUND(T667/U667,6))</f>
        <v/>
      </c>
      <c r="W667" s="9">
        <f>IF(OR(R667="",T667="",U667="",U667=0),"",ROUND(R667*T667/U667,3))</f>
        <v/>
      </c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12">
        <f>IF(A667="","",IF(OR(B667="",C667="",D667="",E667="",H667="",O667="",T667="",U667=""),"必填欄位未完整",""))</f>
        <v/>
      </c>
      <c r="AI667" s="12">
        <f>IF(A667="","",A667&amp;"|"&amp;G667)</f>
        <v/>
      </c>
      <c r="AJ667" s="12">
        <f>IF(A667="","",A667&amp;"|"&amp;H667)</f>
        <v/>
      </c>
    </row>
    <row r="668" ht="24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8" t="n"/>
      <c r="P668" s="8" t="n"/>
      <c r="Q668" s="8" t="n"/>
      <c r="R668" s="13">
        <f>IF(O668="","",SUM(O668:Q668))</f>
        <v/>
      </c>
      <c r="S668" s="9">
        <f>IF(R668="","",ROUND(R668/3.305785,3))</f>
        <v/>
      </c>
      <c r="T668" s="7" t="n"/>
      <c r="U668" s="7" t="n"/>
      <c r="V668" s="10">
        <f>IF(OR(T668="",U668="",U668=0),"",ROUND(T668/U668,6))</f>
        <v/>
      </c>
      <c r="W668" s="9">
        <f>IF(OR(R668="",T668="",U668="",U668=0),"",ROUND(R668*T668/U668,3))</f>
        <v/>
      </c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12">
        <f>IF(A668="","",IF(OR(B668="",C668="",D668="",E668="",H668="",O668="",T668="",U668=""),"必填欄位未完整",""))</f>
        <v/>
      </c>
      <c r="AI668" s="12">
        <f>IF(A668="","",A668&amp;"|"&amp;G668)</f>
        <v/>
      </c>
      <c r="AJ668" s="12">
        <f>IF(A668="","",A668&amp;"|"&amp;H668)</f>
        <v/>
      </c>
    </row>
    <row r="669" ht="24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8" t="n"/>
      <c r="P669" s="8" t="n"/>
      <c r="Q669" s="8" t="n"/>
      <c r="R669" s="13">
        <f>IF(O669="","",SUM(O669:Q669))</f>
        <v/>
      </c>
      <c r="S669" s="9">
        <f>IF(R669="","",ROUND(R669/3.305785,3))</f>
        <v/>
      </c>
      <c r="T669" s="7" t="n"/>
      <c r="U669" s="7" t="n"/>
      <c r="V669" s="10">
        <f>IF(OR(T669="",U669="",U669=0),"",ROUND(T669/U669,6))</f>
        <v/>
      </c>
      <c r="W669" s="9">
        <f>IF(OR(R669="",T669="",U669="",U669=0),"",ROUND(R669*T669/U669,3))</f>
        <v/>
      </c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12">
        <f>IF(A669="","",IF(OR(B669="",C669="",D669="",E669="",H669="",O669="",T669="",U669=""),"必填欄位未完整",""))</f>
        <v/>
      </c>
      <c r="AI669" s="12">
        <f>IF(A669="","",A669&amp;"|"&amp;G669)</f>
        <v/>
      </c>
      <c r="AJ669" s="12">
        <f>IF(A669="","",A669&amp;"|"&amp;H669)</f>
        <v/>
      </c>
    </row>
    <row r="670" ht="24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8" t="n"/>
      <c r="P670" s="8" t="n"/>
      <c r="Q670" s="8" t="n"/>
      <c r="R670" s="13">
        <f>IF(O670="","",SUM(O670:Q670))</f>
        <v/>
      </c>
      <c r="S670" s="9">
        <f>IF(R670="","",ROUND(R670/3.305785,3))</f>
        <v/>
      </c>
      <c r="T670" s="7" t="n"/>
      <c r="U670" s="7" t="n"/>
      <c r="V670" s="10">
        <f>IF(OR(T670="",U670="",U670=0),"",ROUND(T670/U670,6))</f>
        <v/>
      </c>
      <c r="W670" s="9">
        <f>IF(OR(R670="",T670="",U670="",U670=0),"",ROUND(R670*T670/U670,3))</f>
        <v/>
      </c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12">
        <f>IF(A670="","",IF(OR(B670="",C670="",D670="",E670="",H670="",O670="",T670="",U670=""),"必填欄位未完整",""))</f>
        <v/>
      </c>
      <c r="AI670" s="12">
        <f>IF(A670="","",A670&amp;"|"&amp;G670)</f>
        <v/>
      </c>
      <c r="AJ670" s="12">
        <f>IF(A670="","",A670&amp;"|"&amp;H670)</f>
        <v/>
      </c>
    </row>
    <row r="671" ht="24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8" t="n"/>
      <c r="P671" s="8" t="n"/>
      <c r="Q671" s="8" t="n"/>
      <c r="R671" s="13">
        <f>IF(O671="","",SUM(O671:Q671))</f>
        <v/>
      </c>
      <c r="S671" s="9">
        <f>IF(R671="","",ROUND(R671/3.305785,3))</f>
        <v/>
      </c>
      <c r="T671" s="7" t="n"/>
      <c r="U671" s="7" t="n"/>
      <c r="V671" s="10">
        <f>IF(OR(T671="",U671="",U671=0),"",ROUND(T671/U671,6))</f>
        <v/>
      </c>
      <c r="W671" s="9">
        <f>IF(OR(R671="",T671="",U671="",U671=0),"",ROUND(R671*T671/U671,3))</f>
        <v/>
      </c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12">
        <f>IF(A671="","",IF(OR(B671="",C671="",D671="",E671="",H671="",O671="",T671="",U671=""),"必填欄位未完整",""))</f>
        <v/>
      </c>
      <c r="AI671" s="12">
        <f>IF(A671="","",A671&amp;"|"&amp;G671)</f>
        <v/>
      </c>
      <c r="AJ671" s="12">
        <f>IF(A671="","",A671&amp;"|"&amp;H671)</f>
        <v/>
      </c>
    </row>
    <row r="672" ht="24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8" t="n"/>
      <c r="P672" s="8" t="n"/>
      <c r="Q672" s="8" t="n"/>
      <c r="R672" s="13">
        <f>IF(O672="","",SUM(O672:Q672))</f>
        <v/>
      </c>
      <c r="S672" s="9">
        <f>IF(R672="","",ROUND(R672/3.305785,3))</f>
        <v/>
      </c>
      <c r="T672" s="7" t="n"/>
      <c r="U672" s="7" t="n"/>
      <c r="V672" s="10">
        <f>IF(OR(T672="",U672="",U672=0),"",ROUND(T672/U672,6))</f>
        <v/>
      </c>
      <c r="W672" s="9">
        <f>IF(OR(R672="",T672="",U672="",U672=0),"",ROUND(R672*T672/U672,3))</f>
        <v/>
      </c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12">
        <f>IF(A672="","",IF(OR(B672="",C672="",D672="",E672="",H672="",O672="",T672="",U672=""),"必填欄位未完整",""))</f>
        <v/>
      </c>
      <c r="AI672" s="12">
        <f>IF(A672="","",A672&amp;"|"&amp;G672)</f>
        <v/>
      </c>
      <c r="AJ672" s="12">
        <f>IF(A672="","",A672&amp;"|"&amp;H672)</f>
        <v/>
      </c>
    </row>
    <row r="673" ht="24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8" t="n"/>
      <c r="P673" s="8" t="n"/>
      <c r="Q673" s="8" t="n"/>
      <c r="R673" s="13">
        <f>IF(O673="","",SUM(O673:Q673))</f>
        <v/>
      </c>
      <c r="S673" s="9">
        <f>IF(R673="","",ROUND(R673/3.305785,3))</f>
        <v/>
      </c>
      <c r="T673" s="7" t="n"/>
      <c r="U673" s="7" t="n"/>
      <c r="V673" s="10">
        <f>IF(OR(T673="",U673="",U673=0),"",ROUND(T673/U673,6))</f>
        <v/>
      </c>
      <c r="W673" s="9">
        <f>IF(OR(R673="",T673="",U673="",U673=0),"",ROUND(R673*T673/U673,3))</f>
        <v/>
      </c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12">
        <f>IF(A673="","",IF(OR(B673="",C673="",D673="",E673="",H673="",O673="",T673="",U673=""),"必填欄位未完整",""))</f>
        <v/>
      </c>
      <c r="AI673" s="12">
        <f>IF(A673="","",A673&amp;"|"&amp;G673)</f>
        <v/>
      </c>
      <c r="AJ673" s="12">
        <f>IF(A673="","",A673&amp;"|"&amp;H673)</f>
        <v/>
      </c>
    </row>
    <row r="674" ht="24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8" t="n"/>
      <c r="P674" s="8" t="n"/>
      <c r="Q674" s="8" t="n"/>
      <c r="R674" s="13">
        <f>IF(O674="","",SUM(O674:Q674))</f>
        <v/>
      </c>
      <c r="S674" s="9">
        <f>IF(R674="","",ROUND(R674/3.305785,3))</f>
        <v/>
      </c>
      <c r="T674" s="7" t="n"/>
      <c r="U674" s="7" t="n"/>
      <c r="V674" s="10">
        <f>IF(OR(T674="",U674="",U674=0),"",ROUND(T674/U674,6))</f>
        <v/>
      </c>
      <c r="W674" s="9">
        <f>IF(OR(R674="",T674="",U674="",U674=0),"",ROUND(R674*T674/U674,3))</f>
        <v/>
      </c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12">
        <f>IF(A674="","",IF(OR(B674="",C674="",D674="",E674="",H674="",O674="",T674="",U674=""),"必填欄位未完整",""))</f>
        <v/>
      </c>
      <c r="AI674" s="12">
        <f>IF(A674="","",A674&amp;"|"&amp;G674)</f>
        <v/>
      </c>
      <c r="AJ674" s="12">
        <f>IF(A674="","",A674&amp;"|"&amp;H674)</f>
        <v/>
      </c>
    </row>
    <row r="675" ht="24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8" t="n"/>
      <c r="P675" s="8" t="n"/>
      <c r="Q675" s="8" t="n"/>
      <c r="R675" s="13">
        <f>IF(O675="","",SUM(O675:Q675))</f>
        <v/>
      </c>
      <c r="S675" s="9">
        <f>IF(R675="","",ROUND(R675/3.305785,3))</f>
        <v/>
      </c>
      <c r="T675" s="7" t="n"/>
      <c r="U675" s="7" t="n"/>
      <c r="V675" s="10">
        <f>IF(OR(T675="",U675="",U675=0),"",ROUND(T675/U675,6))</f>
        <v/>
      </c>
      <c r="W675" s="9">
        <f>IF(OR(R675="",T675="",U675="",U675=0),"",ROUND(R675*T675/U675,3))</f>
        <v/>
      </c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12">
        <f>IF(A675="","",IF(OR(B675="",C675="",D675="",E675="",H675="",O675="",T675="",U675=""),"必填欄位未完整",""))</f>
        <v/>
      </c>
      <c r="AI675" s="12">
        <f>IF(A675="","",A675&amp;"|"&amp;G675)</f>
        <v/>
      </c>
      <c r="AJ675" s="12">
        <f>IF(A675="","",A675&amp;"|"&amp;H675)</f>
        <v/>
      </c>
    </row>
    <row r="676" ht="24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8" t="n"/>
      <c r="P676" s="8" t="n"/>
      <c r="Q676" s="8" t="n"/>
      <c r="R676" s="13">
        <f>IF(O676="","",SUM(O676:Q676))</f>
        <v/>
      </c>
      <c r="S676" s="9">
        <f>IF(R676="","",ROUND(R676/3.305785,3))</f>
        <v/>
      </c>
      <c r="T676" s="7" t="n"/>
      <c r="U676" s="7" t="n"/>
      <c r="V676" s="10">
        <f>IF(OR(T676="",U676="",U676=0),"",ROUND(T676/U676,6))</f>
        <v/>
      </c>
      <c r="W676" s="9">
        <f>IF(OR(R676="",T676="",U676="",U676=0),"",ROUND(R676*T676/U676,3))</f>
        <v/>
      </c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12">
        <f>IF(A676="","",IF(OR(B676="",C676="",D676="",E676="",H676="",O676="",T676="",U676=""),"必填欄位未完整",""))</f>
        <v/>
      </c>
      <c r="AI676" s="12">
        <f>IF(A676="","",A676&amp;"|"&amp;G676)</f>
        <v/>
      </c>
      <c r="AJ676" s="12">
        <f>IF(A676="","",A676&amp;"|"&amp;H676)</f>
        <v/>
      </c>
    </row>
    <row r="677" ht="24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8" t="n"/>
      <c r="P677" s="8" t="n"/>
      <c r="Q677" s="8" t="n"/>
      <c r="R677" s="13">
        <f>IF(O677="","",SUM(O677:Q677))</f>
        <v/>
      </c>
      <c r="S677" s="9">
        <f>IF(R677="","",ROUND(R677/3.305785,3))</f>
        <v/>
      </c>
      <c r="T677" s="7" t="n"/>
      <c r="U677" s="7" t="n"/>
      <c r="V677" s="10">
        <f>IF(OR(T677="",U677="",U677=0),"",ROUND(T677/U677,6))</f>
        <v/>
      </c>
      <c r="W677" s="9">
        <f>IF(OR(R677="",T677="",U677="",U677=0),"",ROUND(R677*T677/U677,3))</f>
        <v/>
      </c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12">
        <f>IF(A677="","",IF(OR(B677="",C677="",D677="",E677="",H677="",O677="",T677="",U677=""),"必填欄位未完整",""))</f>
        <v/>
      </c>
      <c r="AI677" s="12">
        <f>IF(A677="","",A677&amp;"|"&amp;G677)</f>
        <v/>
      </c>
      <c r="AJ677" s="12">
        <f>IF(A677="","",A677&amp;"|"&amp;H677)</f>
        <v/>
      </c>
    </row>
    <row r="678" ht="24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8" t="n"/>
      <c r="P678" s="8" t="n"/>
      <c r="Q678" s="8" t="n"/>
      <c r="R678" s="13">
        <f>IF(O678="","",SUM(O678:Q678))</f>
        <v/>
      </c>
      <c r="S678" s="9">
        <f>IF(R678="","",ROUND(R678/3.305785,3))</f>
        <v/>
      </c>
      <c r="T678" s="7" t="n"/>
      <c r="U678" s="7" t="n"/>
      <c r="V678" s="10">
        <f>IF(OR(T678="",U678="",U678=0),"",ROUND(T678/U678,6))</f>
        <v/>
      </c>
      <c r="W678" s="9">
        <f>IF(OR(R678="",T678="",U678="",U678=0),"",ROUND(R678*T678/U678,3))</f>
        <v/>
      </c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12">
        <f>IF(A678="","",IF(OR(B678="",C678="",D678="",E678="",H678="",O678="",T678="",U678=""),"必填欄位未完整",""))</f>
        <v/>
      </c>
      <c r="AI678" s="12">
        <f>IF(A678="","",A678&amp;"|"&amp;G678)</f>
        <v/>
      </c>
      <c r="AJ678" s="12">
        <f>IF(A678="","",A678&amp;"|"&amp;H678)</f>
        <v/>
      </c>
    </row>
    <row r="679" ht="24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8" t="n"/>
      <c r="P679" s="8" t="n"/>
      <c r="Q679" s="8" t="n"/>
      <c r="R679" s="13">
        <f>IF(O679="","",SUM(O679:Q679))</f>
        <v/>
      </c>
      <c r="S679" s="9">
        <f>IF(R679="","",ROUND(R679/3.305785,3))</f>
        <v/>
      </c>
      <c r="T679" s="7" t="n"/>
      <c r="U679" s="7" t="n"/>
      <c r="V679" s="10">
        <f>IF(OR(T679="",U679="",U679=0),"",ROUND(T679/U679,6))</f>
        <v/>
      </c>
      <c r="W679" s="9">
        <f>IF(OR(R679="",T679="",U679="",U679=0),"",ROUND(R679*T679/U679,3))</f>
        <v/>
      </c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12">
        <f>IF(A679="","",IF(OR(B679="",C679="",D679="",E679="",H679="",O679="",T679="",U679=""),"必填欄位未完整",""))</f>
        <v/>
      </c>
      <c r="AI679" s="12">
        <f>IF(A679="","",A679&amp;"|"&amp;G679)</f>
        <v/>
      </c>
      <c r="AJ679" s="12">
        <f>IF(A679="","",A679&amp;"|"&amp;H679)</f>
        <v/>
      </c>
    </row>
    <row r="680" ht="24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8" t="n"/>
      <c r="P680" s="8" t="n"/>
      <c r="Q680" s="8" t="n"/>
      <c r="R680" s="13">
        <f>IF(O680="","",SUM(O680:Q680))</f>
        <v/>
      </c>
      <c r="S680" s="9">
        <f>IF(R680="","",ROUND(R680/3.305785,3))</f>
        <v/>
      </c>
      <c r="T680" s="7" t="n"/>
      <c r="U680" s="7" t="n"/>
      <c r="V680" s="10">
        <f>IF(OR(T680="",U680="",U680=0),"",ROUND(T680/U680,6))</f>
        <v/>
      </c>
      <c r="W680" s="9">
        <f>IF(OR(R680="",T680="",U680="",U680=0),"",ROUND(R680*T680/U680,3))</f>
        <v/>
      </c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12">
        <f>IF(A680="","",IF(OR(B680="",C680="",D680="",E680="",H680="",O680="",T680="",U680=""),"必填欄位未完整",""))</f>
        <v/>
      </c>
      <c r="AI680" s="12">
        <f>IF(A680="","",A680&amp;"|"&amp;G680)</f>
        <v/>
      </c>
      <c r="AJ680" s="12">
        <f>IF(A680="","",A680&amp;"|"&amp;H680)</f>
        <v/>
      </c>
    </row>
    <row r="681" ht="24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8" t="n"/>
      <c r="P681" s="8" t="n"/>
      <c r="Q681" s="8" t="n"/>
      <c r="R681" s="13">
        <f>IF(O681="","",SUM(O681:Q681))</f>
        <v/>
      </c>
      <c r="S681" s="9">
        <f>IF(R681="","",ROUND(R681/3.305785,3))</f>
        <v/>
      </c>
      <c r="T681" s="7" t="n"/>
      <c r="U681" s="7" t="n"/>
      <c r="V681" s="10">
        <f>IF(OR(T681="",U681="",U681=0),"",ROUND(T681/U681,6))</f>
        <v/>
      </c>
      <c r="W681" s="9">
        <f>IF(OR(R681="",T681="",U681="",U681=0),"",ROUND(R681*T681/U681,3))</f>
        <v/>
      </c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12">
        <f>IF(A681="","",IF(OR(B681="",C681="",D681="",E681="",H681="",O681="",T681="",U681=""),"必填欄位未完整",""))</f>
        <v/>
      </c>
      <c r="AI681" s="12">
        <f>IF(A681="","",A681&amp;"|"&amp;G681)</f>
        <v/>
      </c>
      <c r="AJ681" s="12">
        <f>IF(A681="","",A681&amp;"|"&amp;H681)</f>
        <v/>
      </c>
    </row>
    <row r="682" ht="24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8" t="n"/>
      <c r="P682" s="8" t="n"/>
      <c r="Q682" s="8" t="n"/>
      <c r="R682" s="13">
        <f>IF(O682="","",SUM(O682:Q682))</f>
        <v/>
      </c>
      <c r="S682" s="9">
        <f>IF(R682="","",ROUND(R682/3.305785,3))</f>
        <v/>
      </c>
      <c r="T682" s="7" t="n"/>
      <c r="U682" s="7" t="n"/>
      <c r="V682" s="10">
        <f>IF(OR(T682="",U682="",U682=0),"",ROUND(T682/U682,6))</f>
        <v/>
      </c>
      <c r="W682" s="9">
        <f>IF(OR(R682="",T682="",U682="",U682=0),"",ROUND(R682*T682/U682,3))</f>
        <v/>
      </c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12">
        <f>IF(A682="","",IF(OR(B682="",C682="",D682="",E682="",H682="",O682="",T682="",U682=""),"必填欄位未完整",""))</f>
        <v/>
      </c>
      <c r="AI682" s="12">
        <f>IF(A682="","",A682&amp;"|"&amp;G682)</f>
        <v/>
      </c>
      <c r="AJ682" s="12">
        <f>IF(A682="","",A682&amp;"|"&amp;H682)</f>
        <v/>
      </c>
    </row>
    <row r="683" ht="24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8" t="n"/>
      <c r="P683" s="8" t="n"/>
      <c r="Q683" s="8" t="n"/>
      <c r="R683" s="13">
        <f>IF(O683="","",SUM(O683:Q683))</f>
        <v/>
      </c>
      <c r="S683" s="9">
        <f>IF(R683="","",ROUND(R683/3.305785,3))</f>
        <v/>
      </c>
      <c r="T683" s="7" t="n"/>
      <c r="U683" s="7" t="n"/>
      <c r="V683" s="10">
        <f>IF(OR(T683="",U683="",U683=0),"",ROUND(T683/U683,6))</f>
        <v/>
      </c>
      <c r="W683" s="9">
        <f>IF(OR(R683="",T683="",U683="",U683=0),"",ROUND(R683*T683/U683,3))</f>
        <v/>
      </c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12">
        <f>IF(A683="","",IF(OR(B683="",C683="",D683="",E683="",H683="",O683="",T683="",U683=""),"必填欄位未完整",""))</f>
        <v/>
      </c>
      <c r="AI683" s="12">
        <f>IF(A683="","",A683&amp;"|"&amp;G683)</f>
        <v/>
      </c>
      <c r="AJ683" s="12">
        <f>IF(A683="","",A683&amp;"|"&amp;H683)</f>
        <v/>
      </c>
    </row>
    <row r="684" ht="24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8" t="n"/>
      <c r="P684" s="8" t="n"/>
      <c r="Q684" s="8" t="n"/>
      <c r="R684" s="13">
        <f>IF(O684="","",SUM(O684:Q684))</f>
        <v/>
      </c>
      <c r="S684" s="9">
        <f>IF(R684="","",ROUND(R684/3.305785,3))</f>
        <v/>
      </c>
      <c r="T684" s="7" t="n"/>
      <c r="U684" s="7" t="n"/>
      <c r="V684" s="10">
        <f>IF(OR(T684="",U684="",U684=0),"",ROUND(T684/U684,6))</f>
        <v/>
      </c>
      <c r="W684" s="9">
        <f>IF(OR(R684="",T684="",U684="",U684=0),"",ROUND(R684*T684/U684,3))</f>
        <v/>
      </c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12">
        <f>IF(A684="","",IF(OR(B684="",C684="",D684="",E684="",H684="",O684="",T684="",U684=""),"必填欄位未完整",""))</f>
        <v/>
      </c>
      <c r="AI684" s="12">
        <f>IF(A684="","",A684&amp;"|"&amp;G684)</f>
        <v/>
      </c>
      <c r="AJ684" s="12">
        <f>IF(A684="","",A684&amp;"|"&amp;H684)</f>
        <v/>
      </c>
    </row>
    <row r="685" ht="24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8" t="n"/>
      <c r="P685" s="8" t="n"/>
      <c r="Q685" s="8" t="n"/>
      <c r="R685" s="13">
        <f>IF(O685="","",SUM(O685:Q685))</f>
        <v/>
      </c>
      <c r="S685" s="9">
        <f>IF(R685="","",ROUND(R685/3.305785,3))</f>
        <v/>
      </c>
      <c r="T685" s="7" t="n"/>
      <c r="U685" s="7" t="n"/>
      <c r="V685" s="10">
        <f>IF(OR(T685="",U685="",U685=0),"",ROUND(T685/U685,6))</f>
        <v/>
      </c>
      <c r="W685" s="9">
        <f>IF(OR(R685="",T685="",U685="",U685=0),"",ROUND(R685*T685/U685,3))</f>
        <v/>
      </c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12">
        <f>IF(A685="","",IF(OR(B685="",C685="",D685="",E685="",H685="",O685="",T685="",U685=""),"必填欄位未完整",""))</f>
        <v/>
      </c>
      <c r="AI685" s="12">
        <f>IF(A685="","",A685&amp;"|"&amp;G685)</f>
        <v/>
      </c>
      <c r="AJ685" s="12">
        <f>IF(A685="","",A685&amp;"|"&amp;H685)</f>
        <v/>
      </c>
    </row>
    <row r="686" ht="24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8" t="n"/>
      <c r="P686" s="8" t="n"/>
      <c r="Q686" s="8" t="n"/>
      <c r="R686" s="13">
        <f>IF(O686="","",SUM(O686:Q686))</f>
        <v/>
      </c>
      <c r="S686" s="9">
        <f>IF(R686="","",ROUND(R686/3.305785,3))</f>
        <v/>
      </c>
      <c r="T686" s="7" t="n"/>
      <c r="U686" s="7" t="n"/>
      <c r="V686" s="10">
        <f>IF(OR(T686="",U686="",U686=0),"",ROUND(T686/U686,6))</f>
        <v/>
      </c>
      <c r="W686" s="9">
        <f>IF(OR(R686="",T686="",U686="",U686=0),"",ROUND(R686*T686/U686,3))</f>
        <v/>
      </c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12">
        <f>IF(A686="","",IF(OR(B686="",C686="",D686="",E686="",H686="",O686="",T686="",U686=""),"必填欄位未完整",""))</f>
        <v/>
      </c>
      <c r="AI686" s="12">
        <f>IF(A686="","",A686&amp;"|"&amp;G686)</f>
        <v/>
      </c>
      <c r="AJ686" s="12">
        <f>IF(A686="","",A686&amp;"|"&amp;H686)</f>
        <v/>
      </c>
    </row>
    <row r="687" ht="24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8" t="n"/>
      <c r="P687" s="8" t="n"/>
      <c r="Q687" s="8" t="n"/>
      <c r="R687" s="13">
        <f>IF(O687="","",SUM(O687:Q687))</f>
        <v/>
      </c>
      <c r="S687" s="9">
        <f>IF(R687="","",ROUND(R687/3.305785,3))</f>
        <v/>
      </c>
      <c r="T687" s="7" t="n"/>
      <c r="U687" s="7" t="n"/>
      <c r="V687" s="10">
        <f>IF(OR(T687="",U687="",U687=0),"",ROUND(T687/U687,6))</f>
        <v/>
      </c>
      <c r="W687" s="9">
        <f>IF(OR(R687="",T687="",U687="",U687=0),"",ROUND(R687*T687/U687,3))</f>
        <v/>
      </c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12">
        <f>IF(A687="","",IF(OR(B687="",C687="",D687="",E687="",H687="",O687="",T687="",U687=""),"必填欄位未完整",""))</f>
        <v/>
      </c>
      <c r="AI687" s="12">
        <f>IF(A687="","",A687&amp;"|"&amp;G687)</f>
        <v/>
      </c>
      <c r="AJ687" s="12">
        <f>IF(A687="","",A687&amp;"|"&amp;H687)</f>
        <v/>
      </c>
    </row>
    <row r="688" ht="24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8" t="n"/>
      <c r="P688" s="8" t="n"/>
      <c r="Q688" s="8" t="n"/>
      <c r="R688" s="13">
        <f>IF(O688="","",SUM(O688:Q688))</f>
        <v/>
      </c>
      <c r="S688" s="9">
        <f>IF(R688="","",ROUND(R688/3.305785,3))</f>
        <v/>
      </c>
      <c r="T688" s="7" t="n"/>
      <c r="U688" s="7" t="n"/>
      <c r="V688" s="10">
        <f>IF(OR(T688="",U688="",U688=0),"",ROUND(T688/U688,6))</f>
        <v/>
      </c>
      <c r="W688" s="9">
        <f>IF(OR(R688="",T688="",U688="",U688=0),"",ROUND(R688*T688/U688,3))</f>
        <v/>
      </c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12">
        <f>IF(A688="","",IF(OR(B688="",C688="",D688="",E688="",H688="",O688="",T688="",U688=""),"必填欄位未完整",""))</f>
        <v/>
      </c>
      <c r="AI688" s="12">
        <f>IF(A688="","",A688&amp;"|"&amp;G688)</f>
        <v/>
      </c>
      <c r="AJ688" s="12">
        <f>IF(A688="","",A688&amp;"|"&amp;H688)</f>
        <v/>
      </c>
    </row>
    <row r="689" ht="24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8" t="n"/>
      <c r="P689" s="8" t="n"/>
      <c r="Q689" s="8" t="n"/>
      <c r="R689" s="13">
        <f>IF(O689="","",SUM(O689:Q689))</f>
        <v/>
      </c>
      <c r="S689" s="9">
        <f>IF(R689="","",ROUND(R689/3.305785,3))</f>
        <v/>
      </c>
      <c r="T689" s="7" t="n"/>
      <c r="U689" s="7" t="n"/>
      <c r="V689" s="10">
        <f>IF(OR(T689="",U689="",U689=0),"",ROUND(T689/U689,6))</f>
        <v/>
      </c>
      <c r="W689" s="9">
        <f>IF(OR(R689="",T689="",U689="",U689=0),"",ROUND(R689*T689/U689,3))</f>
        <v/>
      </c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12">
        <f>IF(A689="","",IF(OR(B689="",C689="",D689="",E689="",H689="",O689="",T689="",U689=""),"必填欄位未完整",""))</f>
        <v/>
      </c>
      <c r="AI689" s="12">
        <f>IF(A689="","",A689&amp;"|"&amp;G689)</f>
        <v/>
      </c>
      <c r="AJ689" s="12">
        <f>IF(A689="","",A689&amp;"|"&amp;H689)</f>
        <v/>
      </c>
    </row>
    <row r="690" ht="24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8" t="n"/>
      <c r="P690" s="8" t="n"/>
      <c r="Q690" s="8" t="n"/>
      <c r="R690" s="13">
        <f>IF(O690="","",SUM(O690:Q690))</f>
        <v/>
      </c>
      <c r="S690" s="9">
        <f>IF(R690="","",ROUND(R690/3.305785,3))</f>
        <v/>
      </c>
      <c r="T690" s="7" t="n"/>
      <c r="U690" s="7" t="n"/>
      <c r="V690" s="10">
        <f>IF(OR(T690="",U690="",U690=0),"",ROUND(T690/U690,6))</f>
        <v/>
      </c>
      <c r="W690" s="9">
        <f>IF(OR(R690="",T690="",U690="",U690=0),"",ROUND(R690*T690/U690,3))</f>
        <v/>
      </c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12">
        <f>IF(A690="","",IF(OR(B690="",C690="",D690="",E690="",H690="",O690="",T690="",U690=""),"必填欄位未完整",""))</f>
        <v/>
      </c>
      <c r="AI690" s="12">
        <f>IF(A690="","",A690&amp;"|"&amp;G690)</f>
        <v/>
      </c>
      <c r="AJ690" s="12">
        <f>IF(A690="","",A690&amp;"|"&amp;H690)</f>
        <v/>
      </c>
    </row>
    <row r="691" ht="24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8" t="n"/>
      <c r="P691" s="8" t="n"/>
      <c r="Q691" s="8" t="n"/>
      <c r="R691" s="13">
        <f>IF(O691="","",SUM(O691:Q691))</f>
        <v/>
      </c>
      <c r="S691" s="9">
        <f>IF(R691="","",ROUND(R691/3.305785,3))</f>
        <v/>
      </c>
      <c r="T691" s="7" t="n"/>
      <c r="U691" s="7" t="n"/>
      <c r="V691" s="10">
        <f>IF(OR(T691="",U691="",U691=0),"",ROUND(T691/U691,6))</f>
        <v/>
      </c>
      <c r="W691" s="9">
        <f>IF(OR(R691="",T691="",U691="",U691=0),"",ROUND(R691*T691/U691,3))</f>
        <v/>
      </c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12">
        <f>IF(A691="","",IF(OR(B691="",C691="",D691="",E691="",H691="",O691="",T691="",U691=""),"必填欄位未完整",""))</f>
        <v/>
      </c>
      <c r="AI691" s="12">
        <f>IF(A691="","",A691&amp;"|"&amp;G691)</f>
        <v/>
      </c>
      <c r="AJ691" s="12">
        <f>IF(A691="","",A691&amp;"|"&amp;H691)</f>
        <v/>
      </c>
    </row>
    <row r="692" ht="24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8" t="n"/>
      <c r="P692" s="8" t="n"/>
      <c r="Q692" s="8" t="n"/>
      <c r="R692" s="13">
        <f>IF(O692="","",SUM(O692:Q692))</f>
        <v/>
      </c>
      <c r="S692" s="9">
        <f>IF(R692="","",ROUND(R692/3.305785,3))</f>
        <v/>
      </c>
      <c r="T692" s="7" t="n"/>
      <c r="U692" s="7" t="n"/>
      <c r="V692" s="10">
        <f>IF(OR(T692="",U692="",U692=0),"",ROUND(T692/U692,6))</f>
        <v/>
      </c>
      <c r="W692" s="9">
        <f>IF(OR(R692="",T692="",U692="",U692=0),"",ROUND(R692*T692/U692,3))</f>
        <v/>
      </c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12">
        <f>IF(A692="","",IF(OR(B692="",C692="",D692="",E692="",H692="",O692="",T692="",U692=""),"必填欄位未完整",""))</f>
        <v/>
      </c>
      <c r="AI692" s="12">
        <f>IF(A692="","",A692&amp;"|"&amp;G692)</f>
        <v/>
      </c>
      <c r="AJ692" s="12">
        <f>IF(A692="","",A692&amp;"|"&amp;H692)</f>
        <v/>
      </c>
    </row>
    <row r="693" ht="24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8" t="n"/>
      <c r="P693" s="8" t="n"/>
      <c r="Q693" s="8" t="n"/>
      <c r="R693" s="13">
        <f>IF(O693="","",SUM(O693:Q693))</f>
        <v/>
      </c>
      <c r="S693" s="9">
        <f>IF(R693="","",ROUND(R693/3.305785,3))</f>
        <v/>
      </c>
      <c r="T693" s="7" t="n"/>
      <c r="U693" s="7" t="n"/>
      <c r="V693" s="10">
        <f>IF(OR(T693="",U693="",U693=0),"",ROUND(T693/U693,6))</f>
        <v/>
      </c>
      <c r="W693" s="9">
        <f>IF(OR(R693="",T693="",U693="",U693=0),"",ROUND(R693*T693/U693,3))</f>
        <v/>
      </c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12">
        <f>IF(A693="","",IF(OR(B693="",C693="",D693="",E693="",H693="",O693="",T693="",U693=""),"必填欄位未完整",""))</f>
        <v/>
      </c>
      <c r="AI693" s="12">
        <f>IF(A693="","",A693&amp;"|"&amp;G693)</f>
        <v/>
      </c>
      <c r="AJ693" s="12">
        <f>IF(A693="","",A693&amp;"|"&amp;H693)</f>
        <v/>
      </c>
    </row>
    <row r="694" ht="24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8" t="n"/>
      <c r="P694" s="8" t="n"/>
      <c r="Q694" s="8" t="n"/>
      <c r="R694" s="13">
        <f>IF(O694="","",SUM(O694:Q694))</f>
        <v/>
      </c>
      <c r="S694" s="9">
        <f>IF(R694="","",ROUND(R694/3.305785,3))</f>
        <v/>
      </c>
      <c r="T694" s="7" t="n"/>
      <c r="U694" s="7" t="n"/>
      <c r="V694" s="10">
        <f>IF(OR(T694="",U694="",U694=0),"",ROUND(T694/U694,6))</f>
        <v/>
      </c>
      <c r="W694" s="9">
        <f>IF(OR(R694="",T694="",U694="",U694=0),"",ROUND(R694*T694/U694,3))</f>
        <v/>
      </c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12">
        <f>IF(A694="","",IF(OR(B694="",C694="",D694="",E694="",H694="",O694="",T694="",U694=""),"必填欄位未完整",""))</f>
        <v/>
      </c>
      <c r="AI694" s="12">
        <f>IF(A694="","",A694&amp;"|"&amp;G694)</f>
        <v/>
      </c>
      <c r="AJ694" s="12">
        <f>IF(A694="","",A694&amp;"|"&amp;H694)</f>
        <v/>
      </c>
    </row>
    <row r="695" ht="24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8" t="n"/>
      <c r="P695" s="8" t="n"/>
      <c r="Q695" s="8" t="n"/>
      <c r="R695" s="13">
        <f>IF(O695="","",SUM(O695:Q695))</f>
        <v/>
      </c>
      <c r="S695" s="9">
        <f>IF(R695="","",ROUND(R695/3.305785,3))</f>
        <v/>
      </c>
      <c r="T695" s="7" t="n"/>
      <c r="U695" s="7" t="n"/>
      <c r="V695" s="10">
        <f>IF(OR(T695="",U695="",U695=0),"",ROUND(T695/U695,6))</f>
        <v/>
      </c>
      <c r="W695" s="9">
        <f>IF(OR(R695="",T695="",U695="",U695=0),"",ROUND(R695*T695/U695,3))</f>
        <v/>
      </c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12">
        <f>IF(A695="","",IF(OR(B695="",C695="",D695="",E695="",H695="",O695="",T695="",U695=""),"必填欄位未完整",""))</f>
        <v/>
      </c>
      <c r="AI695" s="12">
        <f>IF(A695="","",A695&amp;"|"&amp;G695)</f>
        <v/>
      </c>
      <c r="AJ695" s="12">
        <f>IF(A695="","",A695&amp;"|"&amp;H695)</f>
        <v/>
      </c>
    </row>
    <row r="696" ht="24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8" t="n"/>
      <c r="P696" s="8" t="n"/>
      <c r="Q696" s="8" t="n"/>
      <c r="R696" s="13">
        <f>IF(O696="","",SUM(O696:Q696))</f>
        <v/>
      </c>
      <c r="S696" s="9">
        <f>IF(R696="","",ROUND(R696/3.305785,3))</f>
        <v/>
      </c>
      <c r="T696" s="7" t="n"/>
      <c r="U696" s="7" t="n"/>
      <c r="V696" s="10">
        <f>IF(OR(T696="",U696="",U696=0),"",ROUND(T696/U696,6))</f>
        <v/>
      </c>
      <c r="W696" s="9">
        <f>IF(OR(R696="",T696="",U696="",U696=0),"",ROUND(R696*T696/U696,3))</f>
        <v/>
      </c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12">
        <f>IF(A696="","",IF(OR(B696="",C696="",D696="",E696="",H696="",O696="",T696="",U696=""),"必填欄位未完整",""))</f>
        <v/>
      </c>
      <c r="AI696" s="12">
        <f>IF(A696="","",A696&amp;"|"&amp;G696)</f>
        <v/>
      </c>
      <c r="AJ696" s="12">
        <f>IF(A696="","",A696&amp;"|"&amp;H696)</f>
        <v/>
      </c>
    </row>
    <row r="697" ht="24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8" t="n"/>
      <c r="P697" s="8" t="n"/>
      <c r="Q697" s="8" t="n"/>
      <c r="R697" s="13">
        <f>IF(O697="","",SUM(O697:Q697))</f>
        <v/>
      </c>
      <c r="S697" s="9">
        <f>IF(R697="","",ROUND(R697/3.305785,3))</f>
        <v/>
      </c>
      <c r="T697" s="7" t="n"/>
      <c r="U697" s="7" t="n"/>
      <c r="V697" s="10">
        <f>IF(OR(T697="",U697="",U697=0),"",ROUND(T697/U697,6))</f>
        <v/>
      </c>
      <c r="W697" s="9">
        <f>IF(OR(R697="",T697="",U697="",U697=0),"",ROUND(R697*T697/U697,3))</f>
        <v/>
      </c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12">
        <f>IF(A697="","",IF(OR(B697="",C697="",D697="",E697="",H697="",O697="",T697="",U697=""),"必填欄位未完整",""))</f>
        <v/>
      </c>
      <c r="AI697" s="12">
        <f>IF(A697="","",A697&amp;"|"&amp;G697)</f>
        <v/>
      </c>
      <c r="AJ697" s="12">
        <f>IF(A697="","",A697&amp;"|"&amp;H697)</f>
        <v/>
      </c>
    </row>
    <row r="698" ht="24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8" t="n"/>
      <c r="P698" s="8" t="n"/>
      <c r="Q698" s="8" t="n"/>
      <c r="R698" s="13">
        <f>IF(O698="","",SUM(O698:Q698))</f>
        <v/>
      </c>
      <c r="S698" s="9">
        <f>IF(R698="","",ROUND(R698/3.305785,3))</f>
        <v/>
      </c>
      <c r="T698" s="7" t="n"/>
      <c r="U698" s="7" t="n"/>
      <c r="V698" s="10">
        <f>IF(OR(T698="",U698="",U698=0),"",ROUND(T698/U698,6))</f>
        <v/>
      </c>
      <c r="W698" s="9">
        <f>IF(OR(R698="",T698="",U698="",U698=0),"",ROUND(R698*T698/U698,3))</f>
        <v/>
      </c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12">
        <f>IF(A698="","",IF(OR(B698="",C698="",D698="",E698="",H698="",O698="",T698="",U698=""),"必填欄位未完整",""))</f>
        <v/>
      </c>
      <c r="AI698" s="12">
        <f>IF(A698="","",A698&amp;"|"&amp;G698)</f>
        <v/>
      </c>
      <c r="AJ698" s="12">
        <f>IF(A698="","",A698&amp;"|"&amp;H698)</f>
        <v/>
      </c>
    </row>
    <row r="699" ht="24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8" t="n"/>
      <c r="P699" s="8" t="n"/>
      <c r="Q699" s="8" t="n"/>
      <c r="R699" s="13">
        <f>IF(O699="","",SUM(O699:Q699))</f>
        <v/>
      </c>
      <c r="S699" s="9">
        <f>IF(R699="","",ROUND(R699/3.305785,3))</f>
        <v/>
      </c>
      <c r="T699" s="7" t="n"/>
      <c r="U699" s="7" t="n"/>
      <c r="V699" s="10">
        <f>IF(OR(T699="",U699="",U699=0),"",ROUND(T699/U699,6))</f>
        <v/>
      </c>
      <c r="W699" s="9">
        <f>IF(OR(R699="",T699="",U699="",U699=0),"",ROUND(R699*T699/U699,3))</f>
        <v/>
      </c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12">
        <f>IF(A699="","",IF(OR(B699="",C699="",D699="",E699="",H699="",O699="",T699="",U699=""),"必填欄位未完整",""))</f>
        <v/>
      </c>
      <c r="AI699" s="12">
        <f>IF(A699="","",A699&amp;"|"&amp;G699)</f>
        <v/>
      </c>
      <c r="AJ699" s="12">
        <f>IF(A699="","",A699&amp;"|"&amp;H699)</f>
        <v/>
      </c>
    </row>
    <row r="700" ht="24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8" t="n"/>
      <c r="P700" s="8" t="n"/>
      <c r="Q700" s="8" t="n"/>
      <c r="R700" s="13">
        <f>IF(O700="","",SUM(O700:Q700))</f>
        <v/>
      </c>
      <c r="S700" s="9">
        <f>IF(R700="","",ROUND(R700/3.305785,3))</f>
        <v/>
      </c>
      <c r="T700" s="7" t="n"/>
      <c r="U700" s="7" t="n"/>
      <c r="V700" s="10">
        <f>IF(OR(T700="",U700="",U700=0),"",ROUND(T700/U700,6))</f>
        <v/>
      </c>
      <c r="W700" s="9">
        <f>IF(OR(R700="",T700="",U700="",U700=0),"",ROUND(R700*T700/U700,3))</f>
        <v/>
      </c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12">
        <f>IF(A700="","",IF(OR(B700="",C700="",D700="",E700="",H700="",O700="",T700="",U700=""),"必填欄位未完整",""))</f>
        <v/>
      </c>
      <c r="AI700" s="12">
        <f>IF(A700="","",A700&amp;"|"&amp;G700)</f>
        <v/>
      </c>
      <c r="AJ700" s="12">
        <f>IF(A700="","",A700&amp;"|"&amp;H700)</f>
        <v/>
      </c>
    </row>
    <row r="701" ht="24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8" t="n"/>
      <c r="P701" s="8" t="n"/>
      <c r="Q701" s="8" t="n"/>
      <c r="R701" s="13">
        <f>IF(O701="","",SUM(O701:Q701))</f>
        <v/>
      </c>
      <c r="S701" s="9">
        <f>IF(R701="","",ROUND(R701/3.305785,3))</f>
        <v/>
      </c>
      <c r="T701" s="7" t="n"/>
      <c r="U701" s="7" t="n"/>
      <c r="V701" s="10">
        <f>IF(OR(T701="",U701="",U701=0),"",ROUND(T701/U701,6))</f>
        <v/>
      </c>
      <c r="W701" s="9">
        <f>IF(OR(R701="",T701="",U701="",U701=0),"",ROUND(R701*T701/U701,3))</f>
        <v/>
      </c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12">
        <f>IF(A701="","",IF(OR(B701="",C701="",D701="",E701="",H701="",O701="",T701="",U701=""),"必填欄位未完整",""))</f>
        <v/>
      </c>
      <c r="AI701" s="12">
        <f>IF(A701="","",A701&amp;"|"&amp;G701)</f>
        <v/>
      </c>
      <c r="AJ701" s="12">
        <f>IF(A701="","",A701&amp;"|"&amp;H701)</f>
        <v/>
      </c>
    </row>
    <row r="702" ht="24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8" t="n"/>
      <c r="P702" s="8" t="n"/>
      <c r="Q702" s="8" t="n"/>
      <c r="R702" s="13">
        <f>IF(O702="","",SUM(O702:Q702))</f>
        <v/>
      </c>
      <c r="S702" s="9">
        <f>IF(R702="","",ROUND(R702/3.305785,3))</f>
        <v/>
      </c>
      <c r="T702" s="7" t="n"/>
      <c r="U702" s="7" t="n"/>
      <c r="V702" s="10">
        <f>IF(OR(T702="",U702="",U702=0),"",ROUND(T702/U702,6))</f>
        <v/>
      </c>
      <c r="W702" s="9">
        <f>IF(OR(R702="",T702="",U702="",U702=0),"",ROUND(R702*T702/U702,3))</f>
        <v/>
      </c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12">
        <f>IF(A702="","",IF(OR(B702="",C702="",D702="",E702="",H702="",O702="",T702="",U702=""),"必填欄位未完整",""))</f>
        <v/>
      </c>
      <c r="AI702" s="12">
        <f>IF(A702="","",A702&amp;"|"&amp;G702)</f>
        <v/>
      </c>
      <c r="AJ702" s="12">
        <f>IF(A702="","",A702&amp;"|"&amp;H702)</f>
        <v/>
      </c>
    </row>
    <row r="703" ht="24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8" t="n"/>
      <c r="P703" s="8" t="n"/>
      <c r="Q703" s="8" t="n"/>
      <c r="R703" s="13">
        <f>IF(O703="","",SUM(O703:Q703))</f>
        <v/>
      </c>
      <c r="S703" s="9">
        <f>IF(R703="","",ROUND(R703/3.305785,3))</f>
        <v/>
      </c>
      <c r="T703" s="7" t="n"/>
      <c r="U703" s="7" t="n"/>
      <c r="V703" s="10">
        <f>IF(OR(T703="",U703="",U703=0),"",ROUND(T703/U703,6))</f>
        <v/>
      </c>
      <c r="W703" s="9">
        <f>IF(OR(R703="",T703="",U703="",U703=0),"",ROUND(R703*T703/U703,3))</f>
        <v/>
      </c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12">
        <f>IF(A703="","",IF(OR(B703="",C703="",D703="",E703="",H703="",O703="",T703="",U703=""),"必填欄位未完整",""))</f>
        <v/>
      </c>
      <c r="AI703" s="12">
        <f>IF(A703="","",A703&amp;"|"&amp;G703)</f>
        <v/>
      </c>
      <c r="AJ703" s="12">
        <f>IF(A703="","",A703&amp;"|"&amp;H703)</f>
        <v/>
      </c>
    </row>
    <row r="704" ht="24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8" t="n"/>
      <c r="P704" s="8" t="n"/>
      <c r="Q704" s="8" t="n"/>
      <c r="R704" s="13">
        <f>IF(O704="","",SUM(O704:Q704))</f>
        <v/>
      </c>
      <c r="S704" s="9">
        <f>IF(R704="","",ROUND(R704/3.305785,3))</f>
        <v/>
      </c>
      <c r="T704" s="7" t="n"/>
      <c r="U704" s="7" t="n"/>
      <c r="V704" s="10">
        <f>IF(OR(T704="",U704="",U704=0),"",ROUND(T704/U704,6))</f>
        <v/>
      </c>
      <c r="W704" s="9">
        <f>IF(OR(R704="",T704="",U704="",U704=0),"",ROUND(R704*T704/U704,3))</f>
        <v/>
      </c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12">
        <f>IF(A704="","",IF(OR(B704="",C704="",D704="",E704="",H704="",O704="",T704="",U704=""),"必填欄位未完整",""))</f>
        <v/>
      </c>
      <c r="AI704" s="12">
        <f>IF(A704="","",A704&amp;"|"&amp;G704)</f>
        <v/>
      </c>
      <c r="AJ704" s="12">
        <f>IF(A704="","",A704&amp;"|"&amp;H704)</f>
        <v/>
      </c>
    </row>
    <row r="705" ht="24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8" t="n"/>
      <c r="P705" s="8" t="n"/>
      <c r="Q705" s="8" t="n"/>
      <c r="R705" s="13">
        <f>IF(O705="","",SUM(O705:Q705))</f>
        <v/>
      </c>
      <c r="S705" s="9">
        <f>IF(R705="","",ROUND(R705/3.305785,3))</f>
        <v/>
      </c>
      <c r="T705" s="7" t="n"/>
      <c r="U705" s="7" t="n"/>
      <c r="V705" s="10">
        <f>IF(OR(T705="",U705="",U705=0),"",ROUND(T705/U705,6))</f>
        <v/>
      </c>
      <c r="W705" s="9">
        <f>IF(OR(R705="",T705="",U705="",U705=0),"",ROUND(R705*T705/U705,3))</f>
        <v/>
      </c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12">
        <f>IF(A705="","",IF(OR(B705="",C705="",D705="",E705="",H705="",O705="",T705="",U705=""),"必填欄位未完整",""))</f>
        <v/>
      </c>
      <c r="AI705" s="12">
        <f>IF(A705="","",A705&amp;"|"&amp;G705)</f>
        <v/>
      </c>
      <c r="AJ705" s="12">
        <f>IF(A705="","",A705&amp;"|"&amp;H705)</f>
        <v/>
      </c>
    </row>
    <row r="706" ht="24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8" t="n"/>
      <c r="P706" s="8" t="n"/>
      <c r="Q706" s="8" t="n"/>
      <c r="R706" s="13">
        <f>IF(O706="","",SUM(O706:Q706))</f>
        <v/>
      </c>
      <c r="S706" s="9">
        <f>IF(R706="","",ROUND(R706/3.305785,3))</f>
        <v/>
      </c>
      <c r="T706" s="7" t="n"/>
      <c r="U706" s="7" t="n"/>
      <c r="V706" s="10">
        <f>IF(OR(T706="",U706="",U706=0),"",ROUND(T706/U706,6))</f>
        <v/>
      </c>
      <c r="W706" s="9">
        <f>IF(OR(R706="",T706="",U706="",U706=0),"",ROUND(R706*T706/U706,3))</f>
        <v/>
      </c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12">
        <f>IF(A706="","",IF(OR(B706="",C706="",D706="",E706="",H706="",O706="",T706="",U706=""),"必填欄位未完整",""))</f>
        <v/>
      </c>
      <c r="AI706" s="12">
        <f>IF(A706="","",A706&amp;"|"&amp;G706)</f>
        <v/>
      </c>
      <c r="AJ706" s="12">
        <f>IF(A706="","",A706&amp;"|"&amp;H706)</f>
        <v/>
      </c>
    </row>
    <row r="707" ht="24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8" t="n"/>
      <c r="P707" s="8" t="n"/>
      <c r="Q707" s="8" t="n"/>
      <c r="R707" s="13">
        <f>IF(O707="","",SUM(O707:Q707))</f>
        <v/>
      </c>
      <c r="S707" s="9">
        <f>IF(R707="","",ROUND(R707/3.305785,3))</f>
        <v/>
      </c>
      <c r="T707" s="7" t="n"/>
      <c r="U707" s="7" t="n"/>
      <c r="V707" s="10">
        <f>IF(OR(T707="",U707="",U707=0),"",ROUND(T707/U707,6))</f>
        <v/>
      </c>
      <c r="W707" s="9">
        <f>IF(OR(R707="",T707="",U707="",U707=0),"",ROUND(R707*T707/U707,3))</f>
        <v/>
      </c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12">
        <f>IF(A707="","",IF(OR(B707="",C707="",D707="",E707="",H707="",O707="",T707="",U707=""),"必填欄位未完整",""))</f>
        <v/>
      </c>
      <c r="AI707" s="12">
        <f>IF(A707="","",A707&amp;"|"&amp;G707)</f>
        <v/>
      </c>
      <c r="AJ707" s="12">
        <f>IF(A707="","",A707&amp;"|"&amp;H707)</f>
        <v/>
      </c>
    </row>
    <row r="708" ht="24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8" t="n"/>
      <c r="P708" s="8" t="n"/>
      <c r="Q708" s="8" t="n"/>
      <c r="R708" s="13">
        <f>IF(O708="","",SUM(O708:Q708))</f>
        <v/>
      </c>
      <c r="S708" s="9">
        <f>IF(R708="","",ROUND(R708/3.305785,3))</f>
        <v/>
      </c>
      <c r="T708" s="7" t="n"/>
      <c r="U708" s="7" t="n"/>
      <c r="V708" s="10">
        <f>IF(OR(T708="",U708="",U708=0),"",ROUND(T708/U708,6))</f>
        <v/>
      </c>
      <c r="W708" s="9">
        <f>IF(OR(R708="",T708="",U708="",U708=0),"",ROUND(R708*T708/U708,3))</f>
        <v/>
      </c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12">
        <f>IF(A708="","",IF(OR(B708="",C708="",D708="",E708="",H708="",O708="",T708="",U708=""),"必填欄位未完整",""))</f>
        <v/>
      </c>
      <c r="AI708" s="12">
        <f>IF(A708="","",A708&amp;"|"&amp;G708)</f>
        <v/>
      </c>
      <c r="AJ708" s="12">
        <f>IF(A708="","",A708&amp;"|"&amp;H708)</f>
        <v/>
      </c>
    </row>
    <row r="709" ht="24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8" t="n"/>
      <c r="P709" s="8" t="n"/>
      <c r="Q709" s="8" t="n"/>
      <c r="R709" s="13">
        <f>IF(O709="","",SUM(O709:Q709))</f>
        <v/>
      </c>
      <c r="S709" s="9">
        <f>IF(R709="","",ROUND(R709/3.305785,3))</f>
        <v/>
      </c>
      <c r="T709" s="7" t="n"/>
      <c r="U709" s="7" t="n"/>
      <c r="V709" s="10">
        <f>IF(OR(T709="",U709="",U709=0),"",ROUND(T709/U709,6))</f>
        <v/>
      </c>
      <c r="W709" s="9">
        <f>IF(OR(R709="",T709="",U709="",U709=0),"",ROUND(R709*T709/U709,3))</f>
        <v/>
      </c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12">
        <f>IF(A709="","",IF(OR(B709="",C709="",D709="",E709="",H709="",O709="",T709="",U709=""),"必填欄位未完整",""))</f>
        <v/>
      </c>
      <c r="AI709" s="12">
        <f>IF(A709="","",A709&amp;"|"&amp;G709)</f>
        <v/>
      </c>
      <c r="AJ709" s="12">
        <f>IF(A709="","",A709&amp;"|"&amp;H709)</f>
        <v/>
      </c>
    </row>
    <row r="710" ht="24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8" t="n"/>
      <c r="P710" s="8" t="n"/>
      <c r="Q710" s="8" t="n"/>
      <c r="R710" s="13">
        <f>IF(O710="","",SUM(O710:Q710))</f>
        <v/>
      </c>
      <c r="S710" s="9">
        <f>IF(R710="","",ROUND(R710/3.305785,3))</f>
        <v/>
      </c>
      <c r="T710" s="7" t="n"/>
      <c r="U710" s="7" t="n"/>
      <c r="V710" s="10">
        <f>IF(OR(T710="",U710="",U710=0),"",ROUND(T710/U710,6))</f>
        <v/>
      </c>
      <c r="W710" s="9">
        <f>IF(OR(R710="",T710="",U710="",U710=0),"",ROUND(R710*T710/U710,3))</f>
        <v/>
      </c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12">
        <f>IF(A710="","",IF(OR(B710="",C710="",D710="",E710="",H710="",O710="",T710="",U710=""),"必填欄位未完整",""))</f>
        <v/>
      </c>
      <c r="AI710" s="12">
        <f>IF(A710="","",A710&amp;"|"&amp;G710)</f>
        <v/>
      </c>
      <c r="AJ710" s="12">
        <f>IF(A710="","",A710&amp;"|"&amp;H710)</f>
        <v/>
      </c>
    </row>
    <row r="711" ht="24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8" t="n"/>
      <c r="P711" s="8" t="n"/>
      <c r="Q711" s="8" t="n"/>
      <c r="R711" s="13">
        <f>IF(O711="","",SUM(O711:Q711))</f>
        <v/>
      </c>
      <c r="S711" s="9">
        <f>IF(R711="","",ROUND(R711/3.305785,3))</f>
        <v/>
      </c>
      <c r="T711" s="7" t="n"/>
      <c r="U711" s="7" t="n"/>
      <c r="V711" s="10">
        <f>IF(OR(T711="",U711="",U711=0),"",ROUND(T711/U711,6))</f>
        <v/>
      </c>
      <c r="W711" s="9">
        <f>IF(OR(R711="",T711="",U711="",U711=0),"",ROUND(R711*T711/U711,3))</f>
        <v/>
      </c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12">
        <f>IF(A711="","",IF(OR(B711="",C711="",D711="",E711="",H711="",O711="",T711="",U711=""),"必填欄位未完整",""))</f>
        <v/>
      </c>
      <c r="AI711" s="12">
        <f>IF(A711="","",A711&amp;"|"&amp;G711)</f>
        <v/>
      </c>
      <c r="AJ711" s="12">
        <f>IF(A711="","",A711&amp;"|"&amp;H711)</f>
        <v/>
      </c>
    </row>
    <row r="712" ht="24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8" t="n"/>
      <c r="P712" s="8" t="n"/>
      <c r="Q712" s="8" t="n"/>
      <c r="R712" s="13">
        <f>IF(O712="","",SUM(O712:Q712))</f>
        <v/>
      </c>
      <c r="S712" s="9">
        <f>IF(R712="","",ROUND(R712/3.305785,3))</f>
        <v/>
      </c>
      <c r="T712" s="7" t="n"/>
      <c r="U712" s="7" t="n"/>
      <c r="V712" s="10">
        <f>IF(OR(T712="",U712="",U712=0),"",ROUND(T712/U712,6))</f>
        <v/>
      </c>
      <c r="W712" s="9">
        <f>IF(OR(R712="",T712="",U712="",U712=0),"",ROUND(R712*T712/U712,3))</f>
        <v/>
      </c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12">
        <f>IF(A712="","",IF(OR(B712="",C712="",D712="",E712="",H712="",O712="",T712="",U712=""),"必填欄位未完整",""))</f>
        <v/>
      </c>
      <c r="AI712" s="12">
        <f>IF(A712="","",A712&amp;"|"&amp;G712)</f>
        <v/>
      </c>
      <c r="AJ712" s="12">
        <f>IF(A712="","",A712&amp;"|"&amp;H712)</f>
        <v/>
      </c>
    </row>
    <row r="713" ht="24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8" t="n"/>
      <c r="P713" s="8" t="n"/>
      <c r="Q713" s="8" t="n"/>
      <c r="R713" s="13">
        <f>IF(O713="","",SUM(O713:Q713))</f>
        <v/>
      </c>
      <c r="S713" s="9">
        <f>IF(R713="","",ROUND(R713/3.305785,3))</f>
        <v/>
      </c>
      <c r="T713" s="7" t="n"/>
      <c r="U713" s="7" t="n"/>
      <c r="V713" s="10">
        <f>IF(OR(T713="",U713="",U713=0),"",ROUND(T713/U713,6))</f>
        <v/>
      </c>
      <c r="W713" s="9">
        <f>IF(OR(R713="",T713="",U713="",U713=0),"",ROUND(R713*T713/U713,3))</f>
        <v/>
      </c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12">
        <f>IF(A713="","",IF(OR(B713="",C713="",D713="",E713="",H713="",O713="",T713="",U713=""),"必填欄位未完整",""))</f>
        <v/>
      </c>
      <c r="AI713" s="12">
        <f>IF(A713="","",A713&amp;"|"&amp;G713)</f>
        <v/>
      </c>
      <c r="AJ713" s="12">
        <f>IF(A713="","",A713&amp;"|"&amp;H713)</f>
        <v/>
      </c>
    </row>
    <row r="714" ht="24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8" t="n"/>
      <c r="P714" s="8" t="n"/>
      <c r="Q714" s="8" t="n"/>
      <c r="R714" s="13">
        <f>IF(O714="","",SUM(O714:Q714))</f>
        <v/>
      </c>
      <c r="S714" s="9">
        <f>IF(R714="","",ROUND(R714/3.305785,3))</f>
        <v/>
      </c>
      <c r="T714" s="7" t="n"/>
      <c r="U714" s="7" t="n"/>
      <c r="V714" s="10">
        <f>IF(OR(T714="",U714="",U714=0),"",ROUND(T714/U714,6))</f>
        <v/>
      </c>
      <c r="W714" s="9">
        <f>IF(OR(R714="",T714="",U714="",U714=0),"",ROUND(R714*T714/U714,3))</f>
        <v/>
      </c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12">
        <f>IF(A714="","",IF(OR(B714="",C714="",D714="",E714="",H714="",O714="",T714="",U714=""),"必填欄位未完整",""))</f>
        <v/>
      </c>
      <c r="AI714" s="12">
        <f>IF(A714="","",A714&amp;"|"&amp;G714)</f>
        <v/>
      </c>
      <c r="AJ714" s="12">
        <f>IF(A714="","",A714&amp;"|"&amp;H714)</f>
        <v/>
      </c>
    </row>
    <row r="715" ht="24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8" t="n"/>
      <c r="P715" s="8" t="n"/>
      <c r="Q715" s="8" t="n"/>
      <c r="R715" s="13">
        <f>IF(O715="","",SUM(O715:Q715))</f>
        <v/>
      </c>
      <c r="S715" s="9">
        <f>IF(R715="","",ROUND(R715/3.305785,3))</f>
        <v/>
      </c>
      <c r="T715" s="7" t="n"/>
      <c r="U715" s="7" t="n"/>
      <c r="V715" s="10">
        <f>IF(OR(T715="",U715="",U715=0),"",ROUND(T715/U715,6))</f>
        <v/>
      </c>
      <c r="W715" s="9">
        <f>IF(OR(R715="",T715="",U715="",U715=0),"",ROUND(R715*T715/U715,3))</f>
        <v/>
      </c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12">
        <f>IF(A715="","",IF(OR(B715="",C715="",D715="",E715="",H715="",O715="",T715="",U715=""),"必填欄位未完整",""))</f>
        <v/>
      </c>
      <c r="AI715" s="12">
        <f>IF(A715="","",A715&amp;"|"&amp;G715)</f>
        <v/>
      </c>
      <c r="AJ715" s="12">
        <f>IF(A715="","",A715&amp;"|"&amp;H715)</f>
        <v/>
      </c>
    </row>
    <row r="716" ht="24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8" t="n"/>
      <c r="P716" s="8" t="n"/>
      <c r="Q716" s="8" t="n"/>
      <c r="R716" s="13">
        <f>IF(O716="","",SUM(O716:Q716))</f>
        <v/>
      </c>
      <c r="S716" s="9">
        <f>IF(R716="","",ROUND(R716/3.305785,3))</f>
        <v/>
      </c>
      <c r="T716" s="7" t="n"/>
      <c r="U716" s="7" t="n"/>
      <c r="V716" s="10">
        <f>IF(OR(T716="",U716="",U716=0),"",ROUND(T716/U716,6))</f>
        <v/>
      </c>
      <c r="W716" s="9">
        <f>IF(OR(R716="",T716="",U716="",U716=0),"",ROUND(R716*T716/U716,3))</f>
        <v/>
      </c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12">
        <f>IF(A716="","",IF(OR(B716="",C716="",D716="",E716="",H716="",O716="",T716="",U716=""),"必填欄位未完整",""))</f>
        <v/>
      </c>
      <c r="AI716" s="12">
        <f>IF(A716="","",A716&amp;"|"&amp;G716)</f>
        <v/>
      </c>
      <c r="AJ716" s="12">
        <f>IF(A716="","",A716&amp;"|"&amp;H716)</f>
        <v/>
      </c>
    </row>
    <row r="717" ht="24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8" t="n"/>
      <c r="P717" s="8" t="n"/>
      <c r="Q717" s="8" t="n"/>
      <c r="R717" s="13">
        <f>IF(O717="","",SUM(O717:Q717))</f>
        <v/>
      </c>
      <c r="S717" s="9">
        <f>IF(R717="","",ROUND(R717/3.305785,3))</f>
        <v/>
      </c>
      <c r="T717" s="7" t="n"/>
      <c r="U717" s="7" t="n"/>
      <c r="V717" s="10">
        <f>IF(OR(T717="",U717="",U717=0),"",ROUND(T717/U717,6))</f>
        <v/>
      </c>
      <c r="W717" s="9">
        <f>IF(OR(R717="",T717="",U717="",U717=0),"",ROUND(R717*T717/U717,3))</f>
        <v/>
      </c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12">
        <f>IF(A717="","",IF(OR(B717="",C717="",D717="",E717="",H717="",O717="",T717="",U717=""),"必填欄位未完整",""))</f>
        <v/>
      </c>
      <c r="AI717" s="12">
        <f>IF(A717="","",A717&amp;"|"&amp;G717)</f>
        <v/>
      </c>
      <c r="AJ717" s="12">
        <f>IF(A717="","",A717&amp;"|"&amp;H717)</f>
        <v/>
      </c>
    </row>
    <row r="718" ht="24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8" t="n"/>
      <c r="P718" s="8" t="n"/>
      <c r="Q718" s="8" t="n"/>
      <c r="R718" s="13">
        <f>IF(O718="","",SUM(O718:Q718))</f>
        <v/>
      </c>
      <c r="S718" s="9">
        <f>IF(R718="","",ROUND(R718/3.305785,3))</f>
        <v/>
      </c>
      <c r="T718" s="7" t="n"/>
      <c r="U718" s="7" t="n"/>
      <c r="V718" s="10">
        <f>IF(OR(T718="",U718="",U718=0),"",ROUND(T718/U718,6))</f>
        <v/>
      </c>
      <c r="W718" s="9">
        <f>IF(OR(R718="",T718="",U718="",U718=0),"",ROUND(R718*T718/U718,3))</f>
        <v/>
      </c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12">
        <f>IF(A718="","",IF(OR(B718="",C718="",D718="",E718="",H718="",O718="",T718="",U718=""),"必填欄位未完整",""))</f>
        <v/>
      </c>
      <c r="AI718" s="12">
        <f>IF(A718="","",A718&amp;"|"&amp;G718)</f>
        <v/>
      </c>
      <c r="AJ718" s="12">
        <f>IF(A718="","",A718&amp;"|"&amp;H718)</f>
        <v/>
      </c>
    </row>
    <row r="719" ht="24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8" t="n"/>
      <c r="P719" s="8" t="n"/>
      <c r="Q719" s="8" t="n"/>
      <c r="R719" s="13">
        <f>IF(O719="","",SUM(O719:Q719))</f>
        <v/>
      </c>
      <c r="S719" s="9">
        <f>IF(R719="","",ROUND(R719/3.305785,3))</f>
        <v/>
      </c>
      <c r="T719" s="7" t="n"/>
      <c r="U719" s="7" t="n"/>
      <c r="V719" s="10">
        <f>IF(OR(T719="",U719="",U719=0),"",ROUND(T719/U719,6))</f>
        <v/>
      </c>
      <c r="W719" s="9">
        <f>IF(OR(R719="",T719="",U719="",U719=0),"",ROUND(R719*T719/U719,3))</f>
        <v/>
      </c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12">
        <f>IF(A719="","",IF(OR(B719="",C719="",D719="",E719="",H719="",O719="",T719="",U719=""),"必填欄位未完整",""))</f>
        <v/>
      </c>
      <c r="AI719" s="12">
        <f>IF(A719="","",A719&amp;"|"&amp;G719)</f>
        <v/>
      </c>
      <c r="AJ719" s="12">
        <f>IF(A719="","",A719&amp;"|"&amp;H719)</f>
        <v/>
      </c>
    </row>
    <row r="720" ht="24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8" t="n"/>
      <c r="P720" s="8" t="n"/>
      <c r="Q720" s="8" t="n"/>
      <c r="R720" s="13">
        <f>IF(O720="","",SUM(O720:Q720))</f>
        <v/>
      </c>
      <c r="S720" s="9">
        <f>IF(R720="","",ROUND(R720/3.305785,3))</f>
        <v/>
      </c>
      <c r="T720" s="7" t="n"/>
      <c r="U720" s="7" t="n"/>
      <c r="V720" s="10">
        <f>IF(OR(T720="",U720="",U720=0),"",ROUND(T720/U720,6))</f>
        <v/>
      </c>
      <c r="W720" s="9">
        <f>IF(OR(R720="",T720="",U720="",U720=0),"",ROUND(R720*T720/U720,3))</f>
        <v/>
      </c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12">
        <f>IF(A720="","",IF(OR(B720="",C720="",D720="",E720="",H720="",O720="",T720="",U720=""),"必填欄位未完整",""))</f>
        <v/>
      </c>
      <c r="AI720" s="12">
        <f>IF(A720="","",A720&amp;"|"&amp;G720)</f>
        <v/>
      </c>
      <c r="AJ720" s="12">
        <f>IF(A720="","",A720&amp;"|"&amp;H720)</f>
        <v/>
      </c>
    </row>
    <row r="721" ht="24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8" t="n"/>
      <c r="P721" s="8" t="n"/>
      <c r="Q721" s="8" t="n"/>
      <c r="R721" s="13">
        <f>IF(O721="","",SUM(O721:Q721))</f>
        <v/>
      </c>
      <c r="S721" s="9">
        <f>IF(R721="","",ROUND(R721/3.305785,3))</f>
        <v/>
      </c>
      <c r="T721" s="7" t="n"/>
      <c r="U721" s="7" t="n"/>
      <c r="V721" s="10">
        <f>IF(OR(T721="",U721="",U721=0),"",ROUND(T721/U721,6))</f>
        <v/>
      </c>
      <c r="W721" s="9">
        <f>IF(OR(R721="",T721="",U721="",U721=0),"",ROUND(R721*T721/U721,3))</f>
        <v/>
      </c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12">
        <f>IF(A721="","",IF(OR(B721="",C721="",D721="",E721="",H721="",O721="",T721="",U721=""),"必填欄位未完整",""))</f>
        <v/>
      </c>
      <c r="AI721" s="12">
        <f>IF(A721="","",A721&amp;"|"&amp;G721)</f>
        <v/>
      </c>
      <c r="AJ721" s="12">
        <f>IF(A721="","",A721&amp;"|"&amp;H721)</f>
        <v/>
      </c>
    </row>
    <row r="722" ht="24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8" t="n"/>
      <c r="P722" s="8" t="n"/>
      <c r="Q722" s="8" t="n"/>
      <c r="R722" s="13">
        <f>IF(O722="","",SUM(O722:Q722))</f>
        <v/>
      </c>
      <c r="S722" s="9">
        <f>IF(R722="","",ROUND(R722/3.305785,3))</f>
        <v/>
      </c>
      <c r="T722" s="7" t="n"/>
      <c r="U722" s="7" t="n"/>
      <c r="V722" s="10">
        <f>IF(OR(T722="",U722="",U722=0),"",ROUND(T722/U722,6))</f>
        <v/>
      </c>
      <c r="W722" s="9">
        <f>IF(OR(R722="",T722="",U722="",U722=0),"",ROUND(R722*T722/U722,3))</f>
        <v/>
      </c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12">
        <f>IF(A722="","",IF(OR(B722="",C722="",D722="",E722="",H722="",O722="",T722="",U722=""),"必填欄位未完整",""))</f>
        <v/>
      </c>
      <c r="AI722" s="12">
        <f>IF(A722="","",A722&amp;"|"&amp;G722)</f>
        <v/>
      </c>
      <c r="AJ722" s="12">
        <f>IF(A722="","",A722&amp;"|"&amp;H722)</f>
        <v/>
      </c>
    </row>
    <row r="723" ht="24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8" t="n"/>
      <c r="P723" s="8" t="n"/>
      <c r="Q723" s="8" t="n"/>
      <c r="R723" s="13">
        <f>IF(O723="","",SUM(O723:Q723))</f>
        <v/>
      </c>
      <c r="S723" s="9">
        <f>IF(R723="","",ROUND(R723/3.305785,3))</f>
        <v/>
      </c>
      <c r="T723" s="7" t="n"/>
      <c r="U723" s="7" t="n"/>
      <c r="V723" s="10">
        <f>IF(OR(T723="",U723="",U723=0),"",ROUND(T723/U723,6))</f>
        <v/>
      </c>
      <c r="W723" s="9">
        <f>IF(OR(R723="",T723="",U723="",U723=0),"",ROUND(R723*T723/U723,3))</f>
        <v/>
      </c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12">
        <f>IF(A723="","",IF(OR(B723="",C723="",D723="",E723="",H723="",O723="",T723="",U723=""),"必填欄位未完整",""))</f>
        <v/>
      </c>
      <c r="AI723" s="12">
        <f>IF(A723="","",A723&amp;"|"&amp;G723)</f>
        <v/>
      </c>
      <c r="AJ723" s="12">
        <f>IF(A723="","",A723&amp;"|"&amp;H723)</f>
        <v/>
      </c>
    </row>
    <row r="724" ht="24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8" t="n"/>
      <c r="P724" s="8" t="n"/>
      <c r="Q724" s="8" t="n"/>
      <c r="R724" s="13">
        <f>IF(O724="","",SUM(O724:Q724))</f>
        <v/>
      </c>
      <c r="S724" s="9">
        <f>IF(R724="","",ROUND(R724/3.305785,3))</f>
        <v/>
      </c>
      <c r="T724" s="7" t="n"/>
      <c r="U724" s="7" t="n"/>
      <c r="V724" s="10">
        <f>IF(OR(T724="",U724="",U724=0),"",ROUND(T724/U724,6))</f>
        <v/>
      </c>
      <c r="W724" s="9">
        <f>IF(OR(R724="",T724="",U724="",U724=0),"",ROUND(R724*T724/U724,3))</f>
        <v/>
      </c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12">
        <f>IF(A724="","",IF(OR(B724="",C724="",D724="",E724="",H724="",O724="",T724="",U724=""),"必填欄位未完整",""))</f>
        <v/>
      </c>
      <c r="AI724" s="12">
        <f>IF(A724="","",A724&amp;"|"&amp;G724)</f>
        <v/>
      </c>
      <c r="AJ724" s="12">
        <f>IF(A724="","",A724&amp;"|"&amp;H724)</f>
        <v/>
      </c>
    </row>
    <row r="725" ht="24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8" t="n"/>
      <c r="P725" s="8" t="n"/>
      <c r="Q725" s="8" t="n"/>
      <c r="R725" s="13">
        <f>IF(O725="","",SUM(O725:Q725))</f>
        <v/>
      </c>
      <c r="S725" s="9">
        <f>IF(R725="","",ROUND(R725/3.305785,3))</f>
        <v/>
      </c>
      <c r="T725" s="7" t="n"/>
      <c r="U725" s="7" t="n"/>
      <c r="V725" s="10">
        <f>IF(OR(T725="",U725="",U725=0),"",ROUND(T725/U725,6))</f>
        <v/>
      </c>
      <c r="W725" s="9">
        <f>IF(OR(R725="",T725="",U725="",U725=0),"",ROUND(R725*T725/U725,3))</f>
        <v/>
      </c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12">
        <f>IF(A725="","",IF(OR(B725="",C725="",D725="",E725="",H725="",O725="",T725="",U725=""),"必填欄位未完整",""))</f>
        <v/>
      </c>
      <c r="AI725" s="12">
        <f>IF(A725="","",A725&amp;"|"&amp;G725)</f>
        <v/>
      </c>
      <c r="AJ725" s="12">
        <f>IF(A725="","",A725&amp;"|"&amp;H725)</f>
        <v/>
      </c>
    </row>
    <row r="726" ht="24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8" t="n"/>
      <c r="P726" s="8" t="n"/>
      <c r="Q726" s="8" t="n"/>
      <c r="R726" s="13">
        <f>IF(O726="","",SUM(O726:Q726))</f>
        <v/>
      </c>
      <c r="S726" s="9">
        <f>IF(R726="","",ROUND(R726/3.305785,3))</f>
        <v/>
      </c>
      <c r="T726" s="7" t="n"/>
      <c r="U726" s="7" t="n"/>
      <c r="V726" s="10">
        <f>IF(OR(T726="",U726="",U726=0),"",ROUND(T726/U726,6))</f>
        <v/>
      </c>
      <c r="W726" s="9">
        <f>IF(OR(R726="",T726="",U726="",U726=0),"",ROUND(R726*T726/U726,3))</f>
        <v/>
      </c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12">
        <f>IF(A726="","",IF(OR(B726="",C726="",D726="",E726="",H726="",O726="",T726="",U726=""),"必填欄位未完整",""))</f>
        <v/>
      </c>
      <c r="AI726" s="12">
        <f>IF(A726="","",A726&amp;"|"&amp;G726)</f>
        <v/>
      </c>
      <c r="AJ726" s="12">
        <f>IF(A726="","",A726&amp;"|"&amp;H726)</f>
        <v/>
      </c>
    </row>
    <row r="727" ht="24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8" t="n"/>
      <c r="P727" s="8" t="n"/>
      <c r="Q727" s="8" t="n"/>
      <c r="R727" s="13">
        <f>IF(O727="","",SUM(O727:Q727))</f>
        <v/>
      </c>
      <c r="S727" s="9">
        <f>IF(R727="","",ROUND(R727/3.305785,3))</f>
        <v/>
      </c>
      <c r="T727" s="7" t="n"/>
      <c r="U727" s="7" t="n"/>
      <c r="V727" s="10">
        <f>IF(OR(T727="",U727="",U727=0),"",ROUND(T727/U727,6))</f>
        <v/>
      </c>
      <c r="W727" s="9">
        <f>IF(OR(R727="",T727="",U727="",U727=0),"",ROUND(R727*T727/U727,3))</f>
        <v/>
      </c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12">
        <f>IF(A727="","",IF(OR(B727="",C727="",D727="",E727="",H727="",O727="",T727="",U727=""),"必填欄位未完整",""))</f>
        <v/>
      </c>
      <c r="AI727" s="12">
        <f>IF(A727="","",A727&amp;"|"&amp;G727)</f>
        <v/>
      </c>
      <c r="AJ727" s="12">
        <f>IF(A727="","",A727&amp;"|"&amp;H727)</f>
        <v/>
      </c>
    </row>
    <row r="728" ht="24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8" t="n"/>
      <c r="P728" s="8" t="n"/>
      <c r="Q728" s="8" t="n"/>
      <c r="R728" s="13">
        <f>IF(O728="","",SUM(O728:Q728))</f>
        <v/>
      </c>
      <c r="S728" s="9">
        <f>IF(R728="","",ROUND(R728/3.305785,3))</f>
        <v/>
      </c>
      <c r="T728" s="7" t="n"/>
      <c r="U728" s="7" t="n"/>
      <c r="V728" s="10">
        <f>IF(OR(T728="",U728="",U728=0),"",ROUND(T728/U728,6))</f>
        <v/>
      </c>
      <c r="W728" s="9">
        <f>IF(OR(R728="",T728="",U728="",U728=0),"",ROUND(R728*T728/U728,3))</f>
        <v/>
      </c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12">
        <f>IF(A728="","",IF(OR(B728="",C728="",D728="",E728="",H728="",O728="",T728="",U728=""),"必填欄位未完整",""))</f>
        <v/>
      </c>
      <c r="AI728" s="12">
        <f>IF(A728="","",A728&amp;"|"&amp;G728)</f>
        <v/>
      </c>
      <c r="AJ728" s="12">
        <f>IF(A728="","",A728&amp;"|"&amp;H728)</f>
        <v/>
      </c>
    </row>
    <row r="729" ht="24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8" t="n"/>
      <c r="P729" s="8" t="n"/>
      <c r="Q729" s="8" t="n"/>
      <c r="R729" s="13">
        <f>IF(O729="","",SUM(O729:Q729))</f>
        <v/>
      </c>
      <c r="S729" s="9">
        <f>IF(R729="","",ROUND(R729/3.305785,3))</f>
        <v/>
      </c>
      <c r="T729" s="7" t="n"/>
      <c r="U729" s="7" t="n"/>
      <c r="V729" s="10">
        <f>IF(OR(T729="",U729="",U729=0),"",ROUND(T729/U729,6))</f>
        <v/>
      </c>
      <c r="W729" s="9">
        <f>IF(OR(R729="",T729="",U729="",U729=0),"",ROUND(R729*T729/U729,3))</f>
        <v/>
      </c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12">
        <f>IF(A729="","",IF(OR(B729="",C729="",D729="",E729="",H729="",O729="",T729="",U729=""),"必填欄位未完整",""))</f>
        <v/>
      </c>
      <c r="AI729" s="12">
        <f>IF(A729="","",A729&amp;"|"&amp;G729)</f>
        <v/>
      </c>
      <c r="AJ729" s="12">
        <f>IF(A729="","",A729&amp;"|"&amp;H729)</f>
        <v/>
      </c>
    </row>
    <row r="730" ht="24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8" t="n"/>
      <c r="P730" s="8" t="n"/>
      <c r="Q730" s="8" t="n"/>
      <c r="R730" s="13">
        <f>IF(O730="","",SUM(O730:Q730))</f>
        <v/>
      </c>
      <c r="S730" s="9">
        <f>IF(R730="","",ROUND(R730/3.305785,3))</f>
        <v/>
      </c>
      <c r="T730" s="7" t="n"/>
      <c r="U730" s="7" t="n"/>
      <c r="V730" s="10">
        <f>IF(OR(T730="",U730="",U730=0),"",ROUND(T730/U730,6))</f>
        <v/>
      </c>
      <c r="W730" s="9">
        <f>IF(OR(R730="",T730="",U730="",U730=0),"",ROUND(R730*T730/U730,3))</f>
        <v/>
      </c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12">
        <f>IF(A730="","",IF(OR(B730="",C730="",D730="",E730="",H730="",O730="",T730="",U730=""),"必填欄位未完整",""))</f>
        <v/>
      </c>
      <c r="AI730" s="12">
        <f>IF(A730="","",A730&amp;"|"&amp;G730)</f>
        <v/>
      </c>
      <c r="AJ730" s="12">
        <f>IF(A730="","",A730&amp;"|"&amp;H730)</f>
        <v/>
      </c>
    </row>
    <row r="731" ht="24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8" t="n"/>
      <c r="P731" s="8" t="n"/>
      <c r="Q731" s="8" t="n"/>
      <c r="R731" s="13">
        <f>IF(O731="","",SUM(O731:Q731))</f>
        <v/>
      </c>
      <c r="S731" s="9">
        <f>IF(R731="","",ROUND(R731/3.305785,3))</f>
        <v/>
      </c>
      <c r="T731" s="7" t="n"/>
      <c r="U731" s="7" t="n"/>
      <c r="V731" s="10">
        <f>IF(OR(T731="",U731="",U731=0),"",ROUND(T731/U731,6))</f>
        <v/>
      </c>
      <c r="W731" s="9">
        <f>IF(OR(R731="",T731="",U731="",U731=0),"",ROUND(R731*T731/U731,3))</f>
        <v/>
      </c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12">
        <f>IF(A731="","",IF(OR(B731="",C731="",D731="",E731="",H731="",O731="",T731="",U731=""),"必填欄位未完整",""))</f>
        <v/>
      </c>
      <c r="AI731" s="12">
        <f>IF(A731="","",A731&amp;"|"&amp;G731)</f>
        <v/>
      </c>
      <c r="AJ731" s="12">
        <f>IF(A731="","",A731&amp;"|"&amp;H731)</f>
        <v/>
      </c>
    </row>
    <row r="732" ht="24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8" t="n"/>
      <c r="P732" s="8" t="n"/>
      <c r="Q732" s="8" t="n"/>
      <c r="R732" s="13">
        <f>IF(O732="","",SUM(O732:Q732))</f>
        <v/>
      </c>
      <c r="S732" s="9">
        <f>IF(R732="","",ROUND(R732/3.305785,3))</f>
        <v/>
      </c>
      <c r="T732" s="7" t="n"/>
      <c r="U732" s="7" t="n"/>
      <c r="V732" s="10">
        <f>IF(OR(T732="",U732="",U732=0),"",ROUND(T732/U732,6))</f>
        <v/>
      </c>
      <c r="W732" s="9">
        <f>IF(OR(R732="",T732="",U732="",U732=0),"",ROUND(R732*T732/U732,3))</f>
        <v/>
      </c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12">
        <f>IF(A732="","",IF(OR(B732="",C732="",D732="",E732="",H732="",O732="",T732="",U732=""),"必填欄位未完整",""))</f>
        <v/>
      </c>
      <c r="AI732" s="12">
        <f>IF(A732="","",A732&amp;"|"&amp;G732)</f>
        <v/>
      </c>
      <c r="AJ732" s="12">
        <f>IF(A732="","",A732&amp;"|"&amp;H732)</f>
        <v/>
      </c>
    </row>
    <row r="733" ht="24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8" t="n"/>
      <c r="P733" s="8" t="n"/>
      <c r="Q733" s="8" t="n"/>
      <c r="R733" s="13">
        <f>IF(O733="","",SUM(O733:Q733))</f>
        <v/>
      </c>
      <c r="S733" s="9">
        <f>IF(R733="","",ROUND(R733/3.305785,3))</f>
        <v/>
      </c>
      <c r="T733" s="7" t="n"/>
      <c r="U733" s="7" t="n"/>
      <c r="V733" s="10">
        <f>IF(OR(T733="",U733="",U733=0),"",ROUND(T733/U733,6))</f>
        <v/>
      </c>
      <c r="W733" s="9">
        <f>IF(OR(R733="",T733="",U733="",U733=0),"",ROUND(R733*T733/U733,3))</f>
        <v/>
      </c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12">
        <f>IF(A733="","",IF(OR(B733="",C733="",D733="",E733="",H733="",O733="",T733="",U733=""),"必填欄位未完整",""))</f>
        <v/>
      </c>
      <c r="AI733" s="12">
        <f>IF(A733="","",A733&amp;"|"&amp;G733)</f>
        <v/>
      </c>
      <c r="AJ733" s="12">
        <f>IF(A733="","",A733&amp;"|"&amp;H733)</f>
        <v/>
      </c>
    </row>
    <row r="734" ht="24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8" t="n"/>
      <c r="P734" s="8" t="n"/>
      <c r="Q734" s="8" t="n"/>
      <c r="R734" s="13">
        <f>IF(O734="","",SUM(O734:Q734))</f>
        <v/>
      </c>
      <c r="S734" s="9">
        <f>IF(R734="","",ROUND(R734/3.305785,3))</f>
        <v/>
      </c>
      <c r="T734" s="7" t="n"/>
      <c r="U734" s="7" t="n"/>
      <c r="V734" s="10">
        <f>IF(OR(T734="",U734="",U734=0),"",ROUND(T734/U734,6))</f>
        <v/>
      </c>
      <c r="W734" s="9">
        <f>IF(OR(R734="",T734="",U734="",U734=0),"",ROUND(R734*T734/U734,3))</f>
        <v/>
      </c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12">
        <f>IF(A734="","",IF(OR(B734="",C734="",D734="",E734="",H734="",O734="",T734="",U734=""),"必填欄位未完整",""))</f>
        <v/>
      </c>
      <c r="AI734" s="12">
        <f>IF(A734="","",A734&amp;"|"&amp;G734)</f>
        <v/>
      </c>
      <c r="AJ734" s="12">
        <f>IF(A734="","",A734&amp;"|"&amp;H734)</f>
        <v/>
      </c>
    </row>
    <row r="735" ht="24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8" t="n"/>
      <c r="P735" s="8" t="n"/>
      <c r="Q735" s="8" t="n"/>
      <c r="R735" s="13">
        <f>IF(O735="","",SUM(O735:Q735))</f>
        <v/>
      </c>
      <c r="S735" s="9">
        <f>IF(R735="","",ROUND(R735/3.305785,3))</f>
        <v/>
      </c>
      <c r="T735" s="7" t="n"/>
      <c r="U735" s="7" t="n"/>
      <c r="V735" s="10">
        <f>IF(OR(T735="",U735="",U735=0),"",ROUND(T735/U735,6))</f>
        <v/>
      </c>
      <c r="W735" s="9">
        <f>IF(OR(R735="",T735="",U735="",U735=0),"",ROUND(R735*T735/U735,3))</f>
        <v/>
      </c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12">
        <f>IF(A735="","",IF(OR(B735="",C735="",D735="",E735="",H735="",O735="",T735="",U735=""),"必填欄位未完整",""))</f>
        <v/>
      </c>
      <c r="AI735" s="12">
        <f>IF(A735="","",A735&amp;"|"&amp;G735)</f>
        <v/>
      </c>
      <c r="AJ735" s="12">
        <f>IF(A735="","",A735&amp;"|"&amp;H735)</f>
        <v/>
      </c>
    </row>
    <row r="736" ht="24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8" t="n"/>
      <c r="P736" s="8" t="n"/>
      <c r="Q736" s="8" t="n"/>
      <c r="R736" s="13">
        <f>IF(O736="","",SUM(O736:Q736))</f>
        <v/>
      </c>
      <c r="S736" s="9">
        <f>IF(R736="","",ROUND(R736/3.305785,3))</f>
        <v/>
      </c>
      <c r="T736" s="7" t="n"/>
      <c r="U736" s="7" t="n"/>
      <c r="V736" s="10">
        <f>IF(OR(T736="",U736="",U736=0),"",ROUND(T736/U736,6))</f>
        <v/>
      </c>
      <c r="W736" s="9">
        <f>IF(OR(R736="",T736="",U736="",U736=0),"",ROUND(R736*T736/U736,3))</f>
        <v/>
      </c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12">
        <f>IF(A736="","",IF(OR(B736="",C736="",D736="",E736="",H736="",O736="",T736="",U736=""),"必填欄位未完整",""))</f>
        <v/>
      </c>
      <c r="AI736" s="12">
        <f>IF(A736="","",A736&amp;"|"&amp;G736)</f>
        <v/>
      </c>
      <c r="AJ736" s="12">
        <f>IF(A736="","",A736&amp;"|"&amp;H736)</f>
        <v/>
      </c>
    </row>
    <row r="737" ht="24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8" t="n"/>
      <c r="P737" s="8" t="n"/>
      <c r="Q737" s="8" t="n"/>
      <c r="R737" s="13">
        <f>IF(O737="","",SUM(O737:Q737))</f>
        <v/>
      </c>
      <c r="S737" s="9">
        <f>IF(R737="","",ROUND(R737/3.305785,3))</f>
        <v/>
      </c>
      <c r="T737" s="7" t="n"/>
      <c r="U737" s="7" t="n"/>
      <c r="V737" s="10">
        <f>IF(OR(T737="",U737="",U737=0),"",ROUND(T737/U737,6))</f>
        <v/>
      </c>
      <c r="W737" s="9">
        <f>IF(OR(R737="",T737="",U737="",U737=0),"",ROUND(R737*T737/U737,3))</f>
        <v/>
      </c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12">
        <f>IF(A737="","",IF(OR(B737="",C737="",D737="",E737="",H737="",O737="",T737="",U737=""),"必填欄位未完整",""))</f>
        <v/>
      </c>
      <c r="AI737" s="12">
        <f>IF(A737="","",A737&amp;"|"&amp;G737)</f>
        <v/>
      </c>
      <c r="AJ737" s="12">
        <f>IF(A737="","",A737&amp;"|"&amp;H737)</f>
        <v/>
      </c>
    </row>
    <row r="738" ht="24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8" t="n"/>
      <c r="P738" s="8" t="n"/>
      <c r="Q738" s="8" t="n"/>
      <c r="R738" s="13">
        <f>IF(O738="","",SUM(O738:Q738))</f>
        <v/>
      </c>
      <c r="S738" s="9">
        <f>IF(R738="","",ROUND(R738/3.305785,3))</f>
        <v/>
      </c>
      <c r="T738" s="7" t="n"/>
      <c r="U738" s="7" t="n"/>
      <c r="V738" s="10">
        <f>IF(OR(T738="",U738="",U738=0),"",ROUND(T738/U738,6))</f>
        <v/>
      </c>
      <c r="W738" s="9">
        <f>IF(OR(R738="",T738="",U738="",U738=0),"",ROUND(R738*T738/U738,3))</f>
        <v/>
      </c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12">
        <f>IF(A738="","",IF(OR(B738="",C738="",D738="",E738="",H738="",O738="",T738="",U738=""),"必填欄位未完整",""))</f>
        <v/>
      </c>
      <c r="AI738" s="12">
        <f>IF(A738="","",A738&amp;"|"&amp;G738)</f>
        <v/>
      </c>
      <c r="AJ738" s="12">
        <f>IF(A738="","",A738&amp;"|"&amp;H738)</f>
        <v/>
      </c>
    </row>
    <row r="739" ht="24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8" t="n"/>
      <c r="P739" s="8" t="n"/>
      <c r="Q739" s="8" t="n"/>
      <c r="R739" s="13">
        <f>IF(O739="","",SUM(O739:Q739))</f>
        <v/>
      </c>
      <c r="S739" s="9">
        <f>IF(R739="","",ROUND(R739/3.305785,3))</f>
        <v/>
      </c>
      <c r="T739" s="7" t="n"/>
      <c r="U739" s="7" t="n"/>
      <c r="V739" s="10">
        <f>IF(OR(T739="",U739="",U739=0),"",ROUND(T739/U739,6))</f>
        <v/>
      </c>
      <c r="W739" s="9">
        <f>IF(OR(R739="",T739="",U739="",U739=0),"",ROUND(R739*T739/U739,3))</f>
        <v/>
      </c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12">
        <f>IF(A739="","",IF(OR(B739="",C739="",D739="",E739="",H739="",O739="",T739="",U739=""),"必填欄位未完整",""))</f>
        <v/>
      </c>
      <c r="AI739" s="12">
        <f>IF(A739="","",A739&amp;"|"&amp;G739)</f>
        <v/>
      </c>
      <c r="AJ739" s="12">
        <f>IF(A739="","",A739&amp;"|"&amp;H739)</f>
        <v/>
      </c>
    </row>
    <row r="740" ht="24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8" t="n"/>
      <c r="P740" s="8" t="n"/>
      <c r="Q740" s="8" t="n"/>
      <c r="R740" s="13">
        <f>IF(O740="","",SUM(O740:Q740))</f>
        <v/>
      </c>
      <c r="S740" s="9">
        <f>IF(R740="","",ROUND(R740/3.305785,3))</f>
        <v/>
      </c>
      <c r="T740" s="7" t="n"/>
      <c r="U740" s="7" t="n"/>
      <c r="V740" s="10">
        <f>IF(OR(T740="",U740="",U740=0),"",ROUND(T740/U740,6))</f>
        <v/>
      </c>
      <c r="W740" s="9">
        <f>IF(OR(R740="",T740="",U740="",U740=0),"",ROUND(R740*T740/U740,3))</f>
        <v/>
      </c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12">
        <f>IF(A740="","",IF(OR(B740="",C740="",D740="",E740="",H740="",O740="",T740="",U740=""),"必填欄位未完整",""))</f>
        <v/>
      </c>
      <c r="AI740" s="12">
        <f>IF(A740="","",A740&amp;"|"&amp;G740)</f>
        <v/>
      </c>
      <c r="AJ740" s="12">
        <f>IF(A740="","",A740&amp;"|"&amp;H740)</f>
        <v/>
      </c>
    </row>
    <row r="741" ht="24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8" t="n"/>
      <c r="P741" s="8" t="n"/>
      <c r="Q741" s="8" t="n"/>
      <c r="R741" s="13">
        <f>IF(O741="","",SUM(O741:Q741))</f>
        <v/>
      </c>
      <c r="S741" s="9">
        <f>IF(R741="","",ROUND(R741/3.305785,3))</f>
        <v/>
      </c>
      <c r="T741" s="7" t="n"/>
      <c r="U741" s="7" t="n"/>
      <c r="V741" s="10">
        <f>IF(OR(T741="",U741="",U741=0),"",ROUND(T741/U741,6))</f>
        <v/>
      </c>
      <c r="W741" s="9">
        <f>IF(OR(R741="",T741="",U741="",U741=0),"",ROUND(R741*T741/U741,3))</f>
        <v/>
      </c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12">
        <f>IF(A741="","",IF(OR(B741="",C741="",D741="",E741="",H741="",O741="",T741="",U741=""),"必填欄位未完整",""))</f>
        <v/>
      </c>
      <c r="AI741" s="12">
        <f>IF(A741="","",A741&amp;"|"&amp;G741)</f>
        <v/>
      </c>
      <c r="AJ741" s="12">
        <f>IF(A741="","",A741&amp;"|"&amp;H741)</f>
        <v/>
      </c>
    </row>
    <row r="742" ht="24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8" t="n"/>
      <c r="P742" s="8" t="n"/>
      <c r="Q742" s="8" t="n"/>
      <c r="R742" s="13">
        <f>IF(O742="","",SUM(O742:Q742))</f>
        <v/>
      </c>
      <c r="S742" s="9">
        <f>IF(R742="","",ROUND(R742/3.305785,3))</f>
        <v/>
      </c>
      <c r="T742" s="7" t="n"/>
      <c r="U742" s="7" t="n"/>
      <c r="V742" s="10">
        <f>IF(OR(T742="",U742="",U742=0),"",ROUND(T742/U742,6))</f>
        <v/>
      </c>
      <c r="W742" s="9">
        <f>IF(OR(R742="",T742="",U742="",U742=0),"",ROUND(R742*T742/U742,3))</f>
        <v/>
      </c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12">
        <f>IF(A742="","",IF(OR(B742="",C742="",D742="",E742="",H742="",O742="",T742="",U742=""),"必填欄位未完整",""))</f>
        <v/>
      </c>
      <c r="AI742" s="12">
        <f>IF(A742="","",A742&amp;"|"&amp;G742)</f>
        <v/>
      </c>
      <c r="AJ742" s="12">
        <f>IF(A742="","",A742&amp;"|"&amp;H742)</f>
        <v/>
      </c>
    </row>
    <row r="743" ht="24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8" t="n"/>
      <c r="P743" s="8" t="n"/>
      <c r="Q743" s="8" t="n"/>
      <c r="R743" s="13">
        <f>IF(O743="","",SUM(O743:Q743))</f>
        <v/>
      </c>
      <c r="S743" s="9">
        <f>IF(R743="","",ROUND(R743/3.305785,3))</f>
        <v/>
      </c>
      <c r="T743" s="7" t="n"/>
      <c r="U743" s="7" t="n"/>
      <c r="V743" s="10">
        <f>IF(OR(T743="",U743="",U743=0),"",ROUND(T743/U743,6))</f>
        <v/>
      </c>
      <c r="W743" s="9">
        <f>IF(OR(R743="",T743="",U743="",U743=0),"",ROUND(R743*T743/U743,3))</f>
        <v/>
      </c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12">
        <f>IF(A743="","",IF(OR(B743="",C743="",D743="",E743="",H743="",O743="",T743="",U743=""),"必填欄位未完整",""))</f>
        <v/>
      </c>
      <c r="AI743" s="12">
        <f>IF(A743="","",A743&amp;"|"&amp;G743)</f>
        <v/>
      </c>
      <c r="AJ743" s="12">
        <f>IF(A743="","",A743&amp;"|"&amp;H743)</f>
        <v/>
      </c>
    </row>
    <row r="744" ht="24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8" t="n"/>
      <c r="P744" s="8" t="n"/>
      <c r="Q744" s="8" t="n"/>
      <c r="R744" s="13">
        <f>IF(O744="","",SUM(O744:Q744))</f>
        <v/>
      </c>
      <c r="S744" s="9">
        <f>IF(R744="","",ROUND(R744/3.305785,3))</f>
        <v/>
      </c>
      <c r="T744" s="7" t="n"/>
      <c r="U744" s="7" t="n"/>
      <c r="V744" s="10">
        <f>IF(OR(T744="",U744="",U744=0),"",ROUND(T744/U744,6))</f>
        <v/>
      </c>
      <c r="W744" s="9">
        <f>IF(OR(R744="",T744="",U744="",U744=0),"",ROUND(R744*T744/U744,3))</f>
        <v/>
      </c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12">
        <f>IF(A744="","",IF(OR(B744="",C744="",D744="",E744="",H744="",O744="",T744="",U744=""),"必填欄位未完整",""))</f>
        <v/>
      </c>
      <c r="AI744" s="12">
        <f>IF(A744="","",A744&amp;"|"&amp;G744)</f>
        <v/>
      </c>
      <c r="AJ744" s="12">
        <f>IF(A744="","",A744&amp;"|"&amp;H744)</f>
        <v/>
      </c>
    </row>
    <row r="745" ht="24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8" t="n"/>
      <c r="P745" s="8" t="n"/>
      <c r="Q745" s="8" t="n"/>
      <c r="R745" s="13">
        <f>IF(O745="","",SUM(O745:Q745))</f>
        <v/>
      </c>
      <c r="S745" s="9">
        <f>IF(R745="","",ROUND(R745/3.305785,3))</f>
        <v/>
      </c>
      <c r="T745" s="7" t="n"/>
      <c r="U745" s="7" t="n"/>
      <c r="V745" s="10">
        <f>IF(OR(T745="",U745="",U745=0),"",ROUND(T745/U745,6))</f>
        <v/>
      </c>
      <c r="W745" s="9">
        <f>IF(OR(R745="",T745="",U745="",U745=0),"",ROUND(R745*T745/U745,3))</f>
        <v/>
      </c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12">
        <f>IF(A745="","",IF(OR(B745="",C745="",D745="",E745="",H745="",O745="",T745="",U745=""),"必填欄位未完整",""))</f>
        <v/>
      </c>
      <c r="AI745" s="12">
        <f>IF(A745="","",A745&amp;"|"&amp;G745)</f>
        <v/>
      </c>
      <c r="AJ745" s="12">
        <f>IF(A745="","",A745&amp;"|"&amp;H745)</f>
        <v/>
      </c>
    </row>
    <row r="746" ht="24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8" t="n"/>
      <c r="P746" s="8" t="n"/>
      <c r="Q746" s="8" t="n"/>
      <c r="R746" s="13">
        <f>IF(O746="","",SUM(O746:Q746))</f>
        <v/>
      </c>
      <c r="S746" s="9">
        <f>IF(R746="","",ROUND(R746/3.305785,3))</f>
        <v/>
      </c>
      <c r="T746" s="7" t="n"/>
      <c r="U746" s="7" t="n"/>
      <c r="V746" s="10">
        <f>IF(OR(T746="",U746="",U746=0),"",ROUND(T746/U746,6))</f>
        <v/>
      </c>
      <c r="W746" s="9">
        <f>IF(OR(R746="",T746="",U746="",U746=0),"",ROUND(R746*T746/U746,3))</f>
        <v/>
      </c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12">
        <f>IF(A746="","",IF(OR(B746="",C746="",D746="",E746="",H746="",O746="",T746="",U746=""),"必填欄位未完整",""))</f>
        <v/>
      </c>
      <c r="AI746" s="12">
        <f>IF(A746="","",A746&amp;"|"&amp;G746)</f>
        <v/>
      </c>
      <c r="AJ746" s="12">
        <f>IF(A746="","",A746&amp;"|"&amp;H746)</f>
        <v/>
      </c>
    </row>
    <row r="747" ht="24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8" t="n"/>
      <c r="P747" s="8" t="n"/>
      <c r="Q747" s="8" t="n"/>
      <c r="R747" s="13">
        <f>IF(O747="","",SUM(O747:Q747))</f>
        <v/>
      </c>
      <c r="S747" s="9">
        <f>IF(R747="","",ROUND(R747/3.305785,3))</f>
        <v/>
      </c>
      <c r="T747" s="7" t="n"/>
      <c r="U747" s="7" t="n"/>
      <c r="V747" s="10">
        <f>IF(OR(T747="",U747="",U747=0),"",ROUND(T747/U747,6))</f>
        <v/>
      </c>
      <c r="W747" s="9">
        <f>IF(OR(R747="",T747="",U747="",U747=0),"",ROUND(R747*T747/U747,3))</f>
        <v/>
      </c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12">
        <f>IF(A747="","",IF(OR(B747="",C747="",D747="",E747="",H747="",O747="",T747="",U747=""),"必填欄位未完整",""))</f>
        <v/>
      </c>
      <c r="AI747" s="12">
        <f>IF(A747="","",A747&amp;"|"&amp;G747)</f>
        <v/>
      </c>
      <c r="AJ747" s="12">
        <f>IF(A747="","",A747&amp;"|"&amp;H747)</f>
        <v/>
      </c>
    </row>
    <row r="748" ht="24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8" t="n"/>
      <c r="P748" s="8" t="n"/>
      <c r="Q748" s="8" t="n"/>
      <c r="R748" s="13">
        <f>IF(O748="","",SUM(O748:Q748))</f>
        <v/>
      </c>
      <c r="S748" s="9">
        <f>IF(R748="","",ROUND(R748/3.305785,3))</f>
        <v/>
      </c>
      <c r="T748" s="7" t="n"/>
      <c r="U748" s="7" t="n"/>
      <c r="V748" s="10">
        <f>IF(OR(T748="",U748="",U748=0),"",ROUND(T748/U748,6))</f>
        <v/>
      </c>
      <c r="W748" s="9">
        <f>IF(OR(R748="",T748="",U748="",U748=0),"",ROUND(R748*T748/U748,3))</f>
        <v/>
      </c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12">
        <f>IF(A748="","",IF(OR(B748="",C748="",D748="",E748="",H748="",O748="",T748="",U748=""),"必填欄位未完整",""))</f>
        <v/>
      </c>
      <c r="AI748" s="12">
        <f>IF(A748="","",A748&amp;"|"&amp;G748)</f>
        <v/>
      </c>
      <c r="AJ748" s="12">
        <f>IF(A748="","",A748&amp;"|"&amp;H748)</f>
        <v/>
      </c>
    </row>
    <row r="749" ht="24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8" t="n"/>
      <c r="P749" s="8" t="n"/>
      <c r="Q749" s="8" t="n"/>
      <c r="R749" s="13">
        <f>IF(O749="","",SUM(O749:Q749))</f>
        <v/>
      </c>
      <c r="S749" s="9">
        <f>IF(R749="","",ROUND(R749/3.305785,3))</f>
        <v/>
      </c>
      <c r="T749" s="7" t="n"/>
      <c r="U749" s="7" t="n"/>
      <c r="V749" s="10">
        <f>IF(OR(T749="",U749="",U749=0),"",ROUND(T749/U749,6))</f>
        <v/>
      </c>
      <c r="W749" s="9">
        <f>IF(OR(R749="",T749="",U749="",U749=0),"",ROUND(R749*T749/U749,3))</f>
        <v/>
      </c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12">
        <f>IF(A749="","",IF(OR(B749="",C749="",D749="",E749="",H749="",O749="",T749="",U749=""),"必填欄位未完整",""))</f>
        <v/>
      </c>
      <c r="AI749" s="12">
        <f>IF(A749="","",A749&amp;"|"&amp;G749)</f>
        <v/>
      </c>
      <c r="AJ749" s="12">
        <f>IF(A749="","",A749&amp;"|"&amp;H749)</f>
        <v/>
      </c>
    </row>
    <row r="750" ht="24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8" t="n"/>
      <c r="P750" s="8" t="n"/>
      <c r="Q750" s="8" t="n"/>
      <c r="R750" s="13">
        <f>IF(O750="","",SUM(O750:Q750))</f>
        <v/>
      </c>
      <c r="S750" s="9">
        <f>IF(R750="","",ROUND(R750/3.305785,3))</f>
        <v/>
      </c>
      <c r="T750" s="7" t="n"/>
      <c r="U750" s="7" t="n"/>
      <c r="V750" s="10">
        <f>IF(OR(T750="",U750="",U750=0),"",ROUND(T750/U750,6))</f>
        <v/>
      </c>
      <c r="W750" s="9">
        <f>IF(OR(R750="",T750="",U750="",U750=0),"",ROUND(R750*T750/U750,3))</f>
        <v/>
      </c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12">
        <f>IF(A750="","",IF(OR(B750="",C750="",D750="",E750="",H750="",O750="",T750="",U750=""),"必填欄位未完整",""))</f>
        <v/>
      </c>
      <c r="AI750" s="12">
        <f>IF(A750="","",A750&amp;"|"&amp;G750)</f>
        <v/>
      </c>
      <c r="AJ750" s="12">
        <f>IF(A750="","",A750&amp;"|"&amp;H750)</f>
        <v/>
      </c>
    </row>
    <row r="751" ht="24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8" t="n"/>
      <c r="P751" s="8" t="n"/>
      <c r="Q751" s="8" t="n"/>
      <c r="R751" s="13">
        <f>IF(O751="","",SUM(O751:Q751))</f>
        <v/>
      </c>
      <c r="S751" s="9">
        <f>IF(R751="","",ROUND(R751/3.305785,3))</f>
        <v/>
      </c>
      <c r="T751" s="7" t="n"/>
      <c r="U751" s="7" t="n"/>
      <c r="V751" s="10">
        <f>IF(OR(T751="",U751="",U751=0),"",ROUND(T751/U751,6))</f>
        <v/>
      </c>
      <c r="W751" s="9">
        <f>IF(OR(R751="",T751="",U751="",U751=0),"",ROUND(R751*T751/U751,3))</f>
        <v/>
      </c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12">
        <f>IF(A751="","",IF(OR(B751="",C751="",D751="",E751="",H751="",O751="",T751="",U751=""),"必填欄位未完整",""))</f>
        <v/>
      </c>
      <c r="AI751" s="12">
        <f>IF(A751="","",A751&amp;"|"&amp;G751)</f>
        <v/>
      </c>
      <c r="AJ751" s="12">
        <f>IF(A751="","",A751&amp;"|"&amp;H751)</f>
        <v/>
      </c>
    </row>
    <row r="752" ht="24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8" t="n"/>
      <c r="P752" s="8" t="n"/>
      <c r="Q752" s="8" t="n"/>
      <c r="R752" s="13">
        <f>IF(O752="","",SUM(O752:Q752))</f>
        <v/>
      </c>
      <c r="S752" s="9">
        <f>IF(R752="","",ROUND(R752/3.305785,3))</f>
        <v/>
      </c>
      <c r="T752" s="7" t="n"/>
      <c r="U752" s="7" t="n"/>
      <c r="V752" s="10">
        <f>IF(OR(T752="",U752="",U752=0),"",ROUND(T752/U752,6))</f>
        <v/>
      </c>
      <c r="W752" s="9">
        <f>IF(OR(R752="",T752="",U752="",U752=0),"",ROUND(R752*T752/U752,3))</f>
        <v/>
      </c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12">
        <f>IF(A752="","",IF(OR(B752="",C752="",D752="",E752="",H752="",O752="",T752="",U752=""),"必填欄位未完整",""))</f>
        <v/>
      </c>
      <c r="AI752" s="12">
        <f>IF(A752="","",A752&amp;"|"&amp;G752)</f>
        <v/>
      </c>
      <c r="AJ752" s="12">
        <f>IF(A752="","",A752&amp;"|"&amp;H752)</f>
        <v/>
      </c>
    </row>
    <row r="753" ht="24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8" t="n"/>
      <c r="P753" s="8" t="n"/>
      <c r="Q753" s="8" t="n"/>
      <c r="R753" s="13">
        <f>IF(O753="","",SUM(O753:Q753))</f>
        <v/>
      </c>
      <c r="S753" s="9">
        <f>IF(R753="","",ROUND(R753/3.305785,3))</f>
        <v/>
      </c>
      <c r="T753" s="7" t="n"/>
      <c r="U753" s="7" t="n"/>
      <c r="V753" s="10">
        <f>IF(OR(T753="",U753="",U753=0),"",ROUND(T753/U753,6))</f>
        <v/>
      </c>
      <c r="W753" s="9">
        <f>IF(OR(R753="",T753="",U753="",U753=0),"",ROUND(R753*T753/U753,3))</f>
        <v/>
      </c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12">
        <f>IF(A753="","",IF(OR(B753="",C753="",D753="",E753="",H753="",O753="",T753="",U753=""),"必填欄位未完整",""))</f>
        <v/>
      </c>
      <c r="AI753" s="12">
        <f>IF(A753="","",A753&amp;"|"&amp;G753)</f>
        <v/>
      </c>
      <c r="AJ753" s="12">
        <f>IF(A753="","",A753&amp;"|"&amp;H753)</f>
        <v/>
      </c>
    </row>
    <row r="754" ht="24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8" t="n"/>
      <c r="P754" s="8" t="n"/>
      <c r="Q754" s="8" t="n"/>
      <c r="R754" s="13">
        <f>IF(O754="","",SUM(O754:Q754))</f>
        <v/>
      </c>
      <c r="S754" s="9">
        <f>IF(R754="","",ROUND(R754/3.305785,3))</f>
        <v/>
      </c>
      <c r="T754" s="7" t="n"/>
      <c r="U754" s="7" t="n"/>
      <c r="V754" s="10">
        <f>IF(OR(T754="",U754="",U754=0),"",ROUND(T754/U754,6))</f>
        <v/>
      </c>
      <c r="W754" s="9">
        <f>IF(OR(R754="",T754="",U754="",U754=0),"",ROUND(R754*T754/U754,3))</f>
        <v/>
      </c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12">
        <f>IF(A754="","",IF(OR(B754="",C754="",D754="",E754="",H754="",O754="",T754="",U754=""),"必填欄位未完整",""))</f>
        <v/>
      </c>
      <c r="AI754" s="12">
        <f>IF(A754="","",A754&amp;"|"&amp;G754)</f>
        <v/>
      </c>
      <c r="AJ754" s="12">
        <f>IF(A754="","",A754&amp;"|"&amp;H754)</f>
        <v/>
      </c>
    </row>
    <row r="755" ht="24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8" t="n"/>
      <c r="P755" s="8" t="n"/>
      <c r="Q755" s="8" t="n"/>
      <c r="R755" s="13">
        <f>IF(O755="","",SUM(O755:Q755))</f>
        <v/>
      </c>
      <c r="S755" s="9">
        <f>IF(R755="","",ROUND(R755/3.305785,3))</f>
        <v/>
      </c>
      <c r="T755" s="7" t="n"/>
      <c r="U755" s="7" t="n"/>
      <c r="V755" s="10">
        <f>IF(OR(T755="",U755="",U755=0),"",ROUND(T755/U755,6))</f>
        <v/>
      </c>
      <c r="W755" s="9">
        <f>IF(OR(R755="",T755="",U755="",U755=0),"",ROUND(R755*T755/U755,3))</f>
        <v/>
      </c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12">
        <f>IF(A755="","",IF(OR(B755="",C755="",D755="",E755="",H755="",O755="",T755="",U755=""),"必填欄位未完整",""))</f>
        <v/>
      </c>
      <c r="AI755" s="12">
        <f>IF(A755="","",A755&amp;"|"&amp;G755)</f>
        <v/>
      </c>
      <c r="AJ755" s="12">
        <f>IF(A755="","",A755&amp;"|"&amp;H755)</f>
        <v/>
      </c>
    </row>
    <row r="756" ht="24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8" t="n"/>
      <c r="P756" s="8" t="n"/>
      <c r="Q756" s="8" t="n"/>
      <c r="R756" s="13">
        <f>IF(O756="","",SUM(O756:Q756))</f>
        <v/>
      </c>
      <c r="S756" s="9">
        <f>IF(R756="","",ROUND(R756/3.305785,3))</f>
        <v/>
      </c>
      <c r="T756" s="7" t="n"/>
      <c r="U756" s="7" t="n"/>
      <c r="V756" s="10">
        <f>IF(OR(T756="",U756="",U756=0),"",ROUND(T756/U756,6))</f>
        <v/>
      </c>
      <c r="W756" s="9">
        <f>IF(OR(R756="",T756="",U756="",U756=0),"",ROUND(R756*T756/U756,3))</f>
        <v/>
      </c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12">
        <f>IF(A756="","",IF(OR(B756="",C756="",D756="",E756="",H756="",O756="",T756="",U756=""),"必填欄位未完整",""))</f>
        <v/>
      </c>
      <c r="AI756" s="12">
        <f>IF(A756="","",A756&amp;"|"&amp;G756)</f>
        <v/>
      </c>
      <c r="AJ756" s="12">
        <f>IF(A756="","",A756&amp;"|"&amp;H756)</f>
        <v/>
      </c>
    </row>
    <row r="757" ht="24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8" t="n"/>
      <c r="P757" s="8" t="n"/>
      <c r="Q757" s="8" t="n"/>
      <c r="R757" s="13">
        <f>IF(O757="","",SUM(O757:Q757))</f>
        <v/>
      </c>
      <c r="S757" s="9">
        <f>IF(R757="","",ROUND(R757/3.305785,3))</f>
        <v/>
      </c>
      <c r="T757" s="7" t="n"/>
      <c r="U757" s="7" t="n"/>
      <c r="V757" s="10">
        <f>IF(OR(T757="",U757="",U757=0),"",ROUND(T757/U757,6))</f>
        <v/>
      </c>
      <c r="W757" s="9">
        <f>IF(OR(R757="",T757="",U757="",U757=0),"",ROUND(R757*T757/U757,3))</f>
        <v/>
      </c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12">
        <f>IF(A757="","",IF(OR(B757="",C757="",D757="",E757="",H757="",O757="",T757="",U757=""),"必填欄位未完整",""))</f>
        <v/>
      </c>
      <c r="AI757" s="12">
        <f>IF(A757="","",A757&amp;"|"&amp;G757)</f>
        <v/>
      </c>
      <c r="AJ757" s="12">
        <f>IF(A757="","",A757&amp;"|"&amp;H757)</f>
        <v/>
      </c>
    </row>
    <row r="758" ht="24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8" t="n"/>
      <c r="P758" s="8" t="n"/>
      <c r="Q758" s="8" t="n"/>
      <c r="R758" s="13">
        <f>IF(O758="","",SUM(O758:Q758))</f>
        <v/>
      </c>
      <c r="S758" s="9">
        <f>IF(R758="","",ROUND(R758/3.305785,3))</f>
        <v/>
      </c>
      <c r="T758" s="7" t="n"/>
      <c r="U758" s="7" t="n"/>
      <c r="V758" s="10">
        <f>IF(OR(T758="",U758="",U758=0),"",ROUND(T758/U758,6))</f>
        <v/>
      </c>
      <c r="W758" s="9">
        <f>IF(OR(R758="",T758="",U758="",U758=0),"",ROUND(R758*T758/U758,3))</f>
        <v/>
      </c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12">
        <f>IF(A758="","",IF(OR(B758="",C758="",D758="",E758="",H758="",O758="",T758="",U758=""),"必填欄位未完整",""))</f>
        <v/>
      </c>
      <c r="AI758" s="12">
        <f>IF(A758="","",A758&amp;"|"&amp;G758)</f>
        <v/>
      </c>
      <c r="AJ758" s="12">
        <f>IF(A758="","",A758&amp;"|"&amp;H758)</f>
        <v/>
      </c>
    </row>
    <row r="759" ht="24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8" t="n"/>
      <c r="P759" s="8" t="n"/>
      <c r="Q759" s="8" t="n"/>
      <c r="R759" s="13">
        <f>IF(O759="","",SUM(O759:Q759))</f>
        <v/>
      </c>
      <c r="S759" s="9">
        <f>IF(R759="","",ROUND(R759/3.305785,3))</f>
        <v/>
      </c>
      <c r="T759" s="7" t="n"/>
      <c r="U759" s="7" t="n"/>
      <c r="V759" s="10">
        <f>IF(OR(T759="",U759="",U759=0),"",ROUND(T759/U759,6))</f>
        <v/>
      </c>
      <c r="W759" s="9">
        <f>IF(OR(R759="",T759="",U759="",U759=0),"",ROUND(R759*T759/U759,3))</f>
        <v/>
      </c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12">
        <f>IF(A759="","",IF(OR(B759="",C759="",D759="",E759="",H759="",O759="",T759="",U759=""),"必填欄位未完整",""))</f>
        <v/>
      </c>
      <c r="AI759" s="12">
        <f>IF(A759="","",A759&amp;"|"&amp;G759)</f>
        <v/>
      </c>
      <c r="AJ759" s="12">
        <f>IF(A759="","",A759&amp;"|"&amp;H759)</f>
        <v/>
      </c>
    </row>
    <row r="760" ht="24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8" t="n"/>
      <c r="P760" s="8" t="n"/>
      <c r="Q760" s="8" t="n"/>
      <c r="R760" s="13">
        <f>IF(O760="","",SUM(O760:Q760))</f>
        <v/>
      </c>
      <c r="S760" s="9">
        <f>IF(R760="","",ROUND(R760/3.305785,3))</f>
        <v/>
      </c>
      <c r="T760" s="7" t="n"/>
      <c r="U760" s="7" t="n"/>
      <c r="V760" s="10">
        <f>IF(OR(T760="",U760="",U760=0),"",ROUND(T760/U760,6))</f>
        <v/>
      </c>
      <c r="W760" s="9">
        <f>IF(OR(R760="",T760="",U760="",U760=0),"",ROUND(R760*T760/U760,3))</f>
        <v/>
      </c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12">
        <f>IF(A760="","",IF(OR(B760="",C760="",D760="",E760="",H760="",O760="",T760="",U760=""),"必填欄位未完整",""))</f>
        <v/>
      </c>
      <c r="AI760" s="12">
        <f>IF(A760="","",A760&amp;"|"&amp;G760)</f>
        <v/>
      </c>
      <c r="AJ760" s="12">
        <f>IF(A760="","",A760&amp;"|"&amp;H760)</f>
        <v/>
      </c>
    </row>
    <row r="761" ht="24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8" t="n"/>
      <c r="P761" s="8" t="n"/>
      <c r="Q761" s="8" t="n"/>
      <c r="R761" s="13">
        <f>IF(O761="","",SUM(O761:Q761))</f>
        <v/>
      </c>
      <c r="S761" s="9">
        <f>IF(R761="","",ROUND(R761/3.305785,3))</f>
        <v/>
      </c>
      <c r="T761" s="7" t="n"/>
      <c r="U761" s="7" t="n"/>
      <c r="V761" s="10">
        <f>IF(OR(T761="",U761="",U761=0),"",ROUND(T761/U761,6))</f>
        <v/>
      </c>
      <c r="W761" s="9">
        <f>IF(OR(R761="",T761="",U761="",U761=0),"",ROUND(R761*T761/U761,3))</f>
        <v/>
      </c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12">
        <f>IF(A761="","",IF(OR(B761="",C761="",D761="",E761="",H761="",O761="",T761="",U761=""),"必填欄位未完整",""))</f>
        <v/>
      </c>
      <c r="AI761" s="12">
        <f>IF(A761="","",A761&amp;"|"&amp;G761)</f>
        <v/>
      </c>
      <c r="AJ761" s="12">
        <f>IF(A761="","",A761&amp;"|"&amp;H761)</f>
        <v/>
      </c>
    </row>
    <row r="762" ht="24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8" t="n"/>
      <c r="P762" s="8" t="n"/>
      <c r="Q762" s="8" t="n"/>
      <c r="R762" s="13">
        <f>IF(O762="","",SUM(O762:Q762))</f>
        <v/>
      </c>
      <c r="S762" s="9">
        <f>IF(R762="","",ROUND(R762/3.305785,3))</f>
        <v/>
      </c>
      <c r="T762" s="7" t="n"/>
      <c r="U762" s="7" t="n"/>
      <c r="V762" s="10">
        <f>IF(OR(T762="",U762="",U762=0),"",ROUND(T762/U762,6))</f>
        <v/>
      </c>
      <c r="W762" s="9">
        <f>IF(OR(R762="",T762="",U762="",U762=0),"",ROUND(R762*T762/U762,3))</f>
        <v/>
      </c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12">
        <f>IF(A762="","",IF(OR(B762="",C762="",D762="",E762="",H762="",O762="",T762="",U762=""),"必填欄位未完整",""))</f>
        <v/>
      </c>
      <c r="AI762" s="12">
        <f>IF(A762="","",A762&amp;"|"&amp;G762)</f>
        <v/>
      </c>
      <c r="AJ762" s="12">
        <f>IF(A762="","",A762&amp;"|"&amp;H762)</f>
        <v/>
      </c>
    </row>
    <row r="763" ht="24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8" t="n"/>
      <c r="P763" s="8" t="n"/>
      <c r="Q763" s="8" t="n"/>
      <c r="R763" s="13">
        <f>IF(O763="","",SUM(O763:Q763))</f>
        <v/>
      </c>
      <c r="S763" s="9">
        <f>IF(R763="","",ROUND(R763/3.305785,3))</f>
        <v/>
      </c>
      <c r="T763" s="7" t="n"/>
      <c r="U763" s="7" t="n"/>
      <c r="V763" s="10">
        <f>IF(OR(T763="",U763="",U763=0),"",ROUND(T763/U763,6))</f>
        <v/>
      </c>
      <c r="W763" s="9">
        <f>IF(OR(R763="",T763="",U763="",U763=0),"",ROUND(R763*T763/U763,3))</f>
        <v/>
      </c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12">
        <f>IF(A763="","",IF(OR(B763="",C763="",D763="",E763="",H763="",O763="",T763="",U763=""),"必填欄位未完整",""))</f>
        <v/>
      </c>
      <c r="AI763" s="12">
        <f>IF(A763="","",A763&amp;"|"&amp;G763)</f>
        <v/>
      </c>
      <c r="AJ763" s="12">
        <f>IF(A763="","",A763&amp;"|"&amp;H763)</f>
        <v/>
      </c>
    </row>
    <row r="764" ht="24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8" t="n"/>
      <c r="P764" s="8" t="n"/>
      <c r="Q764" s="8" t="n"/>
      <c r="R764" s="13">
        <f>IF(O764="","",SUM(O764:Q764))</f>
        <v/>
      </c>
      <c r="S764" s="9">
        <f>IF(R764="","",ROUND(R764/3.305785,3))</f>
        <v/>
      </c>
      <c r="T764" s="7" t="n"/>
      <c r="U764" s="7" t="n"/>
      <c r="V764" s="10">
        <f>IF(OR(T764="",U764="",U764=0),"",ROUND(T764/U764,6))</f>
        <v/>
      </c>
      <c r="W764" s="9">
        <f>IF(OR(R764="",T764="",U764="",U764=0),"",ROUND(R764*T764/U764,3))</f>
        <v/>
      </c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12">
        <f>IF(A764="","",IF(OR(B764="",C764="",D764="",E764="",H764="",O764="",T764="",U764=""),"必填欄位未完整",""))</f>
        <v/>
      </c>
      <c r="AI764" s="12">
        <f>IF(A764="","",A764&amp;"|"&amp;G764)</f>
        <v/>
      </c>
      <c r="AJ764" s="12">
        <f>IF(A764="","",A764&amp;"|"&amp;H764)</f>
        <v/>
      </c>
    </row>
    <row r="765" ht="24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8" t="n"/>
      <c r="P765" s="8" t="n"/>
      <c r="Q765" s="8" t="n"/>
      <c r="R765" s="13">
        <f>IF(O765="","",SUM(O765:Q765))</f>
        <v/>
      </c>
      <c r="S765" s="9">
        <f>IF(R765="","",ROUND(R765/3.305785,3))</f>
        <v/>
      </c>
      <c r="T765" s="7" t="n"/>
      <c r="U765" s="7" t="n"/>
      <c r="V765" s="10">
        <f>IF(OR(T765="",U765="",U765=0),"",ROUND(T765/U765,6))</f>
        <v/>
      </c>
      <c r="W765" s="9">
        <f>IF(OR(R765="",T765="",U765="",U765=0),"",ROUND(R765*T765/U765,3))</f>
        <v/>
      </c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12">
        <f>IF(A765="","",IF(OR(B765="",C765="",D765="",E765="",H765="",O765="",T765="",U765=""),"必填欄位未完整",""))</f>
        <v/>
      </c>
      <c r="AI765" s="12">
        <f>IF(A765="","",A765&amp;"|"&amp;G765)</f>
        <v/>
      </c>
      <c r="AJ765" s="12">
        <f>IF(A765="","",A765&amp;"|"&amp;H765)</f>
        <v/>
      </c>
    </row>
    <row r="766" ht="24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8" t="n"/>
      <c r="P766" s="8" t="n"/>
      <c r="Q766" s="8" t="n"/>
      <c r="R766" s="13">
        <f>IF(O766="","",SUM(O766:Q766))</f>
        <v/>
      </c>
      <c r="S766" s="9">
        <f>IF(R766="","",ROUND(R766/3.305785,3))</f>
        <v/>
      </c>
      <c r="T766" s="7" t="n"/>
      <c r="U766" s="7" t="n"/>
      <c r="V766" s="10">
        <f>IF(OR(T766="",U766="",U766=0),"",ROUND(T766/U766,6))</f>
        <v/>
      </c>
      <c r="W766" s="9">
        <f>IF(OR(R766="",T766="",U766="",U766=0),"",ROUND(R766*T766/U766,3))</f>
        <v/>
      </c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12">
        <f>IF(A766="","",IF(OR(B766="",C766="",D766="",E766="",H766="",O766="",T766="",U766=""),"必填欄位未完整",""))</f>
        <v/>
      </c>
      <c r="AI766" s="12">
        <f>IF(A766="","",A766&amp;"|"&amp;G766)</f>
        <v/>
      </c>
      <c r="AJ766" s="12">
        <f>IF(A766="","",A766&amp;"|"&amp;H766)</f>
        <v/>
      </c>
    </row>
    <row r="767" ht="24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8" t="n"/>
      <c r="P767" s="8" t="n"/>
      <c r="Q767" s="8" t="n"/>
      <c r="R767" s="13">
        <f>IF(O767="","",SUM(O767:Q767))</f>
        <v/>
      </c>
      <c r="S767" s="9">
        <f>IF(R767="","",ROUND(R767/3.305785,3))</f>
        <v/>
      </c>
      <c r="T767" s="7" t="n"/>
      <c r="U767" s="7" t="n"/>
      <c r="V767" s="10">
        <f>IF(OR(T767="",U767="",U767=0),"",ROUND(T767/U767,6))</f>
        <v/>
      </c>
      <c r="W767" s="9">
        <f>IF(OR(R767="",T767="",U767="",U767=0),"",ROUND(R767*T767/U767,3))</f>
        <v/>
      </c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12">
        <f>IF(A767="","",IF(OR(B767="",C767="",D767="",E767="",H767="",O767="",T767="",U767=""),"必填欄位未完整",""))</f>
        <v/>
      </c>
      <c r="AI767" s="12">
        <f>IF(A767="","",A767&amp;"|"&amp;G767)</f>
        <v/>
      </c>
      <c r="AJ767" s="12">
        <f>IF(A767="","",A767&amp;"|"&amp;H767)</f>
        <v/>
      </c>
    </row>
    <row r="768" ht="24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8" t="n"/>
      <c r="P768" s="8" t="n"/>
      <c r="Q768" s="8" t="n"/>
      <c r="R768" s="13">
        <f>IF(O768="","",SUM(O768:Q768))</f>
        <v/>
      </c>
      <c r="S768" s="9">
        <f>IF(R768="","",ROUND(R768/3.305785,3))</f>
        <v/>
      </c>
      <c r="T768" s="7" t="n"/>
      <c r="U768" s="7" t="n"/>
      <c r="V768" s="10">
        <f>IF(OR(T768="",U768="",U768=0),"",ROUND(T768/U768,6))</f>
        <v/>
      </c>
      <c r="W768" s="9">
        <f>IF(OR(R768="",T768="",U768="",U768=0),"",ROUND(R768*T768/U768,3))</f>
        <v/>
      </c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12">
        <f>IF(A768="","",IF(OR(B768="",C768="",D768="",E768="",H768="",O768="",T768="",U768=""),"必填欄位未完整",""))</f>
        <v/>
      </c>
      <c r="AI768" s="12">
        <f>IF(A768="","",A768&amp;"|"&amp;G768)</f>
        <v/>
      </c>
      <c r="AJ768" s="12">
        <f>IF(A768="","",A768&amp;"|"&amp;H768)</f>
        <v/>
      </c>
    </row>
    <row r="769" ht="24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8" t="n"/>
      <c r="P769" s="8" t="n"/>
      <c r="Q769" s="8" t="n"/>
      <c r="R769" s="13">
        <f>IF(O769="","",SUM(O769:Q769))</f>
        <v/>
      </c>
      <c r="S769" s="9">
        <f>IF(R769="","",ROUND(R769/3.305785,3))</f>
        <v/>
      </c>
      <c r="T769" s="7" t="n"/>
      <c r="U769" s="7" t="n"/>
      <c r="V769" s="10">
        <f>IF(OR(T769="",U769="",U769=0),"",ROUND(T769/U769,6))</f>
        <v/>
      </c>
      <c r="W769" s="9">
        <f>IF(OR(R769="",T769="",U769="",U769=0),"",ROUND(R769*T769/U769,3))</f>
        <v/>
      </c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12">
        <f>IF(A769="","",IF(OR(B769="",C769="",D769="",E769="",H769="",O769="",T769="",U769=""),"必填欄位未完整",""))</f>
        <v/>
      </c>
      <c r="AI769" s="12">
        <f>IF(A769="","",A769&amp;"|"&amp;G769)</f>
        <v/>
      </c>
      <c r="AJ769" s="12">
        <f>IF(A769="","",A769&amp;"|"&amp;H769)</f>
        <v/>
      </c>
    </row>
    <row r="770" ht="24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8" t="n"/>
      <c r="P770" s="8" t="n"/>
      <c r="Q770" s="8" t="n"/>
      <c r="R770" s="13">
        <f>IF(O770="","",SUM(O770:Q770))</f>
        <v/>
      </c>
      <c r="S770" s="9">
        <f>IF(R770="","",ROUND(R770/3.305785,3))</f>
        <v/>
      </c>
      <c r="T770" s="7" t="n"/>
      <c r="U770" s="7" t="n"/>
      <c r="V770" s="10">
        <f>IF(OR(T770="",U770="",U770=0),"",ROUND(T770/U770,6))</f>
        <v/>
      </c>
      <c r="W770" s="9">
        <f>IF(OR(R770="",T770="",U770="",U770=0),"",ROUND(R770*T770/U770,3))</f>
        <v/>
      </c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12">
        <f>IF(A770="","",IF(OR(B770="",C770="",D770="",E770="",H770="",O770="",T770="",U770=""),"必填欄位未完整",""))</f>
        <v/>
      </c>
      <c r="AI770" s="12">
        <f>IF(A770="","",A770&amp;"|"&amp;G770)</f>
        <v/>
      </c>
      <c r="AJ770" s="12">
        <f>IF(A770="","",A770&amp;"|"&amp;H770)</f>
        <v/>
      </c>
    </row>
    <row r="771" ht="24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8" t="n"/>
      <c r="P771" s="8" t="n"/>
      <c r="Q771" s="8" t="n"/>
      <c r="R771" s="13">
        <f>IF(O771="","",SUM(O771:Q771))</f>
        <v/>
      </c>
      <c r="S771" s="9">
        <f>IF(R771="","",ROUND(R771/3.305785,3))</f>
        <v/>
      </c>
      <c r="T771" s="7" t="n"/>
      <c r="U771" s="7" t="n"/>
      <c r="V771" s="10">
        <f>IF(OR(T771="",U771="",U771=0),"",ROUND(T771/U771,6))</f>
        <v/>
      </c>
      <c r="W771" s="9">
        <f>IF(OR(R771="",T771="",U771="",U771=0),"",ROUND(R771*T771/U771,3))</f>
        <v/>
      </c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12">
        <f>IF(A771="","",IF(OR(B771="",C771="",D771="",E771="",H771="",O771="",T771="",U771=""),"必填欄位未完整",""))</f>
        <v/>
      </c>
      <c r="AI771" s="12">
        <f>IF(A771="","",A771&amp;"|"&amp;G771)</f>
        <v/>
      </c>
      <c r="AJ771" s="12">
        <f>IF(A771="","",A771&amp;"|"&amp;H771)</f>
        <v/>
      </c>
    </row>
    <row r="772" ht="24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8" t="n"/>
      <c r="P772" s="8" t="n"/>
      <c r="Q772" s="8" t="n"/>
      <c r="R772" s="13">
        <f>IF(O772="","",SUM(O772:Q772))</f>
        <v/>
      </c>
      <c r="S772" s="9">
        <f>IF(R772="","",ROUND(R772/3.305785,3))</f>
        <v/>
      </c>
      <c r="T772" s="7" t="n"/>
      <c r="U772" s="7" t="n"/>
      <c r="V772" s="10">
        <f>IF(OR(T772="",U772="",U772=0),"",ROUND(T772/U772,6))</f>
        <v/>
      </c>
      <c r="W772" s="9">
        <f>IF(OR(R772="",T772="",U772="",U772=0),"",ROUND(R772*T772/U772,3))</f>
        <v/>
      </c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12">
        <f>IF(A772="","",IF(OR(B772="",C772="",D772="",E772="",H772="",O772="",T772="",U772=""),"必填欄位未完整",""))</f>
        <v/>
      </c>
      <c r="AI772" s="12">
        <f>IF(A772="","",A772&amp;"|"&amp;G772)</f>
        <v/>
      </c>
      <c r="AJ772" s="12">
        <f>IF(A772="","",A772&amp;"|"&amp;H772)</f>
        <v/>
      </c>
    </row>
    <row r="773" ht="24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8" t="n"/>
      <c r="P773" s="8" t="n"/>
      <c r="Q773" s="8" t="n"/>
      <c r="R773" s="13">
        <f>IF(O773="","",SUM(O773:Q773))</f>
        <v/>
      </c>
      <c r="S773" s="9">
        <f>IF(R773="","",ROUND(R773/3.305785,3))</f>
        <v/>
      </c>
      <c r="T773" s="7" t="n"/>
      <c r="U773" s="7" t="n"/>
      <c r="V773" s="10">
        <f>IF(OR(T773="",U773="",U773=0),"",ROUND(T773/U773,6))</f>
        <v/>
      </c>
      <c r="W773" s="9">
        <f>IF(OR(R773="",T773="",U773="",U773=0),"",ROUND(R773*T773/U773,3))</f>
        <v/>
      </c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12">
        <f>IF(A773="","",IF(OR(B773="",C773="",D773="",E773="",H773="",O773="",T773="",U773=""),"必填欄位未完整",""))</f>
        <v/>
      </c>
      <c r="AI773" s="12">
        <f>IF(A773="","",A773&amp;"|"&amp;G773)</f>
        <v/>
      </c>
      <c r="AJ773" s="12">
        <f>IF(A773="","",A773&amp;"|"&amp;H773)</f>
        <v/>
      </c>
    </row>
    <row r="774" ht="24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8" t="n"/>
      <c r="P774" s="8" t="n"/>
      <c r="Q774" s="8" t="n"/>
      <c r="R774" s="13">
        <f>IF(O774="","",SUM(O774:Q774))</f>
        <v/>
      </c>
      <c r="S774" s="9">
        <f>IF(R774="","",ROUND(R774/3.305785,3))</f>
        <v/>
      </c>
      <c r="T774" s="7" t="n"/>
      <c r="U774" s="7" t="n"/>
      <c r="V774" s="10">
        <f>IF(OR(T774="",U774="",U774=0),"",ROUND(T774/U774,6))</f>
        <v/>
      </c>
      <c r="W774" s="9">
        <f>IF(OR(R774="",T774="",U774="",U774=0),"",ROUND(R774*T774/U774,3))</f>
        <v/>
      </c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12">
        <f>IF(A774="","",IF(OR(B774="",C774="",D774="",E774="",H774="",O774="",T774="",U774=""),"必填欄位未完整",""))</f>
        <v/>
      </c>
      <c r="AI774" s="12">
        <f>IF(A774="","",A774&amp;"|"&amp;G774)</f>
        <v/>
      </c>
      <c r="AJ774" s="12">
        <f>IF(A774="","",A774&amp;"|"&amp;H774)</f>
        <v/>
      </c>
    </row>
    <row r="775" ht="24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8" t="n"/>
      <c r="P775" s="8" t="n"/>
      <c r="Q775" s="8" t="n"/>
      <c r="R775" s="13">
        <f>IF(O775="","",SUM(O775:Q775))</f>
        <v/>
      </c>
      <c r="S775" s="9">
        <f>IF(R775="","",ROUND(R775/3.305785,3))</f>
        <v/>
      </c>
      <c r="T775" s="7" t="n"/>
      <c r="U775" s="7" t="n"/>
      <c r="V775" s="10">
        <f>IF(OR(T775="",U775="",U775=0),"",ROUND(T775/U775,6))</f>
        <v/>
      </c>
      <c r="W775" s="9">
        <f>IF(OR(R775="",T775="",U775="",U775=0),"",ROUND(R775*T775/U775,3))</f>
        <v/>
      </c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12">
        <f>IF(A775="","",IF(OR(B775="",C775="",D775="",E775="",H775="",O775="",T775="",U775=""),"必填欄位未完整",""))</f>
        <v/>
      </c>
      <c r="AI775" s="12">
        <f>IF(A775="","",A775&amp;"|"&amp;G775)</f>
        <v/>
      </c>
      <c r="AJ775" s="12">
        <f>IF(A775="","",A775&amp;"|"&amp;H775)</f>
        <v/>
      </c>
    </row>
    <row r="776" ht="24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8" t="n"/>
      <c r="P776" s="8" t="n"/>
      <c r="Q776" s="8" t="n"/>
      <c r="R776" s="13">
        <f>IF(O776="","",SUM(O776:Q776))</f>
        <v/>
      </c>
      <c r="S776" s="9">
        <f>IF(R776="","",ROUND(R776/3.305785,3))</f>
        <v/>
      </c>
      <c r="T776" s="7" t="n"/>
      <c r="U776" s="7" t="n"/>
      <c r="V776" s="10">
        <f>IF(OR(T776="",U776="",U776=0),"",ROUND(T776/U776,6))</f>
        <v/>
      </c>
      <c r="W776" s="9">
        <f>IF(OR(R776="",T776="",U776="",U776=0),"",ROUND(R776*T776/U776,3))</f>
        <v/>
      </c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12">
        <f>IF(A776="","",IF(OR(B776="",C776="",D776="",E776="",H776="",O776="",T776="",U776=""),"必填欄位未完整",""))</f>
        <v/>
      </c>
      <c r="AI776" s="12">
        <f>IF(A776="","",A776&amp;"|"&amp;G776)</f>
        <v/>
      </c>
      <c r="AJ776" s="12">
        <f>IF(A776="","",A776&amp;"|"&amp;H776)</f>
        <v/>
      </c>
    </row>
    <row r="777" ht="24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8" t="n"/>
      <c r="P777" s="8" t="n"/>
      <c r="Q777" s="8" t="n"/>
      <c r="R777" s="13">
        <f>IF(O777="","",SUM(O777:Q777))</f>
        <v/>
      </c>
      <c r="S777" s="9">
        <f>IF(R777="","",ROUND(R777/3.305785,3))</f>
        <v/>
      </c>
      <c r="T777" s="7" t="n"/>
      <c r="U777" s="7" t="n"/>
      <c r="V777" s="10">
        <f>IF(OR(T777="",U777="",U777=0),"",ROUND(T777/U777,6))</f>
        <v/>
      </c>
      <c r="W777" s="9">
        <f>IF(OR(R777="",T777="",U777="",U777=0),"",ROUND(R777*T777/U777,3))</f>
        <v/>
      </c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12">
        <f>IF(A777="","",IF(OR(B777="",C777="",D777="",E777="",H777="",O777="",T777="",U777=""),"必填欄位未完整",""))</f>
        <v/>
      </c>
      <c r="AI777" s="12">
        <f>IF(A777="","",A777&amp;"|"&amp;G777)</f>
        <v/>
      </c>
      <c r="AJ777" s="12">
        <f>IF(A777="","",A777&amp;"|"&amp;H777)</f>
        <v/>
      </c>
    </row>
    <row r="778" ht="24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8" t="n"/>
      <c r="P778" s="8" t="n"/>
      <c r="Q778" s="8" t="n"/>
      <c r="R778" s="13">
        <f>IF(O778="","",SUM(O778:Q778))</f>
        <v/>
      </c>
      <c r="S778" s="9">
        <f>IF(R778="","",ROUND(R778/3.305785,3))</f>
        <v/>
      </c>
      <c r="T778" s="7" t="n"/>
      <c r="U778" s="7" t="n"/>
      <c r="V778" s="10">
        <f>IF(OR(T778="",U778="",U778=0),"",ROUND(T778/U778,6))</f>
        <v/>
      </c>
      <c r="W778" s="9">
        <f>IF(OR(R778="",T778="",U778="",U778=0),"",ROUND(R778*T778/U778,3))</f>
        <v/>
      </c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12">
        <f>IF(A778="","",IF(OR(B778="",C778="",D778="",E778="",H778="",O778="",T778="",U778=""),"必填欄位未完整",""))</f>
        <v/>
      </c>
      <c r="AI778" s="12">
        <f>IF(A778="","",A778&amp;"|"&amp;G778)</f>
        <v/>
      </c>
      <c r="AJ778" s="12">
        <f>IF(A778="","",A778&amp;"|"&amp;H778)</f>
        <v/>
      </c>
    </row>
    <row r="779" ht="24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8" t="n"/>
      <c r="P779" s="8" t="n"/>
      <c r="Q779" s="8" t="n"/>
      <c r="R779" s="13">
        <f>IF(O779="","",SUM(O779:Q779))</f>
        <v/>
      </c>
      <c r="S779" s="9">
        <f>IF(R779="","",ROUND(R779/3.305785,3))</f>
        <v/>
      </c>
      <c r="T779" s="7" t="n"/>
      <c r="U779" s="7" t="n"/>
      <c r="V779" s="10">
        <f>IF(OR(T779="",U779="",U779=0),"",ROUND(T779/U779,6))</f>
        <v/>
      </c>
      <c r="W779" s="9">
        <f>IF(OR(R779="",T779="",U779="",U779=0),"",ROUND(R779*T779/U779,3))</f>
        <v/>
      </c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12">
        <f>IF(A779="","",IF(OR(B779="",C779="",D779="",E779="",H779="",O779="",T779="",U779=""),"必填欄位未完整",""))</f>
        <v/>
      </c>
      <c r="AI779" s="12">
        <f>IF(A779="","",A779&amp;"|"&amp;G779)</f>
        <v/>
      </c>
      <c r="AJ779" s="12">
        <f>IF(A779="","",A779&amp;"|"&amp;H779)</f>
        <v/>
      </c>
    </row>
    <row r="780" ht="24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8" t="n"/>
      <c r="P780" s="8" t="n"/>
      <c r="Q780" s="8" t="n"/>
      <c r="R780" s="13">
        <f>IF(O780="","",SUM(O780:Q780))</f>
        <v/>
      </c>
      <c r="S780" s="9">
        <f>IF(R780="","",ROUND(R780/3.305785,3))</f>
        <v/>
      </c>
      <c r="T780" s="7" t="n"/>
      <c r="U780" s="7" t="n"/>
      <c r="V780" s="10">
        <f>IF(OR(T780="",U780="",U780=0),"",ROUND(T780/U780,6))</f>
        <v/>
      </c>
      <c r="W780" s="9">
        <f>IF(OR(R780="",T780="",U780="",U780=0),"",ROUND(R780*T780/U780,3))</f>
        <v/>
      </c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12">
        <f>IF(A780="","",IF(OR(B780="",C780="",D780="",E780="",H780="",O780="",T780="",U780=""),"必填欄位未完整",""))</f>
        <v/>
      </c>
      <c r="AI780" s="12">
        <f>IF(A780="","",A780&amp;"|"&amp;G780)</f>
        <v/>
      </c>
      <c r="AJ780" s="12">
        <f>IF(A780="","",A780&amp;"|"&amp;H780)</f>
        <v/>
      </c>
    </row>
    <row r="781" ht="24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8" t="n"/>
      <c r="P781" s="8" t="n"/>
      <c r="Q781" s="8" t="n"/>
      <c r="R781" s="13">
        <f>IF(O781="","",SUM(O781:Q781))</f>
        <v/>
      </c>
      <c r="S781" s="9">
        <f>IF(R781="","",ROUND(R781/3.305785,3))</f>
        <v/>
      </c>
      <c r="T781" s="7" t="n"/>
      <c r="U781" s="7" t="n"/>
      <c r="V781" s="10">
        <f>IF(OR(T781="",U781="",U781=0),"",ROUND(T781/U781,6))</f>
        <v/>
      </c>
      <c r="W781" s="9">
        <f>IF(OR(R781="",T781="",U781="",U781=0),"",ROUND(R781*T781/U781,3))</f>
        <v/>
      </c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12">
        <f>IF(A781="","",IF(OR(B781="",C781="",D781="",E781="",H781="",O781="",T781="",U781=""),"必填欄位未完整",""))</f>
        <v/>
      </c>
      <c r="AI781" s="12">
        <f>IF(A781="","",A781&amp;"|"&amp;G781)</f>
        <v/>
      </c>
      <c r="AJ781" s="12">
        <f>IF(A781="","",A781&amp;"|"&amp;H781)</f>
        <v/>
      </c>
    </row>
    <row r="782" ht="24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8" t="n"/>
      <c r="P782" s="8" t="n"/>
      <c r="Q782" s="8" t="n"/>
      <c r="R782" s="13">
        <f>IF(O782="","",SUM(O782:Q782))</f>
        <v/>
      </c>
      <c r="S782" s="9">
        <f>IF(R782="","",ROUND(R782/3.305785,3))</f>
        <v/>
      </c>
      <c r="T782" s="7" t="n"/>
      <c r="U782" s="7" t="n"/>
      <c r="V782" s="10">
        <f>IF(OR(T782="",U782="",U782=0),"",ROUND(T782/U782,6))</f>
        <v/>
      </c>
      <c r="W782" s="9">
        <f>IF(OR(R782="",T782="",U782="",U782=0),"",ROUND(R782*T782/U782,3))</f>
        <v/>
      </c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12">
        <f>IF(A782="","",IF(OR(B782="",C782="",D782="",E782="",H782="",O782="",T782="",U782=""),"必填欄位未完整",""))</f>
        <v/>
      </c>
      <c r="AI782" s="12">
        <f>IF(A782="","",A782&amp;"|"&amp;G782)</f>
        <v/>
      </c>
      <c r="AJ782" s="12">
        <f>IF(A782="","",A782&amp;"|"&amp;H782)</f>
        <v/>
      </c>
    </row>
    <row r="783" ht="24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8" t="n"/>
      <c r="P783" s="8" t="n"/>
      <c r="Q783" s="8" t="n"/>
      <c r="R783" s="13">
        <f>IF(O783="","",SUM(O783:Q783))</f>
        <v/>
      </c>
      <c r="S783" s="9">
        <f>IF(R783="","",ROUND(R783/3.305785,3))</f>
        <v/>
      </c>
      <c r="T783" s="7" t="n"/>
      <c r="U783" s="7" t="n"/>
      <c r="V783" s="10">
        <f>IF(OR(T783="",U783="",U783=0),"",ROUND(T783/U783,6))</f>
        <v/>
      </c>
      <c r="W783" s="9">
        <f>IF(OR(R783="",T783="",U783="",U783=0),"",ROUND(R783*T783/U783,3))</f>
        <v/>
      </c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12">
        <f>IF(A783="","",IF(OR(B783="",C783="",D783="",E783="",H783="",O783="",T783="",U783=""),"必填欄位未完整",""))</f>
        <v/>
      </c>
      <c r="AI783" s="12">
        <f>IF(A783="","",A783&amp;"|"&amp;G783)</f>
        <v/>
      </c>
      <c r="AJ783" s="12">
        <f>IF(A783="","",A783&amp;"|"&amp;H783)</f>
        <v/>
      </c>
    </row>
    <row r="784" ht="24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8" t="n"/>
      <c r="P784" s="8" t="n"/>
      <c r="Q784" s="8" t="n"/>
      <c r="R784" s="13">
        <f>IF(O784="","",SUM(O784:Q784))</f>
        <v/>
      </c>
      <c r="S784" s="9">
        <f>IF(R784="","",ROUND(R784/3.305785,3))</f>
        <v/>
      </c>
      <c r="T784" s="7" t="n"/>
      <c r="U784" s="7" t="n"/>
      <c r="V784" s="10">
        <f>IF(OR(T784="",U784="",U784=0),"",ROUND(T784/U784,6))</f>
        <v/>
      </c>
      <c r="W784" s="9">
        <f>IF(OR(R784="",T784="",U784="",U784=0),"",ROUND(R784*T784/U784,3))</f>
        <v/>
      </c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12">
        <f>IF(A784="","",IF(OR(B784="",C784="",D784="",E784="",H784="",O784="",T784="",U784=""),"必填欄位未完整",""))</f>
        <v/>
      </c>
      <c r="AI784" s="12">
        <f>IF(A784="","",A784&amp;"|"&amp;G784)</f>
        <v/>
      </c>
      <c r="AJ784" s="12">
        <f>IF(A784="","",A784&amp;"|"&amp;H784)</f>
        <v/>
      </c>
    </row>
    <row r="785" ht="24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8" t="n"/>
      <c r="P785" s="8" t="n"/>
      <c r="Q785" s="8" t="n"/>
      <c r="R785" s="13">
        <f>IF(O785="","",SUM(O785:Q785))</f>
        <v/>
      </c>
      <c r="S785" s="9">
        <f>IF(R785="","",ROUND(R785/3.305785,3))</f>
        <v/>
      </c>
      <c r="T785" s="7" t="n"/>
      <c r="U785" s="7" t="n"/>
      <c r="V785" s="10">
        <f>IF(OR(T785="",U785="",U785=0),"",ROUND(T785/U785,6))</f>
        <v/>
      </c>
      <c r="W785" s="9">
        <f>IF(OR(R785="",T785="",U785="",U785=0),"",ROUND(R785*T785/U785,3))</f>
        <v/>
      </c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12">
        <f>IF(A785="","",IF(OR(B785="",C785="",D785="",E785="",H785="",O785="",T785="",U785=""),"必填欄位未完整",""))</f>
        <v/>
      </c>
      <c r="AI785" s="12">
        <f>IF(A785="","",A785&amp;"|"&amp;G785)</f>
        <v/>
      </c>
      <c r="AJ785" s="12">
        <f>IF(A785="","",A785&amp;"|"&amp;H785)</f>
        <v/>
      </c>
    </row>
    <row r="786" ht="24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8" t="n"/>
      <c r="P786" s="8" t="n"/>
      <c r="Q786" s="8" t="n"/>
      <c r="R786" s="13">
        <f>IF(O786="","",SUM(O786:Q786))</f>
        <v/>
      </c>
      <c r="S786" s="9">
        <f>IF(R786="","",ROUND(R786/3.305785,3))</f>
        <v/>
      </c>
      <c r="T786" s="7" t="n"/>
      <c r="U786" s="7" t="n"/>
      <c r="V786" s="10">
        <f>IF(OR(T786="",U786="",U786=0),"",ROUND(T786/U786,6))</f>
        <v/>
      </c>
      <c r="W786" s="9">
        <f>IF(OR(R786="",T786="",U786="",U786=0),"",ROUND(R786*T786/U786,3))</f>
        <v/>
      </c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12">
        <f>IF(A786="","",IF(OR(B786="",C786="",D786="",E786="",H786="",O786="",T786="",U786=""),"必填欄位未完整",""))</f>
        <v/>
      </c>
      <c r="AI786" s="12">
        <f>IF(A786="","",A786&amp;"|"&amp;G786)</f>
        <v/>
      </c>
      <c r="AJ786" s="12">
        <f>IF(A786="","",A786&amp;"|"&amp;H786)</f>
        <v/>
      </c>
    </row>
    <row r="787" ht="24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8" t="n"/>
      <c r="P787" s="8" t="n"/>
      <c r="Q787" s="8" t="n"/>
      <c r="R787" s="13">
        <f>IF(O787="","",SUM(O787:Q787))</f>
        <v/>
      </c>
      <c r="S787" s="9">
        <f>IF(R787="","",ROUND(R787/3.305785,3))</f>
        <v/>
      </c>
      <c r="T787" s="7" t="n"/>
      <c r="U787" s="7" t="n"/>
      <c r="V787" s="10">
        <f>IF(OR(T787="",U787="",U787=0),"",ROUND(T787/U787,6))</f>
        <v/>
      </c>
      <c r="W787" s="9">
        <f>IF(OR(R787="",T787="",U787="",U787=0),"",ROUND(R787*T787/U787,3))</f>
        <v/>
      </c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12">
        <f>IF(A787="","",IF(OR(B787="",C787="",D787="",E787="",H787="",O787="",T787="",U787=""),"必填欄位未完整",""))</f>
        <v/>
      </c>
      <c r="AI787" s="12">
        <f>IF(A787="","",A787&amp;"|"&amp;G787)</f>
        <v/>
      </c>
      <c r="AJ787" s="12">
        <f>IF(A787="","",A787&amp;"|"&amp;H787)</f>
        <v/>
      </c>
    </row>
    <row r="788" ht="24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8" t="n"/>
      <c r="P788" s="8" t="n"/>
      <c r="Q788" s="8" t="n"/>
      <c r="R788" s="13">
        <f>IF(O788="","",SUM(O788:Q788))</f>
        <v/>
      </c>
      <c r="S788" s="9">
        <f>IF(R788="","",ROUND(R788/3.305785,3))</f>
        <v/>
      </c>
      <c r="T788" s="7" t="n"/>
      <c r="U788" s="7" t="n"/>
      <c r="V788" s="10">
        <f>IF(OR(T788="",U788="",U788=0),"",ROUND(T788/U788,6))</f>
        <v/>
      </c>
      <c r="W788" s="9">
        <f>IF(OR(R788="",T788="",U788="",U788=0),"",ROUND(R788*T788/U788,3))</f>
        <v/>
      </c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12">
        <f>IF(A788="","",IF(OR(B788="",C788="",D788="",E788="",H788="",O788="",T788="",U788=""),"必填欄位未完整",""))</f>
        <v/>
      </c>
      <c r="AI788" s="12">
        <f>IF(A788="","",A788&amp;"|"&amp;G788)</f>
        <v/>
      </c>
      <c r="AJ788" s="12">
        <f>IF(A788="","",A788&amp;"|"&amp;H788)</f>
        <v/>
      </c>
    </row>
    <row r="789" ht="24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8" t="n"/>
      <c r="P789" s="8" t="n"/>
      <c r="Q789" s="8" t="n"/>
      <c r="R789" s="13">
        <f>IF(O789="","",SUM(O789:Q789))</f>
        <v/>
      </c>
      <c r="S789" s="9">
        <f>IF(R789="","",ROUND(R789/3.305785,3))</f>
        <v/>
      </c>
      <c r="T789" s="7" t="n"/>
      <c r="U789" s="7" t="n"/>
      <c r="V789" s="10">
        <f>IF(OR(T789="",U789="",U789=0),"",ROUND(T789/U789,6))</f>
        <v/>
      </c>
      <c r="W789" s="9">
        <f>IF(OR(R789="",T789="",U789="",U789=0),"",ROUND(R789*T789/U789,3))</f>
        <v/>
      </c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12">
        <f>IF(A789="","",IF(OR(B789="",C789="",D789="",E789="",H789="",O789="",T789="",U789=""),"必填欄位未完整",""))</f>
        <v/>
      </c>
      <c r="AI789" s="12">
        <f>IF(A789="","",A789&amp;"|"&amp;G789)</f>
        <v/>
      </c>
      <c r="AJ789" s="12">
        <f>IF(A789="","",A789&amp;"|"&amp;H789)</f>
        <v/>
      </c>
    </row>
    <row r="790" ht="24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8" t="n"/>
      <c r="P790" s="8" t="n"/>
      <c r="Q790" s="8" t="n"/>
      <c r="R790" s="13">
        <f>IF(O790="","",SUM(O790:Q790))</f>
        <v/>
      </c>
      <c r="S790" s="9">
        <f>IF(R790="","",ROUND(R790/3.305785,3))</f>
        <v/>
      </c>
      <c r="T790" s="7" t="n"/>
      <c r="U790" s="7" t="n"/>
      <c r="V790" s="10">
        <f>IF(OR(T790="",U790="",U790=0),"",ROUND(T790/U790,6))</f>
        <v/>
      </c>
      <c r="W790" s="9">
        <f>IF(OR(R790="",T790="",U790="",U790=0),"",ROUND(R790*T790/U790,3))</f>
        <v/>
      </c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12">
        <f>IF(A790="","",IF(OR(B790="",C790="",D790="",E790="",H790="",O790="",T790="",U790=""),"必填欄位未完整",""))</f>
        <v/>
      </c>
      <c r="AI790" s="12">
        <f>IF(A790="","",A790&amp;"|"&amp;G790)</f>
        <v/>
      </c>
      <c r="AJ790" s="12">
        <f>IF(A790="","",A790&amp;"|"&amp;H790)</f>
        <v/>
      </c>
    </row>
    <row r="791" ht="24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8" t="n"/>
      <c r="P791" s="8" t="n"/>
      <c r="Q791" s="8" t="n"/>
      <c r="R791" s="13">
        <f>IF(O791="","",SUM(O791:Q791))</f>
        <v/>
      </c>
      <c r="S791" s="9">
        <f>IF(R791="","",ROUND(R791/3.305785,3))</f>
        <v/>
      </c>
      <c r="T791" s="7" t="n"/>
      <c r="U791" s="7" t="n"/>
      <c r="V791" s="10">
        <f>IF(OR(T791="",U791="",U791=0),"",ROUND(T791/U791,6))</f>
        <v/>
      </c>
      <c r="W791" s="9">
        <f>IF(OR(R791="",T791="",U791="",U791=0),"",ROUND(R791*T791/U791,3))</f>
        <v/>
      </c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12">
        <f>IF(A791="","",IF(OR(B791="",C791="",D791="",E791="",H791="",O791="",T791="",U791=""),"必填欄位未完整",""))</f>
        <v/>
      </c>
      <c r="AI791" s="12">
        <f>IF(A791="","",A791&amp;"|"&amp;G791)</f>
        <v/>
      </c>
      <c r="AJ791" s="12">
        <f>IF(A791="","",A791&amp;"|"&amp;H791)</f>
        <v/>
      </c>
    </row>
    <row r="792" ht="24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8" t="n"/>
      <c r="P792" s="8" t="n"/>
      <c r="Q792" s="8" t="n"/>
      <c r="R792" s="13">
        <f>IF(O792="","",SUM(O792:Q792))</f>
        <v/>
      </c>
      <c r="S792" s="9">
        <f>IF(R792="","",ROUND(R792/3.305785,3))</f>
        <v/>
      </c>
      <c r="T792" s="7" t="n"/>
      <c r="U792" s="7" t="n"/>
      <c r="V792" s="10">
        <f>IF(OR(T792="",U792="",U792=0),"",ROUND(T792/U792,6))</f>
        <v/>
      </c>
      <c r="W792" s="9">
        <f>IF(OR(R792="",T792="",U792="",U792=0),"",ROUND(R792*T792/U792,3))</f>
        <v/>
      </c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12">
        <f>IF(A792="","",IF(OR(B792="",C792="",D792="",E792="",H792="",O792="",T792="",U792=""),"必填欄位未完整",""))</f>
        <v/>
      </c>
      <c r="AI792" s="12">
        <f>IF(A792="","",A792&amp;"|"&amp;G792)</f>
        <v/>
      </c>
      <c r="AJ792" s="12">
        <f>IF(A792="","",A792&amp;"|"&amp;H792)</f>
        <v/>
      </c>
    </row>
    <row r="793" ht="24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8" t="n"/>
      <c r="P793" s="8" t="n"/>
      <c r="Q793" s="8" t="n"/>
      <c r="R793" s="13">
        <f>IF(O793="","",SUM(O793:Q793))</f>
        <v/>
      </c>
      <c r="S793" s="9">
        <f>IF(R793="","",ROUND(R793/3.305785,3))</f>
        <v/>
      </c>
      <c r="T793" s="7" t="n"/>
      <c r="U793" s="7" t="n"/>
      <c r="V793" s="10">
        <f>IF(OR(T793="",U793="",U793=0),"",ROUND(T793/U793,6))</f>
        <v/>
      </c>
      <c r="W793" s="9">
        <f>IF(OR(R793="",T793="",U793="",U793=0),"",ROUND(R793*T793/U793,3))</f>
        <v/>
      </c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12">
        <f>IF(A793="","",IF(OR(B793="",C793="",D793="",E793="",H793="",O793="",T793="",U793=""),"必填欄位未完整",""))</f>
        <v/>
      </c>
      <c r="AI793" s="12">
        <f>IF(A793="","",A793&amp;"|"&amp;G793)</f>
        <v/>
      </c>
      <c r="AJ793" s="12">
        <f>IF(A793="","",A793&amp;"|"&amp;H793)</f>
        <v/>
      </c>
    </row>
    <row r="794" ht="24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8" t="n"/>
      <c r="P794" s="8" t="n"/>
      <c r="Q794" s="8" t="n"/>
      <c r="R794" s="13">
        <f>IF(O794="","",SUM(O794:Q794))</f>
        <v/>
      </c>
      <c r="S794" s="9">
        <f>IF(R794="","",ROUND(R794/3.305785,3))</f>
        <v/>
      </c>
      <c r="T794" s="7" t="n"/>
      <c r="U794" s="7" t="n"/>
      <c r="V794" s="10">
        <f>IF(OR(T794="",U794="",U794=0),"",ROUND(T794/U794,6))</f>
        <v/>
      </c>
      <c r="W794" s="9">
        <f>IF(OR(R794="",T794="",U794="",U794=0),"",ROUND(R794*T794/U794,3))</f>
        <v/>
      </c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12">
        <f>IF(A794="","",IF(OR(B794="",C794="",D794="",E794="",H794="",O794="",T794="",U794=""),"必填欄位未完整",""))</f>
        <v/>
      </c>
      <c r="AI794" s="12">
        <f>IF(A794="","",A794&amp;"|"&amp;G794)</f>
        <v/>
      </c>
      <c r="AJ794" s="12">
        <f>IF(A794="","",A794&amp;"|"&amp;H794)</f>
        <v/>
      </c>
    </row>
    <row r="795" ht="24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8" t="n"/>
      <c r="P795" s="8" t="n"/>
      <c r="Q795" s="8" t="n"/>
      <c r="R795" s="13">
        <f>IF(O795="","",SUM(O795:Q795))</f>
        <v/>
      </c>
      <c r="S795" s="9">
        <f>IF(R795="","",ROUND(R795/3.305785,3))</f>
        <v/>
      </c>
      <c r="T795" s="7" t="n"/>
      <c r="U795" s="7" t="n"/>
      <c r="V795" s="10">
        <f>IF(OR(T795="",U795="",U795=0),"",ROUND(T795/U795,6))</f>
        <v/>
      </c>
      <c r="W795" s="9">
        <f>IF(OR(R795="",T795="",U795="",U795=0),"",ROUND(R795*T795/U795,3))</f>
        <v/>
      </c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12">
        <f>IF(A795="","",IF(OR(B795="",C795="",D795="",E795="",H795="",O795="",T795="",U795=""),"必填欄位未完整",""))</f>
        <v/>
      </c>
      <c r="AI795" s="12">
        <f>IF(A795="","",A795&amp;"|"&amp;G795)</f>
        <v/>
      </c>
      <c r="AJ795" s="12">
        <f>IF(A795="","",A795&amp;"|"&amp;H795)</f>
        <v/>
      </c>
    </row>
    <row r="796" ht="24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8" t="n"/>
      <c r="P796" s="8" t="n"/>
      <c r="Q796" s="8" t="n"/>
      <c r="R796" s="13">
        <f>IF(O796="","",SUM(O796:Q796))</f>
        <v/>
      </c>
      <c r="S796" s="9">
        <f>IF(R796="","",ROUND(R796/3.305785,3))</f>
        <v/>
      </c>
      <c r="T796" s="7" t="n"/>
      <c r="U796" s="7" t="n"/>
      <c r="V796" s="10">
        <f>IF(OR(T796="",U796="",U796=0),"",ROUND(T796/U796,6))</f>
        <v/>
      </c>
      <c r="W796" s="9">
        <f>IF(OR(R796="",T796="",U796="",U796=0),"",ROUND(R796*T796/U796,3))</f>
        <v/>
      </c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12">
        <f>IF(A796="","",IF(OR(B796="",C796="",D796="",E796="",H796="",O796="",T796="",U796=""),"必填欄位未完整",""))</f>
        <v/>
      </c>
      <c r="AI796" s="12">
        <f>IF(A796="","",A796&amp;"|"&amp;G796)</f>
        <v/>
      </c>
      <c r="AJ796" s="12">
        <f>IF(A796="","",A796&amp;"|"&amp;H796)</f>
        <v/>
      </c>
    </row>
    <row r="797" ht="24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8" t="n"/>
      <c r="P797" s="8" t="n"/>
      <c r="Q797" s="8" t="n"/>
      <c r="R797" s="13">
        <f>IF(O797="","",SUM(O797:Q797))</f>
        <v/>
      </c>
      <c r="S797" s="9">
        <f>IF(R797="","",ROUND(R797/3.305785,3))</f>
        <v/>
      </c>
      <c r="T797" s="7" t="n"/>
      <c r="U797" s="7" t="n"/>
      <c r="V797" s="10">
        <f>IF(OR(T797="",U797="",U797=0),"",ROUND(T797/U797,6))</f>
        <v/>
      </c>
      <c r="W797" s="9">
        <f>IF(OR(R797="",T797="",U797="",U797=0),"",ROUND(R797*T797/U797,3))</f>
        <v/>
      </c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12">
        <f>IF(A797="","",IF(OR(B797="",C797="",D797="",E797="",H797="",O797="",T797="",U797=""),"必填欄位未完整",""))</f>
        <v/>
      </c>
      <c r="AI797" s="12">
        <f>IF(A797="","",A797&amp;"|"&amp;G797)</f>
        <v/>
      </c>
      <c r="AJ797" s="12">
        <f>IF(A797="","",A797&amp;"|"&amp;H797)</f>
        <v/>
      </c>
    </row>
    <row r="798" ht="24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8" t="n"/>
      <c r="P798" s="8" t="n"/>
      <c r="Q798" s="8" t="n"/>
      <c r="R798" s="13">
        <f>IF(O798="","",SUM(O798:Q798))</f>
        <v/>
      </c>
      <c r="S798" s="9">
        <f>IF(R798="","",ROUND(R798/3.305785,3))</f>
        <v/>
      </c>
      <c r="T798" s="7" t="n"/>
      <c r="U798" s="7" t="n"/>
      <c r="V798" s="10">
        <f>IF(OR(T798="",U798="",U798=0),"",ROUND(T798/U798,6))</f>
        <v/>
      </c>
      <c r="W798" s="9">
        <f>IF(OR(R798="",T798="",U798="",U798=0),"",ROUND(R798*T798/U798,3))</f>
        <v/>
      </c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12">
        <f>IF(A798="","",IF(OR(B798="",C798="",D798="",E798="",H798="",O798="",T798="",U798=""),"必填欄位未完整",""))</f>
        <v/>
      </c>
      <c r="AI798" s="12">
        <f>IF(A798="","",A798&amp;"|"&amp;G798)</f>
        <v/>
      </c>
      <c r="AJ798" s="12">
        <f>IF(A798="","",A798&amp;"|"&amp;H798)</f>
        <v/>
      </c>
    </row>
    <row r="799" ht="24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8" t="n"/>
      <c r="P799" s="8" t="n"/>
      <c r="Q799" s="8" t="n"/>
      <c r="R799" s="13">
        <f>IF(O799="","",SUM(O799:Q799))</f>
        <v/>
      </c>
      <c r="S799" s="9">
        <f>IF(R799="","",ROUND(R799/3.305785,3))</f>
        <v/>
      </c>
      <c r="T799" s="7" t="n"/>
      <c r="U799" s="7" t="n"/>
      <c r="V799" s="10">
        <f>IF(OR(T799="",U799="",U799=0),"",ROUND(T799/U799,6))</f>
        <v/>
      </c>
      <c r="W799" s="9">
        <f>IF(OR(R799="",T799="",U799="",U799=0),"",ROUND(R799*T799/U799,3))</f>
        <v/>
      </c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12">
        <f>IF(A799="","",IF(OR(B799="",C799="",D799="",E799="",H799="",O799="",T799="",U799=""),"必填欄位未完整",""))</f>
        <v/>
      </c>
      <c r="AI799" s="12">
        <f>IF(A799="","",A799&amp;"|"&amp;G799)</f>
        <v/>
      </c>
      <c r="AJ799" s="12">
        <f>IF(A799="","",A799&amp;"|"&amp;H799)</f>
        <v/>
      </c>
    </row>
    <row r="800" ht="24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8" t="n"/>
      <c r="P800" s="8" t="n"/>
      <c r="Q800" s="8" t="n"/>
      <c r="R800" s="13">
        <f>IF(O800="","",SUM(O800:Q800))</f>
        <v/>
      </c>
      <c r="S800" s="9">
        <f>IF(R800="","",ROUND(R800/3.305785,3))</f>
        <v/>
      </c>
      <c r="T800" s="7" t="n"/>
      <c r="U800" s="7" t="n"/>
      <c r="V800" s="10">
        <f>IF(OR(T800="",U800="",U800=0),"",ROUND(T800/U800,6))</f>
        <v/>
      </c>
      <c r="W800" s="9">
        <f>IF(OR(R800="",T800="",U800="",U800=0),"",ROUND(R800*T800/U800,3))</f>
        <v/>
      </c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12">
        <f>IF(A800="","",IF(OR(B800="",C800="",D800="",E800="",H800="",O800="",T800="",U800=""),"必填欄位未完整",""))</f>
        <v/>
      </c>
      <c r="AI800" s="12">
        <f>IF(A800="","",A800&amp;"|"&amp;G800)</f>
        <v/>
      </c>
      <c r="AJ800" s="12">
        <f>IF(A800="","",A800&amp;"|"&amp;H800)</f>
        <v/>
      </c>
    </row>
    <row r="801" ht="24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8" t="n"/>
      <c r="P801" s="8" t="n"/>
      <c r="Q801" s="8" t="n"/>
      <c r="R801" s="13">
        <f>IF(O801="","",SUM(O801:Q801))</f>
        <v/>
      </c>
      <c r="S801" s="9">
        <f>IF(R801="","",ROUND(R801/3.305785,3))</f>
        <v/>
      </c>
      <c r="T801" s="7" t="n"/>
      <c r="U801" s="7" t="n"/>
      <c r="V801" s="10">
        <f>IF(OR(T801="",U801="",U801=0),"",ROUND(T801/U801,6))</f>
        <v/>
      </c>
      <c r="W801" s="9">
        <f>IF(OR(R801="",T801="",U801="",U801=0),"",ROUND(R801*T801/U801,3))</f>
        <v/>
      </c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12">
        <f>IF(A801="","",IF(OR(B801="",C801="",D801="",E801="",H801="",O801="",T801="",U801=""),"必填欄位未完整",""))</f>
        <v/>
      </c>
      <c r="AI801" s="12">
        <f>IF(A801="","",A801&amp;"|"&amp;G801)</f>
        <v/>
      </c>
      <c r="AJ801" s="12">
        <f>IF(A801="","",A801&amp;"|"&amp;H801)</f>
        <v/>
      </c>
    </row>
    <row r="802" ht="24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8" t="n"/>
      <c r="P802" s="8" t="n"/>
      <c r="Q802" s="8" t="n"/>
      <c r="R802" s="13">
        <f>IF(O802="","",SUM(O802:Q802))</f>
        <v/>
      </c>
      <c r="S802" s="9">
        <f>IF(R802="","",ROUND(R802/3.305785,3))</f>
        <v/>
      </c>
      <c r="T802" s="7" t="n"/>
      <c r="U802" s="7" t="n"/>
      <c r="V802" s="10">
        <f>IF(OR(T802="",U802="",U802=0),"",ROUND(T802/U802,6))</f>
        <v/>
      </c>
      <c r="W802" s="9">
        <f>IF(OR(R802="",T802="",U802="",U802=0),"",ROUND(R802*T802/U802,3))</f>
        <v/>
      </c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12">
        <f>IF(A802="","",IF(OR(B802="",C802="",D802="",E802="",H802="",O802="",T802="",U802=""),"必填欄位未完整",""))</f>
        <v/>
      </c>
      <c r="AI802" s="12">
        <f>IF(A802="","",A802&amp;"|"&amp;G802)</f>
        <v/>
      </c>
      <c r="AJ802" s="12">
        <f>IF(A802="","",A802&amp;"|"&amp;H802)</f>
        <v/>
      </c>
    </row>
    <row r="803" ht="24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8" t="n"/>
      <c r="P803" s="8" t="n"/>
      <c r="Q803" s="8" t="n"/>
      <c r="R803" s="13">
        <f>IF(O803="","",SUM(O803:Q803))</f>
        <v/>
      </c>
      <c r="S803" s="9">
        <f>IF(R803="","",ROUND(R803/3.305785,3))</f>
        <v/>
      </c>
      <c r="T803" s="7" t="n"/>
      <c r="U803" s="7" t="n"/>
      <c r="V803" s="10">
        <f>IF(OR(T803="",U803="",U803=0),"",ROUND(T803/U803,6))</f>
        <v/>
      </c>
      <c r="W803" s="9">
        <f>IF(OR(R803="",T803="",U803="",U803=0),"",ROUND(R803*T803/U803,3))</f>
        <v/>
      </c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12">
        <f>IF(A803="","",IF(OR(B803="",C803="",D803="",E803="",H803="",O803="",T803="",U803=""),"必填欄位未完整",""))</f>
        <v/>
      </c>
      <c r="AI803" s="12">
        <f>IF(A803="","",A803&amp;"|"&amp;G803)</f>
        <v/>
      </c>
      <c r="AJ803" s="12">
        <f>IF(A803="","",A803&amp;"|"&amp;H803)</f>
        <v/>
      </c>
    </row>
    <row r="804" ht="24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8" t="n"/>
      <c r="P804" s="8" t="n"/>
      <c r="Q804" s="8" t="n"/>
      <c r="R804" s="13">
        <f>IF(O804="","",SUM(O804:Q804))</f>
        <v/>
      </c>
      <c r="S804" s="9">
        <f>IF(R804="","",ROUND(R804/3.305785,3))</f>
        <v/>
      </c>
      <c r="T804" s="7" t="n"/>
      <c r="U804" s="7" t="n"/>
      <c r="V804" s="10">
        <f>IF(OR(T804="",U804="",U804=0),"",ROUND(T804/U804,6))</f>
        <v/>
      </c>
      <c r="W804" s="9">
        <f>IF(OR(R804="",T804="",U804="",U804=0),"",ROUND(R804*T804/U804,3))</f>
        <v/>
      </c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12">
        <f>IF(A804="","",IF(OR(B804="",C804="",D804="",E804="",H804="",O804="",T804="",U804=""),"必填欄位未完整",""))</f>
        <v/>
      </c>
      <c r="AI804" s="12">
        <f>IF(A804="","",A804&amp;"|"&amp;G804)</f>
        <v/>
      </c>
      <c r="AJ804" s="12">
        <f>IF(A804="","",A804&amp;"|"&amp;H804)</f>
        <v/>
      </c>
    </row>
    <row r="805" ht="24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8" t="n"/>
      <c r="P805" s="8" t="n"/>
      <c r="Q805" s="8" t="n"/>
      <c r="R805" s="13">
        <f>IF(O805="","",SUM(O805:Q805))</f>
        <v/>
      </c>
      <c r="S805" s="9">
        <f>IF(R805="","",ROUND(R805/3.305785,3))</f>
        <v/>
      </c>
      <c r="T805" s="7" t="n"/>
      <c r="U805" s="7" t="n"/>
      <c r="V805" s="10">
        <f>IF(OR(T805="",U805="",U805=0),"",ROUND(T805/U805,6))</f>
        <v/>
      </c>
      <c r="W805" s="9">
        <f>IF(OR(R805="",T805="",U805="",U805=0),"",ROUND(R805*T805/U805,3))</f>
        <v/>
      </c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12">
        <f>IF(A805="","",IF(OR(B805="",C805="",D805="",E805="",H805="",O805="",T805="",U805=""),"必填欄位未完整",""))</f>
        <v/>
      </c>
      <c r="AI805" s="12">
        <f>IF(A805="","",A805&amp;"|"&amp;G805)</f>
        <v/>
      </c>
      <c r="AJ805" s="12">
        <f>IF(A805="","",A805&amp;"|"&amp;H805)</f>
        <v/>
      </c>
    </row>
    <row r="806" ht="24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8" t="n"/>
      <c r="P806" s="8" t="n"/>
      <c r="Q806" s="8" t="n"/>
      <c r="R806" s="13">
        <f>IF(O806="","",SUM(O806:Q806))</f>
        <v/>
      </c>
      <c r="S806" s="9">
        <f>IF(R806="","",ROUND(R806/3.305785,3))</f>
        <v/>
      </c>
      <c r="T806" s="7" t="n"/>
      <c r="U806" s="7" t="n"/>
      <c r="V806" s="10">
        <f>IF(OR(T806="",U806="",U806=0),"",ROUND(T806/U806,6))</f>
        <v/>
      </c>
      <c r="W806" s="9">
        <f>IF(OR(R806="",T806="",U806="",U806=0),"",ROUND(R806*T806/U806,3))</f>
        <v/>
      </c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12">
        <f>IF(A806="","",IF(OR(B806="",C806="",D806="",E806="",H806="",O806="",T806="",U806=""),"必填欄位未完整",""))</f>
        <v/>
      </c>
      <c r="AI806" s="12">
        <f>IF(A806="","",A806&amp;"|"&amp;G806)</f>
        <v/>
      </c>
      <c r="AJ806" s="12">
        <f>IF(A806="","",A806&amp;"|"&amp;H806)</f>
        <v/>
      </c>
    </row>
    <row r="807" ht="24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8" t="n"/>
      <c r="P807" s="8" t="n"/>
      <c r="Q807" s="8" t="n"/>
      <c r="R807" s="13">
        <f>IF(O807="","",SUM(O807:Q807))</f>
        <v/>
      </c>
      <c r="S807" s="9">
        <f>IF(R807="","",ROUND(R807/3.305785,3))</f>
        <v/>
      </c>
      <c r="T807" s="7" t="n"/>
      <c r="U807" s="7" t="n"/>
      <c r="V807" s="10">
        <f>IF(OR(T807="",U807="",U807=0),"",ROUND(T807/U807,6))</f>
        <v/>
      </c>
      <c r="W807" s="9">
        <f>IF(OR(R807="",T807="",U807="",U807=0),"",ROUND(R807*T807/U807,3))</f>
        <v/>
      </c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12">
        <f>IF(A807="","",IF(OR(B807="",C807="",D807="",E807="",H807="",O807="",T807="",U807=""),"必填欄位未完整",""))</f>
        <v/>
      </c>
      <c r="AI807" s="12">
        <f>IF(A807="","",A807&amp;"|"&amp;G807)</f>
        <v/>
      </c>
      <c r="AJ807" s="12">
        <f>IF(A807="","",A807&amp;"|"&amp;H807)</f>
        <v/>
      </c>
    </row>
    <row r="808" ht="24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8" t="n"/>
      <c r="P808" s="8" t="n"/>
      <c r="Q808" s="8" t="n"/>
      <c r="R808" s="13">
        <f>IF(O808="","",SUM(O808:Q808))</f>
        <v/>
      </c>
      <c r="S808" s="9">
        <f>IF(R808="","",ROUND(R808/3.305785,3))</f>
        <v/>
      </c>
      <c r="T808" s="7" t="n"/>
      <c r="U808" s="7" t="n"/>
      <c r="V808" s="10">
        <f>IF(OR(T808="",U808="",U808=0),"",ROUND(T808/U808,6))</f>
        <v/>
      </c>
      <c r="W808" s="9">
        <f>IF(OR(R808="",T808="",U808="",U808=0),"",ROUND(R808*T808/U808,3))</f>
        <v/>
      </c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12">
        <f>IF(A808="","",IF(OR(B808="",C808="",D808="",E808="",H808="",O808="",T808="",U808=""),"必填欄位未完整",""))</f>
        <v/>
      </c>
      <c r="AI808" s="12">
        <f>IF(A808="","",A808&amp;"|"&amp;G808)</f>
        <v/>
      </c>
      <c r="AJ808" s="12">
        <f>IF(A808="","",A808&amp;"|"&amp;H808)</f>
        <v/>
      </c>
    </row>
    <row r="809" ht="24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8" t="n"/>
      <c r="P809" s="8" t="n"/>
      <c r="Q809" s="8" t="n"/>
      <c r="R809" s="13">
        <f>IF(O809="","",SUM(O809:Q809))</f>
        <v/>
      </c>
      <c r="S809" s="9">
        <f>IF(R809="","",ROUND(R809/3.305785,3))</f>
        <v/>
      </c>
      <c r="T809" s="7" t="n"/>
      <c r="U809" s="7" t="n"/>
      <c r="V809" s="10">
        <f>IF(OR(T809="",U809="",U809=0),"",ROUND(T809/U809,6))</f>
        <v/>
      </c>
      <c r="W809" s="9">
        <f>IF(OR(R809="",T809="",U809="",U809=0),"",ROUND(R809*T809/U809,3))</f>
        <v/>
      </c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12">
        <f>IF(A809="","",IF(OR(B809="",C809="",D809="",E809="",H809="",O809="",T809="",U809=""),"必填欄位未完整",""))</f>
        <v/>
      </c>
      <c r="AI809" s="12">
        <f>IF(A809="","",A809&amp;"|"&amp;G809)</f>
        <v/>
      </c>
      <c r="AJ809" s="12">
        <f>IF(A809="","",A809&amp;"|"&amp;H809)</f>
        <v/>
      </c>
    </row>
    <row r="810" ht="24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8" t="n"/>
      <c r="P810" s="8" t="n"/>
      <c r="Q810" s="8" t="n"/>
      <c r="R810" s="13">
        <f>IF(O810="","",SUM(O810:Q810))</f>
        <v/>
      </c>
      <c r="S810" s="9">
        <f>IF(R810="","",ROUND(R810/3.305785,3))</f>
        <v/>
      </c>
      <c r="T810" s="7" t="n"/>
      <c r="U810" s="7" t="n"/>
      <c r="V810" s="10">
        <f>IF(OR(T810="",U810="",U810=0),"",ROUND(T810/U810,6))</f>
        <v/>
      </c>
      <c r="W810" s="9">
        <f>IF(OR(R810="",T810="",U810="",U810=0),"",ROUND(R810*T810/U810,3))</f>
        <v/>
      </c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12">
        <f>IF(A810="","",IF(OR(B810="",C810="",D810="",E810="",H810="",O810="",T810="",U810=""),"必填欄位未完整",""))</f>
        <v/>
      </c>
      <c r="AI810" s="12">
        <f>IF(A810="","",A810&amp;"|"&amp;G810)</f>
        <v/>
      </c>
      <c r="AJ810" s="12">
        <f>IF(A810="","",A810&amp;"|"&amp;H810)</f>
        <v/>
      </c>
    </row>
    <row r="811" ht="24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8" t="n"/>
      <c r="P811" s="8" t="n"/>
      <c r="Q811" s="8" t="n"/>
      <c r="R811" s="13">
        <f>IF(O811="","",SUM(O811:Q811))</f>
        <v/>
      </c>
      <c r="S811" s="9">
        <f>IF(R811="","",ROUND(R811/3.305785,3))</f>
        <v/>
      </c>
      <c r="T811" s="7" t="n"/>
      <c r="U811" s="7" t="n"/>
      <c r="V811" s="10">
        <f>IF(OR(T811="",U811="",U811=0),"",ROUND(T811/U811,6))</f>
        <v/>
      </c>
      <c r="W811" s="9">
        <f>IF(OR(R811="",T811="",U811="",U811=0),"",ROUND(R811*T811/U811,3))</f>
        <v/>
      </c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12">
        <f>IF(A811="","",IF(OR(B811="",C811="",D811="",E811="",H811="",O811="",T811="",U811=""),"必填欄位未完整",""))</f>
        <v/>
      </c>
      <c r="AI811" s="12">
        <f>IF(A811="","",A811&amp;"|"&amp;G811)</f>
        <v/>
      </c>
      <c r="AJ811" s="12">
        <f>IF(A811="","",A811&amp;"|"&amp;H811)</f>
        <v/>
      </c>
    </row>
    <row r="812" ht="24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8" t="n"/>
      <c r="P812" s="8" t="n"/>
      <c r="Q812" s="8" t="n"/>
      <c r="R812" s="13">
        <f>IF(O812="","",SUM(O812:Q812))</f>
        <v/>
      </c>
      <c r="S812" s="9">
        <f>IF(R812="","",ROUND(R812/3.305785,3))</f>
        <v/>
      </c>
      <c r="T812" s="7" t="n"/>
      <c r="U812" s="7" t="n"/>
      <c r="V812" s="10">
        <f>IF(OR(T812="",U812="",U812=0),"",ROUND(T812/U812,6))</f>
        <v/>
      </c>
      <c r="W812" s="9">
        <f>IF(OR(R812="",T812="",U812="",U812=0),"",ROUND(R812*T812/U812,3))</f>
        <v/>
      </c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12">
        <f>IF(A812="","",IF(OR(B812="",C812="",D812="",E812="",H812="",O812="",T812="",U812=""),"必填欄位未完整",""))</f>
        <v/>
      </c>
      <c r="AI812" s="12">
        <f>IF(A812="","",A812&amp;"|"&amp;G812)</f>
        <v/>
      </c>
      <c r="AJ812" s="12">
        <f>IF(A812="","",A812&amp;"|"&amp;H812)</f>
        <v/>
      </c>
    </row>
    <row r="813" ht="24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8" t="n"/>
      <c r="P813" s="8" t="n"/>
      <c r="Q813" s="8" t="n"/>
      <c r="R813" s="13">
        <f>IF(O813="","",SUM(O813:Q813))</f>
        <v/>
      </c>
      <c r="S813" s="9">
        <f>IF(R813="","",ROUND(R813/3.305785,3))</f>
        <v/>
      </c>
      <c r="T813" s="7" t="n"/>
      <c r="U813" s="7" t="n"/>
      <c r="V813" s="10">
        <f>IF(OR(T813="",U813="",U813=0),"",ROUND(T813/U813,6))</f>
        <v/>
      </c>
      <c r="W813" s="9">
        <f>IF(OR(R813="",T813="",U813="",U813=0),"",ROUND(R813*T813/U813,3))</f>
        <v/>
      </c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12">
        <f>IF(A813="","",IF(OR(B813="",C813="",D813="",E813="",H813="",O813="",T813="",U813=""),"必填欄位未完整",""))</f>
        <v/>
      </c>
      <c r="AI813" s="12">
        <f>IF(A813="","",A813&amp;"|"&amp;G813)</f>
        <v/>
      </c>
      <c r="AJ813" s="12">
        <f>IF(A813="","",A813&amp;"|"&amp;H813)</f>
        <v/>
      </c>
    </row>
    <row r="814" ht="24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8" t="n"/>
      <c r="P814" s="8" t="n"/>
      <c r="Q814" s="8" t="n"/>
      <c r="R814" s="13">
        <f>IF(O814="","",SUM(O814:Q814))</f>
        <v/>
      </c>
      <c r="S814" s="9">
        <f>IF(R814="","",ROUND(R814/3.305785,3))</f>
        <v/>
      </c>
      <c r="T814" s="7" t="n"/>
      <c r="U814" s="7" t="n"/>
      <c r="V814" s="10">
        <f>IF(OR(T814="",U814="",U814=0),"",ROUND(T814/U814,6))</f>
        <v/>
      </c>
      <c r="W814" s="9">
        <f>IF(OR(R814="",T814="",U814="",U814=0),"",ROUND(R814*T814/U814,3))</f>
        <v/>
      </c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12">
        <f>IF(A814="","",IF(OR(B814="",C814="",D814="",E814="",H814="",O814="",T814="",U814=""),"必填欄位未完整",""))</f>
        <v/>
      </c>
      <c r="AI814" s="12">
        <f>IF(A814="","",A814&amp;"|"&amp;G814)</f>
        <v/>
      </c>
      <c r="AJ814" s="12">
        <f>IF(A814="","",A814&amp;"|"&amp;H814)</f>
        <v/>
      </c>
    </row>
    <row r="815" ht="24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8" t="n"/>
      <c r="P815" s="8" t="n"/>
      <c r="Q815" s="8" t="n"/>
      <c r="R815" s="13">
        <f>IF(O815="","",SUM(O815:Q815))</f>
        <v/>
      </c>
      <c r="S815" s="9">
        <f>IF(R815="","",ROUND(R815/3.305785,3))</f>
        <v/>
      </c>
      <c r="T815" s="7" t="n"/>
      <c r="U815" s="7" t="n"/>
      <c r="V815" s="10">
        <f>IF(OR(T815="",U815="",U815=0),"",ROUND(T815/U815,6))</f>
        <v/>
      </c>
      <c r="W815" s="9">
        <f>IF(OR(R815="",T815="",U815="",U815=0),"",ROUND(R815*T815/U815,3))</f>
        <v/>
      </c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12">
        <f>IF(A815="","",IF(OR(B815="",C815="",D815="",E815="",H815="",O815="",T815="",U815=""),"必填欄位未完整",""))</f>
        <v/>
      </c>
      <c r="AI815" s="12">
        <f>IF(A815="","",A815&amp;"|"&amp;G815)</f>
        <v/>
      </c>
      <c r="AJ815" s="12">
        <f>IF(A815="","",A815&amp;"|"&amp;H815)</f>
        <v/>
      </c>
    </row>
    <row r="816" ht="24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8" t="n"/>
      <c r="P816" s="8" t="n"/>
      <c r="Q816" s="8" t="n"/>
      <c r="R816" s="13">
        <f>IF(O816="","",SUM(O816:Q816))</f>
        <v/>
      </c>
      <c r="S816" s="9">
        <f>IF(R816="","",ROUND(R816/3.305785,3))</f>
        <v/>
      </c>
      <c r="T816" s="7" t="n"/>
      <c r="U816" s="7" t="n"/>
      <c r="V816" s="10">
        <f>IF(OR(T816="",U816="",U816=0),"",ROUND(T816/U816,6))</f>
        <v/>
      </c>
      <c r="W816" s="9">
        <f>IF(OR(R816="",T816="",U816="",U816=0),"",ROUND(R816*T816/U816,3))</f>
        <v/>
      </c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12">
        <f>IF(A816="","",IF(OR(B816="",C816="",D816="",E816="",H816="",O816="",T816="",U816=""),"必填欄位未完整",""))</f>
        <v/>
      </c>
      <c r="AI816" s="12">
        <f>IF(A816="","",A816&amp;"|"&amp;G816)</f>
        <v/>
      </c>
      <c r="AJ816" s="12">
        <f>IF(A816="","",A816&amp;"|"&amp;H816)</f>
        <v/>
      </c>
    </row>
    <row r="817" ht="24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8" t="n"/>
      <c r="P817" s="8" t="n"/>
      <c r="Q817" s="8" t="n"/>
      <c r="R817" s="13">
        <f>IF(O817="","",SUM(O817:Q817))</f>
        <v/>
      </c>
      <c r="S817" s="9">
        <f>IF(R817="","",ROUND(R817/3.305785,3))</f>
        <v/>
      </c>
      <c r="T817" s="7" t="n"/>
      <c r="U817" s="7" t="n"/>
      <c r="V817" s="10">
        <f>IF(OR(T817="",U817="",U817=0),"",ROUND(T817/U817,6))</f>
        <v/>
      </c>
      <c r="W817" s="9">
        <f>IF(OR(R817="",T817="",U817="",U817=0),"",ROUND(R817*T817/U817,3))</f>
        <v/>
      </c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12">
        <f>IF(A817="","",IF(OR(B817="",C817="",D817="",E817="",H817="",O817="",T817="",U817=""),"必填欄位未完整",""))</f>
        <v/>
      </c>
      <c r="AI817" s="12">
        <f>IF(A817="","",A817&amp;"|"&amp;G817)</f>
        <v/>
      </c>
      <c r="AJ817" s="12">
        <f>IF(A817="","",A817&amp;"|"&amp;H817)</f>
        <v/>
      </c>
    </row>
    <row r="818" ht="24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8" t="n"/>
      <c r="P818" s="8" t="n"/>
      <c r="Q818" s="8" t="n"/>
      <c r="R818" s="13">
        <f>IF(O818="","",SUM(O818:Q818))</f>
        <v/>
      </c>
      <c r="S818" s="9">
        <f>IF(R818="","",ROUND(R818/3.305785,3))</f>
        <v/>
      </c>
      <c r="T818" s="7" t="n"/>
      <c r="U818" s="7" t="n"/>
      <c r="V818" s="10">
        <f>IF(OR(T818="",U818="",U818=0),"",ROUND(T818/U818,6))</f>
        <v/>
      </c>
      <c r="W818" s="9">
        <f>IF(OR(R818="",T818="",U818="",U818=0),"",ROUND(R818*T818/U818,3))</f>
        <v/>
      </c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12">
        <f>IF(A818="","",IF(OR(B818="",C818="",D818="",E818="",H818="",O818="",T818="",U818=""),"必填欄位未完整",""))</f>
        <v/>
      </c>
      <c r="AI818" s="12">
        <f>IF(A818="","",A818&amp;"|"&amp;G818)</f>
        <v/>
      </c>
      <c r="AJ818" s="12">
        <f>IF(A818="","",A818&amp;"|"&amp;H818)</f>
        <v/>
      </c>
    </row>
    <row r="819" ht="24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8" t="n"/>
      <c r="P819" s="8" t="n"/>
      <c r="Q819" s="8" t="n"/>
      <c r="R819" s="13">
        <f>IF(O819="","",SUM(O819:Q819))</f>
        <v/>
      </c>
      <c r="S819" s="9">
        <f>IF(R819="","",ROUND(R819/3.305785,3))</f>
        <v/>
      </c>
      <c r="T819" s="7" t="n"/>
      <c r="U819" s="7" t="n"/>
      <c r="V819" s="10">
        <f>IF(OR(T819="",U819="",U819=0),"",ROUND(T819/U819,6))</f>
        <v/>
      </c>
      <c r="W819" s="9">
        <f>IF(OR(R819="",T819="",U819="",U819=0),"",ROUND(R819*T819/U819,3))</f>
        <v/>
      </c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12">
        <f>IF(A819="","",IF(OR(B819="",C819="",D819="",E819="",H819="",O819="",T819="",U819=""),"必填欄位未完整",""))</f>
        <v/>
      </c>
      <c r="AI819" s="12">
        <f>IF(A819="","",A819&amp;"|"&amp;G819)</f>
        <v/>
      </c>
      <c r="AJ819" s="12">
        <f>IF(A819="","",A819&amp;"|"&amp;H819)</f>
        <v/>
      </c>
    </row>
    <row r="820" ht="24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8" t="n"/>
      <c r="P820" s="8" t="n"/>
      <c r="Q820" s="8" t="n"/>
      <c r="R820" s="13">
        <f>IF(O820="","",SUM(O820:Q820))</f>
        <v/>
      </c>
      <c r="S820" s="9">
        <f>IF(R820="","",ROUND(R820/3.305785,3))</f>
        <v/>
      </c>
      <c r="T820" s="7" t="n"/>
      <c r="U820" s="7" t="n"/>
      <c r="V820" s="10">
        <f>IF(OR(T820="",U820="",U820=0),"",ROUND(T820/U820,6))</f>
        <v/>
      </c>
      <c r="W820" s="9">
        <f>IF(OR(R820="",T820="",U820="",U820=0),"",ROUND(R820*T820/U820,3))</f>
        <v/>
      </c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12">
        <f>IF(A820="","",IF(OR(B820="",C820="",D820="",E820="",H820="",O820="",T820="",U820=""),"必填欄位未完整",""))</f>
        <v/>
      </c>
      <c r="AI820" s="12">
        <f>IF(A820="","",A820&amp;"|"&amp;G820)</f>
        <v/>
      </c>
      <c r="AJ820" s="12">
        <f>IF(A820="","",A820&amp;"|"&amp;H820)</f>
        <v/>
      </c>
    </row>
    <row r="821" ht="24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8" t="n"/>
      <c r="P821" s="8" t="n"/>
      <c r="Q821" s="8" t="n"/>
      <c r="R821" s="13">
        <f>IF(O821="","",SUM(O821:Q821))</f>
        <v/>
      </c>
      <c r="S821" s="9">
        <f>IF(R821="","",ROUND(R821/3.305785,3))</f>
        <v/>
      </c>
      <c r="T821" s="7" t="n"/>
      <c r="U821" s="7" t="n"/>
      <c r="V821" s="10">
        <f>IF(OR(T821="",U821="",U821=0),"",ROUND(T821/U821,6))</f>
        <v/>
      </c>
      <c r="W821" s="9">
        <f>IF(OR(R821="",T821="",U821="",U821=0),"",ROUND(R821*T821/U821,3))</f>
        <v/>
      </c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12">
        <f>IF(A821="","",IF(OR(B821="",C821="",D821="",E821="",H821="",O821="",T821="",U821=""),"必填欄位未完整",""))</f>
        <v/>
      </c>
      <c r="AI821" s="12">
        <f>IF(A821="","",A821&amp;"|"&amp;G821)</f>
        <v/>
      </c>
      <c r="AJ821" s="12">
        <f>IF(A821="","",A821&amp;"|"&amp;H821)</f>
        <v/>
      </c>
    </row>
    <row r="822" ht="24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8" t="n"/>
      <c r="P822" s="8" t="n"/>
      <c r="Q822" s="8" t="n"/>
      <c r="R822" s="13">
        <f>IF(O822="","",SUM(O822:Q822))</f>
        <v/>
      </c>
      <c r="S822" s="9">
        <f>IF(R822="","",ROUND(R822/3.305785,3))</f>
        <v/>
      </c>
      <c r="T822" s="7" t="n"/>
      <c r="U822" s="7" t="n"/>
      <c r="V822" s="10">
        <f>IF(OR(T822="",U822="",U822=0),"",ROUND(T822/U822,6))</f>
        <v/>
      </c>
      <c r="W822" s="9">
        <f>IF(OR(R822="",T822="",U822="",U822=0),"",ROUND(R822*T822/U822,3))</f>
        <v/>
      </c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12">
        <f>IF(A822="","",IF(OR(B822="",C822="",D822="",E822="",H822="",O822="",T822="",U822=""),"必填欄位未完整",""))</f>
        <v/>
      </c>
      <c r="AI822" s="12">
        <f>IF(A822="","",A822&amp;"|"&amp;G822)</f>
        <v/>
      </c>
      <c r="AJ822" s="12">
        <f>IF(A822="","",A822&amp;"|"&amp;H822)</f>
        <v/>
      </c>
    </row>
    <row r="823" ht="24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8" t="n"/>
      <c r="P823" s="8" t="n"/>
      <c r="Q823" s="8" t="n"/>
      <c r="R823" s="13">
        <f>IF(O823="","",SUM(O823:Q823))</f>
        <v/>
      </c>
      <c r="S823" s="9">
        <f>IF(R823="","",ROUND(R823/3.305785,3))</f>
        <v/>
      </c>
      <c r="T823" s="7" t="n"/>
      <c r="U823" s="7" t="n"/>
      <c r="V823" s="10">
        <f>IF(OR(T823="",U823="",U823=0),"",ROUND(T823/U823,6))</f>
        <v/>
      </c>
      <c r="W823" s="9">
        <f>IF(OR(R823="",T823="",U823="",U823=0),"",ROUND(R823*T823/U823,3))</f>
        <v/>
      </c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12">
        <f>IF(A823="","",IF(OR(B823="",C823="",D823="",E823="",H823="",O823="",T823="",U823=""),"必填欄位未完整",""))</f>
        <v/>
      </c>
      <c r="AI823" s="12">
        <f>IF(A823="","",A823&amp;"|"&amp;G823)</f>
        <v/>
      </c>
      <c r="AJ823" s="12">
        <f>IF(A823="","",A823&amp;"|"&amp;H823)</f>
        <v/>
      </c>
    </row>
    <row r="824" ht="24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8" t="n"/>
      <c r="P824" s="8" t="n"/>
      <c r="Q824" s="8" t="n"/>
      <c r="R824" s="13">
        <f>IF(O824="","",SUM(O824:Q824))</f>
        <v/>
      </c>
      <c r="S824" s="9">
        <f>IF(R824="","",ROUND(R824/3.305785,3))</f>
        <v/>
      </c>
      <c r="T824" s="7" t="n"/>
      <c r="U824" s="7" t="n"/>
      <c r="V824" s="10">
        <f>IF(OR(T824="",U824="",U824=0),"",ROUND(T824/U824,6))</f>
        <v/>
      </c>
      <c r="W824" s="9">
        <f>IF(OR(R824="",T824="",U824="",U824=0),"",ROUND(R824*T824/U824,3))</f>
        <v/>
      </c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12">
        <f>IF(A824="","",IF(OR(B824="",C824="",D824="",E824="",H824="",O824="",T824="",U824=""),"必填欄位未完整",""))</f>
        <v/>
      </c>
      <c r="AI824" s="12">
        <f>IF(A824="","",A824&amp;"|"&amp;G824)</f>
        <v/>
      </c>
      <c r="AJ824" s="12">
        <f>IF(A824="","",A824&amp;"|"&amp;H824)</f>
        <v/>
      </c>
    </row>
    <row r="825" ht="24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8" t="n"/>
      <c r="P825" s="8" t="n"/>
      <c r="Q825" s="8" t="n"/>
      <c r="R825" s="13">
        <f>IF(O825="","",SUM(O825:Q825))</f>
        <v/>
      </c>
      <c r="S825" s="9">
        <f>IF(R825="","",ROUND(R825/3.305785,3))</f>
        <v/>
      </c>
      <c r="T825" s="7" t="n"/>
      <c r="U825" s="7" t="n"/>
      <c r="V825" s="10">
        <f>IF(OR(T825="",U825="",U825=0),"",ROUND(T825/U825,6))</f>
        <v/>
      </c>
      <c r="W825" s="9">
        <f>IF(OR(R825="",T825="",U825="",U825=0),"",ROUND(R825*T825/U825,3))</f>
        <v/>
      </c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12">
        <f>IF(A825="","",IF(OR(B825="",C825="",D825="",E825="",H825="",O825="",T825="",U825=""),"必填欄位未完整",""))</f>
        <v/>
      </c>
      <c r="AI825" s="12">
        <f>IF(A825="","",A825&amp;"|"&amp;G825)</f>
        <v/>
      </c>
      <c r="AJ825" s="12">
        <f>IF(A825="","",A825&amp;"|"&amp;H825)</f>
        <v/>
      </c>
    </row>
    <row r="826" ht="24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8" t="n"/>
      <c r="P826" s="8" t="n"/>
      <c r="Q826" s="8" t="n"/>
      <c r="R826" s="13">
        <f>IF(O826="","",SUM(O826:Q826))</f>
        <v/>
      </c>
      <c r="S826" s="9">
        <f>IF(R826="","",ROUND(R826/3.305785,3))</f>
        <v/>
      </c>
      <c r="T826" s="7" t="n"/>
      <c r="U826" s="7" t="n"/>
      <c r="V826" s="10">
        <f>IF(OR(T826="",U826="",U826=0),"",ROUND(T826/U826,6))</f>
        <v/>
      </c>
      <c r="W826" s="9">
        <f>IF(OR(R826="",T826="",U826="",U826=0),"",ROUND(R826*T826/U826,3))</f>
        <v/>
      </c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12">
        <f>IF(A826="","",IF(OR(B826="",C826="",D826="",E826="",H826="",O826="",T826="",U826=""),"必填欄位未完整",""))</f>
        <v/>
      </c>
      <c r="AI826" s="12">
        <f>IF(A826="","",A826&amp;"|"&amp;G826)</f>
        <v/>
      </c>
      <c r="AJ826" s="12">
        <f>IF(A826="","",A826&amp;"|"&amp;H826)</f>
        <v/>
      </c>
    </row>
    <row r="827" ht="24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8" t="n"/>
      <c r="P827" s="8" t="n"/>
      <c r="Q827" s="8" t="n"/>
      <c r="R827" s="13">
        <f>IF(O827="","",SUM(O827:Q827))</f>
        <v/>
      </c>
      <c r="S827" s="9">
        <f>IF(R827="","",ROUND(R827/3.305785,3))</f>
        <v/>
      </c>
      <c r="T827" s="7" t="n"/>
      <c r="U827" s="7" t="n"/>
      <c r="V827" s="10">
        <f>IF(OR(T827="",U827="",U827=0),"",ROUND(T827/U827,6))</f>
        <v/>
      </c>
      <c r="W827" s="9">
        <f>IF(OR(R827="",T827="",U827="",U827=0),"",ROUND(R827*T827/U827,3))</f>
        <v/>
      </c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12">
        <f>IF(A827="","",IF(OR(B827="",C827="",D827="",E827="",H827="",O827="",T827="",U827=""),"必填欄位未完整",""))</f>
        <v/>
      </c>
      <c r="AI827" s="12">
        <f>IF(A827="","",A827&amp;"|"&amp;G827)</f>
        <v/>
      </c>
      <c r="AJ827" s="12">
        <f>IF(A827="","",A827&amp;"|"&amp;H827)</f>
        <v/>
      </c>
    </row>
    <row r="828" ht="24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8" t="n"/>
      <c r="P828" s="8" t="n"/>
      <c r="Q828" s="8" t="n"/>
      <c r="R828" s="13">
        <f>IF(O828="","",SUM(O828:Q828))</f>
        <v/>
      </c>
      <c r="S828" s="9">
        <f>IF(R828="","",ROUND(R828/3.305785,3))</f>
        <v/>
      </c>
      <c r="T828" s="7" t="n"/>
      <c r="U828" s="7" t="n"/>
      <c r="V828" s="10">
        <f>IF(OR(T828="",U828="",U828=0),"",ROUND(T828/U828,6))</f>
        <v/>
      </c>
      <c r="W828" s="9">
        <f>IF(OR(R828="",T828="",U828="",U828=0),"",ROUND(R828*T828/U828,3))</f>
        <v/>
      </c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12">
        <f>IF(A828="","",IF(OR(B828="",C828="",D828="",E828="",H828="",O828="",T828="",U828=""),"必填欄位未完整",""))</f>
        <v/>
      </c>
      <c r="AI828" s="12">
        <f>IF(A828="","",A828&amp;"|"&amp;G828)</f>
        <v/>
      </c>
      <c r="AJ828" s="12">
        <f>IF(A828="","",A828&amp;"|"&amp;H828)</f>
        <v/>
      </c>
    </row>
    <row r="829" ht="24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8" t="n"/>
      <c r="P829" s="8" t="n"/>
      <c r="Q829" s="8" t="n"/>
      <c r="R829" s="13">
        <f>IF(O829="","",SUM(O829:Q829))</f>
        <v/>
      </c>
      <c r="S829" s="9">
        <f>IF(R829="","",ROUND(R829/3.305785,3))</f>
        <v/>
      </c>
      <c r="T829" s="7" t="n"/>
      <c r="U829" s="7" t="n"/>
      <c r="V829" s="10">
        <f>IF(OR(T829="",U829="",U829=0),"",ROUND(T829/U829,6))</f>
        <v/>
      </c>
      <c r="W829" s="9">
        <f>IF(OR(R829="",T829="",U829="",U829=0),"",ROUND(R829*T829/U829,3))</f>
        <v/>
      </c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12">
        <f>IF(A829="","",IF(OR(B829="",C829="",D829="",E829="",H829="",O829="",T829="",U829=""),"必填欄位未完整",""))</f>
        <v/>
      </c>
      <c r="AI829" s="12">
        <f>IF(A829="","",A829&amp;"|"&amp;G829)</f>
        <v/>
      </c>
      <c r="AJ829" s="12">
        <f>IF(A829="","",A829&amp;"|"&amp;H829)</f>
        <v/>
      </c>
    </row>
    <row r="830" ht="24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8" t="n"/>
      <c r="P830" s="8" t="n"/>
      <c r="Q830" s="8" t="n"/>
      <c r="R830" s="13">
        <f>IF(O830="","",SUM(O830:Q830))</f>
        <v/>
      </c>
      <c r="S830" s="9">
        <f>IF(R830="","",ROUND(R830/3.305785,3))</f>
        <v/>
      </c>
      <c r="T830" s="7" t="n"/>
      <c r="U830" s="7" t="n"/>
      <c r="V830" s="10">
        <f>IF(OR(T830="",U830="",U830=0),"",ROUND(T830/U830,6))</f>
        <v/>
      </c>
      <c r="W830" s="9">
        <f>IF(OR(R830="",T830="",U830="",U830=0),"",ROUND(R830*T830/U830,3))</f>
        <v/>
      </c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12">
        <f>IF(A830="","",IF(OR(B830="",C830="",D830="",E830="",H830="",O830="",T830="",U830=""),"必填欄位未完整",""))</f>
        <v/>
      </c>
      <c r="AI830" s="12">
        <f>IF(A830="","",A830&amp;"|"&amp;G830)</f>
        <v/>
      </c>
      <c r="AJ830" s="12">
        <f>IF(A830="","",A830&amp;"|"&amp;H830)</f>
        <v/>
      </c>
    </row>
    <row r="831" ht="24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8" t="n"/>
      <c r="P831" s="8" t="n"/>
      <c r="Q831" s="8" t="n"/>
      <c r="R831" s="13">
        <f>IF(O831="","",SUM(O831:Q831))</f>
        <v/>
      </c>
      <c r="S831" s="9">
        <f>IF(R831="","",ROUND(R831/3.305785,3))</f>
        <v/>
      </c>
      <c r="T831" s="7" t="n"/>
      <c r="U831" s="7" t="n"/>
      <c r="V831" s="10">
        <f>IF(OR(T831="",U831="",U831=0),"",ROUND(T831/U831,6))</f>
        <v/>
      </c>
      <c r="W831" s="9">
        <f>IF(OR(R831="",T831="",U831="",U831=0),"",ROUND(R831*T831/U831,3))</f>
        <v/>
      </c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12">
        <f>IF(A831="","",IF(OR(B831="",C831="",D831="",E831="",H831="",O831="",T831="",U831=""),"必填欄位未完整",""))</f>
        <v/>
      </c>
      <c r="AI831" s="12">
        <f>IF(A831="","",A831&amp;"|"&amp;G831)</f>
        <v/>
      </c>
      <c r="AJ831" s="12">
        <f>IF(A831="","",A831&amp;"|"&amp;H831)</f>
        <v/>
      </c>
    </row>
    <row r="832" ht="24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8" t="n"/>
      <c r="P832" s="8" t="n"/>
      <c r="Q832" s="8" t="n"/>
      <c r="R832" s="13">
        <f>IF(O832="","",SUM(O832:Q832))</f>
        <v/>
      </c>
      <c r="S832" s="9">
        <f>IF(R832="","",ROUND(R832/3.305785,3))</f>
        <v/>
      </c>
      <c r="T832" s="7" t="n"/>
      <c r="U832" s="7" t="n"/>
      <c r="V832" s="10">
        <f>IF(OR(T832="",U832="",U832=0),"",ROUND(T832/U832,6))</f>
        <v/>
      </c>
      <c r="W832" s="9">
        <f>IF(OR(R832="",T832="",U832="",U832=0),"",ROUND(R832*T832/U832,3))</f>
        <v/>
      </c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12">
        <f>IF(A832="","",IF(OR(B832="",C832="",D832="",E832="",H832="",O832="",T832="",U832=""),"必填欄位未完整",""))</f>
        <v/>
      </c>
      <c r="AI832" s="12">
        <f>IF(A832="","",A832&amp;"|"&amp;G832)</f>
        <v/>
      </c>
      <c r="AJ832" s="12">
        <f>IF(A832="","",A832&amp;"|"&amp;H832)</f>
        <v/>
      </c>
    </row>
    <row r="833" ht="24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8" t="n"/>
      <c r="P833" s="8" t="n"/>
      <c r="Q833" s="8" t="n"/>
      <c r="R833" s="13">
        <f>IF(O833="","",SUM(O833:Q833))</f>
        <v/>
      </c>
      <c r="S833" s="9">
        <f>IF(R833="","",ROUND(R833/3.305785,3))</f>
        <v/>
      </c>
      <c r="T833" s="7" t="n"/>
      <c r="U833" s="7" t="n"/>
      <c r="V833" s="10">
        <f>IF(OR(T833="",U833="",U833=0),"",ROUND(T833/U833,6))</f>
        <v/>
      </c>
      <c r="W833" s="9">
        <f>IF(OR(R833="",T833="",U833="",U833=0),"",ROUND(R833*T833/U833,3))</f>
        <v/>
      </c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12">
        <f>IF(A833="","",IF(OR(B833="",C833="",D833="",E833="",H833="",O833="",T833="",U833=""),"必填欄位未完整",""))</f>
        <v/>
      </c>
      <c r="AI833" s="12">
        <f>IF(A833="","",A833&amp;"|"&amp;G833)</f>
        <v/>
      </c>
      <c r="AJ833" s="12">
        <f>IF(A833="","",A833&amp;"|"&amp;H833)</f>
        <v/>
      </c>
    </row>
    <row r="834" ht="24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8" t="n"/>
      <c r="P834" s="8" t="n"/>
      <c r="Q834" s="8" t="n"/>
      <c r="R834" s="13">
        <f>IF(O834="","",SUM(O834:Q834))</f>
        <v/>
      </c>
      <c r="S834" s="9">
        <f>IF(R834="","",ROUND(R834/3.305785,3))</f>
        <v/>
      </c>
      <c r="T834" s="7" t="n"/>
      <c r="U834" s="7" t="n"/>
      <c r="V834" s="10">
        <f>IF(OR(T834="",U834="",U834=0),"",ROUND(T834/U834,6))</f>
        <v/>
      </c>
      <c r="W834" s="9">
        <f>IF(OR(R834="",T834="",U834="",U834=0),"",ROUND(R834*T834/U834,3))</f>
        <v/>
      </c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12">
        <f>IF(A834="","",IF(OR(B834="",C834="",D834="",E834="",H834="",O834="",T834="",U834=""),"必填欄位未完整",""))</f>
        <v/>
      </c>
      <c r="AI834" s="12">
        <f>IF(A834="","",A834&amp;"|"&amp;G834)</f>
        <v/>
      </c>
      <c r="AJ834" s="12">
        <f>IF(A834="","",A834&amp;"|"&amp;H834)</f>
        <v/>
      </c>
    </row>
    <row r="835" ht="24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8" t="n"/>
      <c r="P835" s="8" t="n"/>
      <c r="Q835" s="8" t="n"/>
      <c r="R835" s="13">
        <f>IF(O835="","",SUM(O835:Q835))</f>
        <v/>
      </c>
      <c r="S835" s="9">
        <f>IF(R835="","",ROUND(R835/3.305785,3))</f>
        <v/>
      </c>
      <c r="T835" s="7" t="n"/>
      <c r="U835" s="7" t="n"/>
      <c r="V835" s="10">
        <f>IF(OR(T835="",U835="",U835=0),"",ROUND(T835/U835,6))</f>
        <v/>
      </c>
      <c r="W835" s="9">
        <f>IF(OR(R835="",T835="",U835="",U835=0),"",ROUND(R835*T835/U835,3))</f>
        <v/>
      </c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12">
        <f>IF(A835="","",IF(OR(B835="",C835="",D835="",E835="",H835="",O835="",T835="",U835=""),"必填欄位未完整",""))</f>
        <v/>
      </c>
      <c r="AI835" s="12">
        <f>IF(A835="","",A835&amp;"|"&amp;G835)</f>
        <v/>
      </c>
      <c r="AJ835" s="12">
        <f>IF(A835="","",A835&amp;"|"&amp;H835)</f>
        <v/>
      </c>
    </row>
    <row r="836" ht="24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8" t="n"/>
      <c r="P836" s="8" t="n"/>
      <c r="Q836" s="8" t="n"/>
      <c r="R836" s="13">
        <f>IF(O836="","",SUM(O836:Q836))</f>
        <v/>
      </c>
      <c r="S836" s="9">
        <f>IF(R836="","",ROUND(R836/3.305785,3))</f>
        <v/>
      </c>
      <c r="T836" s="7" t="n"/>
      <c r="U836" s="7" t="n"/>
      <c r="V836" s="10">
        <f>IF(OR(T836="",U836="",U836=0),"",ROUND(T836/U836,6))</f>
        <v/>
      </c>
      <c r="W836" s="9">
        <f>IF(OR(R836="",T836="",U836="",U836=0),"",ROUND(R836*T836/U836,3))</f>
        <v/>
      </c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12">
        <f>IF(A836="","",IF(OR(B836="",C836="",D836="",E836="",H836="",O836="",T836="",U836=""),"必填欄位未完整",""))</f>
        <v/>
      </c>
      <c r="AI836" s="12">
        <f>IF(A836="","",A836&amp;"|"&amp;G836)</f>
        <v/>
      </c>
      <c r="AJ836" s="12">
        <f>IF(A836="","",A836&amp;"|"&amp;H836)</f>
        <v/>
      </c>
    </row>
    <row r="837" ht="24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8" t="n"/>
      <c r="P837" s="8" t="n"/>
      <c r="Q837" s="8" t="n"/>
      <c r="R837" s="13">
        <f>IF(O837="","",SUM(O837:Q837))</f>
        <v/>
      </c>
      <c r="S837" s="9">
        <f>IF(R837="","",ROUND(R837/3.305785,3))</f>
        <v/>
      </c>
      <c r="T837" s="7" t="n"/>
      <c r="U837" s="7" t="n"/>
      <c r="V837" s="10">
        <f>IF(OR(T837="",U837="",U837=0),"",ROUND(T837/U837,6))</f>
        <v/>
      </c>
      <c r="W837" s="9">
        <f>IF(OR(R837="",T837="",U837="",U837=0),"",ROUND(R837*T837/U837,3))</f>
        <v/>
      </c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12">
        <f>IF(A837="","",IF(OR(B837="",C837="",D837="",E837="",H837="",O837="",T837="",U837=""),"必填欄位未完整",""))</f>
        <v/>
      </c>
      <c r="AI837" s="12">
        <f>IF(A837="","",A837&amp;"|"&amp;G837)</f>
        <v/>
      </c>
      <c r="AJ837" s="12">
        <f>IF(A837="","",A837&amp;"|"&amp;H837)</f>
        <v/>
      </c>
    </row>
    <row r="838" ht="24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8" t="n"/>
      <c r="P838" s="8" t="n"/>
      <c r="Q838" s="8" t="n"/>
      <c r="R838" s="13">
        <f>IF(O838="","",SUM(O838:Q838))</f>
        <v/>
      </c>
      <c r="S838" s="9">
        <f>IF(R838="","",ROUND(R838/3.305785,3))</f>
        <v/>
      </c>
      <c r="T838" s="7" t="n"/>
      <c r="U838" s="7" t="n"/>
      <c r="V838" s="10">
        <f>IF(OR(T838="",U838="",U838=0),"",ROUND(T838/U838,6))</f>
        <v/>
      </c>
      <c r="W838" s="9">
        <f>IF(OR(R838="",T838="",U838="",U838=0),"",ROUND(R838*T838/U838,3))</f>
        <v/>
      </c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12">
        <f>IF(A838="","",IF(OR(B838="",C838="",D838="",E838="",H838="",O838="",T838="",U838=""),"必填欄位未完整",""))</f>
        <v/>
      </c>
      <c r="AI838" s="12">
        <f>IF(A838="","",A838&amp;"|"&amp;G838)</f>
        <v/>
      </c>
      <c r="AJ838" s="12">
        <f>IF(A838="","",A838&amp;"|"&amp;H838)</f>
        <v/>
      </c>
    </row>
    <row r="839" ht="24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8" t="n"/>
      <c r="P839" s="8" t="n"/>
      <c r="Q839" s="8" t="n"/>
      <c r="R839" s="13">
        <f>IF(O839="","",SUM(O839:Q839))</f>
        <v/>
      </c>
      <c r="S839" s="9">
        <f>IF(R839="","",ROUND(R839/3.305785,3))</f>
        <v/>
      </c>
      <c r="T839" s="7" t="n"/>
      <c r="U839" s="7" t="n"/>
      <c r="V839" s="10">
        <f>IF(OR(T839="",U839="",U839=0),"",ROUND(T839/U839,6))</f>
        <v/>
      </c>
      <c r="W839" s="9">
        <f>IF(OR(R839="",T839="",U839="",U839=0),"",ROUND(R839*T839/U839,3))</f>
        <v/>
      </c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12">
        <f>IF(A839="","",IF(OR(B839="",C839="",D839="",E839="",H839="",O839="",T839="",U839=""),"必填欄位未完整",""))</f>
        <v/>
      </c>
      <c r="AI839" s="12">
        <f>IF(A839="","",A839&amp;"|"&amp;G839)</f>
        <v/>
      </c>
      <c r="AJ839" s="12">
        <f>IF(A839="","",A839&amp;"|"&amp;H839)</f>
        <v/>
      </c>
    </row>
    <row r="840" ht="24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8" t="n"/>
      <c r="P840" s="8" t="n"/>
      <c r="Q840" s="8" t="n"/>
      <c r="R840" s="13">
        <f>IF(O840="","",SUM(O840:Q840))</f>
        <v/>
      </c>
      <c r="S840" s="9">
        <f>IF(R840="","",ROUND(R840/3.305785,3))</f>
        <v/>
      </c>
      <c r="T840" s="7" t="n"/>
      <c r="U840" s="7" t="n"/>
      <c r="V840" s="10">
        <f>IF(OR(T840="",U840="",U840=0),"",ROUND(T840/U840,6))</f>
        <v/>
      </c>
      <c r="W840" s="9">
        <f>IF(OR(R840="",T840="",U840="",U840=0),"",ROUND(R840*T840/U840,3))</f>
        <v/>
      </c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12">
        <f>IF(A840="","",IF(OR(B840="",C840="",D840="",E840="",H840="",O840="",T840="",U840=""),"必填欄位未完整",""))</f>
        <v/>
      </c>
      <c r="AI840" s="12">
        <f>IF(A840="","",A840&amp;"|"&amp;G840)</f>
        <v/>
      </c>
      <c r="AJ840" s="12">
        <f>IF(A840="","",A840&amp;"|"&amp;H840)</f>
        <v/>
      </c>
    </row>
    <row r="841" ht="24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8" t="n"/>
      <c r="P841" s="8" t="n"/>
      <c r="Q841" s="8" t="n"/>
      <c r="R841" s="13">
        <f>IF(O841="","",SUM(O841:Q841))</f>
        <v/>
      </c>
      <c r="S841" s="9">
        <f>IF(R841="","",ROUND(R841/3.305785,3))</f>
        <v/>
      </c>
      <c r="T841" s="7" t="n"/>
      <c r="U841" s="7" t="n"/>
      <c r="V841" s="10">
        <f>IF(OR(T841="",U841="",U841=0),"",ROUND(T841/U841,6))</f>
        <v/>
      </c>
      <c r="W841" s="9">
        <f>IF(OR(R841="",T841="",U841="",U841=0),"",ROUND(R841*T841/U841,3))</f>
        <v/>
      </c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12">
        <f>IF(A841="","",IF(OR(B841="",C841="",D841="",E841="",H841="",O841="",T841="",U841=""),"必填欄位未完整",""))</f>
        <v/>
      </c>
      <c r="AI841" s="12">
        <f>IF(A841="","",A841&amp;"|"&amp;G841)</f>
        <v/>
      </c>
      <c r="AJ841" s="12">
        <f>IF(A841="","",A841&amp;"|"&amp;H841)</f>
        <v/>
      </c>
    </row>
    <row r="842" ht="24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8" t="n"/>
      <c r="P842" s="8" t="n"/>
      <c r="Q842" s="8" t="n"/>
      <c r="R842" s="13">
        <f>IF(O842="","",SUM(O842:Q842))</f>
        <v/>
      </c>
      <c r="S842" s="9">
        <f>IF(R842="","",ROUND(R842/3.305785,3))</f>
        <v/>
      </c>
      <c r="T842" s="7" t="n"/>
      <c r="U842" s="7" t="n"/>
      <c r="V842" s="10">
        <f>IF(OR(T842="",U842="",U842=0),"",ROUND(T842/U842,6))</f>
        <v/>
      </c>
      <c r="W842" s="9">
        <f>IF(OR(R842="",T842="",U842="",U842=0),"",ROUND(R842*T842/U842,3))</f>
        <v/>
      </c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12">
        <f>IF(A842="","",IF(OR(B842="",C842="",D842="",E842="",H842="",O842="",T842="",U842=""),"必填欄位未完整",""))</f>
        <v/>
      </c>
      <c r="AI842" s="12">
        <f>IF(A842="","",A842&amp;"|"&amp;G842)</f>
        <v/>
      </c>
      <c r="AJ842" s="12">
        <f>IF(A842="","",A842&amp;"|"&amp;H842)</f>
        <v/>
      </c>
    </row>
    <row r="843" ht="24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8" t="n"/>
      <c r="P843" s="8" t="n"/>
      <c r="Q843" s="8" t="n"/>
      <c r="R843" s="13">
        <f>IF(O843="","",SUM(O843:Q843))</f>
        <v/>
      </c>
      <c r="S843" s="9">
        <f>IF(R843="","",ROUND(R843/3.305785,3))</f>
        <v/>
      </c>
      <c r="T843" s="7" t="n"/>
      <c r="U843" s="7" t="n"/>
      <c r="V843" s="10">
        <f>IF(OR(T843="",U843="",U843=0),"",ROUND(T843/U843,6))</f>
        <v/>
      </c>
      <c r="W843" s="9">
        <f>IF(OR(R843="",T843="",U843="",U843=0),"",ROUND(R843*T843/U843,3))</f>
        <v/>
      </c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12">
        <f>IF(A843="","",IF(OR(B843="",C843="",D843="",E843="",H843="",O843="",T843="",U843=""),"必填欄位未完整",""))</f>
        <v/>
      </c>
      <c r="AI843" s="12">
        <f>IF(A843="","",A843&amp;"|"&amp;G843)</f>
        <v/>
      </c>
      <c r="AJ843" s="12">
        <f>IF(A843="","",A843&amp;"|"&amp;H843)</f>
        <v/>
      </c>
    </row>
    <row r="844" ht="24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8" t="n"/>
      <c r="P844" s="8" t="n"/>
      <c r="Q844" s="8" t="n"/>
      <c r="R844" s="13">
        <f>IF(O844="","",SUM(O844:Q844))</f>
        <v/>
      </c>
      <c r="S844" s="9">
        <f>IF(R844="","",ROUND(R844/3.305785,3))</f>
        <v/>
      </c>
      <c r="T844" s="7" t="n"/>
      <c r="U844" s="7" t="n"/>
      <c r="V844" s="10">
        <f>IF(OR(T844="",U844="",U844=0),"",ROUND(T844/U844,6))</f>
        <v/>
      </c>
      <c r="W844" s="9">
        <f>IF(OR(R844="",T844="",U844="",U844=0),"",ROUND(R844*T844/U844,3))</f>
        <v/>
      </c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12">
        <f>IF(A844="","",IF(OR(B844="",C844="",D844="",E844="",H844="",O844="",T844="",U844=""),"必填欄位未完整",""))</f>
        <v/>
      </c>
      <c r="AI844" s="12">
        <f>IF(A844="","",A844&amp;"|"&amp;G844)</f>
        <v/>
      </c>
      <c r="AJ844" s="12">
        <f>IF(A844="","",A844&amp;"|"&amp;H844)</f>
        <v/>
      </c>
    </row>
    <row r="845" ht="24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8" t="n"/>
      <c r="P845" s="8" t="n"/>
      <c r="Q845" s="8" t="n"/>
      <c r="R845" s="13">
        <f>IF(O845="","",SUM(O845:Q845))</f>
        <v/>
      </c>
      <c r="S845" s="9">
        <f>IF(R845="","",ROUND(R845/3.305785,3))</f>
        <v/>
      </c>
      <c r="T845" s="7" t="n"/>
      <c r="U845" s="7" t="n"/>
      <c r="V845" s="10">
        <f>IF(OR(T845="",U845="",U845=0),"",ROUND(T845/U845,6))</f>
        <v/>
      </c>
      <c r="W845" s="9">
        <f>IF(OR(R845="",T845="",U845="",U845=0),"",ROUND(R845*T845/U845,3))</f>
        <v/>
      </c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12">
        <f>IF(A845="","",IF(OR(B845="",C845="",D845="",E845="",H845="",O845="",T845="",U845=""),"必填欄位未完整",""))</f>
        <v/>
      </c>
      <c r="AI845" s="12">
        <f>IF(A845="","",A845&amp;"|"&amp;G845)</f>
        <v/>
      </c>
      <c r="AJ845" s="12">
        <f>IF(A845="","",A845&amp;"|"&amp;H845)</f>
        <v/>
      </c>
    </row>
    <row r="846" ht="24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8" t="n"/>
      <c r="P846" s="8" t="n"/>
      <c r="Q846" s="8" t="n"/>
      <c r="R846" s="13">
        <f>IF(O846="","",SUM(O846:Q846))</f>
        <v/>
      </c>
      <c r="S846" s="9">
        <f>IF(R846="","",ROUND(R846/3.305785,3))</f>
        <v/>
      </c>
      <c r="T846" s="7" t="n"/>
      <c r="U846" s="7" t="n"/>
      <c r="V846" s="10">
        <f>IF(OR(T846="",U846="",U846=0),"",ROUND(T846/U846,6))</f>
        <v/>
      </c>
      <c r="W846" s="9">
        <f>IF(OR(R846="",T846="",U846="",U846=0),"",ROUND(R846*T846/U846,3))</f>
        <v/>
      </c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12">
        <f>IF(A846="","",IF(OR(B846="",C846="",D846="",E846="",H846="",O846="",T846="",U846=""),"必填欄位未完整",""))</f>
        <v/>
      </c>
      <c r="AI846" s="12">
        <f>IF(A846="","",A846&amp;"|"&amp;G846)</f>
        <v/>
      </c>
      <c r="AJ846" s="12">
        <f>IF(A846="","",A846&amp;"|"&amp;H846)</f>
        <v/>
      </c>
    </row>
    <row r="847" ht="24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8" t="n"/>
      <c r="P847" s="8" t="n"/>
      <c r="Q847" s="8" t="n"/>
      <c r="R847" s="13">
        <f>IF(O847="","",SUM(O847:Q847))</f>
        <v/>
      </c>
      <c r="S847" s="9">
        <f>IF(R847="","",ROUND(R847/3.305785,3))</f>
        <v/>
      </c>
      <c r="T847" s="7" t="n"/>
      <c r="U847" s="7" t="n"/>
      <c r="V847" s="10">
        <f>IF(OR(T847="",U847="",U847=0),"",ROUND(T847/U847,6))</f>
        <v/>
      </c>
      <c r="W847" s="9">
        <f>IF(OR(R847="",T847="",U847="",U847=0),"",ROUND(R847*T847/U847,3))</f>
        <v/>
      </c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12">
        <f>IF(A847="","",IF(OR(B847="",C847="",D847="",E847="",H847="",O847="",T847="",U847=""),"必填欄位未完整",""))</f>
        <v/>
      </c>
      <c r="AI847" s="12">
        <f>IF(A847="","",A847&amp;"|"&amp;G847)</f>
        <v/>
      </c>
      <c r="AJ847" s="12">
        <f>IF(A847="","",A847&amp;"|"&amp;H847)</f>
        <v/>
      </c>
    </row>
    <row r="848" ht="24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8" t="n"/>
      <c r="P848" s="8" t="n"/>
      <c r="Q848" s="8" t="n"/>
      <c r="R848" s="13">
        <f>IF(O848="","",SUM(O848:Q848))</f>
        <v/>
      </c>
      <c r="S848" s="9">
        <f>IF(R848="","",ROUND(R848/3.305785,3))</f>
        <v/>
      </c>
      <c r="T848" s="7" t="n"/>
      <c r="U848" s="7" t="n"/>
      <c r="V848" s="10">
        <f>IF(OR(T848="",U848="",U848=0),"",ROUND(T848/U848,6))</f>
        <v/>
      </c>
      <c r="W848" s="9">
        <f>IF(OR(R848="",T848="",U848="",U848=0),"",ROUND(R848*T848/U848,3))</f>
        <v/>
      </c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12">
        <f>IF(A848="","",IF(OR(B848="",C848="",D848="",E848="",H848="",O848="",T848="",U848=""),"必填欄位未完整",""))</f>
        <v/>
      </c>
      <c r="AI848" s="12">
        <f>IF(A848="","",A848&amp;"|"&amp;G848)</f>
        <v/>
      </c>
      <c r="AJ848" s="12">
        <f>IF(A848="","",A848&amp;"|"&amp;H848)</f>
        <v/>
      </c>
    </row>
    <row r="849" ht="24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8" t="n"/>
      <c r="P849" s="8" t="n"/>
      <c r="Q849" s="8" t="n"/>
      <c r="R849" s="13">
        <f>IF(O849="","",SUM(O849:Q849))</f>
        <v/>
      </c>
      <c r="S849" s="9">
        <f>IF(R849="","",ROUND(R849/3.305785,3))</f>
        <v/>
      </c>
      <c r="T849" s="7" t="n"/>
      <c r="U849" s="7" t="n"/>
      <c r="V849" s="10">
        <f>IF(OR(T849="",U849="",U849=0),"",ROUND(T849/U849,6))</f>
        <v/>
      </c>
      <c r="W849" s="9">
        <f>IF(OR(R849="",T849="",U849="",U849=0),"",ROUND(R849*T849/U849,3))</f>
        <v/>
      </c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12">
        <f>IF(A849="","",IF(OR(B849="",C849="",D849="",E849="",H849="",O849="",T849="",U849=""),"必填欄位未完整",""))</f>
        <v/>
      </c>
      <c r="AI849" s="12">
        <f>IF(A849="","",A849&amp;"|"&amp;G849)</f>
        <v/>
      </c>
      <c r="AJ849" s="12">
        <f>IF(A849="","",A849&amp;"|"&amp;H849)</f>
        <v/>
      </c>
    </row>
    <row r="850" ht="24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8" t="n"/>
      <c r="P850" s="8" t="n"/>
      <c r="Q850" s="8" t="n"/>
      <c r="R850" s="13">
        <f>IF(O850="","",SUM(O850:Q850))</f>
        <v/>
      </c>
      <c r="S850" s="9">
        <f>IF(R850="","",ROUND(R850/3.305785,3))</f>
        <v/>
      </c>
      <c r="T850" s="7" t="n"/>
      <c r="U850" s="7" t="n"/>
      <c r="V850" s="10">
        <f>IF(OR(T850="",U850="",U850=0),"",ROUND(T850/U850,6))</f>
        <v/>
      </c>
      <c r="W850" s="9">
        <f>IF(OR(R850="",T850="",U850="",U850=0),"",ROUND(R850*T850/U850,3))</f>
        <v/>
      </c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12">
        <f>IF(A850="","",IF(OR(B850="",C850="",D850="",E850="",H850="",O850="",T850="",U850=""),"必填欄位未完整",""))</f>
        <v/>
      </c>
      <c r="AI850" s="12">
        <f>IF(A850="","",A850&amp;"|"&amp;G850)</f>
        <v/>
      </c>
      <c r="AJ850" s="12">
        <f>IF(A850="","",A850&amp;"|"&amp;H850)</f>
        <v/>
      </c>
    </row>
    <row r="851" ht="24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8" t="n"/>
      <c r="P851" s="8" t="n"/>
      <c r="Q851" s="8" t="n"/>
      <c r="R851" s="13">
        <f>IF(O851="","",SUM(O851:Q851))</f>
        <v/>
      </c>
      <c r="S851" s="9">
        <f>IF(R851="","",ROUND(R851/3.305785,3))</f>
        <v/>
      </c>
      <c r="T851" s="7" t="n"/>
      <c r="U851" s="7" t="n"/>
      <c r="V851" s="10">
        <f>IF(OR(T851="",U851="",U851=0),"",ROUND(T851/U851,6))</f>
        <v/>
      </c>
      <c r="W851" s="9">
        <f>IF(OR(R851="",T851="",U851="",U851=0),"",ROUND(R851*T851/U851,3))</f>
        <v/>
      </c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12">
        <f>IF(A851="","",IF(OR(B851="",C851="",D851="",E851="",H851="",O851="",T851="",U851=""),"必填欄位未完整",""))</f>
        <v/>
      </c>
      <c r="AI851" s="12">
        <f>IF(A851="","",A851&amp;"|"&amp;G851)</f>
        <v/>
      </c>
      <c r="AJ851" s="12">
        <f>IF(A851="","",A851&amp;"|"&amp;H851)</f>
        <v/>
      </c>
    </row>
    <row r="852" ht="24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8" t="n"/>
      <c r="P852" s="8" t="n"/>
      <c r="Q852" s="8" t="n"/>
      <c r="R852" s="13">
        <f>IF(O852="","",SUM(O852:Q852))</f>
        <v/>
      </c>
      <c r="S852" s="9">
        <f>IF(R852="","",ROUND(R852/3.305785,3))</f>
        <v/>
      </c>
      <c r="T852" s="7" t="n"/>
      <c r="U852" s="7" t="n"/>
      <c r="V852" s="10">
        <f>IF(OR(T852="",U852="",U852=0),"",ROUND(T852/U852,6))</f>
        <v/>
      </c>
      <c r="W852" s="9">
        <f>IF(OR(R852="",T852="",U852="",U852=0),"",ROUND(R852*T852/U852,3))</f>
        <v/>
      </c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12">
        <f>IF(A852="","",IF(OR(B852="",C852="",D852="",E852="",H852="",O852="",T852="",U852=""),"必填欄位未完整",""))</f>
        <v/>
      </c>
      <c r="AI852" s="12">
        <f>IF(A852="","",A852&amp;"|"&amp;G852)</f>
        <v/>
      </c>
      <c r="AJ852" s="12">
        <f>IF(A852="","",A852&amp;"|"&amp;H852)</f>
        <v/>
      </c>
    </row>
    <row r="853" ht="24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8" t="n"/>
      <c r="P853" s="8" t="n"/>
      <c r="Q853" s="8" t="n"/>
      <c r="R853" s="13">
        <f>IF(O853="","",SUM(O853:Q853))</f>
        <v/>
      </c>
      <c r="S853" s="9">
        <f>IF(R853="","",ROUND(R853/3.305785,3))</f>
        <v/>
      </c>
      <c r="T853" s="7" t="n"/>
      <c r="U853" s="7" t="n"/>
      <c r="V853" s="10">
        <f>IF(OR(T853="",U853="",U853=0),"",ROUND(T853/U853,6))</f>
        <v/>
      </c>
      <c r="W853" s="9">
        <f>IF(OR(R853="",T853="",U853="",U853=0),"",ROUND(R853*T853/U853,3))</f>
        <v/>
      </c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12">
        <f>IF(A853="","",IF(OR(B853="",C853="",D853="",E853="",H853="",O853="",T853="",U853=""),"必填欄位未完整",""))</f>
        <v/>
      </c>
      <c r="AI853" s="12">
        <f>IF(A853="","",A853&amp;"|"&amp;G853)</f>
        <v/>
      </c>
      <c r="AJ853" s="12">
        <f>IF(A853="","",A853&amp;"|"&amp;H853)</f>
        <v/>
      </c>
    </row>
    <row r="854" ht="24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8" t="n"/>
      <c r="P854" s="8" t="n"/>
      <c r="Q854" s="8" t="n"/>
      <c r="R854" s="13">
        <f>IF(O854="","",SUM(O854:Q854))</f>
        <v/>
      </c>
      <c r="S854" s="9">
        <f>IF(R854="","",ROUND(R854/3.305785,3))</f>
        <v/>
      </c>
      <c r="T854" s="7" t="n"/>
      <c r="U854" s="7" t="n"/>
      <c r="V854" s="10">
        <f>IF(OR(T854="",U854="",U854=0),"",ROUND(T854/U854,6))</f>
        <v/>
      </c>
      <c r="W854" s="9">
        <f>IF(OR(R854="",T854="",U854="",U854=0),"",ROUND(R854*T854/U854,3))</f>
        <v/>
      </c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12">
        <f>IF(A854="","",IF(OR(B854="",C854="",D854="",E854="",H854="",O854="",T854="",U854=""),"必填欄位未完整",""))</f>
        <v/>
      </c>
      <c r="AI854" s="12">
        <f>IF(A854="","",A854&amp;"|"&amp;G854)</f>
        <v/>
      </c>
      <c r="AJ854" s="12">
        <f>IF(A854="","",A854&amp;"|"&amp;H854)</f>
        <v/>
      </c>
    </row>
    <row r="855" ht="24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8" t="n"/>
      <c r="P855" s="8" t="n"/>
      <c r="Q855" s="8" t="n"/>
      <c r="R855" s="13">
        <f>IF(O855="","",SUM(O855:Q855))</f>
        <v/>
      </c>
      <c r="S855" s="9">
        <f>IF(R855="","",ROUND(R855/3.305785,3))</f>
        <v/>
      </c>
      <c r="T855" s="7" t="n"/>
      <c r="U855" s="7" t="n"/>
      <c r="V855" s="10">
        <f>IF(OR(T855="",U855="",U855=0),"",ROUND(T855/U855,6))</f>
        <v/>
      </c>
      <c r="W855" s="9">
        <f>IF(OR(R855="",T855="",U855="",U855=0),"",ROUND(R855*T855/U855,3))</f>
        <v/>
      </c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12">
        <f>IF(A855="","",IF(OR(B855="",C855="",D855="",E855="",H855="",O855="",T855="",U855=""),"必填欄位未完整",""))</f>
        <v/>
      </c>
      <c r="AI855" s="12">
        <f>IF(A855="","",A855&amp;"|"&amp;G855)</f>
        <v/>
      </c>
      <c r="AJ855" s="12">
        <f>IF(A855="","",A855&amp;"|"&amp;H855)</f>
        <v/>
      </c>
    </row>
    <row r="856" ht="24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8" t="n"/>
      <c r="P856" s="8" t="n"/>
      <c r="Q856" s="8" t="n"/>
      <c r="R856" s="13">
        <f>IF(O856="","",SUM(O856:Q856))</f>
        <v/>
      </c>
      <c r="S856" s="9">
        <f>IF(R856="","",ROUND(R856/3.305785,3))</f>
        <v/>
      </c>
      <c r="T856" s="7" t="n"/>
      <c r="U856" s="7" t="n"/>
      <c r="V856" s="10">
        <f>IF(OR(T856="",U856="",U856=0),"",ROUND(T856/U856,6))</f>
        <v/>
      </c>
      <c r="W856" s="9">
        <f>IF(OR(R856="",T856="",U856="",U856=0),"",ROUND(R856*T856/U856,3))</f>
        <v/>
      </c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12">
        <f>IF(A856="","",IF(OR(B856="",C856="",D856="",E856="",H856="",O856="",T856="",U856=""),"必填欄位未完整",""))</f>
        <v/>
      </c>
      <c r="AI856" s="12">
        <f>IF(A856="","",A856&amp;"|"&amp;G856)</f>
        <v/>
      </c>
      <c r="AJ856" s="12">
        <f>IF(A856="","",A856&amp;"|"&amp;H856)</f>
        <v/>
      </c>
    </row>
    <row r="857" ht="24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8" t="n"/>
      <c r="P857" s="8" t="n"/>
      <c r="Q857" s="8" t="n"/>
      <c r="R857" s="13">
        <f>IF(O857="","",SUM(O857:Q857))</f>
        <v/>
      </c>
      <c r="S857" s="9">
        <f>IF(R857="","",ROUND(R857/3.305785,3))</f>
        <v/>
      </c>
      <c r="T857" s="7" t="n"/>
      <c r="U857" s="7" t="n"/>
      <c r="V857" s="10">
        <f>IF(OR(T857="",U857="",U857=0),"",ROUND(T857/U857,6))</f>
        <v/>
      </c>
      <c r="W857" s="9">
        <f>IF(OR(R857="",T857="",U857="",U857=0),"",ROUND(R857*T857/U857,3))</f>
        <v/>
      </c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12">
        <f>IF(A857="","",IF(OR(B857="",C857="",D857="",E857="",H857="",O857="",T857="",U857=""),"必填欄位未完整",""))</f>
        <v/>
      </c>
      <c r="AI857" s="12">
        <f>IF(A857="","",A857&amp;"|"&amp;G857)</f>
        <v/>
      </c>
      <c r="AJ857" s="12">
        <f>IF(A857="","",A857&amp;"|"&amp;H857)</f>
        <v/>
      </c>
    </row>
    <row r="858" ht="24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8" t="n"/>
      <c r="P858" s="8" t="n"/>
      <c r="Q858" s="8" t="n"/>
      <c r="R858" s="13">
        <f>IF(O858="","",SUM(O858:Q858))</f>
        <v/>
      </c>
      <c r="S858" s="9">
        <f>IF(R858="","",ROUND(R858/3.305785,3))</f>
        <v/>
      </c>
      <c r="T858" s="7" t="n"/>
      <c r="U858" s="7" t="n"/>
      <c r="V858" s="10">
        <f>IF(OR(T858="",U858="",U858=0),"",ROUND(T858/U858,6))</f>
        <v/>
      </c>
      <c r="W858" s="9">
        <f>IF(OR(R858="",T858="",U858="",U858=0),"",ROUND(R858*T858/U858,3))</f>
        <v/>
      </c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12">
        <f>IF(A858="","",IF(OR(B858="",C858="",D858="",E858="",H858="",O858="",T858="",U858=""),"必填欄位未完整",""))</f>
        <v/>
      </c>
      <c r="AI858" s="12">
        <f>IF(A858="","",A858&amp;"|"&amp;G858)</f>
        <v/>
      </c>
      <c r="AJ858" s="12">
        <f>IF(A858="","",A858&amp;"|"&amp;H858)</f>
        <v/>
      </c>
    </row>
    <row r="859" ht="24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8" t="n"/>
      <c r="P859" s="8" t="n"/>
      <c r="Q859" s="8" t="n"/>
      <c r="R859" s="13">
        <f>IF(O859="","",SUM(O859:Q859))</f>
        <v/>
      </c>
      <c r="S859" s="9">
        <f>IF(R859="","",ROUND(R859/3.305785,3))</f>
        <v/>
      </c>
      <c r="T859" s="7" t="n"/>
      <c r="U859" s="7" t="n"/>
      <c r="V859" s="10">
        <f>IF(OR(T859="",U859="",U859=0),"",ROUND(T859/U859,6))</f>
        <v/>
      </c>
      <c r="W859" s="9">
        <f>IF(OR(R859="",T859="",U859="",U859=0),"",ROUND(R859*T859/U859,3))</f>
        <v/>
      </c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12">
        <f>IF(A859="","",IF(OR(B859="",C859="",D859="",E859="",H859="",O859="",T859="",U859=""),"必填欄位未完整",""))</f>
        <v/>
      </c>
      <c r="AI859" s="12">
        <f>IF(A859="","",A859&amp;"|"&amp;G859)</f>
        <v/>
      </c>
      <c r="AJ859" s="12">
        <f>IF(A859="","",A859&amp;"|"&amp;H859)</f>
        <v/>
      </c>
    </row>
    <row r="860" ht="24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8" t="n"/>
      <c r="P860" s="8" t="n"/>
      <c r="Q860" s="8" t="n"/>
      <c r="R860" s="13">
        <f>IF(O860="","",SUM(O860:Q860))</f>
        <v/>
      </c>
      <c r="S860" s="9">
        <f>IF(R860="","",ROUND(R860/3.305785,3))</f>
        <v/>
      </c>
      <c r="T860" s="7" t="n"/>
      <c r="U860" s="7" t="n"/>
      <c r="V860" s="10">
        <f>IF(OR(T860="",U860="",U860=0),"",ROUND(T860/U860,6))</f>
        <v/>
      </c>
      <c r="W860" s="9">
        <f>IF(OR(R860="",T860="",U860="",U860=0),"",ROUND(R860*T860/U860,3))</f>
        <v/>
      </c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12">
        <f>IF(A860="","",IF(OR(B860="",C860="",D860="",E860="",H860="",O860="",T860="",U860=""),"必填欄位未完整",""))</f>
        <v/>
      </c>
      <c r="AI860" s="12">
        <f>IF(A860="","",A860&amp;"|"&amp;G860)</f>
        <v/>
      </c>
      <c r="AJ860" s="12">
        <f>IF(A860="","",A860&amp;"|"&amp;H860)</f>
        <v/>
      </c>
    </row>
    <row r="861" ht="24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8" t="n"/>
      <c r="P861" s="8" t="n"/>
      <c r="Q861" s="8" t="n"/>
      <c r="R861" s="13">
        <f>IF(O861="","",SUM(O861:Q861))</f>
        <v/>
      </c>
      <c r="S861" s="9">
        <f>IF(R861="","",ROUND(R861/3.305785,3))</f>
        <v/>
      </c>
      <c r="T861" s="7" t="n"/>
      <c r="U861" s="7" t="n"/>
      <c r="V861" s="10">
        <f>IF(OR(T861="",U861="",U861=0),"",ROUND(T861/U861,6))</f>
        <v/>
      </c>
      <c r="W861" s="9">
        <f>IF(OR(R861="",T861="",U861="",U861=0),"",ROUND(R861*T861/U861,3))</f>
        <v/>
      </c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12">
        <f>IF(A861="","",IF(OR(B861="",C861="",D861="",E861="",H861="",O861="",T861="",U861=""),"必填欄位未完整",""))</f>
        <v/>
      </c>
      <c r="AI861" s="12">
        <f>IF(A861="","",A861&amp;"|"&amp;G861)</f>
        <v/>
      </c>
      <c r="AJ861" s="12">
        <f>IF(A861="","",A861&amp;"|"&amp;H861)</f>
        <v/>
      </c>
    </row>
    <row r="862" ht="24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8" t="n"/>
      <c r="P862" s="8" t="n"/>
      <c r="Q862" s="8" t="n"/>
      <c r="R862" s="13">
        <f>IF(O862="","",SUM(O862:Q862))</f>
        <v/>
      </c>
      <c r="S862" s="9">
        <f>IF(R862="","",ROUND(R862/3.305785,3))</f>
        <v/>
      </c>
      <c r="T862" s="7" t="n"/>
      <c r="U862" s="7" t="n"/>
      <c r="V862" s="10">
        <f>IF(OR(T862="",U862="",U862=0),"",ROUND(T862/U862,6))</f>
        <v/>
      </c>
      <c r="W862" s="9">
        <f>IF(OR(R862="",T862="",U862="",U862=0),"",ROUND(R862*T862/U862,3))</f>
        <v/>
      </c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12">
        <f>IF(A862="","",IF(OR(B862="",C862="",D862="",E862="",H862="",O862="",T862="",U862=""),"必填欄位未完整",""))</f>
        <v/>
      </c>
      <c r="AI862" s="12">
        <f>IF(A862="","",A862&amp;"|"&amp;G862)</f>
        <v/>
      </c>
      <c r="AJ862" s="12">
        <f>IF(A862="","",A862&amp;"|"&amp;H862)</f>
        <v/>
      </c>
    </row>
    <row r="863" ht="24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8" t="n"/>
      <c r="P863" s="8" t="n"/>
      <c r="Q863" s="8" t="n"/>
      <c r="R863" s="13">
        <f>IF(O863="","",SUM(O863:Q863))</f>
        <v/>
      </c>
      <c r="S863" s="9">
        <f>IF(R863="","",ROUND(R863/3.305785,3))</f>
        <v/>
      </c>
      <c r="T863" s="7" t="n"/>
      <c r="U863" s="7" t="n"/>
      <c r="V863" s="10">
        <f>IF(OR(T863="",U863="",U863=0),"",ROUND(T863/U863,6))</f>
        <v/>
      </c>
      <c r="W863" s="9">
        <f>IF(OR(R863="",T863="",U863="",U863=0),"",ROUND(R863*T863/U863,3))</f>
        <v/>
      </c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12">
        <f>IF(A863="","",IF(OR(B863="",C863="",D863="",E863="",H863="",O863="",T863="",U863=""),"必填欄位未完整",""))</f>
        <v/>
      </c>
      <c r="AI863" s="12">
        <f>IF(A863="","",A863&amp;"|"&amp;G863)</f>
        <v/>
      </c>
      <c r="AJ863" s="12">
        <f>IF(A863="","",A863&amp;"|"&amp;H863)</f>
        <v/>
      </c>
    </row>
    <row r="864" ht="24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8" t="n"/>
      <c r="P864" s="8" t="n"/>
      <c r="Q864" s="8" t="n"/>
      <c r="R864" s="13">
        <f>IF(O864="","",SUM(O864:Q864))</f>
        <v/>
      </c>
      <c r="S864" s="9">
        <f>IF(R864="","",ROUND(R864/3.305785,3))</f>
        <v/>
      </c>
      <c r="T864" s="7" t="n"/>
      <c r="U864" s="7" t="n"/>
      <c r="V864" s="10">
        <f>IF(OR(T864="",U864="",U864=0),"",ROUND(T864/U864,6))</f>
        <v/>
      </c>
      <c r="W864" s="9">
        <f>IF(OR(R864="",T864="",U864="",U864=0),"",ROUND(R864*T864/U864,3))</f>
        <v/>
      </c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12">
        <f>IF(A864="","",IF(OR(B864="",C864="",D864="",E864="",H864="",O864="",T864="",U864=""),"必填欄位未完整",""))</f>
        <v/>
      </c>
      <c r="AI864" s="12">
        <f>IF(A864="","",A864&amp;"|"&amp;G864)</f>
        <v/>
      </c>
      <c r="AJ864" s="12">
        <f>IF(A864="","",A864&amp;"|"&amp;H864)</f>
        <v/>
      </c>
    </row>
    <row r="865" ht="24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8" t="n"/>
      <c r="P865" s="8" t="n"/>
      <c r="Q865" s="8" t="n"/>
      <c r="R865" s="13">
        <f>IF(O865="","",SUM(O865:Q865))</f>
        <v/>
      </c>
      <c r="S865" s="9">
        <f>IF(R865="","",ROUND(R865/3.305785,3))</f>
        <v/>
      </c>
      <c r="T865" s="7" t="n"/>
      <c r="U865" s="7" t="n"/>
      <c r="V865" s="10">
        <f>IF(OR(T865="",U865="",U865=0),"",ROUND(T865/U865,6))</f>
        <v/>
      </c>
      <c r="W865" s="9">
        <f>IF(OR(R865="",T865="",U865="",U865=0),"",ROUND(R865*T865/U865,3))</f>
        <v/>
      </c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12">
        <f>IF(A865="","",IF(OR(B865="",C865="",D865="",E865="",H865="",O865="",T865="",U865=""),"必填欄位未完整",""))</f>
        <v/>
      </c>
      <c r="AI865" s="12">
        <f>IF(A865="","",A865&amp;"|"&amp;G865)</f>
        <v/>
      </c>
      <c r="AJ865" s="12">
        <f>IF(A865="","",A865&amp;"|"&amp;H865)</f>
        <v/>
      </c>
    </row>
    <row r="866" ht="24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8" t="n"/>
      <c r="P866" s="8" t="n"/>
      <c r="Q866" s="8" t="n"/>
      <c r="R866" s="13">
        <f>IF(O866="","",SUM(O866:Q866))</f>
        <v/>
      </c>
      <c r="S866" s="9">
        <f>IF(R866="","",ROUND(R866/3.305785,3))</f>
        <v/>
      </c>
      <c r="T866" s="7" t="n"/>
      <c r="U866" s="7" t="n"/>
      <c r="V866" s="10">
        <f>IF(OR(T866="",U866="",U866=0),"",ROUND(T866/U866,6))</f>
        <v/>
      </c>
      <c r="W866" s="9">
        <f>IF(OR(R866="",T866="",U866="",U866=0),"",ROUND(R866*T866/U866,3))</f>
        <v/>
      </c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12">
        <f>IF(A866="","",IF(OR(B866="",C866="",D866="",E866="",H866="",O866="",T866="",U866=""),"必填欄位未完整",""))</f>
        <v/>
      </c>
      <c r="AI866" s="12">
        <f>IF(A866="","",A866&amp;"|"&amp;G866)</f>
        <v/>
      </c>
      <c r="AJ866" s="12">
        <f>IF(A866="","",A866&amp;"|"&amp;H866)</f>
        <v/>
      </c>
    </row>
    <row r="867" ht="24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8" t="n"/>
      <c r="P867" s="8" t="n"/>
      <c r="Q867" s="8" t="n"/>
      <c r="R867" s="13">
        <f>IF(O867="","",SUM(O867:Q867))</f>
        <v/>
      </c>
      <c r="S867" s="9">
        <f>IF(R867="","",ROUND(R867/3.305785,3))</f>
        <v/>
      </c>
      <c r="T867" s="7" t="n"/>
      <c r="U867" s="7" t="n"/>
      <c r="V867" s="10">
        <f>IF(OR(T867="",U867="",U867=0),"",ROUND(T867/U867,6))</f>
        <v/>
      </c>
      <c r="W867" s="9">
        <f>IF(OR(R867="",T867="",U867="",U867=0),"",ROUND(R867*T867/U867,3))</f>
        <v/>
      </c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12">
        <f>IF(A867="","",IF(OR(B867="",C867="",D867="",E867="",H867="",O867="",T867="",U867=""),"必填欄位未完整",""))</f>
        <v/>
      </c>
      <c r="AI867" s="12">
        <f>IF(A867="","",A867&amp;"|"&amp;G867)</f>
        <v/>
      </c>
      <c r="AJ867" s="12">
        <f>IF(A867="","",A867&amp;"|"&amp;H867)</f>
        <v/>
      </c>
    </row>
    <row r="868" ht="24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8" t="n"/>
      <c r="P868" s="8" t="n"/>
      <c r="Q868" s="8" t="n"/>
      <c r="R868" s="13">
        <f>IF(O868="","",SUM(O868:Q868))</f>
        <v/>
      </c>
      <c r="S868" s="9">
        <f>IF(R868="","",ROUND(R868/3.305785,3))</f>
        <v/>
      </c>
      <c r="T868" s="7" t="n"/>
      <c r="U868" s="7" t="n"/>
      <c r="V868" s="10">
        <f>IF(OR(T868="",U868="",U868=0),"",ROUND(T868/U868,6))</f>
        <v/>
      </c>
      <c r="W868" s="9">
        <f>IF(OR(R868="",T868="",U868="",U868=0),"",ROUND(R868*T868/U868,3))</f>
        <v/>
      </c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12">
        <f>IF(A868="","",IF(OR(B868="",C868="",D868="",E868="",H868="",O868="",T868="",U868=""),"必填欄位未完整",""))</f>
        <v/>
      </c>
      <c r="AI868" s="12">
        <f>IF(A868="","",A868&amp;"|"&amp;G868)</f>
        <v/>
      </c>
      <c r="AJ868" s="12">
        <f>IF(A868="","",A868&amp;"|"&amp;H868)</f>
        <v/>
      </c>
    </row>
    <row r="869" ht="24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8" t="n"/>
      <c r="P869" s="8" t="n"/>
      <c r="Q869" s="8" t="n"/>
      <c r="R869" s="13">
        <f>IF(O869="","",SUM(O869:Q869))</f>
        <v/>
      </c>
      <c r="S869" s="9">
        <f>IF(R869="","",ROUND(R869/3.305785,3))</f>
        <v/>
      </c>
      <c r="T869" s="7" t="n"/>
      <c r="U869" s="7" t="n"/>
      <c r="V869" s="10">
        <f>IF(OR(T869="",U869="",U869=0),"",ROUND(T869/U869,6))</f>
        <v/>
      </c>
      <c r="W869" s="9">
        <f>IF(OR(R869="",T869="",U869="",U869=0),"",ROUND(R869*T869/U869,3))</f>
        <v/>
      </c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12">
        <f>IF(A869="","",IF(OR(B869="",C869="",D869="",E869="",H869="",O869="",T869="",U869=""),"必填欄位未完整",""))</f>
        <v/>
      </c>
      <c r="AI869" s="12">
        <f>IF(A869="","",A869&amp;"|"&amp;G869)</f>
        <v/>
      </c>
      <c r="AJ869" s="12">
        <f>IF(A869="","",A869&amp;"|"&amp;H869)</f>
        <v/>
      </c>
    </row>
    <row r="870" ht="24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8" t="n"/>
      <c r="P870" s="8" t="n"/>
      <c r="Q870" s="8" t="n"/>
      <c r="R870" s="13">
        <f>IF(O870="","",SUM(O870:Q870))</f>
        <v/>
      </c>
      <c r="S870" s="9">
        <f>IF(R870="","",ROUND(R870/3.305785,3))</f>
        <v/>
      </c>
      <c r="T870" s="7" t="n"/>
      <c r="U870" s="7" t="n"/>
      <c r="V870" s="10">
        <f>IF(OR(T870="",U870="",U870=0),"",ROUND(T870/U870,6))</f>
        <v/>
      </c>
      <c r="W870" s="9">
        <f>IF(OR(R870="",T870="",U870="",U870=0),"",ROUND(R870*T870/U870,3))</f>
        <v/>
      </c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12">
        <f>IF(A870="","",IF(OR(B870="",C870="",D870="",E870="",H870="",O870="",T870="",U870=""),"必填欄位未完整",""))</f>
        <v/>
      </c>
      <c r="AI870" s="12">
        <f>IF(A870="","",A870&amp;"|"&amp;G870)</f>
        <v/>
      </c>
      <c r="AJ870" s="12">
        <f>IF(A870="","",A870&amp;"|"&amp;H870)</f>
        <v/>
      </c>
    </row>
    <row r="871" ht="24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8" t="n"/>
      <c r="P871" s="8" t="n"/>
      <c r="Q871" s="8" t="n"/>
      <c r="R871" s="13">
        <f>IF(O871="","",SUM(O871:Q871))</f>
        <v/>
      </c>
      <c r="S871" s="9">
        <f>IF(R871="","",ROUND(R871/3.305785,3))</f>
        <v/>
      </c>
      <c r="T871" s="7" t="n"/>
      <c r="U871" s="7" t="n"/>
      <c r="V871" s="10">
        <f>IF(OR(T871="",U871="",U871=0),"",ROUND(T871/U871,6))</f>
        <v/>
      </c>
      <c r="W871" s="9">
        <f>IF(OR(R871="",T871="",U871="",U871=0),"",ROUND(R871*T871/U871,3))</f>
        <v/>
      </c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12">
        <f>IF(A871="","",IF(OR(B871="",C871="",D871="",E871="",H871="",O871="",T871="",U871=""),"必填欄位未完整",""))</f>
        <v/>
      </c>
      <c r="AI871" s="12">
        <f>IF(A871="","",A871&amp;"|"&amp;G871)</f>
        <v/>
      </c>
      <c r="AJ871" s="12">
        <f>IF(A871="","",A871&amp;"|"&amp;H871)</f>
        <v/>
      </c>
    </row>
    <row r="872" ht="24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8" t="n"/>
      <c r="P872" s="8" t="n"/>
      <c r="Q872" s="8" t="n"/>
      <c r="R872" s="13">
        <f>IF(O872="","",SUM(O872:Q872))</f>
        <v/>
      </c>
      <c r="S872" s="9">
        <f>IF(R872="","",ROUND(R872/3.305785,3))</f>
        <v/>
      </c>
      <c r="T872" s="7" t="n"/>
      <c r="U872" s="7" t="n"/>
      <c r="V872" s="10">
        <f>IF(OR(T872="",U872="",U872=0),"",ROUND(T872/U872,6))</f>
        <v/>
      </c>
      <c r="W872" s="9">
        <f>IF(OR(R872="",T872="",U872="",U872=0),"",ROUND(R872*T872/U872,3))</f>
        <v/>
      </c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12">
        <f>IF(A872="","",IF(OR(B872="",C872="",D872="",E872="",H872="",O872="",T872="",U872=""),"必填欄位未完整",""))</f>
        <v/>
      </c>
      <c r="AI872" s="12">
        <f>IF(A872="","",A872&amp;"|"&amp;G872)</f>
        <v/>
      </c>
      <c r="AJ872" s="12">
        <f>IF(A872="","",A872&amp;"|"&amp;H872)</f>
        <v/>
      </c>
    </row>
    <row r="873" ht="24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8" t="n"/>
      <c r="P873" s="8" t="n"/>
      <c r="Q873" s="8" t="n"/>
      <c r="R873" s="13">
        <f>IF(O873="","",SUM(O873:Q873))</f>
        <v/>
      </c>
      <c r="S873" s="9">
        <f>IF(R873="","",ROUND(R873/3.305785,3))</f>
        <v/>
      </c>
      <c r="T873" s="7" t="n"/>
      <c r="U873" s="7" t="n"/>
      <c r="V873" s="10">
        <f>IF(OR(T873="",U873="",U873=0),"",ROUND(T873/U873,6))</f>
        <v/>
      </c>
      <c r="W873" s="9">
        <f>IF(OR(R873="",T873="",U873="",U873=0),"",ROUND(R873*T873/U873,3))</f>
        <v/>
      </c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12">
        <f>IF(A873="","",IF(OR(B873="",C873="",D873="",E873="",H873="",O873="",T873="",U873=""),"必填欄位未完整",""))</f>
        <v/>
      </c>
      <c r="AI873" s="12">
        <f>IF(A873="","",A873&amp;"|"&amp;G873)</f>
        <v/>
      </c>
      <c r="AJ873" s="12">
        <f>IF(A873="","",A873&amp;"|"&amp;H873)</f>
        <v/>
      </c>
    </row>
    <row r="874" ht="24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8" t="n"/>
      <c r="P874" s="8" t="n"/>
      <c r="Q874" s="8" t="n"/>
      <c r="R874" s="13">
        <f>IF(O874="","",SUM(O874:Q874))</f>
        <v/>
      </c>
      <c r="S874" s="9">
        <f>IF(R874="","",ROUND(R874/3.305785,3))</f>
        <v/>
      </c>
      <c r="T874" s="7" t="n"/>
      <c r="U874" s="7" t="n"/>
      <c r="V874" s="10">
        <f>IF(OR(T874="",U874="",U874=0),"",ROUND(T874/U874,6))</f>
        <v/>
      </c>
      <c r="W874" s="9">
        <f>IF(OR(R874="",T874="",U874="",U874=0),"",ROUND(R874*T874/U874,3))</f>
        <v/>
      </c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12">
        <f>IF(A874="","",IF(OR(B874="",C874="",D874="",E874="",H874="",O874="",T874="",U874=""),"必填欄位未完整",""))</f>
        <v/>
      </c>
      <c r="AI874" s="12">
        <f>IF(A874="","",A874&amp;"|"&amp;G874)</f>
        <v/>
      </c>
      <c r="AJ874" s="12">
        <f>IF(A874="","",A874&amp;"|"&amp;H874)</f>
        <v/>
      </c>
    </row>
    <row r="875" ht="24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8" t="n"/>
      <c r="P875" s="8" t="n"/>
      <c r="Q875" s="8" t="n"/>
      <c r="R875" s="13">
        <f>IF(O875="","",SUM(O875:Q875))</f>
        <v/>
      </c>
      <c r="S875" s="9">
        <f>IF(R875="","",ROUND(R875/3.305785,3))</f>
        <v/>
      </c>
      <c r="T875" s="7" t="n"/>
      <c r="U875" s="7" t="n"/>
      <c r="V875" s="10">
        <f>IF(OR(T875="",U875="",U875=0),"",ROUND(T875/U875,6))</f>
        <v/>
      </c>
      <c r="W875" s="9">
        <f>IF(OR(R875="",T875="",U875="",U875=0),"",ROUND(R875*T875/U875,3))</f>
        <v/>
      </c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12">
        <f>IF(A875="","",IF(OR(B875="",C875="",D875="",E875="",H875="",O875="",T875="",U875=""),"必填欄位未完整",""))</f>
        <v/>
      </c>
      <c r="AI875" s="12">
        <f>IF(A875="","",A875&amp;"|"&amp;G875)</f>
        <v/>
      </c>
      <c r="AJ875" s="12">
        <f>IF(A875="","",A875&amp;"|"&amp;H875)</f>
        <v/>
      </c>
    </row>
    <row r="876" ht="24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8" t="n"/>
      <c r="P876" s="8" t="n"/>
      <c r="Q876" s="8" t="n"/>
      <c r="R876" s="13">
        <f>IF(O876="","",SUM(O876:Q876))</f>
        <v/>
      </c>
      <c r="S876" s="9">
        <f>IF(R876="","",ROUND(R876/3.305785,3))</f>
        <v/>
      </c>
      <c r="T876" s="7" t="n"/>
      <c r="U876" s="7" t="n"/>
      <c r="V876" s="10">
        <f>IF(OR(T876="",U876="",U876=0),"",ROUND(T876/U876,6))</f>
        <v/>
      </c>
      <c r="W876" s="9">
        <f>IF(OR(R876="",T876="",U876="",U876=0),"",ROUND(R876*T876/U876,3))</f>
        <v/>
      </c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12">
        <f>IF(A876="","",IF(OR(B876="",C876="",D876="",E876="",H876="",O876="",T876="",U876=""),"必填欄位未完整",""))</f>
        <v/>
      </c>
      <c r="AI876" s="12">
        <f>IF(A876="","",A876&amp;"|"&amp;G876)</f>
        <v/>
      </c>
      <c r="AJ876" s="12">
        <f>IF(A876="","",A876&amp;"|"&amp;H876)</f>
        <v/>
      </c>
    </row>
    <row r="877" ht="24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8" t="n"/>
      <c r="P877" s="8" t="n"/>
      <c r="Q877" s="8" t="n"/>
      <c r="R877" s="13">
        <f>IF(O877="","",SUM(O877:Q877))</f>
        <v/>
      </c>
      <c r="S877" s="9">
        <f>IF(R877="","",ROUND(R877/3.305785,3))</f>
        <v/>
      </c>
      <c r="T877" s="7" t="n"/>
      <c r="U877" s="7" t="n"/>
      <c r="V877" s="10">
        <f>IF(OR(T877="",U877="",U877=0),"",ROUND(T877/U877,6))</f>
        <v/>
      </c>
      <c r="W877" s="9">
        <f>IF(OR(R877="",T877="",U877="",U877=0),"",ROUND(R877*T877/U877,3))</f>
        <v/>
      </c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12">
        <f>IF(A877="","",IF(OR(B877="",C877="",D877="",E877="",H877="",O877="",T877="",U877=""),"必填欄位未完整",""))</f>
        <v/>
      </c>
      <c r="AI877" s="12">
        <f>IF(A877="","",A877&amp;"|"&amp;G877)</f>
        <v/>
      </c>
      <c r="AJ877" s="12">
        <f>IF(A877="","",A877&amp;"|"&amp;H877)</f>
        <v/>
      </c>
    </row>
    <row r="878" ht="24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8" t="n"/>
      <c r="P878" s="8" t="n"/>
      <c r="Q878" s="8" t="n"/>
      <c r="R878" s="13">
        <f>IF(O878="","",SUM(O878:Q878))</f>
        <v/>
      </c>
      <c r="S878" s="9">
        <f>IF(R878="","",ROUND(R878/3.305785,3))</f>
        <v/>
      </c>
      <c r="T878" s="7" t="n"/>
      <c r="U878" s="7" t="n"/>
      <c r="V878" s="10">
        <f>IF(OR(T878="",U878="",U878=0),"",ROUND(T878/U878,6))</f>
        <v/>
      </c>
      <c r="W878" s="9">
        <f>IF(OR(R878="",T878="",U878="",U878=0),"",ROUND(R878*T878/U878,3))</f>
        <v/>
      </c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12">
        <f>IF(A878="","",IF(OR(B878="",C878="",D878="",E878="",H878="",O878="",T878="",U878=""),"必填欄位未完整",""))</f>
        <v/>
      </c>
      <c r="AI878" s="12">
        <f>IF(A878="","",A878&amp;"|"&amp;G878)</f>
        <v/>
      </c>
      <c r="AJ878" s="12">
        <f>IF(A878="","",A878&amp;"|"&amp;H878)</f>
        <v/>
      </c>
    </row>
    <row r="879" ht="24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8" t="n"/>
      <c r="P879" s="8" t="n"/>
      <c r="Q879" s="8" t="n"/>
      <c r="R879" s="13">
        <f>IF(O879="","",SUM(O879:Q879))</f>
        <v/>
      </c>
      <c r="S879" s="9">
        <f>IF(R879="","",ROUND(R879/3.305785,3))</f>
        <v/>
      </c>
      <c r="T879" s="7" t="n"/>
      <c r="U879" s="7" t="n"/>
      <c r="V879" s="10">
        <f>IF(OR(T879="",U879="",U879=0),"",ROUND(T879/U879,6))</f>
        <v/>
      </c>
      <c r="W879" s="9">
        <f>IF(OR(R879="",T879="",U879="",U879=0),"",ROUND(R879*T879/U879,3))</f>
        <v/>
      </c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12">
        <f>IF(A879="","",IF(OR(B879="",C879="",D879="",E879="",H879="",O879="",T879="",U879=""),"必填欄位未完整",""))</f>
        <v/>
      </c>
      <c r="AI879" s="12">
        <f>IF(A879="","",A879&amp;"|"&amp;G879)</f>
        <v/>
      </c>
      <c r="AJ879" s="12">
        <f>IF(A879="","",A879&amp;"|"&amp;H879)</f>
        <v/>
      </c>
    </row>
    <row r="880" ht="24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8" t="n"/>
      <c r="P880" s="8" t="n"/>
      <c r="Q880" s="8" t="n"/>
      <c r="R880" s="13">
        <f>IF(O880="","",SUM(O880:Q880))</f>
        <v/>
      </c>
      <c r="S880" s="9">
        <f>IF(R880="","",ROUND(R880/3.305785,3))</f>
        <v/>
      </c>
      <c r="T880" s="7" t="n"/>
      <c r="U880" s="7" t="n"/>
      <c r="V880" s="10">
        <f>IF(OR(T880="",U880="",U880=0),"",ROUND(T880/U880,6))</f>
        <v/>
      </c>
      <c r="W880" s="9">
        <f>IF(OR(R880="",T880="",U880="",U880=0),"",ROUND(R880*T880/U880,3))</f>
        <v/>
      </c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12">
        <f>IF(A880="","",IF(OR(B880="",C880="",D880="",E880="",H880="",O880="",T880="",U880=""),"必填欄位未完整",""))</f>
        <v/>
      </c>
      <c r="AI880" s="12">
        <f>IF(A880="","",A880&amp;"|"&amp;G880)</f>
        <v/>
      </c>
      <c r="AJ880" s="12">
        <f>IF(A880="","",A880&amp;"|"&amp;H880)</f>
        <v/>
      </c>
    </row>
    <row r="881" ht="24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8" t="n"/>
      <c r="P881" s="8" t="n"/>
      <c r="Q881" s="8" t="n"/>
      <c r="R881" s="13">
        <f>IF(O881="","",SUM(O881:Q881))</f>
        <v/>
      </c>
      <c r="S881" s="9">
        <f>IF(R881="","",ROUND(R881/3.305785,3))</f>
        <v/>
      </c>
      <c r="T881" s="7" t="n"/>
      <c r="U881" s="7" t="n"/>
      <c r="V881" s="10">
        <f>IF(OR(T881="",U881="",U881=0),"",ROUND(T881/U881,6))</f>
        <v/>
      </c>
      <c r="W881" s="9">
        <f>IF(OR(R881="",T881="",U881="",U881=0),"",ROUND(R881*T881/U881,3))</f>
        <v/>
      </c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12">
        <f>IF(A881="","",IF(OR(B881="",C881="",D881="",E881="",H881="",O881="",T881="",U881=""),"必填欄位未完整",""))</f>
        <v/>
      </c>
      <c r="AI881" s="12">
        <f>IF(A881="","",A881&amp;"|"&amp;G881)</f>
        <v/>
      </c>
      <c r="AJ881" s="12">
        <f>IF(A881="","",A881&amp;"|"&amp;H881)</f>
        <v/>
      </c>
    </row>
    <row r="882" ht="24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8" t="n"/>
      <c r="P882" s="8" t="n"/>
      <c r="Q882" s="8" t="n"/>
      <c r="R882" s="13">
        <f>IF(O882="","",SUM(O882:Q882))</f>
        <v/>
      </c>
      <c r="S882" s="9">
        <f>IF(R882="","",ROUND(R882/3.305785,3))</f>
        <v/>
      </c>
      <c r="T882" s="7" t="n"/>
      <c r="U882" s="7" t="n"/>
      <c r="V882" s="10">
        <f>IF(OR(T882="",U882="",U882=0),"",ROUND(T882/U882,6))</f>
        <v/>
      </c>
      <c r="W882" s="9">
        <f>IF(OR(R882="",T882="",U882="",U882=0),"",ROUND(R882*T882/U882,3))</f>
        <v/>
      </c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12">
        <f>IF(A882="","",IF(OR(B882="",C882="",D882="",E882="",H882="",O882="",T882="",U882=""),"必填欄位未完整",""))</f>
        <v/>
      </c>
      <c r="AI882" s="12">
        <f>IF(A882="","",A882&amp;"|"&amp;G882)</f>
        <v/>
      </c>
      <c r="AJ882" s="12">
        <f>IF(A882="","",A882&amp;"|"&amp;H882)</f>
        <v/>
      </c>
    </row>
    <row r="883" ht="24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8" t="n"/>
      <c r="P883" s="8" t="n"/>
      <c r="Q883" s="8" t="n"/>
      <c r="R883" s="13">
        <f>IF(O883="","",SUM(O883:Q883))</f>
        <v/>
      </c>
      <c r="S883" s="9">
        <f>IF(R883="","",ROUND(R883/3.305785,3))</f>
        <v/>
      </c>
      <c r="T883" s="7" t="n"/>
      <c r="U883" s="7" t="n"/>
      <c r="V883" s="10">
        <f>IF(OR(T883="",U883="",U883=0),"",ROUND(T883/U883,6))</f>
        <v/>
      </c>
      <c r="W883" s="9">
        <f>IF(OR(R883="",T883="",U883="",U883=0),"",ROUND(R883*T883/U883,3))</f>
        <v/>
      </c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12">
        <f>IF(A883="","",IF(OR(B883="",C883="",D883="",E883="",H883="",O883="",T883="",U883=""),"必填欄位未完整",""))</f>
        <v/>
      </c>
      <c r="AI883" s="12">
        <f>IF(A883="","",A883&amp;"|"&amp;G883)</f>
        <v/>
      </c>
      <c r="AJ883" s="12">
        <f>IF(A883="","",A883&amp;"|"&amp;H883)</f>
        <v/>
      </c>
    </row>
    <row r="884" ht="24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8" t="n"/>
      <c r="P884" s="8" t="n"/>
      <c r="Q884" s="8" t="n"/>
      <c r="R884" s="13">
        <f>IF(O884="","",SUM(O884:Q884))</f>
        <v/>
      </c>
      <c r="S884" s="9">
        <f>IF(R884="","",ROUND(R884/3.305785,3))</f>
        <v/>
      </c>
      <c r="T884" s="7" t="n"/>
      <c r="U884" s="7" t="n"/>
      <c r="V884" s="10">
        <f>IF(OR(T884="",U884="",U884=0),"",ROUND(T884/U884,6))</f>
        <v/>
      </c>
      <c r="W884" s="9">
        <f>IF(OR(R884="",T884="",U884="",U884=0),"",ROUND(R884*T884/U884,3))</f>
        <v/>
      </c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12">
        <f>IF(A884="","",IF(OR(B884="",C884="",D884="",E884="",H884="",O884="",T884="",U884=""),"必填欄位未完整",""))</f>
        <v/>
      </c>
      <c r="AI884" s="12">
        <f>IF(A884="","",A884&amp;"|"&amp;G884)</f>
        <v/>
      </c>
      <c r="AJ884" s="12">
        <f>IF(A884="","",A884&amp;"|"&amp;H884)</f>
        <v/>
      </c>
    </row>
    <row r="885" ht="24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8" t="n"/>
      <c r="P885" s="8" t="n"/>
      <c r="Q885" s="8" t="n"/>
      <c r="R885" s="13">
        <f>IF(O885="","",SUM(O885:Q885))</f>
        <v/>
      </c>
      <c r="S885" s="9">
        <f>IF(R885="","",ROUND(R885/3.305785,3))</f>
        <v/>
      </c>
      <c r="T885" s="7" t="n"/>
      <c r="U885" s="7" t="n"/>
      <c r="V885" s="10">
        <f>IF(OR(T885="",U885="",U885=0),"",ROUND(T885/U885,6))</f>
        <v/>
      </c>
      <c r="W885" s="9">
        <f>IF(OR(R885="",T885="",U885="",U885=0),"",ROUND(R885*T885/U885,3))</f>
        <v/>
      </c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12">
        <f>IF(A885="","",IF(OR(B885="",C885="",D885="",E885="",H885="",O885="",T885="",U885=""),"必填欄位未完整",""))</f>
        <v/>
      </c>
      <c r="AI885" s="12">
        <f>IF(A885="","",A885&amp;"|"&amp;G885)</f>
        <v/>
      </c>
      <c r="AJ885" s="12">
        <f>IF(A885="","",A885&amp;"|"&amp;H885)</f>
        <v/>
      </c>
    </row>
    <row r="886" ht="24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8" t="n"/>
      <c r="P886" s="8" t="n"/>
      <c r="Q886" s="8" t="n"/>
      <c r="R886" s="13">
        <f>IF(O886="","",SUM(O886:Q886))</f>
        <v/>
      </c>
      <c r="S886" s="9">
        <f>IF(R886="","",ROUND(R886/3.305785,3))</f>
        <v/>
      </c>
      <c r="T886" s="7" t="n"/>
      <c r="U886" s="7" t="n"/>
      <c r="V886" s="10">
        <f>IF(OR(T886="",U886="",U886=0),"",ROUND(T886/U886,6))</f>
        <v/>
      </c>
      <c r="W886" s="9">
        <f>IF(OR(R886="",T886="",U886="",U886=0),"",ROUND(R886*T886/U886,3))</f>
        <v/>
      </c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12">
        <f>IF(A886="","",IF(OR(B886="",C886="",D886="",E886="",H886="",O886="",T886="",U886=""),"必填欄位未完整",""))</f>
        <v/>
      </c>
      <c r="AI886" s="12">
        <f>IF(A886="","",A886&amp;"|"&amp;G886)</f>
        <v/>
      </c>
      <c r="AJ886" s="12">
        <f>IF(A886="","",A886&amp;"|"&amp;H886)</f>
        <v/>
      </c>
    </row>
    <row r="887" ht="24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8" t="n"/>
      <c r="P887" s="8" t="n"/>
      <c r="Q887" s="8" t="n"/>
      <c r="R887" s="13">
        <f>IF(O887="","",SUM(O887:Q887))</f>
        <v/>
      </c>
      <c r="S887" s="9">
        <f>IF(R887="","",ROUND(R887/3.305785,3))</f>
        <v/>
      </c>
      <c r="T887" s="7" t="n"/>
      <c r="U887" s="7" t="n"/>
      <c r="V887" s="10">
        <f>IF(OR(T887="",U887="",U887=0),"",ROUND(T887/U887,6))</f>
        <v/>
      </c>
      <c r="W887" s="9">
        <f>IF(OR(R887="",T887="",U887="",U887=0),"",ROUND(R887*T887/U887,3))</f>
        <v/>
      </c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12">
        <f>IF(A887="","",IF(OR(B887="",C887="",D887="",E887="",H887="",O887="",T887="",U887=""),"必填欄位未完整",""))</f>
        <v/>
      </c>
      <c r="AI887" s="12">
        <f>IF(A887="","",A887&amp;"|"&amp;G887)</f>
        <v/>
      </c>
      <c r="AJ887" s="12">
        <f>IF(A887="","",A887&amp;"|"&amp;H887)</f>
        <v/>
      </c>
    </row>
    <row r="888" ht="24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8" t="n"/>
      <c r="P888" s="8" t="n"/>
      <c r="Q888" s="8" t="n"/>
      <c r="R888" s="13">
        <f>IF(O888="","",SUM(O888:Q888))</f>
        <v/>
      </c>
      <c r="S888" s="9">
        <f>IF(R888="","",ROUND(R888/3.305785,3))</f>
        <v/>
      </c>
      <c r="T888" s="7" t="n"/>
      <c r="U888" s="7" t="n"/>
      <c r="V888" s="10">
        <f>IF(OR(T888="",U888="",U888=0),"",ROUND(T888/U888,6))</f>
        <v/>
      </c>
      <c r="W888" s="9">
        <f>IF(OR(R888="",T888="",U888="",U888=0),"",ROUND(R888*T888/U888,3))</f>
        <v/>
      </c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12">
        <f>IF(A888="","",IF(OR(B888="",C888="",D888="",E888="",H888="",O888="",T888="",U888=""),"必填欄位未完整",""))</f>
        <v/>
      </c>
      <c r="AI888" s="12">
        <f>IF(A888="","",A888&amp;"|"&amp;G888)</f>
        <v/>
      </c>
      <c r="AJ888" s="12">
        <f>IF(A888="","",A888&amp;"|"&amp;H888)</f>
        <v/>
      </c>
    </row>
    <row r="889" ht="24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8" t="n"/>
      <c r="P889" s="8" t="n"/>
      <c r="Q889" s="8" t="n"/>
      <c r="R889" s="13">
        <f>IF(O889="","",SUM(O889:Q889))</f>
        <v/>
      </c>
      <c r="S889" s="9">
        <f>IF(R889="","",ROUND(R889/3.305785,3))</f>
        <v/>
      </c>
      <c r="T889" s="7" t="n"/>
      <c r="U889" s="7" t="n"/>
      <c r="V889" s="10">
        <f>IF(OR(T889="",U889="",U889=0),"",ROUND(T889/U889,6))</f>
        <v/>
      </c>
      <c r="W889" s="9">
        <f>IF(OR(R889="",T889="",U889="",U889=0),"",ROUND(R889*T889/U889,3))</f>
        <v/>
      </c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12">
        <f>IF(A889="","",IF(OR(B889="",C889="",D889="",E889="",H889="",O889="",T889="",U889=""),"必填欄位未完整",""))</f>
        <v/>
      </c>
      <c r="AI889" s="12">
        <f>IF(A889="","",A889&amp;"|"&amp;G889)</f>
        <v/>
      </c>
      <c r="AJ889" s="12">
        <f>IF(A889="","",A889&amp;"|"&amp;H889)</f>
        <v/>
      </c>
    </row>
    <row r="890" ht="24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8" t="n"/>
      <c r="P890" s="8" t="n"/>
      <c r="Q890" s="8" t="n"/>
      <c r="R890" s="13">
        <f>IF(O890="","",SUM(O890:Q890))</f>
        <v/>
      </c>
      <c r="S890" s="9">
        <f>IF(R890="","",ROUND(R890/3.305785,3))</f>
        <v/>
      </c>
      <c r="T890" s="7" t="n"/>
      <c r="U890" s="7" t="n"/>
      <c r="V890" s="10">
        <f>IF(OR(T890="",U890="",U890=0),"",ROUND(T890/U890,6))</f>
        <v/>
      </c>
      <c r="W890" s="9">
        <f>IF(OR(R890="",T890="",U890="",U890=0),"",ROUND(R890*T890/U890,3))</f>
        <v/>
      </c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12">
        <f>IF(A890="","",IF(OR(B890="",C890="",D890="",E890="",H890="",O890="",T890="",U890=""),"必填欄位未完整",""))</f>
        <v/>
      </c>
      <c r="AI890" s="12">
        <f>IF(A890="","",A890&amp;"|"&amp;G890)</f>
        <v/>
      </c>
      <c r="AJ890" s="12">
        <f>IF(A890="","",A890&amp;"|"&amp;H890)</f>
        <v/>
      </c>
    </row>
    <row r="891" ht="24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8" t="n"/>
      <c r="P891" s="8" t="n"/>
      <c r="Q891" s="8" t="n"/>
      <c r="R891" s="13">
        <f>IF(O891="","",SUM(O891:Q891))</f>
        <v/>
      </c>
      <c r="S891" s="9">
        <f>IF(R891="","",ROUND(R891/3.305785,3))</f>
        <v/>
      </c>
      <c r="T891" s="7" t="n"/>
      <c r="U891" s="7" t="n"/>
      <c r="V891" s="10">
        <f>IF(OR(T891="",U891="",U891=0),"",ROUND(T891/U891,6))</f>
        <v/>
      </c>
      <c r="W891" s="9">
        <f>IF(OR(R891="",T891="",U891="",U891=0),"",ROUND(R891*T891/U891,3))</f>
        <v/>
      </c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12">
        <f>IF(A891="","",IF(OR(B891="",C891="",D891="",E891="",H891="",O891="",T891="",U891=""),"必填欄位未完整",""))</f>
        <v/>
      </c>
      <c r="AI891" s="12">
        <f>IF(A891="","",A891&amp;"|"&amp;G891)</f>
        <v/>
      </c>
      <c r="AJ891" s="12">
        <f>IF(A891="","",A891&amp;"|"&amp;H891)</f>
        <v/>
      </c>
    </row>
    <row r="892" ht="24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8" t="n"/>
      <c r="P892" s="8" t="n"/>
      <c r="Q892" s="8" t="n"/>
      <c r="R892" s="13">
        <f>IF(O892="","",SUM(O892:Q892))</f>
        <v/>
      </c>
      <c r="S892" s="9">
        <f>IF(R892="","",ROUND(R892/3.305785,3))</f>
        <v/>
      </c>
      <c r="T892" s="7" t="n"/>
      <c r="U892" s="7" t="n"/>
      <c r="V892" s="10">
        <f>IF(OR(T892="",U892="",U892=0),"",ROUND(T892/U892,6))</f>
        <v/>
      </c>
      <c r="W892" s="9">
        <f>IF(OR(R892="",T892="",U892="",U892=0),"",ROUND(R892*T892/U892,3))</f>
        <v/>
      </c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12">
        <f>IF(A892="","",IF(OR(B892="",C892="",D892="",E892="",H892="",O892="",T892="",U892=""),"必填欄位未完整",""))</f>
        <v/>
      </c>
      <c r="AI892" s="12">
        <f>IF(A892="","",A892&amp;"|"&amp;G892)</f>
        <v/>
      </c>
      <c r="AJ892" s="12">
        <f>IF(A892="","",A892&amp;"|"&amp;H892)</f>
        <v/>
      </c>
    </row>
    <row r="893" ht="24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8" t="n"/>
      <c r="P893" s="8" t="n"/>
      <c r="Q893" s="8" t="n"/>
      <c r="R893" s="13">
        <f>IF(O893="","",SUM(O893:Q893))</f>
        <v/>
      </c>
      <c r="S893" s="9">
        <f>IF(R893="","",ROUND(R893/3.305785,3))</f>
        <v/>
      </c>
      <c r="T893" s="7" t="n"/>
      <c r="U893" s="7" t="n"/>
      <c r="V893" s="10">
        <f>IF(OR(T893="",U893="",U893=0),"",ROUND(T893/U893,6))</f>
        <v/>
      </c>
      <c r="W893" s="9">
        <f>IF(OR(R893="",T893="",U893="",U893=0),"",ROUND(R893*T893/U893,3))</f>
        <v/>
      </c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12">
        <f>IF(A893="","",IF(OR(B893="",C893="",D893="",E893="",H893="",O893="",T893="",U893=""),"必填欄位未完整",""))</f>
        <v/>
      </c>
      <c r="AI893" s="12">
        <f>IF(A893="","",A893&amp;"|"&amp;G893)</f>
        <v/>
      </c>
      <c r="AJ893" s="12">
        <f>IF(A893="","",A893&amp;"|"&amp;H893)</f>
        <v/>
      </c>
    </row>
    <row r="894" ht="24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8" t="n"/>
      <c r="P894" s="8" t="n"/>
      <c r="Q894" s="8" t="n"/>
      <c r="R894" s="13">
        <f>IF(O894="","",SUM(O894:Q894))</f>
        <v/>
      </c>
      <c r="S894" s="9">
        <f>IF(R894="","",ROUND(R894/3.305785,3))</f>
        <v/>
      </c>
      <c r="T894" s="7" t="n"/>
      <c r="U894" s="7" t="n"/>
      <c r="V894" s="10">
        <f>IF(OR(T894="",U894="",U894=0),"",ROUND(T894/U894,6))</f>
        <v/>
      </c>
      <c r="W894" s="9">
        <f>IF(OR(R894="",T894="",U894="",U894=0),"",ROUND(R894*T894/U894,3))</f>
        <v/>
      </c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12">
        <f>IF(A894="","",IF(OR(B894="",C894="",D894="",E894="",H894="",O894="",T894="",U894=""),"必填欄位未完整",""))</f>
        <v/>
      </c>
      <c r="AI894" s="12">
        <f>IF(A894="","",A894&amp;"|"&amp;G894)</f>
        <v/>
      </c>
      <c r="AJ894" s="12">
        <f>IF(A894="","",A894&amp;"|"&amp;H894)</f>
        <v/>
      </c>
    </row>
    <row r="895" ht="24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8" t="n"/>
      <c r="P895" s="8" t="n"/>
      <c r="Q895" s="8" t="n"/>
      <c r="R895" s="13">
        <f>IF(O895="","",SUM(O895:Q895))</f>
        <v/>
      </c>
      <c r="S895" s="9">
        <f>IF(R895="","",ROUND(R895/3.305785,3))</f>
        <v/>
      </c>
      <c r="T895" s="7" t="n"/>
      <c r="U895" s="7" t="n"/>
      <c r="V895" s="10">
        <f>IF(OR(T895="",U895="",U895=0),"",ROUND(T895/U895,6))</f>
        <v/>
      </c>
      <c r="W895" s="9">
        <f>IF(OR(R895="",T895="",U895="",U895=0),"",ROUND(R895*T895/U895,3))</f>
        <v/>
      </c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12">
        <f>IF(A895="","",IF(OR(B895="",C895="",D895="",E895="",H895="",O895="",T895="",U895=""),"必填欄位未完整",""))</f>
        <v/>
      </c>
      <c r="AI895" s="12">
        <f>IF(A895="","",A895&amp;"|"&amp;G895)</f>
        <v/>
      </c>
      <c r="AJ895" s="12">
        <f>IF(A895="","",A895&amp;"|"&amp;H895)</f>
        <v/>
      </c>
    </row>
    <row r="896" ht="24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8" t="n"/>
      <c r="P896" s="8" t="n"/>
      <c r="Q896" s="8" t="n"/>
      <c r="R896" s="13">
        <f>IF(O896="","",SUM(O896:Q896))</f>
        <v/>
      </c>
      <c r="S896" s="9">
        <f>IF(R896="","",ROUND(R896/3.305785,3))</f>
        <v/>
      </c>
      <c r="T896" s="7" t="n"/>
      <c r="U896" s="7" t="n"/>
      <c r="V896" s="10">
        <f>IF(OR(T896="",U896="",U896=0),"",ROUND(T896/U896,6))</f>
        <v/>
      </c>
      <c r="W896" s="9">
        <f>IF(OR(R896="",T896="",U896="",U896=0),"",ROUND(R896*T896/U896,3))</f>
        <v/>
      </c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12">
        <f>IF(A896="","",IF(OR(B896="",C896="",D896="",E896="",H896="",O896="",T896="",U896=""),"必填欄位未完整",""))</f>
        <v/>
      </c>
      <c r="AI896" s="12">
        <f>IF(A896="","",A896&amp;"|"&amp;G896)</f>
        <v/>
      </c>
      <c r="AJ896" s="12">
        <f>IF(A896="","",A896&amp;"|"&amp;H896)</f>
        <v/>
      </c>
    </row>
    <row r="897" ht="24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8" t="n"/>
      <c r="P897" s="8" t="n"/>
      <c r="Q897" s="8" t="n"/>
      <c r="R897" s="13">
        <f>IF(O897="","",SUM(O897:Q897))</f>
        <v/>
      </c>
      <c r="S897" s="9">
        <f>IF(R897="","",ROUND(R897/3.305785,3))</f>
        <v/>
      </c>
      <c r="T897" s="7" t="n"/>
      <c r="U897" s="7" t="n"/>
      <c r="V897" s="10">
        <f>IF(OR(T897="",U897="",U897=0),"",ROUND(T897/U897,6))</f>
        <v/>
      </c>
      <c r="W897" s="9">
        <f>IF(OR(R897="",T897="",U897="",U897=0),"",ROUND(R897*T897/U897,3))</f>
        <v/>
      </c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12">
        <f>IF(A897="","",IF(OR(B897="",C897="",D897="",E897="",H897="",O897="",T897="",U897=""),"必填欄位未完整",""))</f>
        <v/>
      </c>
      <c r="AI897" s="12">
        <f>IF(A897="","",A897&amp;"|"&amp;G897)</f>
        <v/>
      </c>
      <c r="AJ897" s="12">
        <f>IF(A897="","",A897&amp;"|"&amp;H897)</f>
        <v/>
      </c>
    </row>
    <row r="898" ht="24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8" t="n"/>
      <c r="P898" s="8" t="n"/>
      <c r="Q898" s="8" t="n"/>
      <c r="R898" s="13">
        <f>IF(O898="","",SUM(O898:Q898))</f>
        <v/>
      </c>
      <c r="S898" s="9">
        <f>IF(R898="","",ROUND(R898/3.305785,3))</f>
        <v/>
      </c>
      <c r="T898" s="7" t="n"/>
      <c r="U898" s="7" t="n"/>
      <c r="V898" s="10">
        <f>IF(OR(T898="",U898="",U898=0),"",ROUND(T898/U898,6))</f>
        <v/>
      </c>
      <c r="W898" s="9">
        <f>IF(OR(R898="",T898="",U898="",U898=0),"",ROUND(R898*T898/U898,3))</f>
        <v/>
      </c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12">
        <f>IF(A898="","",IF(OR(B898="",C898="",D898="",E898="",H898="",O898="",T898="",U898=""),"必填欄位未完整",""))</f>
        <v/>
      </c>
      <c r="AI898" s="12">
        <f>IF(A898="","",A898&amp;"|"&amp;G898)</f>
        <v/>
      </c>
      <c r="AJ898" s="12">
        <f>IF(A898="","",A898&amp;"|"&amp;H898)</f>
        <v/>
      </c>
    </row>
    <row r="899" ht="24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8" t="n"/>
      <c r="P899" s="8" t="n"/>
      <c r="Q899" s="8" t="n"/>
      <c r="R899" s="13">
        <f>IF(O899="","",SUM(O899:Q899))</f>
        <v/>
      </c>
      <c r="S899" s="9">
        <f>IF(R899="","",ROUND(R899/3.305785,3))</f>
        <v/>
      </c>
      <c r="T899" s="7" t="n"/>
      <c r="U899" s="7" t="n"/>
      <c r="V899" s="10">
        <f>IF(OR(T899="",U899="",U899=0),"",ROUND(T899/U899,6))</f>
        <v/>
      </c>
      <c r="W899" s="9">
        <f>IF(OR(R899="",T899="",U899="",U899=0),"",ROUND(R899*T899/U899,3))</f>
        <v/>
      </c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12">
        <f>IF(A899="","",IF(OR(B899="",C899="",D899="",E899="",H899="",O899="",T899="",U899=""),"必填欄位未完整",""))</f>
        <v/>
      </c>
      <c r="AI899" s="12">
        <f>IF(A899="","",A899&amp;"|"&amp;G899)</f>
        <v/>
      </c>
      <c r="AJ899" s="12">
        <f>IF(A899="","",A899&amp;"|"&amp;H899)</f>
        <v/>
      </c>
    </row>
    <row r="900" ht="24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8" t="n"/>
      <c r="P900" s="8" t="n"/>
      <c r="Q900" s="8" t="n"/>
      <c r="R900" s="13">
        <f>IF(O900="","",SUM(O900:Q900))</f>
        <v/>
      </c>
      <c r="S900" s="9">
        <f>IF(R900="","",ROUND(R900/3.305785,3))</f>
        <v/>
      </c>
      <c r="T900" s="7" t="n"/>
      <c r="U900" s="7" t="n"/>
      <c r="V900" s="10">
        <f>IF(OR(T900="",U900="",U900=0),"",ROUND(T900/U900,6))</f>
        <v/>
      </c>
      <c r="W900" s="9">
        <f>IF(OR(R900="",T900="",U900="",U900=0),"",ROUND(R900*T900/U900,3))</f>
        <v/>
      </c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12">
        <f>IF(A900="","",IF(OR(B900="",C900="",D900="",E900="",H900="",O900="",T900="",U900=""),"必填欄位未完整",""))</f>
        <v/>
      </c>
      <c r="AI900" s="12">
        <f>IF(A900="","",A900&amp;"|"&amp;G900)</f>
        <v/>
      </c>
      <c r="AJ900" s="12">
        <f>IF(A900="","",A900&amp;"|"&amp;H900)</f>
        <v/>
      </c>
    </row>
    <row r="901" ht="24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8" t="n"/>
      <c r="P901" s="8" t="n"/>
      <c r="Q901" s="8" t="n"/>
      <c r="R901" s="13">
        <f>IF(O901="","",SUM(O901:Q901))</f>
        <v/>
      </c>
      <c r="S901" s="9">
        <f>IF(R901="","",ROUND(R901/3.305785,3))</f>
        <v/>
      </c>
      <c r="T901" s="7" t="n"/>
      <c r="U901" s="7" t="n"/>
      <c r="V901" s="10">
        <f>IF(OR(T901="",U901="",U901=0),"",ROUND(T901/U901,6))</f>
        <v/>
      </c>
      <c r="W901" s="9">
        <f>IF(OR(R901="",T901="",U901="",U901=0),"",ROUND(R901*T901/U901,3))</f>
        <v/>
      </c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12">
        <f>IF(A901="","",IF(OR(B901="",C901="",D901="",E901="",H901="",O901="",T901="",U901=""),"必填欄位未完整",""))</f>
        <v/>
      </c>
      <c r="AI901" s="12">
        <f>IF(A901="","",A901&amp;"|"&amp;G901)</f>
        <v/>
      </c>
      <c r="AJ901" s="12">
        <f>IF(A901="","",A901&amp;"|"&amp;H901)</f>
        <v/>
      </c>
    </row>
    <row r="902" ht="24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8" t="n"/>
      <c r="P902" s="8" t="n"/>
      <c r="Q902" s="8" t="n"/>
      <c r="R902" s="13">
        <f>IF(O902="","",SUM(O902:Q902))</f>
        <v/>
      </c>
      <c r="S902" s="9">
        <f>IF(R902="","",ROUND(R902/3.305785,3))</f>
        <v/>
      </c>
      <c r="T902" s="7" t="n"/>
      <c r="U902" s="7" t="n"/>
      <c r="V902" s="10">
        <f>IF(OR(T902="",U902="",U902=0),"",ROUND(T902/U902,6))</f>
        <v/>
      </c>
      <c r="W902" s="9">
        <f>IF(OR(R902="",T902="",U902="",U902=0),"",ROUND(R902*T902/U902,3))</f>
        <v/>
      </c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12">
        <f>IF(A902="","",IF(OR(B902="",C902="",D902="",E902="",H902="",O902="",T902="",U902=""),"必填欄位未完整",""))</f>
        <v/>
      </c>
      <c r="AI902" s="12">
        <f>IF(A902="","",A902&amp;"|"&amp;G902)</f>
        <v/>
      </c>
      <c r="AJ902" s="12">
        <f>IF(A902="","",A902&amp;"|"&amp;H902)</f>
        <v/>
      </c>
    </row>
    <row r="903" ht="24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8" t="n"/>
      <c r="P903" s="8" t="n"/>
      <c r="Q903" s="8" t="n"/>
      <c r="R903" s="13">
        <f>IF(O903="","",SUM(O903:Q903))</f>
        <v/>
      </c>
      <c r="S903" s="9">
        <f>IF(R903="","",ROUND(R903/3.305785,3))</f>
        <v/>
      </c>
      <c r="T903" s="7" t="n"/>
      <c r="U903" s="7" t="n"/>
      <c r="V903" s="10">
        <f>IF(OR(T903="",U903="",U903=0),"",ROUND(T903/U903,6))</f>
        <v/>
      </c>
      <c r="W903" s="9">
        <f>IF(OR(R903="",T903="",U903="",U903=0),"",ROUND(R903*T903/U903,3))</f>
        <v/>
      </c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12">
        <f>IF(A903="","",IF(OR(B903="",C903="",D903="",E903="",H903="",O903="",T903="",U903=""),"必填欄位未完整",""))</f>
        <v/>
      </c>
      <c r="AI903" s="12">
        <f>IF(A903="","",A903&amp;"|"&amp;G903)</f>
        <v/>
      </c>
      <c r="AJ903" s="12">
        <f>IF(A903="","",A903&amp;"|"&amp;H903)</f>
        <v/>
      </c>
    </row>
    <row r="904" ht="24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8" t="n"/>
      <c r="P904" s="8" t="n"/>
      <c r="Q904" s="8" t="n"/>
      <c r="R904" s="13">
        <f>IF(O904="","",SUM(O904:Q904))</f>
        <v/>
      </c>
      <c r="S904" s="9">
        <f>IF(R904="","",ROUND(R904/3.305785,3))</f>
        <v/>
      </c>
      <c r="T904" s="7" t="n"/>
      <c r="U904" s="7" t="n"/>
      <c r="V904" s="10">
        <f>IF(OR(T904="",U904="",U904=0),"",ROUND(T904/U904,6))</f>
        <v/>
      </c>
      <c r="W904" s="9">
        <f>IF(OR(R904="",T904="",U904="",U904=0),"",ROUND(R904*T904/U904,3))</f>
        <v/>
      </c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12">
        <f>IF(A904="","",IF(OR(B904="",C904="",D904="",E904="",H904="",O904="",T904="",U904=""),"必填欄位未完整",""))</f>
        <v/>
      </c>
      <c r="AI904" s="12">
        <f>IF(A904="","",A904&amp;"|"&amp;G904)</f>
        <v/>
      </c>
      <c r="AJ904" s="12">
        <f>IF(A904="","",A904&amp;"|"&amp;H904)</f>
        <v/>
      </c>
    </row>
    <row r="905" ht="24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8" t="n"/>
      <c r="P905" s="8" t="n"/>
      <c r="Q905" s="8" t="n"/>
      <c r="R905" s="13">
        <f>IF(O905="","",SUM(O905:Q905))</f>
        <v/>
      </c>
      <c r="S905" s="9">
        <f>IF(R905="","",ROUND(R905/3.305785,3))</f>
        <v/>
      </c>
      <c r="T905" s="7" t="n"/>
      <c r="U905" s="7" t="n"/>
      <c r="V905" s="10">
        <f>IF(OR(T905="",U905="",U905=0),"",ROUND(T905/U905,6))</f>
        <v/>
      </c>
      <c r="W905" s="9">
        <f>IF(OR(R905="",T905="",U905="",U905=0),"",ROUND(R905*T905/U905,3))</f>
        <v/>
      </c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12">
        <f>IF(A905="","",IF(OR(B905="",C905="",D905="",E905="",H905="",O905="",T905="",U905=""),"必填欄位未完整",""))</f>
        <v/>
      </c>
      <c r="AI905" s="12">
        <f>IF(A905="","",A905&amp;"|"&amp;G905)</f>
        <v/>
      </c>
      <c r="AJ905" s="12">
        <f>IF(A905="","",A905&amp;"|"&amp;H905)</f>
        <v/>
      </c>
    </row>
    <row r="906" ht="24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8" t="n"/>
      <c r="P906" s="8" t="n"/>
      <c r="Q906" s="8" t="n"/>
      <c r="R906" s="13">
        <f>IF(O906="","",SUM(O906:Q906))</f>
        <v/>
      </c>
      <c r="S906" s="9">
        <f>IF(R906="","",ROUND(R906/3.305785,3))</f>
        <v/>
      </c>
      <c r="T906" s="7" t="n"/>
      <c r="U906" s="7" t="n"/>
      <c r="V906" s="10">
        <f>IF(OR(T906="",U906="",U906=0),"",ROUND(T906/U906,6))</f>
        <v/>
      </c>
      <c r="W906" s="9">
        <f>IF(OR(R906="",T906="",U906="",U906=0),"",ROUND(R906*T906/U906,3))</f>
        <v/>
      </c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12">
        <f>IF(A906="","",IF(OR(B906="",C906="",D906="",E906="",H906="",O906="",T906="",U906=""),"必填欄位未完整",""))</f>
        <v/>
      </c>
      <c r="AI906" s="12">
        <f>IF(A906="","",A906&amp;"|"&amp;G906)</f>
        <v/>
      </c>
      <c r="AJ906" s="12">
        <f>IF(A906="","",A906&amp;"|"&amp;H906)</f>
        <v/>
      </c>
    </row>
    <row r="907" ht="24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8" t="n"/>
      <c r="P907" s="8" t="n"/>
      <c r="Q907" s="8" t="n"/>
      <c r="R907" s="13">
        <f>IF(O907="","",SUM(O907:Q907))</f>
        <v/>
      </c>
      <c r="S907" s="9">
        <f>IF(R907="","",ROUND(R907/3.305785,3))</f>
        <v/>
      </c>
      <c r="T907" s="7" t="n"/>
      <c r="U907" s="7" t="n"/>
      <c r="V907" s="10">
        <f>IF(OR(T907="",U907="",U907=0),"",ROUND(T907/U907,6))</f>
        <v/>
      </c>
      <c r="W907" s="9">
        <f>IF(OR(R907="",T907="",U907="",U907=0),"",ROUND(R907*T907/U907,3))</f>
        <v/>
      </c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12">
        <f>IF(A907="","",IF(OR(B907="",C907="",D907="",E907="",H907="",O907="",T907="",U907=""),"必填欄位未完整",""))</f>
        <v/>
      </c>
      <c r="AI907" s="12">
        <f>IF(A907="","",A907&amp;"|"&amp;G907)</f>
        <v/>
      </c>
      <c r="AJ907" s="12">
        <f>IF(A907="","",A907&amp;"|"&amp;H907)</f>
        <v/>
      </c>
    </row>
    <row r="908" ht="24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8" t="n"/>
      <c r="P908" s="8" t="n"/>
      <c r="Q908" s="8" t="n"/>
      <c r="R908" s="13">
        <f>IF(O908="","",SUM(O908:Q908))</f>
        <v/>
      </c>
      <c r="S908" s="9">
        <f>IF(R908="","",ROUND(R908/3.305785,3))</f>
        <v/>
      </c>
      <c r="T908" s="7" t="n"/>
      <c r="U908" s="7" t="n"/>
      <c r="V908" s="10">
        <f>IF(OR(T908="",U908="",U908=0),"",ROUND(T908/U908,6))</f>
        <v/>
      </c>
      <c r="W908" s="9">
        <f>IF(OR(R908="",T908="",U908="",U908=0),"",ROUND(R908*T908/U908,3))</f>
        <v/>
      </c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12">
        <f>IF(A908="","",IF(OR(B908="",C908="",D908="",E908="",H908="",O908="",T908="",U908=""),"必填欄位未完整",""))</f>
        <v/>
      </c>
      <c r="AI908" s="12">
        <f>IF(A908="","",A908&amp;"|"&amp;G908)</f>
        <v/>
      </c>
      <c r="AJ908" s="12">
        <f>IF(A908="","",A908&amp;"|"&amp;H908)</f>
        <v/>
      </c>
    </row>
    <row r="909" ht="24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8" t="n"/>
      <c r="P909" s="8" t="n"/>
      <c r="Q909" s="8" t="n"/>
      <c r="R909" s="13">
        <f>IF(O909="","",SUM(O909:Q909))</f>
        <v/>
      </c>
      <c r="S909" s="9">
        <f>IF(R909="","",ROUND(R909/3.305785,3))</f>
        <v/>
      </c>
      <c r="T909" s="7" t="n"/>
      <c r="U909" s="7" t="n"/>
      <c r="V909" s="10">
        <f>IF(OR(T909="",U909="",U909=0),"",ROUND(T909/U909,6))</f>
        <v/>
      </c>
      <c r="W909" s="9">
        <f>IF(OR(R909="",T909="",U909="",U909=0),"",ROUND(R909*T909/U909,3))</f>
        <v/>
      </c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12">
        <f>IF(A909="","",IF(OR(B909="",C909="",D909="",E909="",H909="",O909="",T909="",U909=""),"必填欄位未完整",""))</f>
        <v/>
      </c>
      <c r="AI909" s="12">
        <f>IF(A909="","",A909&amp;"|"&amp;G909)</f>
        <v/>
      </c>
      <c r="AJ909" s="12">
        <f>IF(A909="","",A909&amp;"|"&amp;H909)</f>
        <v/>
      </c>
    </row>
    <row r="910" ht="24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8" t="n"/>
      <c r="P910" s="8" t="n"/>
      <c r="Q910" s="8" t="n"/>
      <c r="R910" s="13">
        <f>IF(O910="","",SUM(O910:Q910))</f>
        <v/>
      </c>
      <c r="S910" s="9">
        <f>IF(R910="","",ROUND(R910/3.305785,3))</f>
        <v/>
      </c>
      <c r="T910" s="7" t="n"/>
      <c r="U910" s="7" t="n"/>
      <c r="V910" s="10">
        <f>IF(OR(T910="",U910="",U910=0),"",ROUND(T910/U910,6))</f>
        <v/>
      </c>
      <c r="W910" s="9">
        <f>IF(OR(R910="",T910="",U910="",U910=0),"",ROUND(R910*T910/U910,3))</f>
        <v/>
      </c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12">
        <f>IF(A910="","",IF(OR(B910="",C910="",D910="",E910="",H910="",O910="",T910="",U910=""),"必填欄位未完整",""))</f>
        <v/>
      </c>
      <c r="AI910" s="12">
        <f>IF(A910="","",A910&amp;"|"&amp;G910)</f>
        <v/>
      </c>
      <c r="AJ910" s="12">
        <f>IF(A910="","",A910&amp;"|"&amp;H910)</f>
        <v/>
      </c>
    </row>
    <row r="911" ht="24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8" t="n"/>
      <c r="P911" s="8" t="n"/>
      <c r="Q911" s="8" t="n"/>
      <c r="R911" s="13">
        <f>IF(O911="","",SUM(O911:Q911))</f>
        <v/>
      </c>
      <c r="S911" s="9">
        <f>IF(R911="","",ROUND(R911/3.305785,3))</f>
        <v/>
      </c>
      <c r="T911" s="7" t="n"/>
      <c r="U911" s="7" t="n"/>
      <c r="V911" s="10">
        <f>IF(OR(T911="",U911="",U911=0),"",ROUND(T911/U911,6))</f>
        <v/>
      </c>
      <c r="W911" s="9">
        <f>IF(OR(R911="",T911="",U911="",U911=0),"",ROUND(R911*T911/U911,3))</f>
        <v/>
      </c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12">
        <f>IF(A911="","",IF(OR(B911="",C911="",D911="",E911="",H911="",O911="",T911="",U911=""),"必填欄位未完整",""))</f>
        <v/>
      </c>
      <c r="AI911" s="12">
        <f>IF(A911="","",A911&amp;"|"&amp;G911)</f>
        <v/>
      </c>
      <c r="AJ911" s="12">
        <f>IF(A911="","",A911&amp;"|"&amp;H911)</f>
        <v/>
      </c>
    </row>
    <row r="912" ht="24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8" t="n"/>
      <c r="P912" s="8" t="n"/>
      <c r="Q912" s="8" t="n"/>
      <c r="R912" s="13">
        <f>IF(O912="","",SUM(O912:Q912))</f>
        <v/>
      </c>
      <c r="S912" s="9">
        <f>IF(R912="","",ROUND(R912/3.305785,3))</f>
        <v/>
      </c>
      <c r="T912" s="7" t="n"/>
      <c r="U912" s="7" t="n"/>
      <c r="V912" s="10">
        <f>IF(OR(T912="",U912="",U912=0),"",ROUND(T912/U912,6))</f>
        <v/>
      </c>
      <c r="W912" s="9">
        <f>IF(OR(R912="",T912="",U912="",U912=0),"",ROUND(R912*T912/U912,3))</f>
        <v/>
      </c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12">
        <f>IF(A912="","",IF(OR(B912="",C912="",D912="",E912="",H912="",O912="",T912="",U912=""),"必填欄位未完整",""))</f>
        <v/>
      </c>
      <c r="AI912" s="12">
        <f>IF(A912="","",A912&amp;"|"&amp;G912)</f>
        <v/>
      </c>
      <c r="AJ912" s="12">
        <f>IF(A912="","",A912&amp;"|"&amp;H912)</f>
        <v/>
      </c>
    </row>
    <row r="913" ht="24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8" t="n"/>
      <c r="P913" s="8" t="n"/>
      <c r="Q913" s="8" t="n"/>
      <c r="R913" s="13">
        <f>IF(O913="","",SUM(O913:Q913))</f>
        <v/>
      </c>
      <c r="S913" s="9">
        <f>IF(R913="","",ROUND(R913/3.305785,3))</f>
        <v/>
      </c>
      <c r="T913" s="7" t="n"/>
      <c r="U913" s="7" t="n"/>
      <c r="V913" s="10">
        <f>IF(OR(T913="",U913="",U913=0),"",ROUND(T913/U913,6))</f>
        <v/>
      </c>
      <c r="W913" s="9">
        <f>IF(OR(R913="",T913="",U913="",U913=0),"",ROUND(R913*T913/U913,3))</f>
        <v/>
      </c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12">
        <f>IF(A913="","",IF(OR(B913="",C913="",D913="",E913="",H913="",O913="",T913="",U913=""),"必填欄位未完整",""))</f>
        <v/>
      </c>
      <c r="AI913" s="12">
        <f>IF(A913="","",A913&amp;"|"&amp;G913)</f>
        <v/>
      </c>
      <c r="AJ913" s="12">
        <f>IF(A913="","",A913&amp;"|"&amp;H913)</f>
        <v/>
      </c>
    </row>
    <row r="914" ht="24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8" t="n"/>
      <c r="P914" s="8" t="n"/>
      <c r="Q914" s="8" t="n"/>
      <c r="R914" s="13">
        <f>IF(O914="","",SUM(O914:Q914))</f>
        <v/>
      </c>
      <c r="S914" s="9">
        <f>IF(R914="","",ROUND(R914/3.305785,3))</f>
        <v/>
      </c>
      <c r="T914" s="7" t="n"/>
      <c r="U914" s="7" t="n"/>
      <c r="V914" s="10">
        <f>IF(OR(T914="",U914="",U914=0),"",ROUND(T914/U914,6))</f>
        <v/>
      </c>
      <c r="W914" s="9">
        <f>IF(OR(R914="",T914="",U914="",U914=0),"",ROUND(R914*T914/U914,3))</f>
        <v/>
      </c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12">
        <f>IF(A914="","",IF(OR(B914="",C914="",D914="",E914="",H914="",O914="",T914="",U914=""),"必填欄位未完整",""))</f>
        <v/>
      </c>
      <c r="AI914" s="12">
        <f>IF(A914="","",A914&amp;"|"&amp;G914)</f>
        <v/>
      </c>
      <c r="AJ914" s="12">
        <f>IF(A914="","",A914&amp;"|"&amp;H914)</f>
        <v/>
      </c>
    </row>
    <row r="915" ht="24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8" t="n"/>
      <c r="P915" s="8" t="n"/>
      <c r="Q915" s="8" t="n"/>
      <c r="R915" s="13">
        <f>IF(O915="","",SUM(O915:Q915))</f>
        <v/>
      </c>
      <c r="S915" s="9">
        <f>IF(R915="","",ROUND(R915/3.305785,3))</f>
        <v/>
      </c>
      <c r="T915" s="7" t="n"/>
      <c r="U915" s="7" t="n"/>
      <c r="V915" s="10">
        <f>IF(OR(T915="",U915="",U915=0),"",ROUND(T915/U915,6))</f>
        <v/>
      </c>
      <c r="W915" s="9">
        <f>IF(OR(R915="",T915="",U915="",U915=0),"",ROUND(R915*T915/U915,3))</f>
        <v/>
      </c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12">
        <f>IF(A915="","",IF(OR(B915="",C915="",D915="",E915="",H915="",O915="",T915="",U915=""),"必填欄位未完整",""))</f>
        <v/>
      </c>
      <c r="AI915" s="12">
        <f>IF(A915="","",A915&amp;"|"&amp;G915)</f>
        <v/>
      </c>
      <c r="AJ915" s="12">
        <f>IF(A915="","",A915&amp;"|"&amp;H915)</f>
        <v/>
      </c>
    </row>
    <row r="916" ht="24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8" t="n"/>
      <c r="P916" s="8" t="n"/>
      <c r="Q916" s="8" t="n"/>
      <c r="R916" s="13">
        <f>IF(O916="","",SUM(O916:Q916))</f>
        <v/>
      </c>
      <c r="S916" s="9">
        <f>IF(R916="","",ROUND(R916/3.305785,3))</f>
        <v/>
      </c>
      <c r="T916" s="7" t="n"/>
      <c r="U916" s="7" t="n"/>
      <c r="V916" s="10">
        <f>IF(OR(T916="",U916="",U916=0),"",ROUND(T916/U916,6))</f>
        <v/>
      </c>
      <c r="W916" s="9">
        <f>IF(OR(R916="",T916="",U916="",U916=0),"",ROUND(R916*T916/U916,3))</f>
        <v/>
      </c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12">
        <f>IF(A916="","",IF(OR(B916="",C916="",D916="",E916="",H916="",O916="",T916="",U916=""),"必填欄位未完整",""))</f>
        <v/>
      </c>
      <c r="AI916" s="12">
        <f>IF(A916="","",A916&amp;"|"&amp;G916)</f>
        <v/>
      </c>
      <c r="AJ916" s="12">
        <f>IF(A916="","",A916&amp;"|"&amp;H916)</f>
        <v/>
      </c>
    </row>
    <row r="917" ht="24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8" t="n"/>
      <c r="P917" s="8" t="n"/>
      <c r="Q917" s="8" t="n"/>
      <c r="R917" s="13">
        <f>IF(O917="","",SUM(O917:Q917))</f>
        <v/>
      </c>
      <c r="S917" s="9">
        <f>IF(R917="","",ROUND(R917/3.305785,3))</f>
        <v/>
      </c>
      <c r="T917" s="7" t="n"/>
      <c r="U917" s="7" t="n"/>
      <c r="V917" s="10">
        <f>IF(OR(T917="",U917="",U917=0),"",ROUND(T917/U917,6))</f>
        <v/>
      </c>
      <c r="W917" s="9">
        <f>IF(OR(R917="",T917="",U917="",U917=0),"",ROUND(R917*T917/U917,3))</f>
        <v/>
      </c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12">
        <f>IF(A917="","",IF(OR(B917="",C917="",D917="",E917="",H917="",O917="",T917="",U917=""),"必填欄位未完整",""))</f>
        <v/>
      </c>
      <c r="AI917" s="12">
        <f>IF(A917="","",A917&amp;"|"&amp;G917)</f>
        <v/>
      </c>
      <c r="AJ917" s="12">
        <f>IF(A917="","",A917&amp;"|"&amp;H917)</f>
        <v/>
      </c>
    </row>
    <row r="918" ht="24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8" t="n"/>
      <c r="P918" s="8" t="n"/>
      <c r="Q918" s="8" t="n"/>
      <c r="R918" s="13">
        <f>IF(O918="","",SUM(O918:Q918))</f>
        <v/>
      </c>
      <c r="S918" s="9">
        <f>IF(R918="","",ROUND(R918/3.305785,3))</f>
        <v/>
      </c>
      <c r="T918" s="7" t="n"/>
      <c r="U918" s="7" t="n"/>
      <c r="V918" s="10">
        <f>IF(OR(T918="",U918="",U918=0),"",ROUND(T918/U918,6))</f>
        <v/>
      </c>
      <c r="W918" s="9">
        <f>IF(OR(R918="",T918="",U918="",U918=0),"",ROUND(R918*T918/U918,3))</f>
        <v/>
      </c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12">
        <f>IF(A918="","",IF(OR(B918="",C918="",D918="",E918="",H918="",O918="",T918="",U918=""),"必填欄位未完整",""))</f>
        <v/>
      </c>
      <c r="AI918" s="12">
        <f>IF(A918="","",A918&amp;"|"&amp;G918)</f>
        <v/>
      </c>
      <c r="AJ918" s="12">
        <f>IF(A918="","",A918&amp;"|"&amp;H918)</f>
        <v/>
      </c>
    </row>
    <row r="919" ht="24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8" t="n"/>
      <c r="P919" s="8" t="n"/>
      <c r="Q919" s="8" t="n"/>
      <c r="R919" s="13">
        <f>IF(O919="","",SUM(O919:Q919))</f>
        <v/>
      </c>
      <c r="S919" s="9">
        <f>IF(R919="","",ROUND(R919/3.305785,3))</f>
        <v/>
      </c>
      <c r="T919" s="7" t="n"/>
      <c r="U919" s="7" t="n"/>
      <c r="V919" s="10">
        <f>IF(OR(T919="",U919="",U919=0),"",ROUND(T919/U919,6))</f>
        <v/>
      </c>
      <c r="W919" s="9">
        <f>IF(OR(R919="",T919="",U919="",U919=0),"",ROUND(R919*T919/U919,3))</f>
        <v/>
      </c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12">
        <f>IF(A919="","",IF(OR(B919="",C919="",D919="",E919="",H919="",O919="",T919="",U919=""),"必填欄位未完整",""))</f>
        <v/>
      </c>
      <c r="AI919" s="12">
        <f>IF(A919="","",A919&amp;"|"&amp;G919)</f>
        <v/>
      </c>
      <c r="AJ919" s="12">
        <f>IF(A919="","",A919&amp;"|"&amp;H919)</f>
        <v/>
      </c>
    </row>
    <row r="920" ht="24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8" t="n"/>
      <c r="P920" s="8" t="n"/>
      <c r="Q920" s="8" t="n"/>
      <c r="R920" s="13">
        <f>IF(O920="","",SUM(O920:Q920))</f>
        <v/>
      </c>
      <c r="S920" s="9">
        <f>IF(R920="","",ROUND(R920/3.305785,3))</f>
        <v/>
      </c>
      <c r="T920" s="7" t="n"/>
      <c r="U920" s="7" t="n"/>
      <c r="V920" s="10">
        <f>IF(OR(T920="",U920="",U920=0),"",ROUND(T920/U920,6))</f>
        <v/>
      </c>
      <c r="W920" s="9">
        <f>IF(OR(R920="",T920="",U920="",U920=0),"",ROUND(R920*T920/U920,3))</f>
        <v/>
      </c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12">
        <f>IF(A920="","",IF(OR(B920="",C920="",D920="",E920="",H920="",O920="",T920="",U920=""),"必填欄位未完整",""))</f>
        <v/>
      </c>
      <c r="AI920" s="12">
        <f>IF(A920="","",A920&amp;"|"&amp;G920)</f>
        <v/>
      </c>
      <c r="AJ920" s="12">
        <f>IF(A920="","",A920&amp;"|"&amp;H920)</f>
        <v/>
      </c>
    </row>
    <row r="921" ht="24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8" t="n"/>
      <c r="P921" s="8" t="n"/>
      <c r="Q921" s="8" t="n"/>
      <c r="R921" s="13">
        <f>IF(O921="","",SUM(O921:Q921))</f>
        <v/>
      </c>
      <c r="S921" s="9">
        <f>IF(R921="","",ROUND(R921/3.305785,3))</f>
        <v/>
      </c>
      <c r="T921" s="7" t="n"/>
      <c r="U921" s="7" t="n"/>
      <c r="V921" s="10">
        <f>IF(OR(T921="",U921="",U921=0),"",ROUND(T921/U921,6))</f>
        <v/>
      </c>
      <c r="W921" s="9">
        <f>IF(OR(R921="",T921="",U921="",U921=0),"",ROUND(R921*T921/U921,3))</f>
        <v/>
      </c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12">
        <f>IF(A921="","",IF(OR(B921="",C921="",D921="",E921="",H921="",O921="",T921="",U921=""),"必填欄位未完整",""))</f>
        <v/>
      </c>
      <c r="AI921" s="12">
        <f>IF(A921="","",A921&amp;"|"&amp;G921)</f>
        <v/>
      </c>
      <c r="AJ921" s="12">
        <f>IF(A921="","",A921&amp;"|"&amp;H921)</f>
        <v/>
      </c>
    </row>
    <row r="922" ht="24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8" t="n"/>
      <c r="P922" s="8" t="n"/>
      <c r="Q922" s="8" t="n"/>
      <c r="R922" s="13">
        <f>IF(O922="","",SUM(O922:Q922))</f>
        <v/>
      </c>
      <c r="S922" s="9">
        <f>IF(R922="","",ROUND(R922/3.305785,3))</f>
        <v/>
      </c>
      <c r="T922" s="7" t="n"/>
      <c r="U922" s="7" t="n"/>
      <c r="V922" s="10">
        <f>IF(OR(T922="",U922="",U922=0),"",ROUND(T922/U922,6))</f>
        <v/>
      </c>
      <c r="W922" s="9">
        <f>IF(OR(R922="",T922="",U922="",U922=0),"",ROUND(R922*T922/U922,3))</f>
        <v/>
      </c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12">
        <f>IF(A922="","",IF(OR(B922="",C922="",D922="",E922="",H922="",O922="",T922="",U922=""),"必填欄位未完整",""))</f>
        <v/>
      </c>
      <c r="AI922" s="12">
        <f>IF(A922="","",A922&amp;"|"&amp;G922)</f>
        <v/>
      </c>
      <c r="AJ922" s="12">
        <f>IF(A922="","",A922&amp;"|"&amp;H922)</f>
        <v/>
      </c>
    </row>
    <row r="923" ht="24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8" t="n"/>
      <c r="P923" s="8" t="n"/>
      <c r="Q923" s="8" t="n"/>
      <c r="R923" s="13">
        <f>IF(O923="","",SUM(O923:Q923))</f>
        <v/>
      </c>
      <c r="S923" s="9">
        <f>IF(R923="","",ROUND(R923/3.305785,3))</f>
        <v/>
      </c>
      <c r="T923" s="7" t="n"/>
      <c r="U923" s="7" t="n"/>
      <c r="V923" s="10">
        <f>IF(OR(T923="",U923="",U923=0),"",ROUND(T923/U923,6))</f>
        <v/>
      </c>
      <c r="W923" s="9">
        <f>IF(OR(R923="",T923="",U923="",U923=0),"",ROUND(R923*T923/U923,3))</f>
        <v/>
      </c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12">
        <f>IF(A923="","",IF(OR(B923="",C923="",D923="",E923="",H923="",O923="",T923="",U923=""),"必填欄位未完整",""))</f>
        <v/>
      </c>
      <c r="AI923" s="12">
        <f>IF(A923="","",A923&amp;"|"&amp;G923)</f>
        <v/>
      </c>
      <c r="AJ923" s="12">
        <f>IF(A923="","",A923&amp;"|"&amp;H923)</f>
        <v/>
      </c>
    </row>
    <row r="924" ht="24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8" t="n"/>
      <c r="P924" s="8" t="n"/>
      <c r="Q924" s="8" t="n"/>
      <c r="R924" s="13">
        <f>IF(O924="","",SUM(O924:Q924))</f>
        <v/>
      </c>
      <c r="S924" s="9">
        <f>IF(R924="","",ROUND(R924/3.305785,3))</f>
        <v/>
      </c>
      <c r="T924" s="7" t="n"/>
      <c r="U924" s="7" t="n"/>
      <c r="V924" s="10">
        <f>IF(OR(T924="",U924="",U924=0),"",ROUND(T924/U924,6))</f>
        <v/>
      </c>
      <c r="W924" s="9">
        <f>IF(OR(R924="",T924="",U924="",U924=0),"",ROUND(R924*T924/U924,3))</f>
        <v/>
      </c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12">
        <f>IF(A924="","",IF(OR(B924="",C924="",D924="",E924="",H924="",O924="",T924="",U924=""),"必填欄位未完整",""))</f>
        <v/>
      </c>
      <c r="AI924" s="12">
        <f>IF(A924="","",A924&amp;"|"&amp;G924)</f>
        <v/>
      </c>
      <c r="AJ924" s="12">
        <f>IF(A924="","",A924&amp;"|"&amp;H924)</f>
        <v/>
      </c>
    </row>
    <row r="925" ht="24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8" t="n"/>
      <c r="P925" s="8" t="n"/>
      <c r="Q925" s="8" t="n"/>
      <c r="R925" s="13">
        <f>IF(O925="","",SUM(O925:Q925))</f>
        <v/>
      </c>
      <c r="S925" s="9">
        <f>IF(R925="","",ROUND(R925/3.305785,3))</f>
        <v/>
      </c>
      <c r="T925" s="7" t="n"/>
      <c r="U925" s="7" t="n"/>
      <c r="V925" s="10">
        <f>IF(OR(T925="",U925="",U925=0),"",ROUND(T925/U925,6))</f>
        <v/>
      </c>
      <c r="W925" s="9">
        <f>IF(OR(R925="",T925="",U925="",U925=0),"",ROUND(R925*T925/U925,3))</f>
        <v/>
      </c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12">
        <f>IF(A925="","",IF(OR(B925="",C925="",D925="",E925="",H925="",O925="",T925="",U925=""),"必填欄位未完整",""))</f>
        <v/>
      </c>
      <c r="AI925" s="12">
        <f>IF(A925="","",A925&amp;"|"&amp;G925)</f>
        <v/>
      </c>
      <c r="AJ925" s="12">
        <f>IF(A925="","",A925&amp;"|"&amp;H925)</f>
        <v/>
      </c>
    </row>
    <row r="926" ht="24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8" t="n"/>
      <c r="P926" s="8" t="n"/>
      <c r="Q926" s="8" t="n"/>
      <c r="R926" s="13">
        <f>IF(O926="","",SUM(O926:Q926))</f>
        <v/>
      </c>
      <c r="S926" s="9">
        <f>IF(R926="","",ROUND(R926/3.305785,3))</f>
        <v/>
      </c>
      <c r="T926" s="7" t="n"/>
      <c r="U926" s="7" t="n"/>
      <c r="V926" s="10">
        <f>IF(OR(T926="",U926="",U926=0),"",ROUND(T926/U926,6))</f>
        <v/>
      </c>
      <c r="W926" s="9">
        <f>IF(OR(R926="",T926="",U926="",U926=0),"",ROUND(R926*T926/U926,3))</f>
        <v/>
      </c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12">
        <f>IF(A926="","",IF(OR(B926="",C926="",D926="",E926="",H926="",O926="",T926="",U926=""),"必填欄位未完整",""))</f>
        <v/>
      </c>
      <c r="AI926" s="12">
        <f>IF(A926="","",A926&amp;"|"&amp;G926)</f>
        <v/>
      </c>
      <c r="AJ926" s="12">
        <f>IF(A926="","",A926&amp;"|"&amp;H926)</f>
        <v/>
      </c>
    </row>
    <row r="927" ht="24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8" t="n"/>
      <c r="P927" s="8" t="n"/>
      <c r="Q927" s="8" t="n"/>
      <c r="R927" s="13">
        <f>IF(O927="","",SUM(O927:Q927))</f>
        <v/>
      </c>
      <c r="S927" s="9">
        <f>IF(R927="","",ROUND(R927/3.305785,3))</f>
        <v/>
      </c>
      <c r="T927" s="7" t="n"/>
      <c r="U927" s="7" t="n"/>
      <c r="V927" s="10">
        <f>IF(OR(T927="",U927="",U927=0),"",ROUND(T927/U927,6))</f>
        <v/>
      </c>
      <c r="W927" s="9">
        <f>IF(OR(R927="",T927="",U927="",U927=0),"",ROUND(R927*T927/U927,3))</f>
        <v/>
      </c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12">
        <f>IF(A927="","",IF(OR(B927="",C927="",D927="",E927="",H927="",O927="",T927="",U927=""),"必填欄位未完整",""))</f>
        <v/>
      </c>
      <c r="AI927" s="12">
        <f>IF(A927="","",A927&amp;"|"&amp;G927)</f>
        <v/>
      </c>
      <c r="AJ927" s="12">
        <f>IF(A927="","",A927&amp;"|"&amp;H927)</f>
        <v/>
      </c>
    </row>
    <row r="928" ht="24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8" t="n"/>
      <c r="P928" s="8" t="n"/>
      <c r="Q928" s="8" t="n"/>
      <c r="R928" s="13">
        <f>IF(O928="","",SUM(O928:Q928))</f>
        <v/>
      </c>
      <c r="S928" s="9">
        <f>IF(R928="","",ROUND(R928/3.305785,3))</f>
        <v/>
      </c>
      <c r="T928" s="7" t="n"/>
      <c r="U928" s="7" t="n"/>
      <c r="V928" s="10">
        <f>IF(OR(T928="",U928="",U928=0),"",ROUND(T928/U928,6))</f>
        <v/>
      </c>
      <c r="W928" s="9">
        <f>IF(OR(R928="",T928="",U928="",U928=0),"",ROUND(R928*T928/U928,3))</f>
        <v/>
      </c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12">
        <f>IF(A928="","",IF(OR(B928="",C928="",D928="",E928="",H928="",O928="",T928="",U928=""),"必填欄位未完整",""))</f>
        <v/>
      </c>
      <c r="AI928" s="12">
        <f>IF(A928="","",A928&amp;"|"&amp;G928)</f>
        <v/>
      </c>
      <c r="AJ928" s="12">
        <f>IF(A928="","",A928&amp;"|"&amp;H928)</f>
        <v/>
      </c>
    </row>
    <row r="929" ht="24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8" t="n"/>
      <c r="P929" s="8" t="n"/>
      <c r="Q929" s="8" t="n"/>
      <c r="R929" s="13">
        <f>IF(O929="","",SUM(O929:Q929))</f>
        <v/>
      </c>
      <c r="S929" s="9">
        <f>IF(R929="","",ROUND(R929/3.305785,3))</f>
        <v/>
      </c>
      <c r="T929" s="7" t="n"/>
      <c r="U929" s="7" t="n"/>
      <c r="V929" s="10">
        <f>IF(OR(T929="",U929="",U929=0),"",ROUND(T929/U929,6))</f>
        <v/>
      </c>
      <c r="W929" s="9">
        <f>IF(OR(R929="",T929="",U929="",U929=0),"",ROUND(R929*T929/U929,3))</f>
        <v/>
      </c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12">
        <f>IF(A929="","",IF(OR(B929="",C929="",D929="",E929="",H929="",O929="",T929="",U929=""),"必填欄位未完整",""))</f>
        <v/>
      </c>
      <c r="AI929" s="12">
        <f>IF(A929="","",A929&amp;"|"&amp;G929)</f>
        <v/>
      </c>
      <c r="AJ929" s="12">
        <f>IF(A929="","",A929&amp;"|"&amp;H929)</f>
        <v/>
      </c>
    </row>
    <row r="930" ht="24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8" t="n"/>
      <c r="P930" s="8" t="n"/>
      <c r="Q930" s="8" t="n"/>
      <c r="R930" s="13">
        <f>IF(O930="","",SUM(O930:Q930))</f>
        <v/>
      </c>
      <c r="S930" s="9">
        <f>IF(R930="","",ROUND(R930/3.305785,3))</f>
        <v/>
      </c>
      <c r="T930" s="7" t="n"/>
      <c r="U930" s="7" t="n"/>
      <c r="V930" s="10">
        <f>IF(OR(T930="",U930="",U930=0),"",ROUND(T930/U930,6))</f>
        <v/>
      </c>
      <c r="W930" s="9">
        <f>IF(OR(R930="",T930="",U930="",U930=0),"",ROUND(R930*T930/U930,3))</f>
        <v/>
      </c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12">
        <f>IF(A930="","",IF(OR(B930="",C930="",D930="",E930="",H930="",O930="",T930="",U930=""),"必填欄位未完整",""))</f>
        <v/>
      </c>
      <c r="AI930" s="12">
        <f>IF(A930="","",A930&amp;"|"&amp;G930)</f>
        <v/>
      </c>
      <c r="AJ930" s="12">
        <f>IF(A930="","",A930&amp;"|"&amp;H930)</f>
        <v/>
      </c>
    </row>
    <row r="931" ht="24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8" t="n"/>
      <c r="P931" s="8" t="n"/>
      <c r="Q931" s="8" t="n"/>
      <c r="R931" s="13">
        <f>IF(O931="","",SUM(O931:Q931))</f>
        <v/>
      </c>
      <c r="S931" s="9">
        <f>IF(R931="","",ROUND(R931/3.305785,3))</f>
        <v/>
      </c>
      <c r="T931" s="7" t="n"/>
      <c r="U931" s="7" t="n"/>
      <c r="V931" s="10">
        <f>IF(OR(T931="",U931="",U931=0),"",ROUND(T931/U931,6))</f>
        <v/>
      </c>
      <c r="W931" s="9">
        <f>IF(OR(R931="",T931="",U931="",U931=0),"",ROUND(R931*T931/U931,3))</f>
        <v/>
      </c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12">
        <f>IF(A931="","",IF(OR(B931="",C931="",D931="",E931="",H931="",O931="",T931="",U931=""),"必填欄位未完整",""))</f>
        <v/>
      </c>
      <c r="AI931" s="12">
        <f>IF(A931="","",A931&amp;"|"&amp;G931)</f>
        <v/>
      </c>
      <c r="AJ931" s="12">
        <f>IF(A931="","",A931&amp;"|"&amp;H931)</f>
        <v/>
      </c>
    </row>
    <row r="932" ht="24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8" t="n"/>
      <c r="P932" s="8" t="n"/>
      <c r="Q932" s="8" t="n"/>
      <c r="R932" s="13">
        <f>IF(O932="","",SUM(O932:Q932))</f>
        <v/>
      </c>
      <c r="S932" s="9">
        <f>IF(R932="","",ROUND(R932/3.305785,3))</f>
        <v/>
      </c>
      <c r="T932" s="7" t="n"/>
      <c r="U932" s="7" t="n"/>
      <c r="V932" s="10">
        <f>IF(OR(T932="",U932="",U932=0),"",ROUND(T932/U932,6))</f>
        <v/>
      </c>
      <c r="W932" s="9">
        <f>IF(OR(R932="",T932="",U932="",U932=0),"",ROUND(R932*T932/U932,3))</f>
        <v/>
      </c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12">
        <f>IF(A932="","",IF(OR(B932="",C932="",D932="",E932="",H932="",O932="",T932="",U932=""),"必填欄位未完整",""))</f>
        <v/>
      </c>
      <c r="AI932" s="12">
        <f>IF(A932="","",A932&amp;"|"&amp;G932)</f>
        <v/>
      </c>
      <c r="AJ932" s="12">
        <f>IF(A932="","",A932&amp;"|"&amp;H932)</f>
        <v/>
      </c>
    </row>
    <row r="933" ht="24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8" t="n"/>
      <c r="P933" s="8" t="n"/>
      <c r="Q933" s="8" t="n"/>
      <c r="R933" s="13">
        <f>IF(O933="","",SUM(O933:Q933))</f>
        <v/>
      </c>
      <c r="S933" s="9">
        <f>IF(R933="","",ROUND(R933/3.305785,3))</f>
        <v/>
      </c>
      <c r="T933" s="7" t="n"/>
      <c r="U933" s="7" t="n"/>
      <c r="V933" s="10">
        <f>IF(OR(T933="",U933="",U933=0),"",ROUND(T933/U933,6))</f>
        <v/>
      </c>
      <c r="W933" s="9">
        <f>IF(OR(R933="",T933="",U933="",U933=0),"",ROUND(R933*T933/U933,3))</f>
        <v/>
      </c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12">
        <f>IF(A933="","",IF(OR(B933="",C933="",D933="",E933="",H933="",O933="",T933="",U933=""),"必填欄位未完整",""))</f>
        <v/>
      </c>
      <c r="AI933" s="12">
        <f>IF(A933="","",A933&amp;"|"&amp;G933)</f>
        <v/>
      </c>
      <c r="AJ933" s="12">
        <f>IF(A933="","",A933&amp;"|"&amp;H933)</f>
        <v/>
      </c>
    </row>
    <row r="934" ht="24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8" t="n"/>
      <c r="P934" s="8" t="n"/>
      <c r="Q934" s="8" t="n"/>
      <c r="R934" s="13">
        <f>IF(O934="","",SUM(O934:Q934))</f>
        <v/>
      </c>
      <c r="S934" s="9">
        <f>IF(R934="","",ROUND(R934/3.305785,3))</f>
        <v/>
      </c>
      <c r="T934" s="7" t="n"/>
      <c r="U934" s="7" t="n"/>
      <c r="V934" s="10">
        <f>IF(OR(T934="",U934="",U934=0),"",ROUND(T934/U934,6))</f>
        <v/>
      </c>
      <c r="W934" s="9">
        <f>IF(OR(R934="",T934="",U934="",U934=0),"",ROUND(R934*T934/U934,3))</f>
        <v/>
      </c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12">
        <f>IF(A934="","",IF(OR(B934="",C934="",D934="",E934="",H934="",O934="",T934="",U934=""),"必填欄位未完整",""))</f>
        <v/>
      </c>
      <c r="AI934" s="12">
        <f>IF(A934="","",A934&amp;"|"&amp;G934)</f>
        <v/>
      </c>
      <c r="AJ934" s="12">
        <f>IF(A934="","",A934&amp;"|"&amp;H934)</f>
        <v/>
      </c>
    </row>
    <row r="935" ht="24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8" t="n"/>
      <c r="P935" s="8" t="n"/>
      <c r="Q935" s="8" t="n"/>
      <c r="R935" s="13">
        <f>IF(O935="","",SUM(O935:Q935))</f>
        <v/>
      </c>
      <c r="S935" s="9">
        <f>IF(R935="","",ROUND(R935/3.305785,3))</f>
        <v/>
      </c>
      <c r="T935" s="7" t="n"/>
      <c r="U935" s="7" t="n"/>
      <c r="V935" s="10">
        <f>IF(OR(T935="",U935="",U935=0),"",ROUND(T935/U935,6))</f>
        <v/>
      </c>
      <c r="W935" s="9">
        <f>IF(OR(R935="",T935="",U935="",U935=0),"",ROUND(R935*T935/U935,3))</f>
        <v/>
      </c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12">
        <f>IF(A935="","",IF(OR(B935="",C935="",D935="",E935="",H935="",O935="",T935="",U935=""),"必填欄位未完整",""))</f>
        <v/>
      </c>
      <c r="AI935" s="12">
        <f>IF(A935="","",A935&amp;"|"&amp;G935)</f>
        <v/>
      </c>
      <c r="AJ935" s="12">
        <f>IF(A935="","",A935&amp;"|"&amp;H935)</f>
        <v/>
      </c>
    </row>
    <row r="936" ht="24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8" t="n"/>
      <c r="P936" s="8" t="n"/>
      <c r="Q936" s="8" t="n"/>
      <c r="R936" s="13">
        <f>IF(O936="","",SUM(O936:Q936))</f>
        <v/>
      </c>
      <c r="S936" s="9">
        <f>IF(R936="","",ROUND(R936/3.305785,3))</f>
        <v/>
      </c>
      <c r="T936" s="7" t="n"/>
      <c r="U936" s="7" t="n"/>
      <c r="V936" s="10">
        <f>IF(OR(T936="",U936="",U936=0),"",ROUND(T936/U936,6))</f>
        <v/>
      </c>
      <c r="W936" s="9">
        <f>IF(OR(R936="",T936="",U936="",U936=0),"",ROUND(R936*T936/U936,3))</f>
        <v/>
      </c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12">
        <f>IF(A936="","",IF(OR(B936="",C936="",D936="",E936="",H936="",O936="",T936="",U936=""),"必填欄位未完整",""))</f>
        <v/>
      </c>
      <c r="AI936" s="12">
        <f>IF(A936="","",A936&amp;"|"&amp;G936)</f>
        <v/>
      </c>
      <c r="AJ936" s="12">
        <f>IF(A936="","",A936&amp;"|"&amp;H936)</f>
        <v/>
      </c>
    </row>
    <row r="937" ht="24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8" t="n"/>
      <c r="P937" s="8" t="n"/>
      <c r="Q937" s="8" t="n"/>
      <c r="R937" s="13">
        <f>IF(O937="","",SUM(O937:Q937))</f>
        <v/>
      </c>
      <c r="S937" s="9">
        <f>IF(R937="","",ROUND(R937/3.305785,3))</f>
        <v/>
      </c>
      <c r="T937" s="7" t="n"/>
      <c r="U937" s="7" t="n"/>
      <c r="V937" s="10">
        <f>IF(OR(T937="",U937="",U937=0),"",ROUND(T937/U937,6))</f>
        <v/>
      </c>
      <c r="W937" s="9">
        <f>IF(OR(R937="",T937="",U937="",U937=0),"",ROUND(R937*T937/U937,3))</f>
        <v/>
      </c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12">
        <f>IF(A937="","",IF(OR(B937="",C937="",D937="",E937="",H937="",O937="",T937="",U937=""),"必填欄位未完整",""))</f>
        <v/>
      </c>
      <c r="AI937" s="12">
        <f>IF(A937="","",A937&amp;"|"&amp;G937)</f>
        <v/>
      </c>
      <c r="AJ937" s="12">
        <f>IF(A937="","",A937&amp;"|"&amp;H937)</f>
        <v/>
      </c>
    </row>
    <row r="938" ht="24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8" t="n"/>
      <c r="P938" s="8" t="n"/>
      <c r="Q938" s="8" t="n"/>
      <c r="R938" s="13">
        <f>IF(O938="","",SUM(O938:Q938))</f>
        <v/>
      </c>
      <c r="S938" s="9">
        <f>IF(R938="","",ROUND(R938/3.305785,3))</f>
        <v/>
      </c>
      <c r="T938" s="7" t="n"/>
      <c r="U938" s="7" t="n"/>
      <c r="V938" s="10">
        <f>IF(OR(T938="",U938="",U938=0),"",ROUND(T938/U938,6))</f>
        <v/>
      </c>
      <c r="W938" s="9">
        <f>IF(OR(R938="",T938="",U938="",U938=0),"",ROUND(R938*T938/U938,3))</f>
        <v/>
      </c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12">
        <f>IF(A938="","",IF(OR(B938="",C938="",D938="",E938="",H938="",O938="",T938="",U938=""),"必填欄位未完整",""))</f>
        <v/>
      </c>
      <c r="AI938" s="12">
        <f>IF(A938="","",A938&amp;"|"&amp;G938)</f>
        <v/>
      </c>
      <c r="AJ938" s="12">
        <f>IF(A938="","",A938&amp;"|"&amp;H938)</f>
        <v/>
      </c>
    </row>
    <row r="939" ht="24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8" t="n"/>
      <c r="P939" s="8" t="n"/>
      <c r="Q939" s="8" t="n"/>
      <c r="R939" s="13">
        <f>IF(O939="","",SUM(O939:Q939))</f>
        <v/>
      </c>
      <c r="S939" s="9">
        <f>IF(R939="","",ROUND(R939/3.305785,3))</f>
        <v/>
      </c>
      <c r="T939" s="7" t="n"/>
      <c r="U939" s="7" t="n"/>
      <c r="V939" s="10">
        <f>IF(OR(T939="",U939="",U939=0),"",ROUND(T939/U939,6))</f>
        <v/>
      </c>
      <c r="W939" s="9">
        <f>IF(OR(R939="",T939="",U939="",U939=0),"",ROUND(R939*T939/U939,3))</f>
        <v/>
      </c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12">
        <f>IF(A939="","",IF(OR(B939="",C939="",D939="",E939="",H939="",O939="",T939="",U939=""),"必填欄位未完整",""))</f>
        <v/>
      </c>
      <c r="AI939" s="12">
        <f>IF(A939="","",A939&amp;"|"&amp;G939)</f>
        <v/>
      </c>
      <c r="AJ939" s="12">
        <f>IF(A939="","",A939&amp;"|"&amp;H939)</f>
        <v/>
      </c>
    </row>
    <row r="940" ht="24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8" t="n"/>
      <c r="P940" s="8" t="n"/>
      <c r="Q940" s="8" t="n"/>
      <c r="R940" s="13">
        <f>IF(O940="","",SUM(O940:Q940))</f>
        <v/>
      </c>
      <c r="S940" s="9">
        <f>IF(R940="","",ROUND(R940/3.305785,3))</f>
        <v/>
      </c>
      <c r="T940" s="7" t="n"/>
      <c r="U940" s="7" t="n"/>
      <c r="V940" s="10">
        <f>IF(OR(T940="",U940="",U940=0),"",ROUND(T940/U940,6))</f>
        <v/>
      </c>
      <c r="W940" s="9">
        <f>IF(OR(R940="",T940="",U940="",U940=0),"",ROUND(R940*T940/U940,3))</f>
        <v/>
      </c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12">
        <f>IF(A940="","",IF(OR(B940="",C940="",D940="",E940="",H940="",O940="",T940="",U940=""),"必填欄位未完整",""))</f>
        <v/>
      </c>
      <c r="AI940" s="12">
        <f>IF(A940="","",A940&amp;"|"&amp;G940)</f>
        <v/>
      </c>
      <c r="AJ940" s="12">
        <f>IF(A940="","",A940&amp;"|"&amp;H940)</f>
        <v/>
      </c>
    </row>
    <row r="941" ht="24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8" t="n"/>
      <c r="P941" s="8" t="n"/>
      <c r="Q941" s="8" t="n"/>
      <c r="R941" s="13">
        <f>IF(O941="","",SUM(O941:Q941))</f>
        <v/>
      </c>
      <c r="S941" s="9">
        <f>IF(R941="","",ROUND(R941/3.305785,3))</f>
        <v/>
      </c>
      <c r="T941" s="7" t="n"/>
      <c r="U941" s="7" t="n"/>
      <c r="V941" s="10">
        <f>IF(OR(T941="",U941="",U941=0),"",ROUND(T941/U941,6))</f>
        <v/>
      </c>
      <c r="W941" s="9">
        <f>IF(OR(R941="",T941="",U941="",U941=0),"",ROUND(R941*T941/U941,3))</f>
        <v/>
      </c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12">
        <f>IF(A941="","",IF(OR(B941="",C941="",D941="",E941="",H941="",O941="",T941="",U941=""),"必填欄位未完整",""))</f>
        <v/>
      </c>
      <c r="AI941" s="12">
        <f>IF(A941="","",A941&amp;"|"&amp;G941)</f>
        <v/>
      </c>
      <c r="AJ941" s="12">
        <f>IF(A941="","",A941&amp;"|"&amp;H941)</f>
        <v/>
      </c>
    </row>
    <row r="942" ht="24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8" t="n"/>
      <c r="P942" s="8" t="n"/>
      <c r="Q942" s="8" t="n"/>
      <c r="R942" s="13">
        <f>IF(O942="","",SUM(O942:Q942))</f>
        <v/>
      </c>
      <c r="S942" s="9">
        <f>IF(R942="","",ROUND(R942/3.305785,3))</f>
        <v/>
      </c>
      <c r="T942" s="7" t="n"/>
      <c r="U942" s="7" t="n"/>
      <c r="V942" s="10">
        <f>IF(OR(T942="",U942="",U942=0),"",ROUND(T942/U942,6))</f>
        <v/>
      </c>
      <c r="W942" s="9">
        <f>IF(OR(R942="",T942="",U942="",U942=0),"",ROUND(R942*T942/U942,3))</f>
        <v/>
      </c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12">
        <f>IF(A942="","",IF(OR(B942="",C942="",D942="",E942="",H942="",O942="",T942="",U942=""),"必填欄位未完整",""))</f>
        <v/>
      </c>
      <c r="AI942" s="12">
        <f>IF(A942="","",A942&amp;"|"&amp;G942)</f>
        <v/>
      </c>
      <c r="AJ942" s="12">
        <f>IF(A942="","",A942&amp;"|"&amp;H942)</f>
        <v/>
      </c>
    </row>
    <row r="943" ht="24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8" t="n"/>
      <c r="P943" s="8" t="n"/>
      <c r="Q943" s="8" t="n"/>
      <c r="R943" s="13">
        <f>IF(O943="","",SUM(O943:Q943))</f>
        <v/>
      </c>
      <c r="S943" s="9">
        <f>IF(R943="","",ROUND(R943/3.305785,3))</f>
        <v/>
      </c>
      <c r="T943" s="7" t="n"/>
      <c r="U943" s="7" t="n"/>
      <c r="V943" s="10">
        <f>IF(OR(T943="",U943="",U943=0),"",ROUND(T943/U943,6))</f>
        <v/>
      </c>
      <c r="W943" s="9">
        <f>IF(OR(R943="",T943="",U943="",U943=0),"",ROUND(R943*T943/U943,3))</f>
        <v/>
      </c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12">
        <f>IF(A943="","",IF(OR(B943="",C943="",D943="",E943="",H943="",O943="",T943="",U943=""),"必填欄位未完整",""))</f>
        <v/>
      </c>
      <c r="AI943" s="12">
        <f>IF(A943="","",A943&amp;"|"&amp;G943)</f>
        <v/>
      </c>
      <c r="AJ943" s="12">
        <f>IF(A943="","",A943&amp;"|"&amp;H943)</f>
        <v/>
      </c>
    </row>
    <row r="944" ht="24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8" t="n"/>
      <c r="P944" s="8" t="n"/>
      <c r="Q944" s="8" t="n"/>
      <c r="R944" s="13">
        <f>IF(O944="","",SUM(O944:Q944))</f>
        <v/>
      </c>
      <c r="S944" s="9">
        <f>IF(R944="","",ROUND(R944/3.305785,3))</f>
        <v/>
      </c>
      <c r="T944" s="7" t="n"/>
      <c r="U944" s="7" t="n"/>
      <c r="V944" s="10">
        <f>IF(OR(T944="",U944="",U944=0),"",ROUND(T944/U944,6))</f>
        <v/>
      </c>
      <c r="W944" s="9">
        <f>IF(OR(R944="",T944="",U944="",U944=0),"",ROUND(R944*T944/U944,3))</f>
        <v/>
      </c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12">
        <f>IF(A944="","",IF(OR(B944="",C944="",D944="",E944="",H944="",O944="",T944="",U944=""),"必填欄位未完整",""))</f>
        <v/>
      </c>
      <c r="AI944" s="12">
        <f>IF(A944="","",A944&amp;"|"&amp;G944)</f>
        <v/>
      </c>
      <c r="AJ944" s="12">
        <f>IF(A944="","",A944&amp;"|"&amp;H944)</f>
        <v/>
      </c>
    </row>
    <row r="945" ht="24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8" t="n"/>
      <c r="P945" s="8" t="n"/>
      <c r="Q945" s="8" t="n"/>
      <c r="R945" s="13">
        <f>IF(O945="","",SUM(O945:Q945))</f>
        <v/>
      </c>
      <c r="S945" s="9">
        <f>IF(R945="","",ROUND(R945/3.305785,3))</f>
        <v/>
      </c>
      <c r="T945" s="7" t="n"/>
      <c r="U945" s="7" t="n"/>
      <c r="V945" s="10">
        <f>IF(OR(T945="",U945="",U945=0),"",ROUND(T945/U945,6))</f>
        <v/>
      </c>
      <c r="W945" s="9">
        <f>IF(OR(R945="",T945="",U945="",U945=0),"",ROUND(R945*T945/U945,3))</f>
        <v/>
      </c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12">
        <f>IF(A945="","",IF(OR(B945="",C945="",D945="",E945="",H945="",O945="",T945="",U945=""),"必填欄位未完整",""))</f>
        <v/>
      </c>
      <c r="AI945" s="12">
        <f>IF(A945="","",A945&amp;"|"&amp;G945)</f>
        <v/>
      </c>
      <c r="AJ945" s="12">
        <f>IF(A945="","",A945&amp;"|"&amp;H945)</f>
        <v/>
      </c>
    </row>
    <row r="946" ht="24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8" t="n"/>
      <c r="P946" s="8" t="n"/>
      <c r="Q946" s="8" t="n"/>
      <c r="R946" s="13">
        <f>IF(O946="","",SUM(O946:Q946))</f>
        <v/>
      </c>
      <c r="S946" s="9">
        <f>IF(R946="","",ROUND(R946/3.305785,3))</f>
        <v/>
      </c>
      <c r="T946" s="7" t="n"/>
      <c r="U946" s="7" t="n"/>
      <c r="V946" s="10">
        <f>IF(OR(T946="",U946="",U946=0),"",ROUND(T946/U946,6))</f>
        <v/>
      </c>
      <c r="W946" s="9">
        <f>IF(OR(R946="",T946="",U946="",U946=0),"",ROUND(R946*T946/U946,3))</f>
        <v/>
      </c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12">
        <f>IF(A946="","",IF(OR(B946="",C946="",D946="",E946="",H946="",O946="",T946="",U946=""),"必填欄位未完整",""))</f>
        <v/>
      </c>
      <c r="AI946" s="12">
        <f>IF(A946="","",A946&amp;"|"&amp;G946)</f>
        <v/>
      </c>
      <c r="AJ946" s="12">
        <f>IF(A946="","",A946&amp;"|"&amp;H946)</f>
        <v/>
      </c>
    </row>
    <row r="947" ht="24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8" t="n"/>
      <c r="P947" s="8" t="n"/>
      <c r="Q947" s="8" t="n"/>
      <c r="R947" s="13">
        <f>IF(O947="","",SUM(O947:Q947))</f>
        <v/>
      </c>
      <c r="S947" s="9">
        <f>IF(R947="","",ROUND(R947/3.305785,3))</f>
        <v/>
      </c>
      <c r="T947" s="7" t="n"/>
      <c r="U947" s="7" t="n"/>
      <c r="V947" s="10">
        <f>IF(OR(T947="",U947="",U947=0),"",ROUND(T947/U947,6))</f>
        <v/>
      </c>
      <c r="W947" s="9">
        <f>IF(OR(R947="",T947="",U947="",U947=0),"",ROUND(R947*T947/U947,3))</f>
        <v/>
      </c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12">
        <f>IF(A947="","",IF(OR(B947="",C947="",D947="",E947="",H947="",O947="",T947="",U947=""),"必填欄位未完整",""))</f>
        <v/>
      </c>
      <c r="AI947" s="12">
        <f>IF(A947="","",A947&amp;"|"&amp;G947)</f>
        <v/>
      </c>
      <c r="AJ947" s="12">
        <f>IF(A947="","",A947&amp;"|"&amp;H947)</f>
        <v/>
      </c>
    </row>
    <row r="948" ht="24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8" t="n"/>
      <c r="P948" s="8" t="n"/>
      <c r="Q948" s="8" t="n"/>
      <c r="R948" s="13">
        <f>IF(O948="","",SUM(O948:Q948))</f>
        <v/>
      </c>
      <c r="S948" s="9">
        <f>IF(R948="","",ROUND(R948/3.305785,3))</f>
        <v/>
      </c>
      <c r="T948" s="7" t="n"/>
      <c r="U948" s="7" t="n"/>
      <c r="V948" s="10">
        <f>IF(OR(T948="",U948="",U948=0),"",ROUND(T948/U948,6))</f>
        <v/>
      </c>
      <c r="W948" s="9">
        <f>IF(OR(R948="",T948="",U948="",U948=0),"",ROUND(R948*T948/U948,3))</f>
        <v/>
      </c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12">
        <f>IF(A948="","",IF(OR(B948="",C948="",D948="",E948="",H948="",O948="",T948="",U948=""),"必填欄位未完整",""))</f>
        <v/>
      </c>
      <c r="AI948" s="12">
        <f>IF(A948="","",A948&amp;"|"&amp;G948)</f>
        <v/>
      </c>
      <c r="AJ948" s="12">
        <f>IF(A948="","",A948&amp;"|"&amp;H948)</f>
        <v/>
      </c>
    </row>
    <row r="949" ht="24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8" t="n"/>
      <c r="P949" s="8" t="n"/>
      <c r="Q949" s="8" t="n"/>
      <c r="R949" s="13">
        <f>IF(O949="","",SUM(O949:Q949))</f>
        <v/>
      </c>
      <c r="S949" s="9">
        <f>IF(R949="","",ROUND(R949/3.305785,3))</f>
        <v/>
      </c>
      <c r="T949" s="7" t="n"/>
      <c r="U949" s="7" t="n"/>
      <c r="V949" s="10">
        <f>IF(OR(T949="",U949="",U949=0),"",ROUND(T949/U949,6))</f>
        <v/>
      </c>
      <c r="W949" s="9">
        <f>IF(OR(R949="",T949="",U949="",U949=0),"",ROUND(R949*T949/U949,3))</f>
        <v/>
      </c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12">
        <f>IF(A949="","",IF(OR(B949="",C949="",D949="",E949="",H949="",O949="",T949="",U949=""),"必填欄位未完整",""))</f>
        <v/>
      </c>
      <c r="AI949" s="12">
        <f>IF(A949="","",A949&amp;"|"&amp;G949)</f>
        <v/>
      </c>
      <c r="AJ949" s="12">
        <f>IF(A949="","",A949&amp;"|"&amp;H949)</f>
        <v/>
      </c>
    </row>
    <row r="950" ht="24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8" t="n"/>
      <c r="P950" s="8" t="n"/>
      <c r="Q950" s="8" t="n"/>
      <c r="R950" s="13">
        <f>IF(O950="","",SUM(O950:Q950))</f>
        <v/>
      </c>
      <c r="S950" s="9">
        <f>IF(R950="","",ROUND(R950/3.305785,3))</f>
        <v/>
      </c>
      <c r="T950" s="7" t="n"/>
      <c r="U950" s="7" t="n"/>
      <c r="V950" s="10">
        <f>IF(OR(T950="",U950="",U950=0),"",ROUND(T950/U950,6))</f>
        <v/>
      </c>
      <c r="W950" s="9">
        <f>IF(OR(R950="",T950="",U950="",U950=0),"",ROUND(R950*T950/U950,3))</f>
        <v/>
      </c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12">
        <f>IF(A950="","",IF(OR(B950="",C950="",D950="",E950="",H950="",O950="",T950="",U950=""),"必填欄位未完整",""))</f>
        <v/>
      </c>
      <c r="AI950" s="12">
        <f>IF(A950="","",A950&amp;"|"&amp;G950)</f>
        <v/>
      </c>
      <c r="AJ950" s="12">
        <f>IF(A950="","",A950&amp;"|"&amp;H950)</f>
        <v/>
      </c>
    </row>
    <row r="951" ht="24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8" t="n"/>
      <c r="P951" s="8" t="n"/>
      <c r="Q951" s="8" t="n"/>
      <c r="R951" s="13">
        <f>IF(O951="","",SUM(O951:Q951))</f>
        <v/>
      </c>
      <c r="S951" s="9">
        <f>IF(R951="","",ROUND(R951/3.305785,3))</f>
        <v/>
      </c>
      <c r="T951" s="7" t="n"/>
      <c r="U951" s="7" t="n"/>
      <c r="V951" s="10">
        <f>IF(OR(T951="",U951="",U951=0),"",ROUND(T951/U951,6))</f>
        <v/>
      </c>
      <c r="W951" s="9">
        <f>IF(OR(R951="",T951="",U951="",U951=0),"",ROUND(R951*T951/U951,3))</f>
        <v/>
      </c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12">
        <f>IF(A951="","",IF(OR(B951="",C951="",D951="",E951="",H951="",O951="",T951="",U951=""),"必填欄位未完整",""))</f>
        <v/>
      </c>
      <c r="AI951" s="12">
        <f>IF(A951="","",A951&amp;"|"&amp;G951)</f>
        <v/>
      </c>
      <c r="AJ951" s="12">
        <f>IF(A951="","",A951&amp;"|"&amp;H951)</f>
        <v/>
      </c>
    </row>
    <row r="952" ht="24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8" t="n"/>
      <c r="P952" s="8" t="n"/>
      <c r="Q952" s="8" t="n"/>
      <c r="R952" s="13">
        <f>IF(O952="","",SUM(O952:Q952))</f>
        <v/>
      </c>
      <c r="S952" s="9">
        <f>IF(R952="","",ROUND(R952/3.305785,3))</f>
        <v/>
      </c>
      <c r="T952" s="7" t="n"/>
      <c r="U952" s="7" t="n"/>
      <c r="V952" s="10">
        <f>IF(OR(T952="",U952="",U952=0),"",ROUND(T952/U952,6))</f>
        <v/>
      </c>
      <c r="W952" s="9">
        <f>IF(OR(R952="",T952="",U952="",U952=0),"",ROUND(R952*T952/U952,3))</f>
        <v/>
      </c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12">
        <f>IF(A952="","",IF(OR(B952="",C952="",D952="",E952="",H952="",O952="",T952="",U952=""),"必填欄位未完整",""))</f>
        <v/>
      </c>
      <c r="AI952" s="12">
        <f>IF(A952="","",A952&amp;"|"&amp;G952)</f>
        <v/>
      </c>
      <c r="AJ952" s="12">
        <f>IF(A952="","",A952&amp;"|"&amp;H952)</f>
        <v/>
      </c>
    </row>
    <row r="953" ht="24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8" t="n"/>
      <c r="P953" s="8" t="n"/>
      <c r="Q953" s="8" t="n"/>
      <c r="R953" s="13">
        <f>IF(O953="","",SUM(O953:Q953))</f>
        <v/>
      </c>
      <c r="S953" s="9">
        <f>IF(R953="","",ROUND(R953/3.305785,3))</f>
        <v/>
      </c>
      <c r="T953" s="7" t="n"/>
      <c r="U953" s="7" t="n"/>
      <c r="V953" s="10">
        <f>IF(OR(T953="",U953="",U953=0),"",ROUND(T953/U953,6))</f>
        <v/>
      </c>
      <c r="W953" s="9">
        <f>IF(OR(R953="",T953="",U953="",U953=0),"",ROUND(R953*T953/U953,3))</f>
        <v/>
      </c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12">
        <f>IF(A953="","",IF(OR(B953="",C953="",D953="",E953="",H953="",O953="",T953="",U953=""),"必填欄位未完整",""))</f>
        <v/>
      </c>
      <c r="AI953" s="12">
        <f>IF(A953="","",A953&amp;"|"&amp;G953)</f>
        <v/>
      </c>
      <c r="AJ953" s="12">
        <f>IF(A953="","",A953&amp;"|"&amp;H953)</f>
        <v/>
      </c>
    </row>
    <row r="954" ht="24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8" t="n"/>
      <c r="P954" s="8" t="n"/>
      <c r="Q954" s="8" t="n"/>
      <c r="R954" s="13">
        <f>IF(O954="","",SUM(O954:Q954))</f>
        <v/>
      </c>
      <c r="S954" s="9">
        <f>IF(R954="","",ROUND(R954/3.305785,3))</f>
        <v/>
      </c>
      <c r="T954" s="7" t="n"/>
      <c r="U954" s="7" t="n"/>
      <c r="V954" s="10">
        <f>IF(OR(T954="",U954="",U954=0),"",ROUND(T954/U954,6))</f>
        <v/>
      </c>
      <c r="W954" s="9">
        <f>IF(OR(R954="",T954="",U954="",U954=0),"",ROUND(R954*T954/U954,3))</f>
        <v/>
      </c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12">
        <f>IF(A954="","",IF(OR(B954="",C954="",D954="",E954="",H954="",O954="",T954="",U954=""),"必填欄位未完整",""))</f>
        <v/>
      </c>
      <c r="AI954" s="12">
        <f>IF(A954="","",A954&amp;"|"&amp;G954)</f>
        <v/>
      </c>
      <c r="AJ954" s="12">
        <f>IF(A954="","",A954&amp;"|"&amp;H954)</f>
        <v/>
      </c>
    </row>
    <row r="955" ht="24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8" t="n"/>
      <c r="P955" s="8" t="n"/>
      <c r="Q955" s="8" t="n"/>
      <c r="R955" s="13">
        <f>IF(O955="","",SUM(O955:Q955))</f>
        <v/>
      </c>
      <c r="S955" s="9">
        <f>IF(R955="","",ROUND(R955/3.305785,3))</f>
        <v/>
      </c>
      <c r="T955" s="7" t="n"/>
      <c r="U955" s="7" t="n"/>
      <c r="V955" s="10">
        <f>IF(OR(T955="",U955="",U955=0),"",ROUND(T955/U955,6))</f>
        <v/>
      </c>
      <c r="W955" s="9">
        <f>IF(OR(R955="",T955="",U955="",U955=0),"",ROUND(R955*T955/U955,3))</f>
        <v/>
      </c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12">
        <f>IF(A955="","",IF(OR(B955="",C955="",D955="",E955="",H955="",O955="",T955="",U955=""),"必填欄位未完整",""))</f>
        <v/>
      </c>
      <c r="AI955" s="12">
        <f>IF(A955="","",A955&amp;"|"&amp;G955)</f>
        <v/>
      </c>
      <c r="AJ955" s="12">
        <f>IF(A955="","",A955&amp;"|"&amp;H955)</f>
        <v/>
      </c>
    </row>
    <row r="956" ht="24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8" t="n"/>
      <c r="P956" s="8" t="n"/>
      <c r="Q956" s="8" t="n"/>
      <c r="R956" s="13">
        <f>IF(O956="","",SUM(O956:Q956))</f>
        <v/>
      </c>
      <c r="S956" s="9">
        <f>IF(R956="","",ROUND(R956/3.305785,3))</f>
        <v/>
      </c>
      <c r="T956" s="7" t="n"/>
      <c r="U956" s="7" t="n"/>
      <c r="V956" s="10">
        <f>IF(OR(T956="",U956="",U956=0),"",ROUND(T956/U956,6))</f>
        <v/>
      </c>
      <c r="W956" s="9">
        <f>IF(OR(R956="",T956="",U956="",U956=0),"",ROUND(R956*T956/U956,3))</f>
        <v/>
      </c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12">
        <f>IF(A956="","",IF(OR(B956="",C956="",D956="",E956="",H956="",O956="",T956="",U956=""),"必填欄位未完整",""))</f>
        <v/>
      </c>
      <c r="AI956" s="12">
        <f>IF(A956="","",A956&amp;"|"&amp;G956)</f>
        <v/>
      </c>
      <c r="AJ956" s="12">
        <f>IF(A956="","",A956&amp;"|"&amp;H956)</f>
        <v/>
      </c>
    </row>
    <row r="957" ht="24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8" t="n"/>
      <c r="P957" s="8" t="n"/>
      <c r="Q957" s="8" t="n"/>
      <c r="R957" s="13">
        <f>IF(O957="","",SUM(O957:Q957))</f>
        <v/>
      </c>
      <c r="S957" s="9">
        <f>IF(R957="","",ROUND(R957/3.305785,3))</f>
        <v/>
      </c>
      <c r="T957" s="7" t="n"/>
      <c r="U957" s="7" t="n"/>
      <c r="V957" s="10">
        <f>IF(OR(T957="",U957="",U957=0),"",ROUND(T957/U957,6))</f>
        <v/>
      </c>
      <c r="W957" s="9">
        <f>IF(OR(R957="",T957="",U957="",U957=0),"",ROUND(R957*T957/U957,3))</f>
        <v/>
      </c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12">
        <f>IF(A957="","",IF(OR(B957="",C957="",D957="",E957="",H957="",O957="",T957="",U957=""),"必填欄位未完整",""))</f>
        <v/>
      </c>
      <c r="AI957" s="12">
        <f>IF(A957="","",A957&amp;"|"&amp;G957)</f>
        <v/>
      </c>
      <c r="AJ957" s="12">
        <f>IF(A957="","",A957&amp;"|"&amp;H957)</f>
        <v/>
      </c>
    </row>
    <row r="958" ht="24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8" t="n"/>
      <c r="P958" s="8" t="n"/>
      <c r="Q958" s="8" t="n"/>
      <c r="R958" s="13">
        <f>IF(O958="","",SUM(O958:Q958))</f>
        <v/>
      </c>
      <c r="S958" s="9">
        <f>IF(R958="","",ROUND(R958/3.305785,3))</f>
        <v/>
      </c>
      <c r="T958" s="7" t="n"/>
      <c r="U958" s="7" t="n"/>
      <c r="V958" s="10">
        <f>IF(OR(T958="",U958="",U958=0),"",ROUND(T958/U958,6))</f>
        <v/>
      </c>
      <c r="W958" s="9">
        <f>IF(OR(R958="",T958="",U958="",U958=0),"",ROUND(R958*T958/U958,3))</f>
        <v/>
      </c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12">
        <f>IF(A958="","",IF(OR(B958="",C958="",D958="",E958="",H958="",O958="",T958="",U958=""),"必填欄位未完整",""))</f>
        <v/>
      </c>
      <c r="AI958" s="12">
        <f>IF(A958="","",A958&amp;"|"&amp;G958)</f>
        <v/>
      </c>
      <c r="AJ958" s="12">
        <f>IF(A958="","",A958&amp;"|"&amp;H958)</f>
        <v/>
      </c>
    </row>
    <row r="959" ht="24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8" t="n"/>
      <c r="P959" s="8" t="n"/>
      <c r="Q959" s="8" t="n"/>
      <c r="R959" s="13">
        <f>IF(O959="","",SUM(O959:Q959))</f>
        <v/>
      </c>
      <c r="S959" s="9">
        <f>IF(R959="","",ROUND(R959/3.305785,3))</f>
        <v/>
      </c>
      <c r="T959" s="7" t="n"/>
      <c r="U959" s="7" t="n"/>
      <c r="V959" s="10">
        <f>IF(OR(T959="",U959="",U959=0),"",ROUND(T959/U959,6))</f>
        <v/>
      </c>
      <c r="W959" s="9">
        <f>IF(OR(R959="",T959="",U959="",U959=0),"",ROUND(R959*T959/U959,3))</f>
        <v/>
      </c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12">
        <f>IF(A959="","",IF(OR(B959="",C959="",D959="",E959="",H959="",O959="",T959="",U959=""),"必填欄位未完整",""))</f>
        <v/>
      </c>
      <c r="AI959" s="12">
        <f>IF(A959="","",A959&amp;"|"&amp;G959)</f>
        <v/>
      </c>
      <c r="AJ959" s="12">
        <f>IF(A959="","",A959&amp;"|"&amp;H959)</f>
        <v/>
      </c>
    </row>
    <row r="960" ht="24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8" t="n"/>
      <c r="P960" s="8" t="n"/>
      <c r="Q960" s="8" t="n"/>
      <c r="R960" s="13">
        <f>IF(O960="","",SUM(O960:Q960))</f>
        <v/>
      </c>
      <c r="S960" s="9">
        <f>IF(R960="","",ROUND(R960/3.305785,3))</f>
        <v/>
      </c>
      <c r="T960" s="7" t="n"/>
      <c r="U960" s="7" t="n"/>
      <c r="V960" s="10">
        <f>IF(OR(T960="",U960="",U960=0),"",ROUND(T960/U960,6))</f>
        <v/>
      </c>
      <c r="W960" s="9">
        <f>IF(OR(R960="",T960="",U960="",U960=0),"",ROUND(R960*T960/U960,3))</f>
        <v/>
      </c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12">
        <f>IF(A960="","",IF(OR(B960="",C960="",D960="",E960="",H960="",O960="",T960="",U960=""),"必填欄位未完整",""))</f>
        <v/>
      </c>
      <c r="AI960" s="12">
        <f>IF(A960="","",A960&amp;"|"&amp;G960)</f>
        <v/>
      </c>
      <c r="AJ960" s="12">
        <f>IF(A960="","",A960&amp;"|"&amp;H960)</f>
        <v/>
      </c>
    </row>
    <row r="961" ht="24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8" t="n"/>
      <c r="P961" s="8" t="n"/>
      <c r="Q961" s="8" t="n"/>
      <c r="R961" s="13">
        <f>IF(O961="","",SUM(O961:Q961))</f>
        <v/>
      </c>
      <c r="S961" s="9">
        <f>IF(R961="","",ROUND(R961/3.305785,3))</f>
        <v/>
      </c>
      <c r="T961" s="7" t="n"/>
      <c r="U961" s="7" t="n"/>
      <c r="V961" s="10">
        <f>IF(OR(T961="",U961="",U961=0),"",ROUND(T961/U961,6))</f>
        <v/>
      </c>
      <c r="W961" s="9">
        <f>IF(OR(R961="",T961="",U961="",U961=0),"",ROUND(R961*T961/U961,3))</f>
        <v/>
      </c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12">
        <f>IF(A961="","",IF(OR(B961="",C961="",D961="",E961="",H961="",O961="",T961="",U961=""),"必填欄位未完整",""))</f>
        <v/>
      </c>
      <c r="AI961" s="12">
        <f>IF(A961="","",A961&amp;"|"&amp;G961)</f>
        <v/>
      </c>
      <c r="AJ961" s="12">
        <f>IF(A961="","",A961&amp;"|"&amp;H961)</f>
        <v/>
      </c>
    </row>
    <row r="962" ht="24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8" t="n"/>
      <c r="P962" s="8" t="n"/>
      <c r="Q962" s="8" t="n"/>
      <c r="R962" s="13">
        <f>IF(O962="","",SUM(O962:Q962))</f>
        <v/>
      </c>
      <c r="S962" s="9">
        <f>IF(R962="","",ROUND(R962/3.305785,3))</f>
        <v/>
      </c>
      <c r="T962" s="7" t="n"/>
      <c r="U962" s="7" t="n"/>
      <c r="V962" s="10">
        <f>IF(OR(T962="",U962="",U962=0),"",ROUND(T962/U962,6))</f>
        <v/>
      </c>
      <c r="W962" s="9">
        <f>IF(OR(R962="",T962="",U962="",U962=0),"",ROUND(R962*T962/U962,3))</f>
        <v/>
      </c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12">
        <f>IF(A962="","",IF(OR(B962="",C962="",D962="",E962="",H962="",O962="",T962="",U962=""),"必填欄位未完整",""))</f>
        <v/>
      </c>
      <c r="AI962" s="12">
        <f>IF(A962="","",A962&amp;"|"&amp;G962)</f>
        <v/>
      </c>
      <c r="AJ962" s="12">
        <f>IF(A962="","",A962&amp;"|"&amp;H962)</f>
        <v/>
      </c>
    </row>
    <row r="963" ht="24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8" t="n"/>
      <c r="P963" s="8" t="n"/>
      <c r="Q963" s="8" t="n"/>
      <c r="R963" s="13">
        <f>IF(O963="","",SUM(O963:Q963))</f>
        <v/>
      </c>
      <c r="S963" s="9">
        <f>IF(R963="","",ROUND(R963/3.305785,3))</f>
        <v/>
      </c>
      <c r="T963" s="7" t="n"/>
      <c r="U963" s="7" t="n"/>
      <c r="V963" s="10">
        <f>IF(OR(T963="",U963="",U963=0),"",ROUND(T963/U963,6))</f>
        <v/>
      </c>
      <c r="W963" s="9">
        <f>IF(OR(R963="",T963="",U963="",U963=0),"",ROUND(R963*T963/U963,3))</f>
        <v/>
      </c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12">
        <f>IF(A963="","",IF(OR(B963="",C963="",D963="",E963="",H963="",O963="",T963="",U963=""),"必填欄位未完整",""))</f>
        <v/>
      </c>
      <c r="AI963" s="12">
        <f>IF(A963="","",A963&amp;"|"&amp;G963)</f>
        <v/>
      </c>
      <c r="AJ963" s="12">
        <f>IF(A963="","",A963&amp;"|"&amp;H963)</f>
        <v/>
      </c>
    </row>
    <row r="964" ht="24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8" t="n"/>
      <c r="P964" s="8" t="n"/>
      <c r="Q964" s="8" t="n"/>
      <c r="R964" s="13">
        <f>IF(O964="","",SUM(O964:Q964))</f>
        <v/>
      </c>
      <c r="S964" s="9">
        <f>IF(R964="","",ROUND(R964/3.305785,3))</f>
        <v/>
      </c>
      <c r="T964" s="7" t="n"/>
      <c r="U964" s="7" t="n"/>
      <c r="V964" s="10">
        <f>IF(OR(T964="",U964="",U964=0),"",ROUND(T964/U964,6))</f>
        <v/>
      </c>
      <c r="W964" s="9">
        <f>IF(OR(R964="",T964="",U964="",U964=0),"",ROUND(R964*T964/U964,3))</f>
        <v/>
      </c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12">
        <f>IF(A964="","",IF(OR(B964="",C964="",D964="",E964="",H964="",O964="",T964="",U964=""),"必填欄位未完整",""))</f>
        <v/>
      </c>
      <c r="AI964" s="12">
        <f>IF(A964="","",A964&amp;"|"&amp;G964)</f>
        <v/>
      </c>
      <c r="AJ964" s="12">
        <f>IF(A964="","",A964&amp;"|"&amp;H964)</f>
        <v/>
      </c>
    </row>
    <row r="965" ht="24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8" t="n"/>
      <c r="P965" s="8" t="n"/>
      <c r="Q965" s="8" t="n"/>
      <c r="R965" s="13">
        <f>IF(O965="","",SUM(O965:Q965))</f>
        <v/>
      </c>
      <c r="S965" s="9">
        <f>IF(R965="","",ROUND(R965/3.305785,3))</f>
        <v/>
      </c>
      <c r="T965" s="7" t="n"/>
      <c r="U965" s="7" t="n"/>
      <c r="V965" s="10">
        <f>IF(OR(T965="",U965="",U965=0),"",ROUND(T965/U965,6))</f>
        <v/>
      </c>
      <c r="W965" s="9">
        <f>IF(OR(R965="",T965="",U965="",U965=0),"",ROUND(R965*T965/U965,3))</f>
        <v/>
      </c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12">
        <f>IF(A965="","",IF(OR(B965="",C965="",D965="",E965="",H965="",O965="",T965="",U965=""),"必填欄位未完整",""))</f>
        <v/>
      </c>
      <c r="AI965" s="12">
        <f>IF(A965="","",A965&amp;"|"&amp;G965)</f>
        <v/>
      </c>
      <c r="AJ965" s="12">
        <f>IF(A965="","",A965&amp;"|"&amp;H965)</f>
        <v/>
      </c>
    </row>
    <row r="966" ht="24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8" t="n"/>
      <c r="P966" s="8" t="n"/>
      <c r="Q966" s="8" t="n"/>
      <c r="R966" s="13">
        <f>IF(O966="","",SUM(O966:Q966))</f>
        <v/>
      </c>
      <c r="S966" s="9">
        <f>IF(R966="","",ROUND(R966/3.305785,3))</f>
        <v/>
      </c>
      <c r="T966" s="7" t="n"/>
      <c r="U966" s="7" t="n"/>
      <c r="V966" s="10">
        <f>IF(OR(T966="",U966="",U966=0),"",ROUND(T966/U966,6))</f>
        <v/>
      </c>
      <c r="W966" s="9">
        <f>IF(OR(R966="",T966="",U966="",U966=0),"",ROUND(R966*T966/U966,3))</f>
        <v/>
      </c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12">
        <f>IF(A966="","",IF(OR(B966="",C966="",D966="",E966="",H966="",O966="",T966="",U966=""),"必填欄位未完整",""))</f>
        <v/>
      </c>
      <c r="AI966" s="12">
        <f>IF(A966="","",A966&amp;"|"&amp;G966)</f>
        <v/>
      </c>
      <c r="AJ966" s="12">
        <f>IF(A966="","",A966&amp;"|"&amp;H966)</f>
        <v/>
      </c>
    </row>
    <row r="967" ht="24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8" t="n"/>
      <c r="P967" s="8" t="n"/>
      <c r="Q967" s="8" t="n"/>
      <c r="R967" s="13">
        <f>IF(O967="","",SUM(O967:Q967))</f>
        <v/>
      </c>
      <c r="S967" s="9">
        <f>IF(R967="","",ROUND(R967/3.305785,3))</f>
        <v/>
      </c>
      <c r="T967" s="7" t="n"/>
      <c r="U967" s="7" t="n"/>
      <c r="V967" s="10">
        <f>IF(OR(T967="",U967="",U967=0),"",ROUND(T967/U967,6))</f>
        <v/>
      </c>
      <c r="W967" s="9">
        <f>IF(OR(R967="",T967="",U967="",U967=0),"",ROUND(R967*T967/U967,3))</f>
        <v/>
      </c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12">
        <f>IF(A967="","",IF(OR(B967="",C967="",D967="",E967="",H967="",O967="",T967="",U967=""),"必填欄位未完整",""))</f>
        <v/>
      </c>
      <c r="AI967" s="12">
        <f>IF(A967="","",A967&amp;"|"&amp;G967)</f>
        <v/>
      </c>
      <c r="AJ967" s="12">
        <f>IF(A967="","",A967&amp;"|"&amp;H967)</f>
        <v/>
      </c>
    </row>
    <row r="968" ht="24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8" t="n"/>
      <c r="P968" s="8" t="n"/>
      <c r="Q968" s="8" t="n"/>
      <c r="R968" s="13">
        <f>IF(O968="","",SUM(O968:Q968))</f>
        <v/>
      </c>
      <c r="S968" s="9">
        <f>IF(R968="","",ROUND(R968/3.305785,3))</f>
        <v/>
      </c>
      <c r="T968" s="7" t="n"/>
      <c r="U968" s="7" t="n"/>
      <c r="V968" s="10">
        <f>IF(OR(T968="",U968="",U968=0),"",ROUND(T968/U968,6))</f>
        <v/>
      </c>
      <c r="W968" s="9">
        <f>IF(OR(R968="",T968="",U968="",U968=0),"",ROUND(R968*T968/U968,3))</f>
        <v/>
      </c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12">
        <f>IF(A968="","",IF(OR(B968="",C968="",D968="",E968="",H968="",O968="",T968="",U968=""),"必填欄位未完整",""))</f>
        <v/>
      </c>
      <c r="AI968" s="12">
        <f>IF(A968="","",A968&amp;"|"&amp;G968)</f>
        <v/>
      </c>
      <c r="AJ968" s="12">
        <f>IF(A968="","",A968&amp;"|"&amp;H968)</f>
        <v/>
      </c>
    </row>
    <row r="969" ht="24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8" t="n"/>
      <c r="P969" s="8" t="n"/>
      <c r="Q969" s="8" t="n"/>
      <c r="R969" s="13">
        <f>IF(O969="","",SUM(O969:Q969))</f>
        <v/>
      </c>
      <c r="S969" s="9">
        <f>IF(R969="","",ROUND(R969/3.305785,3))</f>
        <v/>
      </c>
      <c r="T969" s="7" t="n"/>
      <c r="U969" s="7" t="n"/>
      <c r="V969" s="10">
        <f>IF(OR(T969="",U969="",U969=0),"",ROUND(T969/U969,6))</f>
        <v/>
      </c>
      <c r="W969" s="9">
        <f>IF(OR(R969="",T969="",U969="",U969=0),"",ROUND(R969*T969/U969,3))</f>
        <v/>
      </c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12">
        <f>IF(A969="","",IF(OR(B969="",C969="",D969="",E969="",H969="",O969="",T969="",U969=""),"必填欄位未完整",""))</f>
        <v/>
      </c>
      <c r="AI969" s="12">
        <f>IF(A969="","",A969&amp;"|"&amp;G969)</f>
        <v/>
      </c>
      <c r="AJ969" s="12">
        <f>IF(A969="","",A969&amp;"|"&amp;H969)</f>
        <v/>
      </c>
    </row>
    <row r="970" ht="24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8" t="n"/>
      <c r="P970" s="8" t="n"/>
      <c r="Q970" s="8" t="n"/>
      <c r="R970" s="13">
        <f>IF(O970="","",SUM(O970:Q970))</f>
        <v/>
      </c>
      <c r="S970" s="9">
        <f>IF(R970="","",ROUND(R970/3.305785,3))</f>
        <v/>
      </c>
      <c r="T970" s="7" t="n"/>
      <c r="U970" s="7" t="n"/>
      <c r="V970" s="10">
        <f>IF(OR(T970="",U970="",U970=0),"",ROUND(T970/U970,6))</f>
        <v/>
      </c>
      <c r="W970" s="9">
        <f>IF(OR(R970="",T970="",U970="",U970=0),"",ROUND(R970*T970/U970,3))</f>
        <v/>
      </c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12">
        <f>IF(A970="","",IF(OR(B970="",C970="",D970="",E970="",H970="",O970="",T970="",U970=""),"必填欄位未完整",""))</f>
        <v/>
      </c>
      <c r="AI970" s="12">
        <f>IF(A970="","",A970&amp;"|"&amp;G970)</f>
        <v/>
      </c>
      <c r="AJ970" s="12">
        <f>IF(A970="","",A970&amp;"|"&amp;H970)</f>
        <v/>
      </c>
    </row>
    <row r="971" ht="24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8" t="n"/>
      <c r="P971" s="8" t="n"/>
      <c r="Q971" s="8" t="n"/>
      <c r="R971" s="13">
        <f>IF(O971="","",SUM(O971:Q971))</f>
        <v/>
      </c>
      <c r="S971" s="9">
        <f>IF(R971="","",ROUND(R971/3.305785,3))</f>
        <v/>
      </c>
      <c r="T971" s="7" t="n"/>
      <c r="U971" s="7" t="n"/>
      <c r="V971" s="10">
        <f>IF(OR(T971="",U971="",U971=0),"",ROUND(T971/U971,6))</f>
        <v/>
      </c>
      <c r="W971" s="9">
        <f>IF(OR(R971="",T971="",U971="",U971=0),"",ROUND(R971*T971/U971,3))</f>
        <v/>
      </c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12">
        <f>IF(A971="","",IF(OR(B971="",C971="",D971="",E971="",H971="",O971="",T971="",U971=""),"必填欄位未完整",""))</f>
        <v/>
      </c>
      <c r="AI971" s="12">
        <f>IF(A971="","",A971&amp;"|"&amp;G971)</f>
        <v/>
      </c>
      <c r="AJ971" s="12">
        <f>IF(A971="","",A971&amp;"|"&amp;H971)</f>
        <v/>
      </c>
    </row>
    <row r="972" ht="24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8" t="n"/>
      <c r="P972" s="8" t="n"/>
      <c r="Q972" s="8" t="n"/>
      <c r="R972" s="13">
        <f>IF(O972="","",SUM(O972:Q972))</f>
        <v/>
      </c>
      <c r="S972" s="9">
        <f>IF(R972="","",ROUND(R972/3.305785,3))</f>
        <v/>
      </c>
      <c r="T972" s="7" t="n"/>
      <c r="U972" s="7" t="n"/>
      <c r="V972" s="10">
        <f>IF(OR(T972="",U972="",U972=0),"",ROUND(T972/U972,6))</f>
        <v/>
      </c>
      <c r="W972" s="9">
        <f>IF(OR(R972="",T972="",U972="",U972=0),"",ROUND(R972*T972/U972,3))</f>
        <v/>
      </c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12">
        <f>IF(A972="","",IF(OR(B972="",C972="",D972="",E972="",H972="",O972="",T972="",U972=""),"必填欄位未完整",""))</f>
        <v/>
      </c>
      <c r="AI972" s="12">
        <f>IF(A972="","",A972&amp;"|"&amp;G972)</f>
        <v/>
      </c>
      <c r="AJ972" s="12">
        <f>IF(A972="","",A972&amp;"|"&amp;H972)</f>
        <v/>
      </c>
    </row>
    <row r="973" ht="24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8" t="n"/>
      <c r="P973" s="8" t="n"/>
      <c r="Q973" s="8" t="n"/>
      <c r="R973" s="13">
        <f>IF(O973="","",SUM(O973:Q973))</f>
        <v/>
      </c>
      <c r="S973" s="9">
        <f>IF(R973="","",ROUND(R973/3.305785,3))</f>
        <v/>
      </c>
      <c r="T973" s="7" t="n"/>
      <c r="U973" s="7" t="n"/>
      <c r="V973" s="10">
        <f>IF(OR(T973="",U973="",U973=0),"",ROUND(T973/U973,6))</f>
        <v/>
      </c>
      <c r="W973" s="9">
        <f>IF(OR(R973="",T973="",U973="",U973=0),"",ROUND(R973*T973/U973,3))</f>
        <v/>
      </c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12">
        <f>IF(A973="","",IF(OR(B973="",C973="",D973="",E973="",H973="",O973="",T973="",U973=""),"必填欄位未完整",""))</f>
        <v/>
      </c>
      <c r="AI973" s="12">
        <f>IF(A973="","",A973&amp;"|"&amp;G973)</f>
        <v/>
      </c>
      <c r="AJ973" s="12">
        <f>IF(A973="","",A973&amp;"|"&amp;H973)</f>
        <v/>
      </c>
    </row>
    <row r="974" ht="24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8" t="n"/>
      <c r="P974" s="8" t="n"/>
      <c r="Q974" s="8" t="n"/>
      <c r="R974" s="13">
        <f>IF(O974="","",SUM(O974:Q974))</f>
        <v/>
      </c>
      <c r="S974" s="9">
        <f>IF(R974="","",ROUND(R974/3.305785,3))</f>
        <v/>
      </c>
      <c r="T974" s="7" t="n"/>
      <c r="U974" s="7" t="n"/>
      <c r="V974" s="10">
        <f>IF(OR(T974="",U974="",U974=0),"",ROUND(T974/U974,6))</f>
        <v/>
      </c>
      <c r="W974" s="9">
        <f>IF(OR(R974="",T974="",U974="",U974=0),"",ROUND(R974*T974/U974,3))</f>
        <v/>
      </c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12">
        <f>IF(A974="","",IF(OR(B974="",C974="",D974="",E974="",H974="",O974="",T974="",U974=""),"必填欄位未完整",""))</f>
        <v/>
      </c>
      <c r="AI974" s="12">
        <f>IF(A974="","",A974&amp;"|"&amp;G974)</f>
        <v/>
      </c>
      <c r="AJ974" s="12">
        <f>IF(A974="","",A974&amp;"|"&amp;H974)</f>
        <v/>
      </c>
    </row>
    <row r="975" ht="24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8" t="n"/>
      <c r="P975" s="8" t="n"/>
      <c r="Q975" s="8" t="n"/>
      <c r="R975" s="13">
        <f>IF(O975="","",SUM(O975:Q975))</f>
        <v/>
      </c>
      <c r="S975" s="9">
        <f>IF(R975="","",ROUND(R975/3.305785,3))</f>
        <v/>
      </c>
      <c r="T975" s="7" t="n"/>
      <c r="U975" s="7" t="n"/>
      <c r="V975" s="10">
        <f>IF(OR(T975="",U975="",U975=0),"",ROUND(T975/U975,6))</f>
        <v/>
      </c>
      <c r="W975" s="9">
        <f>IF(OR(R975="",T975="",U975="",U975=0),"",ROUND(R975*T975/U975,3))</f>
        <v/>
      </c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12">
        <f>IF(A975="","",IF(OR(B975="",C975="",D975="",E975="",H975="",O975="",T975="",U975=""),"必填欄位未完整",""))</f>
        <v/>
      </c>
      <c r="AI975" s="12">
        <f>IF(A975="","",A975&amp;"|"&amp;G975)</f>
        <v/>
      </c>
      <c r="AJ975" s="12">
        <f>IF(A975="","",A975&amp;"|"&amp;H975)</f>
        <v/>
      </c>
    </row>
    <row r="976" ht="24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8" t="n"/>
      <c r="P976" s="8" t="n"/>
      <c r="Q976" s="8" t="n"/>
      <c r="R976" s="13">
        <f>IF(O976="","",SUM(O976:Q976))</f>
        <v/>
      </c>
      <c r="S976" s="9">
        <f>IF(R976="","",ROUND(R976/3.305785,3))</f>
        <v/>
      </c>
      <c r="T976" s="7" t="n"/>
      <c r="U976" s="7" t="n"/>
      <c r="V976" s="10">
        <f>IF(OR(T976="",U976="",U976=0),"",ROUND(T976/U976,6))</f>
        <v/>
      </c>
      <c r="W976" s="9">
        <f>IF(OR(R976="",T976="",U976="",U976=0),"",ROUND(R976*T976/U976,3))</f>
        <v/>
      </c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12">
        <f>IF(A976="","",IF(OR(B976="",C976="",D976="",E976="",H976="",O976="",T976="",U976=""),"必填欄位未完整",""))</f>
        <v/>
      </c>
      <c r="AI976" s="12">
        <f>IF(A976="","",A976&amp;"|"&amp;G976)</f>
        <v/>
      </c>
      <c r="AJ976" s="12">
        <f>IF(A976="","",A976&amp;"|"&amp;H976)</f>
        <v/>
      </c>
    </row>
    <row r="977" ht="24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8" t="n"/>
      <c r="P977" s="8" t="n"/>
      <c r="Q977" s="8" t="n"/>
      <c r="R977" s="13">
        <f>IF(O977="","",SUM(O977:Q977))</f>
        <v/>
      </c>
      <c r="S977" s="9">
        <f>IF(R977="","",ROUND(R977/3.305785,3))</f>
        <v/>
      </c>
      <c r="T977" s="7" t="n"/>
      <c r="U977" s="7" t="n"/>
      <c r="V977" s="10">
        <f>IF(OR(T977="",U977="",U977=0),"",ROUND(T977/U977,6))</f>
        <v/>
      </c>
      <c r="W977" s="9">
        <f>IF(OR(R977="",T977="",U977="",U977=0),"",ROUND(R977*T977/U977,3))</f>
        <v/>
      </c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12">
        <f>IF(A977="","",IF(OR(B977="",C977="",D977="",E977="",H977="",O977="",T977="",U977=""),"必填欄位未完整",""))</f>
        <v/>
      </c>
      <c r="AI977" s="12">
        <f>IF(A977="","",A977&amp;"|"&amp;G977)</f>
        <v/>
      </c>
      <c r="AJ977" s="12">
        <f>IF(A977="","",A977&amp;"|"&amp;H977)</f>
        <v/>
      </c>
    </row>
    <row r="978" ht="24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8" t="n"/>
      <c r="P978" s="8" t="n"/>
      <c r="Q978" s="8" t="n"/>
      <c r="R978" s="13">
        <f>IF(O978="","",SUM(O978:Q978))</f>
        <v/>
      </c>
      <c r="S978" s="9">
        <f>IF(R978="","",ROUND(R978/3.305785,3))</f>
        <v/>
      </c>
      <c r="T978" s="7" t="n"/>
      <c r="U978" s="7" t="n"/>
      <c r="V978" s="10">
        <f>IF(OR(T978="",U978="",U978=0),"",ROUND(T978/U978,6))</f>
        <v/>
      </c>
      <c r="W978" s="9">
        <f>IF(OR(R978="",T978="",U978="",U978=0),"",ROUND(R978*T978/U978,3))</f>
        <v/>
      </c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12">
        <f>IF(A978="","",IF(OR(B978="",C978="",D978="",E978="",H978="",O978="",T978="",U978=""),"必填欄位未完整",""))</f>
        <v/>
      </c>
      <c r="AI978" s="12">
        <f>IF(A978="","",A978&amp;"|"&amp;G978)</f>
        <v/>
      </c>
      <c r="AJ978" s="12">
        <f>IF(A978="","",A978&amp;"|"&amp;H978)</f>
        <v/>
      </c>
    </row>
    <row r="979" ht="24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8" t="n"/>
      <c r="P979" s="8" t="n"/>
      <c r="Q979" s="8" t="n"/>
      <c r="R979" s="13">
        <f>IF(O979="","",SUM(O979:Q979))</f>
        <v/>
      </c>
      <c r="S979" s="9">
        <f>IF(R979="","",ROUND(R979/3.305785,3))</f>
        <v/>
      </c>
      <c r="T979" s="7" t="n"/>
      <c r="U979" s="7" t="n"/>
      <c r="V979" s="10">
        <f>IF(OR(T979="",U979="",U979=0),"",ROUND(T979/U979,6))</f>
        <v/>
      </c>
      <c r="W979" s="9">
        <f>IF(OR(R979="",T979="",U979="",U979=0),"",ROUND(R979*T979/U979,3))</f>
        <v/>
      </c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12">
        <f>IF(A979="","",IF(OR(B979="",C979="",D979="",E979="",H979="",O979="",T979="",U979=""),"必填欄位未完整",""))</f>
        <v/>
      </c>
      <c r="AI979" s="12">
        <f>IF(A979="","",A979&amp;"|"&amp;G979)</f>
        <v/>
      </c>
      <c r="AJ979" s="12">
        <f>IF(A979="","",A979&amp;"|"&amp;H979)</f>
        <v/>
      </c>
    </row>
    <row r="980" ht="24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8" t="n"/>
      <c r="P980" s="8" t="n"/>
      <c r="Q980" s="8" t="n"/>
      <c r="R980" s="13">
        <f>IF(O980="","",SUM(O980:Q980))</f>
        <v/>
      </c>
      <c r="S980" s="9">
        <f>IF(R980="","",ROUND(R980/3.305785,3))</f>
        <v/>
      </c>
      <c r="T980" s="7" t="n"/>
      <c r="U980" s="7" t="n"/>
      <c r="V980" s="10">
        <f>IF(OR(T980="",U980="",U980=0),"",ROUND(T980/U980,6))</f>
        <v/>
      </c>
      <c r="W980" s="9">
        <f>IF(OR(R980="",T980="",U980="",U980=0),"",ROUND(R980*T980/U980,3))</f>
        <v/>
      </c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12">
        <f>IF(A980="","",IF(OR(B980="",C980="",D980="",E980="",H980="",O980="",T980="",U980=""),"必填欄位未完整",""))</f>
        <v/>
      </c>
      <c r="AI980" s="12">
        <f>IF(A980="","",A980&amp;"|"&amp;G980)</f>
        <v/>
      </c>
      <c r="AJ980" s="12">
        <f>IF(A980="","",A980&amp;"|"&amp;H980)</f>
        <v/>
      </c>
    </row>
    <row r="981" ht="24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8" t="n"/>
      <c r="P981" s="8" t="n"/>
      <c r="Q981" s="8" t="n"/>
      <c r="R981" s="13">
        <f>IF(O981="","",SUM(O981:Q981))</f>
        <v/>
      </c>
      <c r="S981" s="9">
        <f>IF(R981="","",ROUND(R981/3.305785,3))</f>
        <v/>
      </c>
      <c r="T981" s="7" t="n"/>
      <c r="U981" s="7" t="n"/>
      <c r="V981" s="10">
        <f>IF(OR(T981="",U981="",U981=0),"",ROUND(T981/U981,6))</f>
        <v/>
      </c>
      <c r="W981" s="9">
        <f>IF(OR(R981="",T981="",U981="",U981=0),"",ROUND(R981*T981/U981,3))</f>
        <v/>
      </c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12">
        <f>IF(A981="","",IF(OR(B981="",C981="",D981="",E981="",H981="",O981="",T981="",U981=""),"必填欄位未完整",""))</f>
        <v/>
      </c>
      <c r="AI981" s="12">
        <f>IF(A981="","",A981&amp;"|"&amp;G981)</f>
        <v/>
      </c>
      <c r="AJ981" s="12">
        <f>IF(A981="","",A981&amp;"|"&amp;H981)</f>
        <v/>
      </c>
    </row>
    <row r="982" ht="24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8" t="n"/>
      <c r="P982" s="8" t="n"/>
      <c r="Q982" s="8" t="n"/>
      <c r="R982" s="13">
        <f>IF(O982="","",SUM(O982:Q982))</f>
        <v/>
      </c>
      <c r="S982" s="9">
        <f>IF(R982="","",ROUND(R982/3.305785,3))</f>
        <v/>
      </c>
      <c r="T982" s="7" t="n"/>
      <c r="U982" s="7" t="n"/>
      <c r="V982" s="10">
        <f>IF(OR(T982="",U982="",U982=0),"",ROUND(T982/U982,6))</f>
        <v/>
      </c>
      <c r="W982" s="9">
        <f>IF(OR(R982="",T982="",U982="",U982=0),"",ROUND(R982*T982/U982,3))</f>
        <v/>
      </c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12">
        <f>IF(A982="","",IF(OR(B982="",C982="",D982="",E982="",H982="",O982="",T982="",U982=""),"必填欄位未完整",""))</f>
        <v/>
      </c>
      <c r="AI982" s="12">
        <f>IF(A982="","",A982&amp;"|"&amp;G982)</f>
        <v/>
      </c>
      <c r="AJ982" s="12">
        <f>IF(A982="","",A982&amp;"|"&amp;H982)</f>
        <v/>
      </c>
    </row>
    <row r="983" ht="24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8" t="n"/>
      <c r="P983" s="8" t="n"/>
      <c r="Q983" s="8" t="n"/>
      <c r="R983" s="13">
        <f>IF(O983="","",SUM(O983:Q983))</f>
        <v/>
      </c>
      <c r="S983" s="9">
        <f>IF(R983="","",ROUND(R983/3.305785,3))</f>
        <v/>
      </c>
      <c r="T983" s="7" t="n"/>
      <c r="U983" s="7" t="n"/>
      <c r="V983" s="10">
        <f>IF(OR(T983="",U983="",U983=0),"",ROUND(T983/U983,6))</f>
        <v/>
      </c>
      <c r="W983" s="9">
        <f>IF(OR(R983="",T983="",U983="",U983=0),"",ROUND(R983*T983/U983,3))</f>
        <v/>
      </c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12">
        <f>IF(A983="","",IF(OR(B983="",C983="",D983="",E983="",H983="",O983="",T983="",U983=""),"必填欄位未完整",""))</f>
        <v/>
      </c>
      <c r="AI983" s="12">
        <f>IF(A983="","",A983&amp;"|"&amp;G983)</f>
        <v/>
      </c>
      <c r="AJ983" s="12">
        <f>IF(A983="","",A983&amp;"|"&amp;H983)</f>
        <v/>
      </c>
    </row>
    <row r="984" ht="24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8" t="n"/>
      <c r="P984" s="8" t="n"/>
      <c r="Q984" s="8" t="n"/>
      <c r="R984" s="13">
        <f>IF(O984="","",SUM(O984:Q984))</f>
        <v/>
      </c>
      <c r="S984" s="9">
        <f>IF(R984="","",ROUND(R984/3.305785,3))</f>
        <v/>
      </c>
      <c r="T984" s="7" t="n"/>
      <c r="U984" s="7" t="n"/>
      <c r="V984" s="10">
        <f>IF(OR(T984="",U984="",U984=0),"",ROUND(T984/U984,6))</f>
        <v/>
      </c>
      <c r="W984" s="9">
        <f>IF(OR(R984="",T984="",U984="",U984=0),"",ROUND(R984*T984/U984,3))</f>
        <v/>
      </c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12">
        <f>IF(A984="","",IF(OR(B984="",C984="",D984="",E984="",H984="",O984="",T984="",U984=""),"必填欄位未完整",""))</f>
        <v/>
      </c>
      <c r="AI984" s="12">
        <f>IF(A984="","",A984&amp;"|"&amp;G984)</f>
        <v/>
      </c>
      <c r="AJ984" s="12">
        <f>IF(A984="","",A984&amp;"|"&amp;H984)</f>
        <v/>
      </c>
    </row>
    <row r="985" ht="24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8" t="n"/>
      <c r="P985" s="8" t="n"/>
      <c r="Q985" s="8" t="n"/>
      <c r="R985" s="13">
        <f>IF(O985="","",SUM(O985:Q985))</f>
        <v/>
      </c>
      <c r="S985" s="9">
        <f>IF(R985="","",ROUND(R985/3.305785,3))</f>
        <v/>
      </c>
      <c r="T985" s="7" t="n"/>
      <c r="U985" s="7" t="n"/>
      <c r="V985" s="10">
        <f>IF(OR(T985="",U985="",U985=0),"",ROUND(T985/U985,6))</f>
        <v/>
      </c>
      <c r="W985" s="9">
        <f>IF(OR(R985="",T985="",U985="",U985=0),"",ROUND(R985*T985/U985,3))</f>
        <v/>
      </c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12">
        <f>IF(A985="","",IF(OR(B985="",C985="",D985="",E985="",H985="",O985="",T985="",U985=""),"必填欄位未完整",""))</f>
        <v/>
      </c>
      <c r="AI985" s="12">
        <f>IF(A985="","",A985&amp;"|"&amp;G985)</f>
        <v/>
      </c>
      <c r="AJ985" s="12">
        <f>IF(A985="","",A985&amp;"|"&amp;H985)</f>
        <v/>
      </c>
    </row>
    <row r="986" ht="24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8" t="n"/>
      <c r="P986" s="8" t="n"/>
      <c r="Q986" s="8" t="n"/>
      <c r="R986" s="13">
        <f>IF(O986="","",SUM(O986:Q986))</f>
        <v/>
      </c>
      <c r="S986" s="9">
        <f>IF(R986="","",ROUND(R986/3.305785,3))</f>
        <v/>
      </c>
      <c r="T986" s="7" t="n"/>
      <c r="U986" s="7" t="n"/>
      <c r="V986" s="10">
        <f>IF(OR(T986="",U986="",U986=0),"",ROUND(T986/U986,6))</f>
        <v/>
      </c>
      <c r="W986" s="9">
        <f>IF(OR(R986="",T986="",U986="",U986=0),"",ROUND(R986*T986/U986,3))</f>
        <v/>
      </c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12">
        <f>IF(A986="","",IF(OR(B986="",C986="",D986="",E986="",H986="",O986="",T986="",U986=""),"必填欄位未完整",""))</f>
        <v/>
      </c>
      <c r="AI986" s="12">
        <f>IF(A986="","",A986&amp;"|"&amp;G986)</f>
        <v/>
      </c>
      <c r="AJ986" s="12">
        <f>IF(A986="","",A986&amp;"|"&amp;H986)</f>
        <v/>
      </c>
    </row>
    <row r="987" ht="24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8" t="n"/>
      <c r="P987" s="8" t="n"/>
      <c r="Q987" s="8" t="n"/>
      <c r="R987" s="13">
        <f>IF(O987="","",SUM(O987:Q987))</f>
        <v/>
      </c>
      <c r="S987" s="9">
        <f>IF(R987="","",ROUND(R987/3.305785,3))</f>
        <v/>
      </c>
      <c r="T987" s="7" t="n"/>
      <c r="U987" s="7" t="n"/>
      <c r="V987" s="10">
        <f>IF(OR(T987="",U987="",U987=0),"",ROUND(T987/U987,6))</f>
        <v/>
      </c>
      <c r="W987" s="9">
        <f>IF(OR(R987="",T987="",U987="",U987=0),"",ROUND(R987*T987/U987,3))</f>
        <v/>
      </c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12">
        <f>IF(A987="","",IF(OR(B987="",C987="",D987="",E987="",H987="",O987="",T987="",U987=""),"必填欄位未完整",""))</f>
        <v/>
      </c>
      <c r="AI987" s="12">
        <f>IF(A987="","",A987&amp;"|"&amp;G987)</f>
        <v/>
      </c>
      <c r="AJ987" s="12">
        <f>IF(A987="","",A987&amp;"|"&amp;H987)</f>
        <v/>
      </c>
    </row>
    <row r="988" ht="24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8" t="n"/>
      <c r="P988" s="8" t="n"/>
      <c r="Q988" s="8" t="n"/>
      <c r="R988" s="13">
        <f>IF(O988="","",SUM(O988:Q988))</f>
        <v/>
      </c>
      <c r="S988" s="9">
        <f>IF(R988="","",ROUND(R988/3.305785,3))</f>
        <v/>
      </c>
      <c r="T988" s="7" t="n"/>
      <c r="U988" s="7" t="n"/>
      <c r="V988" s="10">
        <f>IF(OR(T988="",U988="",U988=0),"",ROUND(T988/U988,6))</f>
        <v/>
      </c>
      <c r="W988" s="9">
        <f>IF(OR(R988="",T988="",U988="",U988=0),"",ROUND(R988*T988/U988,3))</f>
        <v/>
      </c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12">
        <f>IF(A988="","",IF(OR(B988="",C988="",D988="",E988="",H988="",O988="",T988="",U988=""),"必填欄位未完整",""))</f>
        <v/>
      </c>
      <c r="AI988" s="12">
        <f>IF(A988="","",A988&amp;"|"&amp;G988)</f>
        <v/>
      </c>
      <c r="AJ988" s="12">
        <f>IF(A988="","",A988&amp;"|"&amp;H988)</f>
        <v/>
      </c>
    </row>
    <row r="989" ht="24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8" t="n"/>
      <c r="P989" s="8" t="n"/>
      <c r="Q989" s="8" t="n"/>
      <c r="R989" s="13">
        <f>IF(O989="","",SUM(O989:Q989))</f>
        <v/>
      </c>
      <c r="S989" s="9">
        <f>IF(R989="","",ROUND(R989/3.305785,3))</f>
        <v/>
      </c>
      <c r="T989" s="7" t="n"/>
      <c r="U989" s="7" t="n"/>
      <c r="V989" s="10">
        <f>IF(OR(T989="",U989="",U989=0),"",ROUND(T989/U989,6))</f>
        <v/>
      </c>
      <c r="W989" s="9">
        <f>IF(OR(R989="",T989="",U989="",U989=0),"",ROUND(R989*T989/U989,3))</f>
        <v/>
      </c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12">
        <f>IF(A989="","",IF(OR(B989="",C989="",D989="",E989="",H989="",O989="",T989="",U989=""),"必填欄位未完整",""))</f>
        <v/>
      </c>
      <c r="AI989" s="12">
        <f>IF(A989="","",A989&amp;"|"&amp;G989)</f>
        <v/>
      </c>
      <c r="AJ989" s="12">
        <f>IF(A989="","",A989&amp;"|"&amp;H989)</f>
        <v/>
      </c>
    </row>
    <row r="990" ht="24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8" t="n"/>
      <c r="P990" s="8" t="n"/>
      <c r="Q990" s="8" t="n"/>
      <c r="R990" s="13">
        <f>IF(O990="","",SUM(O990:Q990))</f>
        <v/>
      </c>
      <c r="S990" s="9">
        <f>IF(R990="","",ROUND(R990/3.305785,3))</f>
        <v/>
      </c>
      <c r="T990" s="7" t="n"/>
      <c r="U990" s="7" t="n"/>
      <c r="V990" s="10">
        <f>IF(OR(T990="",U990="",U990=0),"",ROUND(T990/U990,6))</f>
        <v/>
      </c>
      <c r="W990" s="9">
        <f>IF(OR(R990="",T990="",U990="",U990=0),"",ROUND(R990*T990/U990,3))</f>
        <v/>
      </c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12">
        <f>IF(A990="","",IF(OR(B990="",C990="",D990="",E990="",H990="",O990="",T990="",U990=""),"必填欄位未完整",""))</f>
        <v/>
      </c>
      <c r="AI990" s="12">
        <f>IF(A990="","",A990&amp;"|"&amp;G990)</f>
        <v/>
      </c>
      <c r="AJ990" s="12">
        <f>IF(A990="","",A990&amp;"|"&amp;H990)</f>
        <v/>
      </c>
    </row>
    <row r="991" ht="24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8" t="n"/>
      <c r="P991" s="8" t="n"/>
      <c r="Q991" s="8" t="n"/>
      <c r="R991" s="13">
        <f>IF(O991="","",SUM(O991:Q991))</f>
        <v/>
      </c>
      <c r="S991" s="9">
        <f>IF(R991="","",ROUND(R991/3.305785,3))</f>
        <v/>
      </c>
      <c r="T991" s="7" t="n"/>
      <c r="U991" s="7" t="n"/>
      <c r="V991" s="10">
        <f>IF(OR(T991="",U991="",U991=0),"",ROUND(T991/U991,6))</f>
        <v/>
      </c>
      <c r="W991" s="9">
        <f>IF(OR(R991="",T991="",U991="",U991=0),"",ROUND(R991*T991/U991,3))</f>
        <v/>
      </c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12">
        <f>IF(A991="","",IF(OR(B991="",C991="",D991="",E991="",H991="",O991="",T991="",U991=""),"必填欄位未完整",""))</f>
        <v/>
      </c>
      <c r="AI991" s="12">
        <f>IF(A991="","",A991&amp;"|"&amp;G991)</f>
        <v/>
      </c>
      <c r="AJ991" s="12">
        <f>IF(A991="","",A991&amp;"|"&amp;H991)</f>
        <v/>
      </c>
    </row>
    <row r="992" ht="24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8" t="n"/>
      <c r="P992" s="8" t="n"/>
      <c r="Q992" s="8" t="n"/>
      <c r="R992" s="13">
        <f>IF(O992="","",SUM(O992:Q992))</f>
        <v/>
      </c>
      <c r="S992" s="9">
        <f>IF(R992="","",ROUND(R992/3.305785,3))</f>
        <v/>
      </c>
      <c r="T992" s="7" t="n"/>
      <c r="U992" s="7" t="n"/>
      <c r="V992" s="10">
        <f>IF(OR(T992="",U992="",U992=0),"",ROUND(T992/U992,6))</f>
        <v/>
      </c>
      <c r="W992" s="9">
        <f>IF(OR(R992="",T992="",U992="",U992=0),"",ROUND(R992*T992/U992,3))</f>
        <v/>
      </c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12">
        <f>IF(A992="","",IF(OR(B992="",C992="",D992="",E992="",H992="",O992="",T992="",U992=""),"必填欄位未完整",""))</f>
        <v/>
      </c>
      <c r="AI992" s="12">
        <f>IF(A992="","",A992&amp;"|"&amp;G992)</f>
        <v/>
      </c>
      <c r="AJ992" s="12">
        <f>IF(A992="","",A992&amp;"|"&amp;H992)</f>
        <v/>
      </c>
    </row>
    <row r="993" ht="24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8" t="n"/>
      <c r="P993" s="8" t="n"/>
      <c r="Q993" s="8" t="n"/>
      <c r="R993" s="13">
        <f>IF(O993="","",SUM(O993:Q993))</f>
        <v/>
      </c>
      <c r="S993" s="9">
        <f>IF(R993="","",ROUND(R993/3.305785,3))</f>
        <v/>
      </c>
      <c r="T993" s="7" t="n"/>
      <c r="U993" s="7" t="n"/>
      <c r="V993" s="10">
        <f>IF(OR(T993="",U993="",U993=0),"",ROUND(T993/U993,6))</f>
        <v/>
      </c>
      <c r="W993" s="9">
        <f>IF(OR(R993="",T993="",U993="",U993=0),"",ROUND(R993*T993/U993,3))</f>
        <v/>
      </c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12">
        <f>IF(A993="","",IF(OR(B993="",C993="",D993="",E993="",H993="",O993="",T993="",U993=""),"必填欄位未完整",""))</f>
        <v/>
      </c>
      <c r="AI993" s="12">
        <f>IF(A993="","",A993&amp;"|"&amp;G993)</f>
        <v/>
      </c>
      <c r="AJ993" s="12">
        <f>IF(A993="","",A993&amp;"|"&amp;H993)</f>
        <v/>
      </c>
    </row>
    <row r="994" ht="24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8" t="n"/>
      <c r="P994" s="8" t="n"/>
      <c r="Q994" s="8" t="n"/>
      <c r="R994" s="13">
        <f>IF(O994="","",SUM(O994:Q994))</f>
        <v/>
      </c>
      <c r="S994" s="9">
        <f>IF(R994="","",ROUND(R994/3.305785,3))</f>
        <v/>
      </c>
      <c r="T994" s="7" t="n"/>
      <c r="U994" s="7" t="n"/>
      <c r="V994" s="10">
        <f>IF(OR(T994="",U994="",U994=0),"",ROUND(T994/U994,6))</f>
        <v/>
      </c>
      <c r="W994" s="9">
        <f>IF(OR(R994="",T994="",U994="",U994=0),"",ROUND(R994*T994/U994,3))</f>
        <v/>
      </c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12">
        <f>IF(A994="","",IF(OR(B994="",C994="",D994="",E994="",H994="",O994="",T994="",U994=""),"必填欄位未完整",""))</f>
        <v/>
      </c>
      <c r="AI994" s="12">
        <f>IF(A994="","",A994&amp;"|"&amp;G994)</f>
        <v/>
      </c>
      <c r="AJ994" s="12">
        <f>IF(A994="","",A994&amp;"|"&amp;H994)</f>
        <v/>
      </c>
    </row>
    <row r="995" ht="24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8" t="n"/>
      <c r="P995" s="8" t="n"/>
      <c r="Q995" s="8" t="n"/>
      <c r="R995" s="13">
        <f>IF(O995="","",SUM(O995:Q995))</f>
        <v/>
      </c>
      <c r="S995" s="9">
        <f>IF(R995="","",ROUND(R995/3.305785,3))</f>
        <v/>
      </c>
      <c r="T995" s="7" t="n"/>
      <c r="U995" s="7" t="n"/>
      <c r="V995" s="10">
        <f>IF(OR(T995="",U995="",U995=0),"",ROUND(T995/U995,6))</f>
        <v/>
      </c>
      <c r="W995" s="9">
        <f>IF(OR(R995="",T995="",U995="",U995=0),"",ROUND(R995*T995/U995,3))</f>
        <v/>
      </c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12">
        <f>IF(A995="","",IF(OR(B995="",C995="",D995="",E995="",H995="",O995="",T995="",U995=""),"必填欄位未完整",""))</f>
        <v/>
      </c>
      <c r="AI995" s="12">
        <f>IF(A995="","",A995&amp;"|"&amp;G995)</f>
        <v/>
      </c>
      <c r="AJ995" s="12">
        <f>IF(A995="","",A995&amp;"|"&amp;H995)</f>
        <v/>
      </c>
    </row>
    <row r="996" ht="24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8" t="n"/>
      <c r="P996" s="8" t="n"/>
      <c r="Q996" s="8" t="n"/>
      <c r="R996" s="13">
        <f>IF(O996="","",SUM(O996:Q996))</f>
        <v/>
      </c>
      <c r="S996" s="9">
        <f>IF(R996="","",ROUND(R996/3.305785,3))</f>
        <v/>
      </c>
      <c r="T996" s="7" t="n"/>
      <c r="U996" s="7" t="n"/>
      <c r="V996" s="10">
        <f>IF(OR(T996="",U996="",U996=0),"",ROUND(T996/U996,6))</f>
        <v/>
      </c>
      <c r="W996" s="9">
        <f>IF(OR(R996="",T996="",U996="",U996=0),"",ROUND(R996*T996/U996,3))</f>
        <v/>
      </c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12">
        <f>IF(A996="","",IF(OR(B996="",C996="",D996="",E996="",H996="",O996="",T996="",U996=""),"必填欄位未完整",""))</f>
        <v/>
      </c>
      <c r="AI996" s="12">
        <f>IF(A996="","",A996&amp;"|"&amp;G996)</f>
        <v/>
      </c>
      <c r="AJ996" s="12">
        <f>IF(A996="","",A996&amp;"|"&amp;H996)</f>
        <v/>
      </c>
    </row>
    <row r="997" ht="24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8" t="n"/>
      <c r="P997" s="8" t="n"/>
      <c r="Q997" s="8" t="n"/>
      <c r="R997" s="13">
        <f>IF(O997="","",SUM(O997:Q997))</f>
        <v/>
      </c>
      <c r="S997" s="9">
        <f>IF(R997="","",ROUND(R997/3.305785,3))</f>
        <v/>
      </c>
      <c r="T997" s="7" t="n"/>
      <c r="U997" s="7" t="n"/>
      <c r="V997" s="10">
        <f>IF(OR(T997="",U997="",U997=0),"",ROUND(T997/U997,6))</f>
        <v/>
      </c>
      <c r="W997" s="9">
        <f>IF(OR(R997="",T997="",U997="",U997=0),"",ROUND(R997*T997/U997,3))</f>
        <v/>
      </c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12">
        <f>IF(A997="","",IF(OR(B997="",C997="",D997="",E997="",H997="",O997="",T997="",U997=""),"必填欄位未完整",""))</f>
        <v/>
      </c>
      <c r="AI997" s="12">
        <f>IF(A997="","",A997&amp;"|"&amp;G997)</f>
        <v/>
      </c>
      <c r="AJ997" s="12">
        <f>IF(A997="","",A997&amp;"|"&amp;H997)</f>
        <v/>
      </c>
    </row>
    <row r="998" ht="24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8" t="n"/>
      <c r="P998" s="8" t="n"/>
      <c r="Q998" s="8" t="n"/>
      <c r="R998" s="13">
        <f>IF(O998="","",SUM(O998:Q998))</f>
        <v/>
      </c>
      <c r="S998" s="9">
        <f>IF(R998="","",ROUND(R998/3.305785,3))</f>
        <v/>
      </c>
      <c r="T998" s="7" t="n"/>
      <c r="U998" s="7" t="n"/>
      <c r="V998" s="10">
        <f>IF(OR(T998="",U998="",U998=0),"",ROUND(T998/U998,6))</f>
        <v/>
      </c>
      <c r="W998" s="9">
        <f>IF(OR(R998="",T998="",U998="",U998=0),"",ROUND(R998*T998/U998,3))</f>
        <v/>
      </c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12">
        <f>IF(A998="","",IF(OR(B998="",C998="",D998="",E998="",H998="",O998="",T998="",U998=""),"必填欄位未完整",""))</f>
        <v/>
      </c>
      <c r="AI998" s="12">
        <f>IF(A998="","",A998&amp;"|"&amp;G998)</f>
        <v/>
      </c>
      <c r="AJ998" s="12">
        <f>IF(A998="","",A998&amp;"|"&amp;H998)</f>
        <v/>
      </c>
    </row>
    <row r="999" ht="24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8" t="n"/>
      <c r="P999" s="8" t="n"/>
      <c r="Q999" s="8" t="n"/>
      <c r="R999" s="13">
        <f>IF(O999="","",SUM(O999:Q999))</f>
        <v/>
      </c>
      <c r="S999" s="9">
        <f>IF(R999="","",ROUND(R999/3.305785,3))</f>
        <v/>
      </c>
      <c r="T999" s="7" t="n"/>
      <c r="U999" s="7" t="n"/>
      <c r="V999" s="10">
        <f>IF(OR(T999="",U999="",U999=0),"",ROUND(T999/U999,6))</f>
        <v/>
      </c>
      <c r="W999" s="9">
        <f>IF(OR(R999="",T999="",U999="",U999=0),"",ROUND(R999*T999/U999,3))</f>
        <v/>
      </c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12">
        <f>IF(A999="","",IF(OR(B999="",C999="",D999="",E999="",H999="",O999="",T999="",U999=""),"必填欄位未完整",""))</f>
        <v/>
      </c>
      <c r="AI999" s="12">
        <f>IF(A999="","",A999&amp;"|"&amp;G999)</f>
        <v/>
      </c>
      <c r="AJ999" s="12">
        <f>IF(A999="","",A999&amp;"|"&amp;H999)</f>
        <v/>
      </c>
    </row>
    <row r="1000" ht="24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8" t="n"/>
      <c r="P1000" s="8" t="n"/>
      <c r="Q1000" s="8" t="n"/>
      <c r="R1000" s="13">
        <f>IF(O1000="","",SUM(O1000:Q1000))</f>
        <v/>
      </c>
      <c r="S1000" s="9">
        <f>IF(R1000="","",ROUND(R1000/3.305785,3))</f>
        <v/>
      </c>
      <c r="T1000" s="7" t="n"/>
      <c r="U1000" s="7" t="n"/>
      <c r="V1000" s="10">
        <f>IF(OR(T1000="",U1000="",U1000=0),"",ROUND(T1000/U1000,6))</f>
        <v/>
      </c>
      <c r="W1000" s="9">
        <f>IF(OR(R1000="",T1000="",U1000="",U1000=0),"",ROUND(R1000*T1000/U1000,3))</f>
        <v/>
      </c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12">
        <f>IF(A1000="","",IF(OR(B1000="",C1000="",D1000="",E1000="",H1000="",O1000="",T1000="",U1000=""),"必填欄位未完整",""))</f>
        <v/>
      </c>
      <c r="AI1000" s="12">
        <f>IF(A1000="","",A1000&amp;"|"&amp;G1000)</f>
        <v/>
      </c>
      <c r="AJ1000" s="12">
        <f>IF(A1000="","",A1000&amp;"|"&amp;H1000)</f>
        <v/>
      </c>
    </row>
    <row r="1001" ht="24" customHeight="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8" t="n"/>
      <c r="P1001" s="8" t="n"/>
      <c r="Q1001" s="8" t="n"/>
      <c r="R1001" s="13">
        <f>IF(O1001="","",SUM(O1001:Q1001))</f>
        <v/>
      </c>
      <c r="S1001" s="9">
        <f>IF(R1001="","",ROUND(R1001/3.305785,3))</f>
        <v/>
      </c>
      <c r="T1001" s="7" t="n"/>
      <c r="U1001" s="7" t="n"/>
      <c r="V1001" s="10">
        <f>IF(OR(T1001="",U1001="",U1001=0),"",ROUND(T1001/U1001,6))</f>
        <v/>
      </c>
      <c r="W1001" s="9">
        <f>IF(OR(R1001="",T1001="",U1001="",U1001=0),"",ROUND(R1001*T1001/U1001,3))</f>
        <v/>
      </c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12">
        <f>IF(A1001="","",IF(OR(B1001="",C1001="",D1001="",E1001="",H1001="",O1001="",T1001="",U1001=""),"必填欄位未完整",""))</f>
        <v/>
      </c>
      <c r="AI1001" s="12">
        <f>IF(A1001="","",A1001&amp;"|"&amp;G1001)</f>
        <v/>
      </c>
      <c r="AJ1001" s="12">
        <f>IF(A1001="","",A1001&amp;"|"&amp;H1001)</f>
        <v/>
      </c>
    </row>
    <row r="1002" ht="24" customHeight="1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8" t="n"/>
      <c r="P1002" s="8" t="n"/>
      <c r="Q1002" s="8" t="n"/>
      <c r="R1002" s="13">
        <f>IF(O1002="","",SUM(O1002:Q1002))</f>
        <v/>
      </c>
      <c r="S1002" s="9">
        <f>IF(R1002="","",ROUND(R1002/3.305785,3))</f>
        <v/>
      </c>
      <c r="T1002" s="7" t="n"/>
      <c r="U1002" s="7" t="n"/>
      <c r="V1002" s="10">
        <f>IF(OR(T1002="",U1002="",U1002=0),"",ROUND(T1002/U1002,6))</f>
        <v/>
      </c>
      <c r="W1002" s="9">
        <f>IF(OR(R1002="",T1002="",U1002="",U1002=0),"",ROUND(R1002*T1002/U1002,3))</f>
        <v/>
      </c>
      <c r="X1002" s="7" t="n"/>
      <c r="Y1002" s="7" t="n"/>
      <c r="Z1002" s="7" t="n"/>
      <c r="AA1002" s="7" t="n"/>
      <c r="AB1002" s="7" t="n"/>
      <c r="AC1002" s="7" t="n"/>
      <c r="AD1002" s="7" t="n"/>
      <c r="AE1002" s="7" t="n"/>
      <c r="AF1002" s="7" t="n"/>
      <c r="AG1002" s="7" t="n"/>
      <c r="AH1002" s="12">
        <f>IF(A1002="","",IF(OR(B1002="",C1002="",D1002="",E1002="",H1002="",O1002="",T1002="",U1002=""),"必填欄位未完整",""))</f>
        <v/>
      </c>
      <c r="AI1002" s="12">
        <f>IF(A1002="","",A1002&amp;"|"&amp;G1002)</f>
        <v/>
      </c>
      <c r="AJ1002" s="12">
        <f>IF(A1002="","",A1002&amp;"|"&amp;H1002)</f>
        <v/>
      </c>
    </row>
    <row r="1003" ht="24" customHeight="1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8" t="n"/>
      <c r="P1003" s="8" t="n"/>
      <c r="Q1003" s="8" t="n"/>
      <c r="R1003" s="13">
        <f>IF(O1003="","",SUM(O1003:Q1003))</f>
        <v/>
      </c>
      <c r="S1003" s="9">
        <f>IF(R1003="","",ROUND(R1003/3.305785,3))</f>
        <v/>
      </c>
      <c r="T1003" s="7" t="n"/>
      <c r="U1003" s="7" t="n"/>
      <c r="V1003" s="10">
        <f>IF(OR(T1003="",U1003="",U1003=0),"",ROUND(T1003/U1003,6))</f>
        <v/>
      </c>
      <c r="W1003" s="9">
        <f>IF(OR(R1003="",T1003="",U1003="",U1003=0),"",ROUND(R1003*T1003/U1003,3))</f>
        <v/>
      </c>
      <c r="X1003" s="7" t="n"/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12">
        <f>IF(A1003="","",IF(OR(B1003="",C1003="",D1003="",E1003="",H1003="",O1003="",T1003="",U1003=""),"必填欄位未完整",""))</f>
        <v/>
      </c>
      <c r="AI1003" s="12">
        <f>IF(A1003="","",A1003&amp;"|"&amp;G1003)</f>
        <v/>
      </c>
      <c r="AJ1003" s="12">
        <f>IF(A1003="","",A1003&amp;"|"&amp;H1003)</f>
        <v/>
      </c>
    </row>
    <row r="1004" ht="24" customHeight="1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8" t="n"/>
      <c r="P1004" s="8" t="n"/>
      <c r="Q1004" s="8" t="n"/>
      <c r="R1004" s="13">
        <f>IF(O1004="","",SUM(O1004:Q1004))</f>
        <v/>
      </c>
      <c r="S1004" s="9">
        <f>IF(R1004="","",ROUND(R1004/3.305785,3))</f>
        <v/>
      </c>
      <c r="T1004" s="7" t="n"/>
      <c r="U1004" s="7" t="n"/>
      <c r="V1004" s="10">
        <f>IF(OR(T1004="",U1004="",U1004=0),"",ROUND(T1004/U1004,6))</f>
        <v/>
      </c>
      <c r="W1004" s="9">
        <f>IF(OR(R1004="",T1004="",U1004="",U1004=0),"",ROUND(R1004*T1004/U1004,3))</f>
        <v/>
      </c>
      <c r="X1004" s="7" t="n"/>
      <c r="Y1004" s="7" t="n"/>
      <c r="Z1004" s="7" t="n"/>
      <c r="AA1004" s="7" t="n"/>
      <c r="AB1004" s="7" t="n"/>
      <c r="AC1004" s="7" t="n"/>
      <c r="AD1004" s="7" t="n"/>
      <c r="AE1004" s="7" t="n"/>
      <c r="AF1004" s="7" t="n"/>
      <c r="AG1004" s="7" t="n"/>
      <c r="AH1004" s="12">
        <f>IF(A1004="","",IF(OR(B1004="",C1004="",D1004="",E1004="",H1004="",O1004="",T1004="",U1004=""),"必填欄位未完整",""))</f>
        <v/>
      </c>
      <c r="AI1004" s="12">
        <f>IF(A1004="","",A1004&amp;"|"&amp;G1004)</f>
        <v/>
      </c>
      <c r="AJ1004" s="12">
        <f>IF(A1004="","",A1004&amp;"|"&amp;H1004)</f>
        <v/>
      </c>
    </row>
    <row r="1005" ht="24" customHeight="1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8" t="n"/>
      <c r="P1005" s="8" t="n"/>
      <c r="Q1005" s="8" t="n"/>
      <c r="R1005" s="13">
        <f>IF(O1005="","",SUM(O1005:Q1005))</f>
        <v/>
      </c>
      <c r="S1005" s="9">
        <f>IF(R1005="","",ROUND(R1005/3.305785,3))</f>
        <v/>
      </c>
      <c r="T1005" s="7" t="n"/>
      <c r="U1005" s="7" t="n"/>
      <c r="V1005" s="10">
        <f>IF(OR(T1005="",U1005="",U1005=0),"",ROUND(T1005/U1005,6))</f>
        <v/>
      </c>
      <c r="W1005" s="9">
        <f>IF(OR(R1005="",T1005="",U1005="",U1005=0),"",ROUND(R1005*T1005/U1005,3))</f>
        <v/>
      </c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12">
        <f>IF(A1005="","",IF(OR(B1005="",C1005="",D1005="",E1005="",H1005="",O1005="",T1005="",U1005=""),"必填欄位未完整",""))</f>
        <v/>
      </c>
      <c r="AI1005" s="12">
        <f>IF(A1005="","",A1005&amp;"|"&amp;G1005)</f>
        <v/>
      </c>
      <c r="AJ1005" s="12">
        <f>IF(A1005="","",A1005&amp;"|"&amp;H1005)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5:AJ1005"/>
  <mergeCells count="3">
    <mergeCell ref="A3:AJ3"/>
    <mergeCell ref="A2:AJ2"/>
    <mergeCell ref="A1:AJ1"/>
  </mergeCells>
  <conditionalFormatting sqref="AH6:AH1005">
    <cfRule type="expression" priority="1" dxfId="0">
      <formula>LEN(AH6)&gt;0</formula>
    </cfRule>
  </conditionalFormatting>
  <dataValidations count="16">
    <dataValidation sqref="J6:J1005" showDropDown="0" showInputMessage="0" showErrorMessage="0" allowBlank="1" type="list">
      <formula1>'下拉選單'!$C$2:$C$5</formula1>
    </dataValidation>
    <dataValidation sqref="K6:K1005" showDropDown="0" showInputMessage="0" showErrorMessage="0" allowBlank="1" type="list">
      <formula1>'下拉選單'!$B$2:$B$5</formula1>
    </dataValidation>
    <dataValidation sqref="L6:L1005" showDropDown="0" showInputMessage="0" showErrorMessage="0" allowBlank="1" type="list">
      <formula1>'下拉選單'!$D$2:$D$5</formula1>
    </dataValidation>
    <dataValidation sqref="O6:O1005" showDropDown="0" showInputMessage="0" showErrorMessage="0" allowBlank="1" type="decimal" operator="greaterThanOrEqual">
      <formula1>0</formula1>
    </dataValidation>
    <dataValidation sqref="P6:P1005" showDropDown="0" showInputMessage="0" showErrorMessage="0" allowBlank="1" type="decimal" operator="greaterThanOrEqual">
      <formula1>0</formula1>
    </dataValidation>
    <dataValidation sqref="Q6:Q1005" showDropDown="0" showInputMessage="0" showErrorMessage="0" allowBlank="1" type="decimal" operator="greaterThanOrEqual">
      <formula1>0</formula1>
    </dataValidation>
    <dataValidation sqref="T6:T1005" showDropDown="0" showInputMessage="0" showErrorMessage="0" allowBlank="1" type="decimal" operator="greaterThanOrEqual">
      <formula1>0</formula1>
    </dataValidation>
    <dataValidation sqref="U6:U1005" showDropDown="0" showInputMessage="0" showErrorMessage="0" allowBlank="1" type="whole" operator="greaterThanOrEqual">
      <formula1>0</formula1>
    </dataValidation>
    <dataValidation sqref="Y6:Y1005" showDropDown="0" showInputMessage="0" showErrorMessage="0" allowBlank="1" type="list">
      <formula1>'下拉選單'!$N$2:$N$6</formula1>
    </dataValidation>
    <dataValidation sqref="Z6:Z1005" showDropDown="0" showInputMessage="0" showErrorMessage="0" allowBlank="1" type="list">
      <formula1>'下拉選單'!$H$2:$H$6</formula1>
    </dataValidation>
    <dataValidation sqref="AA6:AA1005" showDropDown="0" showInputMessage="0" showErrorMessage="0" allowBlank="1" type="decimal" operator="greaterThanOrEqual">
      <formula1>0</formula1>
    </dataValidation>
    <dataValidation sqref="AB6:AB1005" showDropDown="0" showInputMessage="0" showErrorMessage="0" allowBlank="1" type="list">
      <formula1>'下拉選單'!$E$2:$E$4</formula1>
    </dataValidation>
    <dataValidation sqref="AC6:AC1005" showDropDown="0" showInputMessage="0" showErrorMessage="0" allowBlank="1" type="list">
      <formula1>'下拉選單'!$E$2:$E$4</formula1>
    </dataValidation>
    <dataValidation sqref="AD6:AD1005" showDropDown="0" showInputMessage="0" showErrorMessage="0" allowBlank="1" type="list">
      <formula1>'下拉選單'!$E$2:$E$4</formula1>
    </dataValidation>
    <dataValidation sqref="AE6:AE1005" showDropDown="0" showInputMessage="0" showErrorMessage="0" allowBlank="1" type="list">
      <formula1>'下拉選單'!$E$2:$E$4</formula1>
    </dataValidation>
    <dataValidation sqref="AF6:AF1005" showDropDown="0" showInputMessage="0" showErrorMessage="0" allowBlank="1" type="list">
      <formula1>'下拉選單'!$F$2:$F$5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5" customWidth="1" min="5" max="5"/>
    <col width="13" customWidth="1" min="6" max="6"/>
    <col width="13" customWidth="1" min="7" max="7"/>
    <col width="16" customWidth="1" min="8" max="8"/>
    <col width="28" customWidth="1" min="9" max="9"/>
    <col width="12" customWidth="1" min="10" max="10"/>
    <col width="15" customWidth="1" min="11" max="11"/>
    <col width="12" customWidth="1" min="12" max="12"/>
    <col width="15" customWidth="1" min="13" max="13"/>
    <col width="13" customWidth="1" min="14" max="14"/>
    <col width="12" customWidth="1" min="15" max="15"/>
    <col width="13" customWidth="1" min="16" max="16"/>
    <col width="15" customWidth="1" min="17" max="17"/>
    <col width="18" customWidth="1" min="18" max="18"/>
    <col width="13" customWidth="1" min="19" max="19"/>
    <col width="13" customWidth="1" min="20" max="20"/>
    <col width="13" customWidth="1" min="21" max="21"/>
  </cols>
  <sheetData>
    <row r="1" ht="21.95" customHeight="1">
      <c r="A1" s="4" t="inlineStr">
        <is>
          <t>三策專案管理顧問有限公司</t>
        </is>
      </c>
    </row>
    <row r="2" ht="21.95" customHeight="1">
      <c r="A2" s="3" t="inlineStr">
        <is>
          <t>Sanze Project Management Consulting Co., Ltd.</t>
        </is>
      </c>
    </row>
    <row r="3" ht="38.1" customHeight="1">
      <c r="A3" s="3" t="inlineStr">
        <is>
          <t>本模板為三策開發評估系統授權使用之標準清冊匯入格式。未經授權不得修改欄位結構、公式、驗證規則或轉作其他用途。</t>
        </is>
      </c>
    </row>
    <row r="4" ht="21.95" customHeight="1">
      <c r="A4" s="5" t="inlineStr">
        <is>
          <t>必填</t>
        </is>
      </c>
      <c r="B4" s="5" t="inlineStr">
        <is>
          <t>建議</t>
        </is>
      </c>
      <c r="C4" s="5" t="inlineStr">
        <is>
          <t>公式</t>
        </is>
      </c>
      <c r="D4" s="5" t="inlineStr">
        <is>
          <t>公式</t>
        </is>
      </c>
      <c r="E4" s="5" t="inlineStr">
        <is>
          <t>公式</t>
        </is>
      </c>
      <c r="F4" s="5" t="inlineStr">
        <is>
          <t>公式</t>
        </is>
      </c>
      <c r="G4" s="5" t="inlineStr">
        <is>
          <t>公式</t>
        </is>
      </c>
      <c r="H4" s="5" t="inlineStr">
        <is>
          <t>公式</t>
        </is>
      </c>
      <c r="I4" s="5" t="inlineStr">
        <is>
          <t>公式</t>
        </is>
      </c>
      <c r="J4" s="5" t="inlineStr">
        <is>
          <t>建議</t>
        </is>
      </c>
      <c r="K4" s="5" t="inlineStr">
        <is>
          <t>建議</t>
        </is>
      </c>
      <c r="L4" s="5" t="inlineStr">
        <is>
          <t>建議</t>
        </is>
      </c>
      <c r="M4" s="5" t="inlineStr">
        <is>
          <t>建議</t>
        </is>
      </c>
      <c r="N4" s="5" t="inlineStr">
        <is>
          <t>建議</t>
        </is>
      </c>
      <c r="O4" s="5" t="inlineStr">
        <is>
          <t>建議</t>
        </is>
      </c>
      <c r="P4" s="5" t="inlineStr">
        <is>
          <t>建議</t>
        </is>
      </c>
      <c r="Q4" s="5" t="inlineStr">
        <is>
          <t>選填</t>
        </is>
      </c>
      <c r="R4" s="5" t="inlineStr">
        <is>
          <t>選填</t>
        </is>
      </c>
      <c r="S4" s="5" t="inlineStr">
        <is>
          <t>選填</t>
        </is>
      </c>
      <c r="T4" s="5" t="inlineStr">
        <is>
          <t>選填</t>
        </is>
      </c>
      <c r="U4" s="5" t="inlineStr">
        <is>
          <t>公式</t>
        </is>
      </c>
    </row>
    <row r="5" ht="33.95" customHeight="1">
      <c r="A5" s="6" t="inlineStr">
        <is>
          <t>地主編號</t>
        </is>
      </c>
      <c r="B5" s="6" t="inlineStr">
        <is>
          <t>對應地號</t>
        </is>
      </c>
      <c r="C5" s="6" t="inlineStr">
        <is>
          <t>地主姓名</t>
        </is>
      </c>
      <c r="D5" s="6" t="inlineStr">
        <is>
          <t>聯絡方式</t>
        </is>
      </c>
      <c r="E5" s="6" t="inlineStr">
        <is>
          <t>目前聯絡狀態</t>
        </is>
      </c>
      <c r="F5" s="6" t="inlineStr">
        <is>
          <t>目前同意狀態</t>
        </is>
      </c>
      <c r="G5" s="6" t="inlineStr">
        <is>
          <t>目前簽約狀態</t>
        </is>
      </c>
      <c r="H5" s="6" t="inlineStr">
        <is>
          <t>整合負責人</t>
        </is>
      </c>
      <c r="I5" s="6" t="inlineStr">
        <is>
          <t>特殊備註</t>
        </is>
      </c>
      <c r="J5" s="6" t="inlineStr">
        <is>
          <t>聯絡日期</t>
        </is>
      </c>
      <c r="K5" s="6" t="inlineStr">
        <is>
          <t>本次聯絡方式</t>
        </is>
      </c>
      <c r="L5" s="6" t="inlineStr">
        <is>
          <t>聯絡結果</t>
        </is>
      </c>
      <c r="M5" s="6" t="inlineStr">
        <is>
          <t>本次同意狀態</t>
        </is>
      </c>
      <c r="N5" s="6" t="inlineStr">
        <is>
          <t>本次簽約狀態</t>
        </is>
      </c>
      <c r="O5" s="6" t="inlineStr">
        <is>
          <t>風險等級</t>
        </is>
      </c>
      <c r="P5" s="6" t="inlineStr">
        <is>
          <t>下一步處理</t>
        </is>
      </c>
      <c r="Q5" s="6" t="inlineStr">
        <is>
          <t>下次追蹤日期</t>
        </is>
      </c>
      <c r="R5" s="6" t="inlineStr">
        <is>
          <t>溝通摘要</t>
        </is>
      </c>
      <c r="S5" s="6" t="inlineStr">
        <is>
          <t>待補資料</t>
        </is>
      </c>
      <c r="T5" s="6" t="inlineStr">
        <is>
          <t>備註</t>
        </is>
      </c>
      <c r="U5" s="6" t="inlineStr">
        <is>
          <t>提示</t>
        </is>
      </c>
    </row>
    <row r="6" ht="24" customHeight="1">
      <c r="A6" s="7" t="n"/>
      <c r="B6" s="7" t="n"/>
      <c r="C6" s="12">
        <f>IF($A6="","",IFERROR(INDEX(土地清冊_匯入!$B$6:$B$1005,MATCH($A6,土地清冊_匯入!$A$6:$A$1005,0)),"查無資料"))</f>
        <v/>
      </c>
      <c r="D6" s="12">
        <f>IF($A6="","",IFERROR(INDEX(土地清冊_匯入!$P$6:$P$1005,MATCH($A6,土地清冊_匯入!$A$6:$A$1005,0)),""))</f>
        <v/>
      </c>
      <c r="E6" s="12">
        <f>IF($A6="","",IFERROR(INDEX(土地清冊_匯入!$Q$6:$Q$1005,MATCH($A6,土地清冊_匯入!$A$6:$A$1005,0)),""))</f>
        <v/>
      </c>
      <c r="F6" s="12">
        <f>IF($A6="","",IFERROR(INDEX(土地清冊_匯入!$R$6:$R$1005,MATCH($A6,土地清冊_匯入!$A$6:$A$1005,0)),""))</f>
        <v/>
      </c>
      <c r="G6" s="12">
        <f>IF($A6="","",IFERROR(INDEX(土地清冊_匯入!$S$6:$S$1005,MATCH($A6,土地清冊_匯入!$A$6:$A$1005,0)),""))</f>
        <v/>
      </c>
      <c r="H6" s="12">
        <f>IF($A6="","",IFERROR(INDEX(土地清冊_匯入!$T$6:$T$1005,MATCH($A6,土地清冊_匯入!$A$6:$A$1005,0)),""))</f>
        <v/>
      </c>
      <c r="I6" s="12">
        <f>IF($A6="","",IFERROR(INDEX(土地清冊_匯入!$V$6:$V$1005,MATCH($A6,土地清冊_匯入!$A$6:$A$1005,0)),""))</f>
        <v/>
      </c>
      <c r="J6" s="14" t="n"/>
      <c r="K6" s="7" t="n"/>
      <c r="L6" s="7" t="n"/>
      <c r="M6" s="7" t="n"/>
      <c r="N6" s="7" t="n"/>
      <c r="O6" s="7" t="n"/>
      <c r="P6" s="7" t="n"/>
      <c r="Q6" s="14" t="n"/>
      <c r="R6" s="7" t="n"/>
      <c r="S6" s="7" t="n"/>
      <c r="T6" s="7" t="n"/>
      <c r="U6" s="12">
        <f>IF(A6="","",IF(OR(J6="",L6=""),"建議補聯絡紀錄","") )</f>
        <v/>
      </c>
    </row>
    <row r="7" ht="24" customHeight="1">
      <c r="A7" s="7" t="n"/>
      <c r="B7" s="7" t="n"/>
      <c r="C7" s="12">
        <f>IF($A7="","",IFERROR(INDEX(土地清冊_匯入!$B$6:$B$1005,MATCH($A7,土地清冊_匯入!$A$6:$A$1005,0)),"查無資料"))</f>
        <v/>
      </c>
      <c r="D7" s="12">
        <f>IF($A7="","",IFERROR(INDEX(土地清冊_匯入!$P$6:$P$1005,MATCH($A7,土地清冊_匯入!$A$6:$A$1005,0)),""))</f>
        <v/>
      </c>
      <c r="E7" s="12">
        <f>IF($A7="","",IFERROR(INDEX(土地清冊_匯入!$Q$6:$Q$1005,MATCH($A7,土地清冊_匯入!$A$6:$A$1005,0)),""))</f>
        <v/>
      </c>
      <c r="F7" s="12">
        <f>IF($A7="","",IFERROR(INDEX(土地清冊_匯入!$R$6:$R$1005,MATCH($A7,土地清冊_匯入!$A$6:$A$1005,0)),""))</f>
        <v/>
      </c>
      <c r="G7" s="12">
        <f>IF($A7="","",IFERROR(INDEX(土地清冊_匯入!$S$6:$S$1005,MATCH($A7,土地清冊_匯入!$A$6:$A$1005,0)),""))</f>
        <v/>
      </c>
      <c r="H7" s="12">
        <f>IF($A7="","",IFERROR(INDEX(土地清冊_匯入!$T$6:$T$1005,MATCH($A7,土地清冊_匯入!$A$6:$A$1005,0)),""))</f>
        <v/>
      </c>
      <c r="I7" s="12">
        <f>IF($A7="","",IFERROR(INDEX(土地清冊_匯入!$V$6:$V$1005,MATCH($A7,土地清冊_匯入!$A$6:$A$1005,0)),""))</f>
        <v/>
      </c>
      <c r="J7" s="14" t="n"/>
      <c r="K7" s="7" t="n"/>
      <c r="L7" s="7" t="n"/>
      <c r="M7" s="7" t="n"/>
      <c r="N7" s="7" t="n"/>
      <c r="O7" s="7" t="n"/>
      <c r="P7" s="7" t="n"/>
      <c r="Q7" s="14" t="n"/>
      <c r="R7" s="7" t="n"/>
      <c r="S7" s="7" t="n"/>
      <c r="T7" s="7" t="n"/>
      <c r="U7" s="12">
        <f>IF(A7="","",IF(OR(J7="",L7=""),"建議補聯絡紀錄","") )</f>
        <v/>
      </c>
    </row>
    <row r="8" ht="24" customHeight="1">
      <c r="A8" s="7" t="n"/>
      <c r="B8" s="7" t="n"/>
      <c r="C8" s="12">
        <f>IF($A8="","",IFERROR(INDEX(土地清冊_匯入!$B$6:$B$1005,MATCH($A8,土地清冊_匯入!$A$6:$A$1005,0)),"查無資料"))</f>
        <v/>
      </c>
      <c r="D8" s="12">
        <f>IF($A8="","",IFERROR(INDEX(土地清冊_匯入!$P$6:$P$1005,MATCH($A8,土地清冊_匯入!$A$6:$A$1005,0)),""))</f>
        <v/>
      </c>
      <c r="E8" s="12">
        <f>IF($A8="","",IFERROR(INDEX(土地清冊_匯入!$Q$6:$Q$1005,MATCH($A8,土地清冊_匯入!$A$6:$A$1005,0)),""))</f>
        <v/>
      </c>
      <c r="F8" s="12">
        <f>IF($A8="","",IFERROR(INDEX(土地清冊_匯入!$R$6:$R$1005,MATCH($A8,土地清冊_匯入!$A$6:$A$1005,0)),""))</f>
        <v/>
      </c>
      <c r="G8" s="12">
        <f>IF($A8="","",IFERROR(INDEX(土地清冊_匯入!$S$6:$S$1005,MATCH($A8,土地清冊_匯入!$A$6:$A$1005,0)),""))</f>
        <v/>
      </c>
      <c r="H8" s="12">
        <f>IF($A8="","",IFERROR(INDEX(土地清冊_匯入!$T$6:$T$1005,MATCH($A8,土地清冊_匯入!$A$6:$A$1005,0)),""))</f>
        <v/>
      </c>
      <c r="I8" s="12">
        <f>IF($A8="","",IFERROR(INDEX(土地清冊_匯入!$V$6:$V$1005,MATCH($A8,土地清冊_匯入!$A$6:$A$1005,0)),""))</f>
        <v/>
      </c>
      <c r="J8" s="14" t="n"/>
      <c r="K8" s="7" t="n"/>
      <c r="L8" s="7" t="n"/>
      <c r="M8" s="7" t="n"/>
      <c r="N8" s="7" t="n"/>
      <c r="O8" s="7" t="n"/>
      <c r="P8" s="7" t="n"/>
      <c r="Q8" s="14" t="n"/>
      <c r="R8" s="7" t="n"/>
      <c r="S8" s="7" t="n"/>
      <c r="T8" s="7" t="n"/>
      <c r="U8" s="12">
        <f>IF(A8="","",IF(OR(J8="",L8=""),"建議補聯絡紀錄","") )</f>
        <v/>
      </c>
    </row>
    <row r="9" ht="24" customHeight="1">
      <c r="A9" s="7" t="n"/>
      <c r="B9" s="7" t="n"/>
      <c r="C9" s="12">
        <f>IF($A9="","",IFERROR(INDEX(土地清冊_匯入!$B$6:$B$1005,MATCH($A9,土地清冊_匯入!$A$6:$A$1005,0)),"查無資料"))</f>
        <v/>
      </c>
      <c r="D9" s="12">
        <f>IF($A9="","",IFERROR(INDEX(土地清冊_匯入!$P$6:$P$1005,MATCH($A9,土地清冊_匯入!$A$6:$A$1005,0)),""))</f>
        <v/>
      </c>
      <c r="E9" s="12">
        <f>IF($A9="","",IFERROR(INDEX(土地清冊_匯入!$Q$6:$Q$1005,MATCH($A9,土地清冊_匯入!$A$6:$A$1005,0)),""))</f>
        <v/>
      </c>
      <c r="F9" s="12">
        <f>IF($A9="","",IFERROR(INDEX(土地清冊_匯入!$R$6:$R$1005,MATCH($A9,土地清冊_匯入!$A$6:$A$1005,0)),""))</f>
        <v/>
      </c>
      <c r="G9" s="12">
        <f>IF($A9="","",IFERROR(INDEX(土地清冊_匯入!$S$6:$S$1005,MATCH($A9,土地清冊_匯入!$A$6:$A$1005,0)),""))</f>
        <v/>
      </c>
      <c r="H9" s="12">
        <f>IF($A9="","",IFERROR(INDEX(土地清冊_匯入!$T$6:$T$1005,MATCH($A9,土地清冊_匯入!$A$6:$A$1005,0)),""))</f>
        <v/>
      </c>
      <c r="I9" s="12">
        <f>IF($A9="","",IFERROR(INDEX(土地清冊_匯入!$V$6:$V$1005,MATCH($A9,土地清冊_匯入!$A$6:$A$1005,0)),""))</f>
        <v/>
      </c>
      <c r="J9" s="14" t="n"/>
      <c r="K9" s="7" t="n"/>
      <c r="L9" s="7" t="n"/>
      <c r="M9" s="7" t="n"/>
      <c r="N9" s="7" t="n"/>
      <c r="O9" s="7" t="n"/>
      <c r="P9" s="7" t="n"/>
      <c r="Q9" s="14" t="n"/>
      <c r="R9" s="7" t="n"/>
      <c r="S9" s="7" t="n"/>
      <c r="T9" s="7" t="n"/>
      <c r="U9" s="12">
        <f>IF(A9="","",IF(OR(J9="",L9=""),"建議補聯絡紀錄","") )</f>
        <v/>
      </c>
    </row>
    <row r="10" ht="24" customHeight="1">
      <c r="A10" s="7" t="n"/>
      <c r="B10" s="7" t="n"/>
      <c r="C10" s="12">
        <f>IF($A10="","",IFERROR(INDEX(土地清冊_匯入!$B$6:$B$1005,MATCH($A10,土地清冊_匯入!$A$6:$A$1005,0)),"查無資料"))</f>
        <v/>
      </c>
      <c r="D10" s="12">
        <f>IF($A10="","",IFERROR(INDEX(土地清冊_匯入!$P$6:$P$1005,MATCH($A10,土地清冊_匯入!$A$6:$A$1005,0)),""))</f>
        <v/>
      </c>
      <c r="E10" s="12">
        <f>IF($A10="","",IFERROR(INDEX(土地清冊_匯入!$Q$6:$Q$1005,MATCH($A10,土地清冊_匯入!$A$6:$A$1005,0)),""))</f>
        <v/>
      </c>
      <c r="F10" s="12">
        <f>IF($A10="","",IFERROR(INDEX(土地清冊_匯入!$R$6:$R$1005,MATCH($A10,土地清冊_匯入!$A$6:$A$1005,0)),""))</f>
        <v/>
      </c>
      <c r="G10" s="12">
        <f>IF($A10="","",IFERROR(INDEX(土地清冊_匯入!$S$6:$S$1005,MATCH($A10,土地清冊_匯入!$A$6:$A$1005,0)),""))</f>
        <v/>
      </c>
      <c r="H10" s="12">
        <f>IF($A10="","",IFERROR(INDEX(土地清冊_匯入!$T$6:$T$1005,MATCH($A10,土地清冊_匯入!$A$6:$A$1005,0)),""))</f>
        <v/>
      </c>
      <c r="I10" s="12">
        <f>IF($A10="","",IFERROR(INDEX(土地清冊_匯入!$V$6:$V$1005,MATCH($A10,土地清冊_匯入!$A$6:$A$1005,0)),""))</f>
        <v/>
      </c>
      <c r="J10" s="14" t="n"/>
      <c r="K10" s="7" t="n"/>
      <c r="L10" s="7" t="n"/>
      <c r="M10" s="7" t="n"/>
      <c r="N10" s="7" t="n"/>
      <c r="O10" s="7" t="n"/>
      <c r="P10" s="7" t="n"/>
      <c r="Q10" s="14" t="n"/>
      <c r="R10" s="7" t="n"/>
      <c r="S10" s="7" t="n"/>
      <c r="T10" s="7" t="n"/>
      <c r="U10" s="12">
        <f>IF(A10="","",IF(OR(J10="",L10=""),"建議補聯絡紀錄","") )</f>
        <v/>
      </c>
    </row>
    <row r="11" ht="24" customHeight="1">
      <c r="A11" s="7" t="n"/>
      <c r="B11" s="7" t="n"/>
      <c r="C11" s="12">
        <f>IF($A11="","",IFERROR(INDEX(土地清冊_匯入!$B$6:$B$1005,MATCH($A11,土地清冊_匯入!$A$6:$A$1005,0)),"查無資料"))</f>
        <v/>
      </c>
      <c r="D11" s="12">
        <f>IF($A11="","",IFERROR(INDEX(土地清冊_匯入!$P$6:$P$1005,MATCH($A11,土地清冊_匯入!$A$6:$A$1005,0)),""))</f>
        <v/>
      </c>
      <c r="E11" s="12">
        <f>IF($A11="","",IFERROR(INDEX(土地清冊_匯入!$Q$6:$Q$1005,MATCH($A11,土地清冊_匯入!$A$6:$A$1005,0)),""))</f>
        <v/>
      </c>
      <c r="F11" s="12">
        <f>IF($A11="","",IFERROR(INDEX(土地清冊_匯入!$R$6:$R$1005,MATCH($A11,土地清冊_匯入!$A$6:$A$1005,0)),""))</f>
        <v/>
      </c>
      <c r="G11" s="12">
        <f>IF($A11="","",IFERROR(INDEX(土地清冊_匯入!$S$6:$S$1005,MATCH($A11,土地清冊_匯入!$A$6:$A$1005,0)),""))</f>
        <v/>
      </c>
      <c r="H11" s="12">
        <f>IF($A11="","",IFERROR(INDEX(土地清冊_匯入!$T$6:$T$1005,MATCH($A11,土地清冊_匯入!$A$6:$A$1005,0)),""))</f>
        <v/>
      </c>
      <c r="I11" s="12">
        <f>IF($A11="","",IFERROR(INDEX(土地清冊_匯入!$V$6:$V$1005,MATCH($A11,土地清冊_匯入!$A$6:$A$1005,0)),""))</f>
        <v/>
      </c>
      <c r="J11" s="14" t="n"/>
      <c r="K11" s="7" t="n"/>
      <c r="L11" s="7" t="n"/>
      <c r="M11" s="7" t="n"/>
      <c r="N11" s="7" t="n"/>
      <c r="O11" s="7" t="n"/>
      <c r="P11" s="7" t="n"/>
      <c r="Q11" s="14" t="n"/>
      <c r="R11" s="7" t="n"/>
      <c r="S11" s="7" t="n"/>
      <c r="T11" s="7" t="n"/>
      <c r="U11" s="12">
        <f>IF(A11="","",IF(OR(J11="",L11=""),"建議補聯絡紀錄","") )</f>
        <v/>
      </c>
    </row>
    <row r="12" ht="24" customHeight="1">
      <c r="A12" s="7" t="n"/>
      <c r="B12" s="7" t="n"/>
      <c r="C12" s="12">
        <f>IF($A12="","",IFERROR(INDEX(土地清冊_匯入!$B$6:$B$1005,MATCH($A12,土地清冊_匯入!$A$6:$A$1005,0)),"查無資料"))</f>
        <v/>
      </c>
      <c r="D12" s="12">
        <f>IF($A12="","",IFERROR(INDEX(土地清冊_匯入!$P$6:$P$1005,MATCH($A12,土地清冊_匯入!$A$6:$A$1005,0)),""))</f>
        <v/>
      </c>
      <c r="E12" s="12">
        <f>IF($A12="","",IFERROR(INDEX(土地清冊_匯入!$Q$6:$Q$1005,MATCH($A12,土地清冊_匯入!$A$6:$A$1005,0)),""))</f>
        <v/>
      </c>
      <c r="F12" s="12">
        <f>IF($A12="","",IFERROR(INDEX(土地清冊_匯入!$R$6:$R$1005,MATCH($A12,土地清冊_匯入!$A$6:$A$1005,0)),""))</f>
        <v/>
      </c>
      <c r="G12" s="12">
        <f>IF($A12="","",IFERROR(INDEX(土地清冊_匯入!$S$6:$S$1005,MATCH($A12,土地清冊_匯入!$A$6:$A$1005,0)),""))</f>
        <v/>
      </c>
      <c r="H12" s="12">
        <f>IF($A12="","",IFERROR(INDEX(土地清冊_匯入!$T$6:$T$1005,MATCH($A12,土地清冊_匯入!$A$6:$A$1005,0)),""))</f>
        <v/>
      </c>
      <c r="I12" s="12">
        <f>IF($A12="","",IFERROR(INDEX(土地清冊_匯入!$V$6:$V$1005,MATCH($A12,土地清冊_匯入!$A$6:$A$1005,0)),""))</f>
        <v/>
      </c>
      <c r="J12" s="14" t="n"/>
      <c r="K12" s="7" t="n"/>
      <c r="L12" s="7" t="n"/>
      <c r="M12" s="7" t="n"/>
      <c r="N12" s="7" t="n"/>
      <c r="O12" s="7" t="n"/>
      <c r="P12" s="7" t="n"/>
      <c r="Q12" s="14" t="n"/>
      <c r="R12" s="7" t="n"/>
      <c r="S12" s="7" t="n"/>
      <c r="T12" s="7" t="n"/>
      <c r="U12" s="12">
        <f>IF(A12="","",IF(OR(J12="",L12=""),"建議補聯絡紀錄","") )</f>
        <v/>
      </c>
    </row>
    <row r="13" ht="24" customHeight="1">
      <c r="A13" s="7" t="n"/>
      <c r="B13" s="7" t="n"/>
      <c r="C13" s="12">
        <f>IF($A13="","",IFERROR(INDEX(土地清冊_匯入!$B$6:$B$1005,MATCH($A13,土地清冊_匯入!$A$6:$A$1005,0)),"查無資料"))</f>
        <v/>
      </c>
      <c r="D13" s="12">
        <f>IF($A13="","",IFERROR(INDEX(土地清冊_匯入!$P$6:$P$1005,MATCH($A13,土地清冊_匯入!$A$6:$A$1005,0)),""))</f>
        <v/>
      </c>
      <c r="E13" s="12">
        <f>IF($A13="","",IFERROR(INDEX(土地清冊_匯入!$Q$6:$Q$1005,MATCH($A13,土地清冊_匯入!$A$6:$A$1005,0)),""))</f>
        <v/>
      </c>
      <c r="F13" s="12">
        <f>IF($A13="","",IFERROR(INDEX(土地清冊_匯入!$R$6:$R$1005,MATCH($A13,土地清冊_匯入!$A$6:$A$1005,0)),""))</f>
        <v/>
      </c>
      <c r="G13" s="12">
        <f>IF($A13="","",IFERROR(INDEX(土地清冊_匯入!$S$6:$S$1005,MATCH($A13,土地清冊_匯入!$A$6:$A$1005,0)),""))</f>
        <v/>
      </c>
      <c r="H13" s="12">
        <f>IF($A13="","",IFERROR(INDEX(土地清冊_匯入!$T$6:$T$1005,MATCH($A13,土地清冊_匯入!$A$6:$A$1005,0)),""))</f>
        <v/>
      </c>
      <c r="I13" s="12">
        <f>IF($A13="","",IFERROR(INDEX(土地清冊_匯入!$V$6:$V$1005,MATCH($A13,土地清冊_匯入!$A$6:$A$1005,0)),""))</f>
        <v/>
      </c>
      <c r="J13" s="14" t="n"/>
      <c r="K13" s="7" t="n"/>
      <c r="L13" s="7" t="n"/>
      <c r="M13" s="7" t="n"/>
      <c r="N13" s="7" t="n"/>
      <c r="O13" s="7" t="n"/>
      <c r="P13" s="7" t="n"/>
      <c r="Q13" s="14" t="n"/>
      <c r="R13" s="7" t="n"/>
      <c r="S13" s="7" t="n"/>
      <c r="T13" s="7" t="n"/>
      <c r="U13" s="12">
        <f>IF(A13="","",IF(OR(J13="",L13=""),"建議補聯絡紀錄","") )</f>
        <v/>
      </c>
    </row>
    <row r="14" ht="24" customHeight="1">
      <c r="A14" s="7" t="n"/>
      <c r="B14" s="7" t="n"/>
      <c r="C14" s="12">
        <f>IF($A14="","",IFERROR(INDEX(土地清冊_匯入!$B$6:$B$1005,MATCH($A14,土地清冊_匯入!$A$6:$A$1005,0)),"查無資料"))</f>
        <v/>
      </c>
      <c r="D14" s="12">
        <f>IF($A14="","",IFERROR(INDEX(土地清冊_匯入!$P$6:$P$1005,MATCH($A14,土地清冊_匯入!$A$6:$A$1005,0)),""))</f>
        <v/>
      </c>
      <c r="E14" s="12">
        <f>IF($A14="","",IFERROR(INDEX(土地清冊_匯入!$Q$6:$Q$1005,MATCH($A14,土地清冊_匯入!$A$6:$A$1005,0)),""))</f>
        <v/>
      </c>
      <c r="F14" s="12">
        <f>IF($A14="","",IFERROR(INDEX(土地清冊_匯入!$R$6:$R$1005,MATCH($A14,土地清冊_匯入!$A$6:$A$1005,0)),""))</f>
        <v/>
      </c>
      <c r="G14" s="12">
        <f>IF($A14="","",IFERROR(INDEX(土地清冊_匯入!$S$6:$S$1005,MATCH($A14,土地清冊_匯入!$A$6:$A$1005,0)),""))</f>
        <v/>
      </c>
      <c r="H14" s="12">
        <f>IF($A14="","",IFERROR(INDEX(土地清冊_匯入!$T$6:$T$1005,MATCH($A14,土地清冊_匯入!$A$6:$A$1005,0)),""))</f>
        <v/>
      </c>
      <c r="I14" s="12">
        <f>IF($A14="","",IFERROR(INDEX(土地清冊_匯入!$V$6:$V$1005,MATCH($A14,土地清冊_匯入!$A$6:$A$1005,0)),""))</f>
        <v/>
      </c>
      <c r="J14" s="14" t="n"/>
      <c r="K14" s="7" t="n"/>
      <c r="L14" s="7" t="n"/>
      <c r="M14" s="7" t="n"/>
      <c r="N14" s="7" t="n"/>
      <c r="O14" s="7" t="n"/>
      <c r="P14" s="7" t="n"/>
      <c r="Q14" s="14" t="n"/>
      <c r="R14" s="7" t="n"/>
      <c r="S14" s="7" t="n"/>
      <c r="T14" s="7" t="n"/>
      <c r="U14" s="12">
        <f>IF(A14="","",IF(OR(J14="",L14=""),"建議補聯絡紀錄","") )</f>
        <v/>
      </c>
    </row>
    <row r="15" ht="24" customHeight="1">
      <c r="A15" s="7" t="n"/>
      <c r="B15" s="7" t="n"/>
      <c r="C15" s="12">
        <f>IF($A15="","",IFERROR(INDEX(土地清冊_匯入!$B$6:$B$1005,MATCH($A15,土地清冊_匯入!$A$6:$A$1005,0)),"查無資料"))</f>
        <v/>
      </c>
      <c r="D15" s="12">
        <f>IF($A15="","",IFERROR(INDEX(土地清冊_匯入!$P$6:$P$1005,MATCH($A15,土地清冊_匯入!$A$6:$A$1005,0)),""))</f>
        <v/>
      </c>
      <c r="E15" s="12">
        <f>IF($A15="","",IFERROR(INDEX(土地清冊_匯入!$Q$6:$Q$1005,MATCH($A15,土地清冊_匯入!$A$6:$A$1005,0)),""))</f>
        <v/>
      </c>
      <c r="F15" s="12">
        <f>IF($A15="","",IFERROR(INDEX(土地清冊_匯入!$R$6:$R$1005,MATCH($A15,土地清冊_匯入!$A$6:$A$1005,0)),""))</f>
        <v/>
      </c>
      <c r="G15" s="12">
        <f>IF($A15="","",IFERROR(INDEX(土地清冊_匯入!$S$6:$S$1005,MATCH($A15,土地清冊_匯入!$A$6:$A$1005,0)),""))</f>
        <v/>
      </c>
      <c r="H15" s="12">
        <f>IF($A15="","",IFERROR(INDEX(土地清冊_匯入!$T$6:$T$1005,MATCH($A15,土地清冊_匯入!$A$6:$A$1005,0)),""))</f>
        <v/>
      </c>
      <c r="I15" s="12">
        <f>IF($A15="","",IFERROR(INDEX(土地清冊_匯入!$V$6:$V$1005,MATCH($A15,土地清冊_匯入!$A$6:$A$1005,0)),""))</f>
        <v/>
      </c>
      <c r="J15" s="14" t="n"/>
      <c r="K15" s="7" t="n"/>
      <c r="L15" s="7" t="n"/>
      <c r="M15" s="7" t="n"/>
      <c r="N15" s="7" t="n"/>
      <c r="O15" s="7" t="n"/>
      <c r="P15" s="7" t="n"/>
      <c r="Q15" s="14" t="n"/>
      <c r="R15" s="7" t="n"/>
      <c r="S15" s="7" t="n"/>
      <c r="T15" s="7" t="n"/>
      <c r="U15" s="12">
        <f>IF(A15="","",IF(OR(J15="",L15=""),"建議補聯絡紀錄","") )</f>
        <v/>
      </c>
    </row>
    <row r="16" ht="24" customHeight="1">
      <c r="A16" s="7" t="n"/>
      <c r="B16" s="7" t="n"/>
      <c r="C16" s="12">
        <f>IF($A16="","",IFERROR(INDEX(土地清冊_匯入!$B$6:$B$1005,MATCH($A16,土地清冊_匯入!$A$6:$A$1005,0)),"查無資料"))</f>
        <v/>
      </c>
      <c r="D16" s="12">
        <f>IF($A16="","",IFERROR(INDEX(土地清冊_匯入!$P$6:$P$1005,MATCH($A16,土地清冊_匯入!$A$6:$A$1005,0)),""))</f>
        <v/>
      </c>
      <c r="E16" s="12">
        <f>IF($A16="","",IFERROR(INDEX(土地清冊_匯入!$Q$6:$Q$1005,MATCH($A16,土地清冊_匯入!$A$6:$A$1005,0)),""))</f>
        <v/>
      </c>
      <c r="F16" s="12">
        <f>IF($A16="","",IFERROR(INDEX(土地清冊_匯入!$R$6:$R$1005,MATCH($A16,土地清冊_匯入!$A$6:$A$1005,0)),""))</f>
        <v/>
      </c>
      <c r="G16" s="12">
        <f>IF($A16="","",IFERROR(INDEX(土地清冊_匯入!$S$6:$S$1005,MATCH($A16,土地清冊_匯入!$A$6:$A$1005,0)),""))</f>
        <v/>
      </c>
      <c r="H16" s="12">
        <f>IF($A16="","",IFERROR(INDEX(土地清冊_匯入!$T$6:$T$1005,MATCH($A16,土地清冊_匯入!$A$6:$A$1005,0)),""))</f>
        <v/>
      </c>
      <c r="I16" s="12">
        <f>IF($A16="","",IFERROR(INDEX(土地清冊_匯入!$V$6:$V$1005,MATCH($A16,土地清冊_匯入!$A$6:$A$1005,0)),""))</f>
        <v/>
      </c>
      <c r="J16" s="14" t="n"/>
      <c r="K16" s="7" t="n"/>
      <c r="L16" s="7" t="n"/>
      <c r="M16" s="7" t="n"/>
      <c r="N16" s="7" t="n"/>
      <c r="O16" s="7" t="n"/>
      <c r="P16" s="7" t="n"/>
      <c r="Q16" s="14" t="n"/>
      <c r="R16" s="7" t="n"/>
      <c r="S16" s="7" t="n"/>
      <c r="T16" s="7" t="n"/>
      <c r="U16" s="12">
        <f>IF(A16="","",IF(OR(J16="",L16=""),"建議補聯絡紀錄","") )</f>
        <v/>
      </c>
    </row>
    <row r="17" ht="24" customHeight="1">
      <c r="A17" s="7" t="n"/>
      <c r="B17" s="7" t="n"/>
      <c r="C17" s="12">
        <f>IF($A17="","",IFERROR(INDEX(土地清冊_匯入!$B$6:$B$1005,MATCH($A17,土地清冊_匯入!$A$6:$A$1005,0)),"查無資料"))</f>
        <v/>
      </c>
      <c r="D17" s="12">
        <f>IF($A17="","",IFERROR(INDEX(土地清冊_匯入!$P$6:$P$1005,MATCH($A17,土地清冊_匯入!$A$6:$A$1005,0)),""))</f>
        <v/>
      </c>
      <c r="E17" s="12">
        <f>IF($A17="","",IFERROR(INDEX(土地清冊_匯入!$Q$6:$Q$1005,MATCH($A17,土地清冊_匯入!$A$6:$A$1005,0)),""))</f>
        <v/>
      </c>
      <c r="F17" s="12">
        <f>IF($A17="","",IFERROR(INDEX(土地清冊_匯入!$R$6:$R$1005,MATCH($A17,土地清冊_匯入!$A$6:$A$1005,0)),""))</f>
        <v/>
      </c>
      <c r="G17" s="12">
        <f>IF($A17="","",IFERROR(INDEX(土地清冊_匯入!$S$6:$S$1005,MATCH($A17,土地清冊_匯入!$A$6:$A$1005,0)),""))</f>
        <v/>
      </c>
      <c r="H17" s="12">
        <f>IF($A17="","",IFERROR(INDEX(土地清冊_匯入!$T$6:$T$1005,MATCH($A17,土地清冊_匯入!$A$6:$A$1005,0)),""))</f>
        <v/>
      </c>
      <c r="I17" s="12">
        <f>IF($A17="","",IFERROR(INDEX(土地清冊_匯入!$V$6:$V$1005,MATCH($A17,土地清冊_匯入!$A$6:$A$1005,0)),""))</f>
        <v/>
      </c>
      <c r="J17" s="14" t="n"/>
      <c r="K17" s="7" t="n"/>
      <c r="L17" s="7" t="n"/>
      <c r="M17" s="7" t="n"/>
      <c r="N17" s="7" t="n"/>
      <c r="O17" s="7" t="n"/>
      <c r="P17" s="7" t="n"/>
      <c r="Q17" s="14" t="n"/>
      <c r="R17" s="7" t="n"/>
      <c r="S17" s="7" t="n"/>
      <c r="T17" s="7" t="n"/>
      <c r="U17" s="12">
        <f>IF(A17="","",IF(OR(J17="",L17=""),"建議補聯絡紀錄","") )</f>
        <v/>
      </c>
    </row>
    <row r="18" ht="24" customHeight="1">
      <c r="A18" s="7" t="n"/>
      <c r="B18" s="7" t="n"/>
      <c r="C18" s="12">
        <f>IF($A18="","",IFERROR(INDEX(土地清冊_匯入!$B$6:$B$1005,MATCH($A18,土地清冊_匯入!$A$6:$A$1005,0)),"查無資料"))</f>
        <v/>
      </c>
      <c r="D18" s="12">
        <f>IF($A18="","",IFERROR(INDEX(土地清冊_匯入!$P$6:$P$1005,MATCH($A18,土地清冊_匯入!$A$6:$A$1005,0)),""))</f>
        <v/>
      </c>
      <c r="E18" s="12">
        <f>IF($A18="","",IFERROR(INDEX(土地清冊_匯入!$Q$6:$Q$1005,MATCH($A18,土地清冊_匯入!$A$6:$A$1005,0)),""))</f>
        <v/>
      </c>
      <c r="F18" s="12">
        <f>IF($A18="","",IFERROR(INDEX(土地清冊_匯入!$R$6:$R$1005,MATCH($A18,土地清冊_匯入!$A$6:$A$1005,0)),""))</f>
        <v/>
      </c>
      <c r="G18" s="12">
        <f>IF($A18="","",IFERROR(INDEX(土地清冊_匯入!$S$6:$S$1005,MATCH($A18,土地清冊_匯入!$A$6:$A$1005,0)),""))</f>
        <v/>
      </c>
      <c r="H18" s="12">
        <f>IF($A18="","",IFERROR(INDEX(土地清冊_匯入!$T$6:$T$1005,MATCH($A18,土地清冊_匯入!$A$6:$A$1005,0)),""))</f>
        <v/>
      </c>
      <c r="I18" s="12">
        <f>IF($A18="","",IFERROR(INDEX(土地清冊_匯入!$V$6:$V$1005,MATCH($A18,土地清冊_匯入!$A$6:$A$1005,0)),""))</f>
        <v/>
      </c>
      <c r="J18" s="14" t="n"/>
      <c r="K18" s="7" t="n"/>
      <c r="L18" s="7" t="n"/>
      <c r="M18" s="7" t="n"/>
      <c r="N18" s="7" t="n"/>
      <c r="O18" s="7" t="n"/>
      <c r="P18" s="7" t="n"/>
      <c r="Q18" s="14" t="n"/>
      <c r="R18" s="7" t="n"/>
      <c r="S18" s="7" t="n"/>
      <c r="T18" s="7" t="n"/>
      <c r="U18" s="12">
        <f>IF(A18="","",IF(OR(J18="",L18=""),"建議補聯絡紀錄","") )</f>
        <v/>
      </c>
    </row>
    <row r="19" ht="24" customHeight="1">
      <c r="A19" s="7" t="n"/>
      <c r="B19" s="7" t="n"/>
      <c r="C19" s="12">
        <f>IF($A19="","",IFERROR(INDEX(土地清冊_匯入!$B$6:$B$1005,MATCH($A19,土地清冊_匯入!$A$6:$A$1005,0)),"查無資料"))</f>
        <v/>
      </c>
      <c r="D19" s="12">
        <f>IF($A19="","",IFERROR(INDEX(土地清冊_匯入!$P$6:$P$1005,MATCH($A19,土地清冊_匯入!$A$6:$A$1005,0)),""))</f>
        <v/>
      </c>
      <c r="E19" s="12">
        <f>IF($A19="","",IFERROR(INDEX(土地清冊_匯入!$Q$6:$Q$1005,MATCH($A19,土地清冊_匯入!$A$6:$A$1005,0)),""))</f>
        <v/>
      </c>
      <c r="F19" s="12">
        <f>IF($A19="","",IFERROR(INDEX(土地清冊_匯入!$R$6:$R$1005,MATCH($A19,土地清冊_匯入!$A$6:$A$1005,0)),""))</f>
        <v/>
      </c>
      <c r="G19" s="12">
        <f>IF($A19="","",IFERROR(INDEX(土地清冊_匯入!$S$6:$S$1005,MATCH($A19,土地清冊_匯入!$A$6:$A$1005,0)),""))</f>
        <v/>
      </c>
      <c r="H19" s="12">
        <f>IF($A19="","",IFERROR(INDEX(土地清冊_匯入!$T$6:$T$1005,MATCH($A19,土地清冊_匯入!$A$6:$A$1005,0)),""))</f>
        <v/>
      </c>
      <c r="I19" s="12">
        <f>IF($A19="","",IFERROR(INDEX(土地清冊_匯入!$V$6:$V$1005,MATCH($A19,土地清冊_匯入!$A$6:$A$1005,0)),""))</f>
        <v/>
      </c>
      <c r="J19" s="14" t="n"/>
      <c r="K19" s="7" t="n"/>
      <c r="L19" s="7" t="n"/>
      <c r="M19" s="7" t="n"/>
      <c r="N19" s="7" t="n"/>
      <c r="O19" s="7" t="n"/>
      <c r="P19" s="7" t="n"/>
      <c r="Q19" s="14" t="n"/>
      <c r="R19" s="7" t="n"/>
      <c r="S19" s="7" t="n"/>
      <c r="T19" s="7" t="n"/>
      <c r="U19" s="12">
        <f>IF(A19="","",IF(OR(J19="",L19=""),"建議補聯絡紀錄","") )</f>
        <v/>
      </c>
    </row>
    <row r="20" ht="24" customHeight="1">
      <c r="A20" s="7" t="n"/>
      <c r="B20" s="7" t="n"/>
      <c r="C20" s="12">
        <f>IF($A20="","",IFERROR(INDEX(土地清冊_匯入!$B$6:$B$1005,MATCH($A20,土地清冊_匯入!$A$6:$A$1005,0)),"查無資料"))</f>
        <v/>
      </c>
      <c r="D20" s="12">
        <f>IF($A20="","",IFERROR(INDEX(土地清冊_匯入!$P$6:$P$1005,MATCH($A20,土地清冊_匯入!$A$6:$A$1005,0)),""))</f>
        <v/>
      </c>
      <c r="E20" s="12">
        <f>IF($A20="","",IFERROR(INDEX(土地清冊_匯入!$Q$6:$Q$1005,MATCH($A20,土地清冊_匯入!$A$6:$A$1005,0)),""))</f>
        <v/>
      </c>
      <c r="F20" s="12">
        <f>IF($A20="","",IFERROR(INDEX(土地清冊_匯入!$R$6:$R$1005,MATCH($A20,土地清冊_匯入!$A$6:$A$1005,0)),""))</f>
        <v/>
      </c>
      <c r="G20" s="12">
        <f>IF($A20="","",IFERROR(INDEX(土地清冊_匯入!$S$6:$S$1005,MATCH($A20,土地清冊_匯入!$A$6:$A$1005,0)),""))</f>
        <v/>
      </c>
      <c r="H20" s="12">
        <f>IF($A20="","",IFERROR(INDEX(土地清冊_匯入!$T$6:$T$1005,MATCH($A20,土地清冊_匯入!$A$6:$A$1005,0)),""))</f>
        <v/>
      </c>
      <c r="I20" s="12">
        <f>IF($A20="","",IFERROR(INDEX(土地清冊_匯入!$V$6:$V$1005,MATCH($A20,土地清冊_匯入!$A$6:$A$1005,0)),""))</f>
        <v/>
      </c>
      <c r="J20" s="14" t="n"/>
      <c r="K20" s="7" t="n"/>
      <c r="L20" s="7" t="n"/>
      <c r="M20" s="7" t="n"/>
      <c r="N20" s="7" t="n"/>
      <c r="O20" s="7" t="n"/>
      <c r="P20" s="7" t="n"/>
      <c r="Q20" s="14" t="n"/>
      <c r="R20" s="7" t="n"/>
      <c r="S20" s="7" t="n"/>
      <c r="T20" s="7" t="n"/>
      <c r="U20" s="12">
        <f>IF(A20="","",IF(OR(J20="",L20=""),"建議補聯絡紀錄","") )</f>
        <v/>
      </c>
    </row>
    <row r="21" ht="24" customHeight="1">
      <c r="A21" s="7" t="n"/>
      <c r="B21" s="7" t="n"/>
      <c r="C21" s="12">
        <f>IF($A21="","",IFERROR(INDEX(土地清冊_匯入!$B$6:$B$1005,MATCH($A21,土地清冊_匯入!$A$6:$A$1005,0)),"查無資料"))</f>
        <v/>
      </c>
      <c r="D21" s="12">
        <f>IF($A21="","",IFERROR(INDEX(土地清冊_匯入!$P$6:$P$1005,MATCH($A21,土地清冊_匯入!$A$6:$A$1005,0)),""))</f>
        <v/>
      </c>
      <c r="E21" s="12">
        <f>IF($A21="","",IFERROR(INDEX(土地清冊_匯入!$Q$6:$Q$1005,MATCH($A21,土地清冊_匯入!$A$6:$A$1005,0)),""))</f>
        <v/>
      </c>
      <c r="F21" s="12">
        <f>IF($A21="","",IFERROR(INDEX(土地清冊_匯入!$R$6:$R$1005,MATCH($A21,土地清冊_匯入!$A$6:$A$1005,0)),""))</f>
        <v/>
      </c>
      <c r="G21" s="12">
        <f>IF($A21="","",IFERROR(INDEX(土地清冊_匯入!$S$6:$S$1005,MATCH($A21,土地清冊_匯入!$A$6:$A$1005,0)),""))</f>
        <v/>
      </c>
      <c r="H21" s="12">
        <f>IF($A21="","",IFERROR(INDEX(土地清冊_匯入!$T$6:$T$1005,MATCH($A21,土地清冊_匯入!$A$6:$A$1005,0)),""))</f>
        <v/>
      </c>
      <c r="I21" s="12">
        <f>IF($A21="","",IFERROR(INDEX(土地清冊_匯入!$V$6:$V$1005,MATCH($A21,土地清冊_匯入!$A$6:$A$1005,0)),""))</f>
        <v/>
      </c>
      <c r="J21" s="14" t="n"/>
      <c r="K21" s="7" t="n"/>
      <c r="L21" s="7" t="n"/>
      <c r="M21" s="7" t="n"/>
      <c r="N21" s="7" t="n"/>
      <c r="O21" s="7" t="n"/>
      <c r="P21" s="7" t="n"/>
      <c r="Q21" s="14" t="n"/>
      <c r="R21" s="7" t="n"/>
      <c r="S21" s="7" t="n"/>
      <c r="T21" s="7" t="n"/>
      <c r="U21" s="12">
        <f>IF(A21="","",IF(OR(J21="",L21=""),"建議補聯絡紀錄","") )</f>
        <v/>
      </c>
    </row>
    <row r="22" ht="24" customHeight="1">
      <c r="A22" s="7" t="n"/>
      <c r="B22" s="7" t="n"/>
      <c r="C22" s="12">
        <f>IF($A22="","",IFERROR(INDEX(土地清冊_匯入!$B$6:$B$1005,MATCH($A22,土地清冊_匯入!$A$6:$A$1005,0)),"查無資料"))</f>
        <v/>
      </c>
      <c r="D22" s="12">
        <f>IF($A22="","",IFERROR(INDEX(土地清冊_匯入!$P$6:$P$1005,MATCH($A22,土地清冊_匯入!$A$6:$A$1005,0)),""))</f>
        <v/>
      </c>
      <c r="E22" s="12">
        <f>IF($A22="","",IFERROR(INDEX(土地清冊_匯入!$Q$6:$Q$1005,MATCH($A22,土地清冊_匯入!$A$6:$A$1005,0)),""))</f>
        <v/>
      </c>
      <c r="F22" s="12">
        <f>IF($A22="","",IFERROR(INDEX(土地清冊_匯入!$R$6:$R$1005,MATCH($A22,土地清冊_匯入!$A$6:$A$1005,0)),""))</f>
        <v/>
      </c>
      <c r="G22" s="12">
        <f>IF($A22="","",IFERROR(INDEX(土地清冊_匯入!$S$6:$S$1005,MATCH($A22,土地清冊_匯入!$A$6:$A$1005,0)),""))</f>
        <v/>
      </c>
      <c r="H22" s="12">
        <f>IF($A22="","",IFERROR(INDEX(土地清冊_匯入!$T$6:$T$1005,MATCH($A22,土地清冊_匯入!$A$6:$A$1005,0)),""))</f>
        <v/>
      </c>
      <c r="I22" s="12">
        <f>IF($A22="","",IFERROR(INDEX(土地清冊_匯入!$V$6:$V$1005,MATCH($A22,土地清冊_匯入!$A$6:$A$1005,0)),""))</f>
        <v/>
      </c>
      <c r="J22" s="14" t="n"/>
      <c r="K22" s="7" t="n"/>
      <c r="L22" s="7" t="n"/>
      <c r="M22" s="7" t="n"/>
      <c r="N22" s="7" t="n"/>
      <c r="O22" s="7" t="n"/>
      <c r="P22" s="7" t="n"/>
      <c r="Q22" s="14" t="n"/>
      <c r="R22" s="7" t="n"/>
      <c r="S22" s="7" t="n"/>
      <c r="T22" s="7" t="n"/>
      <c r="U22" s="12">
        <f>IF(A22="","",IF(OR(J22="",L22=""),"建議補聯絡紀錄","") )</f>
        <v/>
      </c>
    </row>
    <row r="23" ht="24" customHeight="1">
      <c r="A23" s="7" t="n"/>
      <c r="B23" s="7" t="n"/>
      <c r="C23" s="12">
        <f>IF($A23="","",IFERROR(INDEX(土地清冊_匯入!$B$6:$B$1005,MATCH($A23,土地清冊_匯入!$A$6:$A$1005,0)),"查無資料"))</f>
        <v/>
      </c>
      <c r="D23" s="12">
        <f>IF($A23="","",IFERROR(INDEX(土地清冊_匯入!$P$6:$P$1005,MATCH($A23,土地清冊_匯入!$A$6:$A$1005,0)),""))</f>
        <v/>
      </c>
      <c r="E23" s="12">
        <f>IF($A23="","",IFERROR(INDEX(土地清冊_匯入!$Q$6:$Q$1005,MATCH($A23,土地清冊_匯入!$A$6:$A$1005,0)),""))</f>
        <v/>
      </c>
      <c r="F23" s="12">
        <f>IF($A23="","",IFERROR(INDEX(土地清冊_匯入!$R$6:$R$1005,MATCH($A23,土地清冊_匯入!$A$6:$A$1005,0)),""))</f>
        <v/>
      </c>
      <c r="G23" s="12">
        <f>IF($A23="","",IFERROR(INDEX(土地清冊_匯入!$S$6:$S$1005,MATCH($A23,土地清冊_匯入!$A$6:$A$1005,0)),""))</f>
        <v/>
      </c>
      <c r="H23" s="12">
        <f>IF($A23="","",IFERROR(INDEX(土地清冊_匯入!$T$6:$T$1005,MATCH($A23,土地清冊_匯入!$A$6:$A$1005,0)),""))</f>
        <v/>
      </c>
      <c r="I23" s="12">
        <f>IF($A23="","",IFERROR(INDEX(土地清冊_匯入!$V$6:$V$1005,MATCH($A23,土地清冊_匯入!$A$6:$A$1005,0)),""))</f>
        <v/>
      </c>
      <c r="J23" s="14" t="n"/>
      <c r="K23" s="7" t="n"/>
      <c r="L23" s="7" t="n"/>
      <c r="M23" s="7" t="n"/>
      <c r="N23" s="7" t="n"/>
      <c r="O23" s="7" t="n"/>
      <c r="P23" s="7" t="n"/>
      <c r="Q23" s="14" t="n"/>
      <c r="R23" s="7" t="n"/>
      <c r="S23" s="7" t="n"/>
      <c r="T23" s="7" t="n"/>
      <c r="U23" s="12">
        <f>IF(A23="","",IF(OR(J23="",L23=""),"建議補聯絡紀錄","") )</f>
        <v/>
      </c>
    </row>
    <row r="24" ht="24" customHeight="1">
      <c r="A24" s="7" t="n"/>
      <c r="B24" s="7" t="n"/>
      <c r="C24" s="12">
        <f>IF($A24="","",IFERROR(INDEX(土地清冊_匯入!$B$6:$B$1005,MATCH($A24,土地清冊_匯入!$A$6:$A$1005,0)),"查無資料"))</f>
        <v/>
      </c>
      <c r="D24" s="12">
        <f>IF($A24="","",IFERROR(INDEX(土地清冊_匯入!$P$6:$P$1005,MATCH($A24,土地清冊_匯入!$A$6:$A$1005,0)),""))</f>
        <v/>
      </c>
      <c r="E24" s="12">
        <f>IF($A24="","",IFERROR(INDEX(土地清冊_匯入!$Q$6:$Q$1005,MATCH($A24,土地清冊_匯入!$A$6:$A$1005,0)),""))</f>
        <v/>
      </c>
      <c r="F24" s="12">
        <f>IF($A24="","",IFERROR(INDEX(土地清冊_匯入!$R$6:$R$1005,MATCH($A24,土地清冊_匯入!$A$6:$A$1005,0)),""))</f>
        <v/>
      </c>
      <c r="G24" s="12">
        <f>IF($A24="","",IFERROR(INDEX(土地清冊_匯入!$S$6:$S$1005,MATCH($A24,土地清冊_匯入!$A$6:$A$1005,0)),""))</f>
        <v/>
      </c>
      <c r="H24" s="12">
        <f>IF($A24="","",IFERROR(INDEX(土地清冊_匯入!$T$6:$T$1005,MATCH($A24,土地清冊_匯入!$A$6:$A$1005,0)),""))</f>
        <v/>
      </c>
      <c r="I24" s="12">
        <f>IF($A24="","",IFERROR(INDEX(土地清冊_匯入!$V$6:$V$1005,MATCH($A24,土地清冊_匯入!$A$6:$A$1005,0)),""))</f>
        <v/>
      </c>
      <c r="J24" s="14" t="n"/>
      <c r="K24" s="7" t="n"/>
      <c r="L24" s="7" t="n"/>
      <c r="M24" s="7" t="n"/>
      <c r="N24" s="7" t="n"/>
      <c r="O24" s="7" t="n"/>
      <c r="P24" s="7" t="n"/>
      <c r="Q24" s="14" t="n"/>
      <c r="R24" s="7" t="n"/>
      <c r="S24" s="7" t="n"/>
      <c r="T24" s="7" t="n"/>
      <c r="U24" s="12">
        <f>IF(A24="","",IF(OR(J24="",L24=""),"建議補聯絡紀錄","") )</f>
        <v/>
      </c>
    </row>
    <row r="25" ht="24" customHeight="1">
      <c r="A25" s="7" t="n"/>
      <c r="B25" s="7" t="n"/>
      <c r="C25" s="12">
        <f>IF($A25="","",IFERROR(INDEX(土地清冊_匯入!$B$6:$B$1005,MATCH($A25,土地清冊_匯入!$A$6:$A$1005,0)),"查無資料"))</f>
        <v/>
      </c>
      <c r="D25" s="12">
        <f>IF($A25="","",IFERROR(INDEX(土地清冊_匯入!$P$6:$P$1005,MATCH($A25,土地清冊_匯入!$A$6:$A$1005,0)),""))</f>
        <v/>
      </c>
      <c r="E25" s="12">
        <f>IF($A25="","",IFERROR(INDEX(土地清冊_匯入!$Q$6:$Q$1005,MATCH($A25,土地清冊_匯入!$A$6:$A$1005,0)),""))</f>
        <v/>
      </c>
      <c r="F25" s="12">
        <f>IF($A25="","",IFERROR(INDEX(土地清冊_匯入!$R$6:$R$1005,MATCH($A25,土地清冊_匯入!$A$6:$A$1005,0)),""))</f>
        <v/>
      </c>
      <c r="G25" s="12">
        <f>IF($A25="","",IFERROR(INDEX(土地清冊_匯入!$S$6:$S$1005,MATCH($A25,土地清冊_匯入!$A$6:$A$1005,0)),""))</f>
        <v/>
      </c>
      <c r="H25" s="12">
        <f>IF($A25="","",IFERROR(INDEX(土地清冊_匯入!$T$6:$T$1005,MATCH($A25,土地清冊_匯入!$A$6:$A$1005,0)),""))</f>
        <v/>
      </c>
      <c r="I25" s="12">
        <f>IF($A25="","",IFERROR(INDEX(土地清冊_匯入!$V$6:$V$1005,MATCH($A25,土地清冊_匯入!$A$6:$A$1005,0)),""))</f>
        <v/>
      </c>
      <c r="J25" s="14" t="n"/>
      <c r="K25" s="7" t="n"/>
      <c r="L25" s="7" t="n"/>
      <c r="M25" s="7" t="n"/>
      <c r="N25" s="7" t="n"/>
      <c r="O25" s="7" t="n"/>
      <c r="P25" s="7" t="n"/>
      <c r="Q25" s="14" t="n"/>
      <c r="R25" s="7" t="n"/>
      <c r="S25" s="7" t="n"/>
      <c r="T25" s="7" t="n"/>
      <c r="U25" s="12">
        <f>IF(A25="","",IF(OR(J25="",L25=""),"建議補聯絡紀錄","") )</f>
        <v/>
      </c>
    </row>
    <row r="26" ht="24" customHeight="1">
      <c r="A26" s="7" t="n"/>
      <c r="B26" s="7" t="n"/>
      <c r="C26" s="12">
        <f>IF($A26="","",IFERROR(INDEX(土地清冊_匯入!$B$6:$B$1005,MATCH($A26,土地清冊_匯入!$A$6:$A$1005,0)),"查無資料"))</f>
        <v/>
      </c>
      <c r="D26" s="12">
        <f>IF($A26="","",IFERROR(INDEX(土地清冊_匯入!$P$6:$P$1005,MATCH($A26,土地清冊_匯入!$A$6:$A$1005,0)),""))</f>
        <v/>
      </c>
      <c r="E26" s="12">
        <f>IF($A26="","",IFERROR(INDEX(土地清冊_匯入!$Q$6:$Q$1005,MATCH($A26,土地清冊_匯入!$A$6:$A$1005,0)),""))</f>
        <v/>
      </c>
      <c r="F26" s="12">
        <f>IF($A26="","",IFERROR(INDEX(土地清冊_匯入!$R$6:$R$1005,MATCH($A26,土地清冊_匯入!$A$6:$A$1005,0)),""))</f>
        <v/>
      </c>
      <c r="G26" s="12">
        <f>IF($A26="","",IFERROR(INDEX(土地清冊_匯入!$S$6:$S$1005,MATCH($A26,土地清冊_匯入!$A$6:$A$1005,0)),""))</f>
        <v/>
      </c>
      <c r="H26" s="12">
        <f>IF($A26="","",IFERROR(INDEX(土地清冊_匯入!$T$6:$T$1005,MATCH($A26,土地清冊_匯入!$A$6:$A$1005,0)),""))</f>
        <v/>
      </c>
      <c r="I26" s="12">
        <f>IF($A26="","",IFERROR(INDEX(土地清冊_匯入!$V$6:$V$1005,MATCH($A26,土地清冊_匯入!$A$6:$A$1005,0)),""))</f>
        <v/>
      </c>
      <c r="J26" s="14" t="n"/>
      <c r="K26" s="7" t="n"/>
      <c r="L26" s="7" t="n"/>
      <c r="M26" s="7" t="n"/>
      <c r="N26" s="7" t="n"/>
      <c r="O26" s="7" t="n"/>
      <c r="P26" s="7" t="n"/>
      <c r="Q26" s="14" t="n"/>
      <c r="R26" s="7" t="n"/>
      <c r="S26" s="7" t="n"/>
      <c r="T26" s="7" t="n"/>
      <c r="U26" s="12">
        <f>IF(A26="","",IF(OR(J26="",L26=""),"建議補聯絡紀錄","") )</f>
        <v/>
      </c>
    </row>
    <row r="27" ht="24" customHeight="1">
      <c r="A27" s="7" t="n"/>
      <c r="B27" s="7" t="n"/>
      <c r="C27" s="12">
        <f>IF($A27="","",IFERROR(INDEX(土地清冊_匯入!$B$6:$B$1005,MATCH($A27,土地清冊_匯入!$A$6:$A$1005,0)),"查無資料"))</f>
        <v/>
      </c>
      <c r="D27" s="12">
        <f>IF($A27="","",IFERROR(INDEX(土地清冊_匯入!$P$6:$P$1005,MATCH($A27,土地清冊_匯入!$A$6:$A$1005,0)),""))</f>
        <v/>
      </c>
      <c r="E27" s="12">
        <f>IF($A27="","",IFERROR(INDEX(土地清冊_匯入!$Q$6:$Q$1005,MATCH($A27,土地清冊_匯入!$A$6:$A$1005,0)),""))</f>
        <v/>
      </c>
      <c r="F27" s="12">
        <f>IF($A27="","",IFERROR(INDEX(土地清冊_匯入!$R$6:$R$1005,MATCH($A27,土地清冊_匯入!$A$6:$A$1005,0)),""))</f>
        <v/>
      </c>
      <c r="G27" s="12">
        <f>IF($A27="","",IFERROR(INDEX(土地清冊_匯入!$S$6:$S$1005,MATCH($A27,土地清冊_匯入!$A$6:$A$1005,0)),""))</f>
        <v/>
      </c>
      <c r="H27" s="12">
        <f>IF($A27="","",IFERROR(INDEX(土地清冊_匯入!$T$6:$T$1005,MATCH($A27,土地清冊_匯入!$A$6:$A$1005,0)),""))</f>
        <v/>
      </c>
      <c r="I27" s="12">
        <f>IF($A27="","",IFERROR(INDEX(土地清冊_匯入!$V$6:$V$1005,MATCH($A27,土地清冊_匯入!$A$6:$A$1005,0)),""))</f>
        <v/>
      </c>
      <c r="J27" s="14" t="n"/>
      <c r="K27" s="7" t="n"/>
      <c r="L27" s="7" t="n"/>
      <c r="M27" s="7" t="n"/>
      <c r="N27" s="7" t="n"/>
      <c r="O27" s="7" t="n"/>
      <c r="P27" s="7" t="n"/>
      <c r="Q27" s="14" t="n"/>
      <c r="R27" s="7" t="n"/>
      <c r="S27" s="7" t="n"/>
      <c r="T27" s="7" t="n"/>
      <c r="U27" s="12">
        <f>IF(A27="","",IF(OR(J27="",L27=""),"建議補聯絡紀錄","") )</f>
        <v/>
      </c>
    </row>
    <row r="28" ht="24" customHeight="1">
      <c r="A28" s="7" t="n"/>
      <c r="B28" s="7" t="n"/>
      <c r="C28" s="12">
        <f>IF($A28="","",IFERROR(INDEX(土地清冊_匯入!$B$6:$B$1005,MATCH($A28,土地清冊_匯入!$A$6:$A$1005,0)),"查無資料"))</f>
        <v/>
      </c>
      <c r="D28" s="12">
        <f>IF($A28="","",IFERROR(INDEX(土地清冊_匯入!$P$6:$P$1005,MATCH($A28,土地清冊_匯入!$A$6:$A$1005,0)),""))</f>
        <v/>
      </c>
      <c r="E28" s="12">
        <f>IF($A28="","",IFERROR(INDEX(土地清冊_匯入!$Q$6:$Q$1005,MATCH($A28,土地清冊_匯入!$A$6:$A$1005,0)),""))</f>
        <v/>
      </c>
      <c r="F28" s="12">
        <f>IF($A28="","",IFERROR(INDEX(土地清冊_匯入!$R$6:$R$1005,MATCH($A28,土地清冊_匯入!$A$6:$A$1005,0)),""))</f>
        <v/>
      </c>
      <c r="G28" s="12">
        <f>IF($A28="","",IFERROR(INDEX(土地清冊_匯入!$S$6:$S$1005,MATCH($A28,土地清冊_匯入!$A$6:$A$1005,0)),""))</f>
        <v/>
      </c>
      <c r="H28" s="12">
        <f>IF($A28="","",IFERROR(INDEX(土地清冊_匯入!$T$6:$T$1005,MATCH($A28,土地清冊_匯入!$A$6:$A$1005,0)),""))</f>
        <v/>
      </c>
      <c r="I28" s="12">
        <f>IF($A28="","",IFERROR(INDEX(土地清冊_匯入!$V$6:$V$1005,MATCH($A28,土地清冊_匯入!$A$6:$A$1005,0)),""))</f>
        <v/>
      </c>
      <c r="J28" s="14" t="n"/>
      <c r="K28" s="7" t="n"/>
      <c r="L28" s="7" t="n"/>
      <c r="M28" s="7" t="n"/>
      <c r="N28" s="7" t="n"/>
      <c r="O28" s="7" t="n"/>
      <c r="P28" s="7" t="n"/>
      <c r="Q28" s="14" t="n"/>
      <c r="R28" s="7" t="n"/>
      <c r="S28" s="7" t="n"/>
      <c r="T28" s="7" t="n"/>
      <c r="U28" s="12">
        <f>IF(A28="","",IF(OR(J28="",L28=""),"建議補聯絡紀錄","") )</f>
        <v/>
      </c>
    </row>
    <row r="29" ht="24" customHeight="1">
      <c r="A29" s="7" t="n"/>
      <c r="B29" s="7" t="n"/>
      <c r="C29" s="12">
        <f>IF($A29="","",IFERROR(INDEX(土地清冊_匯入!$B$6:$B$1005,MATCH($A29,土地清冊_匯入!$A$6:$A$1005,0)),"查無資料"))</f>
        <v/>
      </c>
      <c r="D29" s="12">
        <f>IF($A29="","",IFERROR(INDEX(土地清冊_匯入!$P$6:$P$1005,MATCH($A29,土地清冊_匯入!$A$6:$A$1005,0)),""))</f>
        <v/>
      </c>
      <c r="E29" s="12">
        <f>IF($A29="","",IFERROR(INDEX(土地清冊_匯入!$Q$6:$Q$1005,MATCH($A29,土地清冊_匯入!$A$6:$A$1005,0)),""))</f>
        <v/>
      </c>
      <c r="F29" s="12">
        <f>IF($A29="","",IFERROR(INDEX(土地清冊_匯入!$R$6:$R$1005,MATCH($A29,土地清冊_匯入!$A$6:$A$1005,0)),""))</f>
        <v/>
      </c>
      <c r="G29" s="12">
        <f>IF($A29="","",IFERROR(INDEX(土地清冊_匯入!$S$6:$S$1005,MATCH($A29,土地清冊_匯入!$A$6:$A$1005,0)),""))</f>
        <v/>
      </c>
      <c r="H29" s="12">
        <f>IF($A29="","",IFERROR(INDEX(土地清冊_匯入!$T$6:$T$1005,MATCH($A29,土地清冊_匯入!$A$6:$A$1005,0)),""))</f>
        <v/>
      </c>
      <c r="I29" s="12">
        <f>IF($A29="","",IFERROR(INDEX(土地清冊_匯入!$V$6:$V$1005,MATCH($A29,土地清冊_匯入!$A$6:$A$1005,0)),""))</f>
        <v/>
      </c>
      <c r="J29" s="14" t="n"/>
      <c r="K29" s="7" t="n"/>
      <c r="L29" s="7" t="n"/>
      <c r="M29" s="7" t="n"/>
      <c r="N29" s="7" t="n"/>
      <c r="O29" s="7" t="n"/>
      <c r="P29" s="7" t="n"/>
      <c r="Q29" s="14" t="n"/>
      <c r="R29" s="7" t="n"/>
      <c r="S29" s="7" t="n"/>
      <c r="T29" s="7" t="n"/>
      <c r="U29" s="12">
        <f>IF(A29="","",IF(OR(J29="",L29=""),"建議補聯絡紀錄","") )</f>
        <v/>
      </c>
    </row>
    <row r="30" ht="24" customHeight="1">
      <c r="A30" s="7" t="n"/>
      <c r="B30" s="7" t="n"/>
      <c r="C30" s="12">
        <f>IF($A30="","",IFERROR(INDEX(土地清冊_匯入!$B$6:$B$1005,MATCH($A30,土地清冊_匯入!$A$6:$A$1005,0)),"查無資料"))</f>
        <v/>
      </c>
      <c r="D30" s="12">
        <f>IF($A30="","",IFERROR(INDEX(土地清冊_匯入!$P$6:$P$1005,MATCH($A30,土地清冊_匯入!$A$6:$A$1005,0)),""))</f>
        <v/>
      </c>
      <c r="E30" s="12">
        <f>IF($A30="","",IFERROR(INDEX(土地清冊_匯入!$Q$6:$Q$1005,MATCH($A30,土地清冊_匯入!$A$6:$A$1005,0)),""))</f>
        <v/>
      </c>
      <c r="F30" s="12">
        <f>IF($A30="","",IFERROR(INDEX(土地清冊_匯入!$R$6:$R$1005,MATCH($A30,土地清冊_匯入!$A$6:$A$1005,0)),""))</f>
        <v/>
      </c>
      <c r="G30" s="12">
        <f>IF($A30="","",IFERROR(INDEX(土地清冊_匯入!$S$6:$S$1005,MATCH($A30,土地清冊_匯入!$A$6:$A$1005,0)),""))</f>
        <v/>
      </c>
      <c r="H30" s="12">
        <f>IF($A30="","",IFERROR(INDEX(土地清冊_匯入!$T$6:$T$1005,MATCH($A30,土地清冊_匯入!$A$6:$A$1005,0)),""))</f>
        <v/>
      </c>
      <c r="I30" s="12">
        <f>IF($A30="","",IFERROR(INDEX(土地清冊_匯入!$V$6:$V$1005,MATCH($A30,土地清冊_匯入!$A$6:$A$1005,0)),""))</f>
        <v/>
      </c>
      <c r="J30" s="14" t="n"/>
      <c r="K30" s="7" t="n"/>
      <c r="L30" s="7" t="n"/>
      <c r="M30" s="7" t="n"/>
      <c r="N30" s="7" t="n"/>
      <c r="O30" s="7" t="n"/>
      <c r="P30" s="7" t="n"/>
      <c r="Q30" s="14" t="n"/>
      <c r="R30" s="7" t="n"/>
      <c r="S30" s="7" t="n"/>
      <c r="T30" s="7" t="n"/>
      <c r="U30" s="12">
        <f>IF(A30="","",IF(OR(J30="",L30=""),"建議補聯絡紀錄","") )</f>
        <v/>
      </c>
    </row>
    <row r="31" ht="24" customHeight="1">
      <c r="A31" s="7" t="n"/>
      <c r="B31" s="7" t="n"/>
      <c r="C31" s="12">
        <f>IF($A31="","",IFERROR(INDEX(土地清冊_匯入!$B$6:$B$1005,MATCH($A31,土地清冊_匯入!$A$6:$A$1005,0)),"查無資料"))</f>
        <v/>
      </c>
      <c r="D31" s="12">
        <f>IF($A31="","",IFERROR(INDEX(土地清冊_匯入!$P$6:$P$1005,MATCH($A31,土地清冊_匯入!$A$6:$A$1005,0)),""))</f>
        <v/>
      </c>
      <c r="E31" s="12">
        <f>IF($A31="","",IFERROR(INDEX(土地清冊_匯入!$Q$6:$Q$1005,MATCH($A31,土地清冊_匯入!$A$6:$A$1005,0)),""))</f>
        <v/>
      </c>
      <c r="F31" s="12">
        <f>IF($A31="","",IFERROR(INDEX(土地清冊_匯入!$R$6:$R$1005,MATCH($A31,土地清冊_匯入!$A$6:$A$1005,0)),""))</f>
        <v/>
      </c>
      <c r="G31" s="12">
        <f>IF($A31="","",IFERROR(INDEX(土地清冊_匯入!$S$6:$S$1005,MATCH($A31,土地清冊_匯入!$A$6:$A$1005,0)),""))</f>
        <v/>
      </c>
      <c r="H31" s="12">
        <f>IF($A31="","",IFERROR(INDEX(土地清冊_匯入!$T$6:$T$1005,MATCH($A31,土地清冊_匯入!$A$6:$A$1005,0)),""))</f>
        <v/>
      </c>
      <c r="I31" s="12">
        <f>IF($A31="","",IFERROR(INDEX(土地清冊_匯入!$V$6:$V$1005,MATCH($A31,土地清冊_匯入!$A$6:$A$1005,0)),""))</f>
        <v/>
      </c>
      <c r="J31" s="14" t="n"/>
      <c r="K31" s="7" t="n"/>
      <c r="L31" s="7" t="n"/>
      <c r="M31" s="7" t="n"/>
      <c r="N31" s="7" t="n"/>
      <c r="O31" s="7" t="n"/>
      <c r="P31" s="7" t="n"/>
      <c r="Q31" s="14" t="n"/>
      <c r="R31" s="7" t="n"/>
      <c r="S31" s="7" t="n"/>
      <c r="T31" s="7" t="n"/>
      <c r="U31" s="12">
        <f>IF(A31="","",IF(OR(J31="",L31=""),"建議補聯絡紀錄","") )</f>
        <v/>
      </c>
    </row>
    <row r="32" ht="24" customHeight="1">
      <c r="A32" s="7" t="n"/>
      <c r="B32" s="7" t="n"/>
      <c r="C32" s="12">
        <f>IF($A32="","",IFERROR(INDEX(土地清冊_匯入!$B$6:$B$1005,MATCH($A32,土地清冊_匯入!$A$6:$A$1005,0)),"查無資料"))</f>
        <v/>
      </c>
      <c r="D32" s="12">
        <f>IF($A32="","",IFERROR(INDEX(土地清冊_匯入!$P$6:$P$1005,MATCH($A32,土地清冊_匯入!$A$6:$A$1005,0)),""))</f>
        <v/>
      </c>
      <c r="E32" s="12">
        <f>IF($A32="","",IFERROR(INDEX(土地清冊_匯入!$Q$6:$Q$1005,MATCH($A32,土地清冊_匯入!$A$6:$A$1005,0)),""))</f>
        <v/>
      </c>
      <c r="F32" s="12">
        <f>IF($A32="","",IFERROR(INDEX(土地清冊_匯入!$R$6:$R$1005,MATCH($A32,土地清冊_匯入!$A$6:$A$1005,0)),""))</f>
        <v/>
      </c>
      <c r="G32" s="12">
        <f>IF($A32="","",IFERROR(INDEX(土地清冊_匯入!$S$6:$S$1005,MATCH($A32,土地清冊_匯入!$A$6:$A$1005,0)),""))</f>
        <v/>
      </c>
      <c r="H32" s="12">
        <f>IF($A32="","",IFERROR(INDEX(土地清冊_匯入!$T$6:$T$1005,MATCH($A32,土地清冊_匯入!$A$6:$A$1005,0)),""))</f>
        <v/>
      </c>
      <c r="I32" s="12">
        <f>IF($A32="","",IFERROR(INDEX(土地清冊_匯入!$V$6:$V$1005,MATCH($A32,土地清冊_匯入!$A$6:$A$1005,0)),""))</f>
        <v/>
      </c>
      <c r="J32" s="14" t="n"/>
      <c r="K32" s="7" t="n"/>
      <c r="L32" s="7" t="n"/>
      <c r="M32" s="7" t="n"/>
      <c r="N32" s="7" t="n"/>
      <c r="O32" s="7" t="n"/>
      <c r="P32" s="7" t="n"/>
      <c r="Q32" s="14" t="n"/>
      <c r="R32" s="7" t="n"/>
      <c r="S32" s="7" t="n"/>
      <c r="T32" s="7" t="n"/>
      <c r="U32" s="12">
        <f>IF(A32="","",IF(OR(J32="",L32=""),"建議補聯絡紀錄","") )</f>
        <v/>
      </c>
    </row>
    <row r="33" ht="24" customHeight="1">
      <c r="A33" s="7" t="n"/>
      <c r="B33" s="7" t="n"/>
      <c r="C33" s="12">
        <f>IF($A33="","",IFERROR(INDEX(土地清冊_匯入!$B$6:$B$1005,MATCH($A33,土地清冊_匯入!$A$6:$A$1005,0)),"查無資料"))</f>
        <v/>
      </c>
      <c r="D33" s="12">
        <f>IF($A33="","",IFERROR(INDEX(土地清冊_匯入!$P$6:$P$1005,MATCH($A33,土地清冊_匯入!$A$6:$A$1005,0)),""))</f>
        <v/>
      </c>
      <c r="E33" s="12">
        <f>IF($A33="","",IFERROR(INDEX(土地清冊_匯入!$Q$6:$Q$1005,MATCH($A33,土地清冊_匯入!$A$6:$A$1005,0)),""))</f>
        <v/>
      </c>
      <c r="F33" s="12">
        <f>IF($A33="","",IFERROR(INDEX(土地清冊_匯入!$R$6:$R$1005,MATCH($A33,土地清冊_匯入!$A$6:$A$1005,0)),""))</f>
        <v/>
      </c>
      <c r="G33" s="12">
        <f>IF($A33="","",IFERROR(INDEX(土地清冊_匯入!$S$6:$S$1005,MATCH($A33,土地清冊_匯入!$A$6:$A$1005,0)),""))</f>
        <v/>
      </c>
      <c r="H33" s="12">
        <f>IF($A33="","",IFERROR(INDEX(土地清冊_匯入!$T$6:$T$1005,MATCH($A33,土地清冊_匯入!$A$6:$A$1005,0)),""))</f>
        <v/>
      </c>
      <c r="I33" s="12">
        <f>IF($A33="","",IFERROR(INDEX(土地清冊_匯入!$V$6:$V$1005,MATCH($A33,土地清冊_匯入!$A$6:$A$1005,0)),""))</f>
        <v/>
      </c>
      <c r="J33" s="14" t="n"/>
      <c r="K33" s="7" t="n"/>
      <c r="L33" s="7" t="n"/>
      <c r="M33" s="7" t="n"/>
      <c r="N33" s="7" t="n"/>
      <c r="O33" s="7" t="n"/>
      <c r="P33" s="7" t="n"/>
      <c r="Q33" s="14" t="n"/>
      <c r="R33" s="7" t="n"/>
      <c r="S33" s="7" t="n"/>
      <c r="T33" s="7" t="n"/>
      <c r="U33" s="12">
        <f>IF(A33="","",IF(OR(J33="",L33=""),"建議補聯絡紀錄","") )</f>
        <v/>
      </c>
    </row>
    <row r="34" ht="24" customHeight="1">
      <c r="A34" s="7" t="n"/>
      <c r="B34" s="7" t="n"/>
      <c r="C34" s="12">
        <f>IF($A34="","",IFERROR(INDEX(土地清冊_匯入!$B$6:$B$1005,MATCH($A34,土地清冊_匯入!$A$6:$A$1005,0)),"查無資料"))</f>
        <v/>
      </c>
      <c r="D34" s="12">
        <f>IF($A34="","",IFERROR(INDEX(土地清冊_匯入!$P$6:$P$1005,MATCH($A34,土地清冊_匯入!$A$6:$A$1005,0)),""))</f>
        <v/>
      </c>
      <c r="E34" s="12">
        <f>IF($A34="","",IFERROR(INDEX(土地清冊_匯入!$Q$6:$Q$1005,MATCH($A34,土地清冊_匯入!$A$6:$A$1005,0)),""))</f>
        <v/>
      </c>
      <c r="F34" s="12">
        <f>IF($A34="","",IFERROR(INDEX(土地清冊_匯入!$R$6:$R$1005,MATCH($A34,土地清冊_匯入!$A$6:$A$1005,0)),""))</f>
        <v/>
      </c>
      <c r="G34" s="12">
        <f>IF($A34="","",IFERROR(INDEX(土地清冊_匯入!$S$6:$S$1005,MATCH($A34,土地清冊_匯入!$A$6:$A$1005,0)),""))</f>
        <v/>
      </c>
      <c r="H34" s="12">
        <f>IF($A34="","",IFERROR(INDEX(土地清冊_匯入!$T$6:$T$1005,MATCH($A34,土地清冊_匯入!$A$6:$A$1005,0)),""))</f>
        <v/>
      </c>
      <c r="I34" s="12">
        <f>IF($A34="","",IFERROR(INDEX(土地清冊_匯入!$V$6:$V$1005,MATCH($A34,土地清冊_匯入!$A$6:$A$1005,0)),""))</f>
        <v/>
      </c>
      <c r="J34" s="14" t="n"/>
      <c r="K34" s="7" t="n"/>
      <c r="L34" s="7" t="n"/>
      <c r="M34" s="7" t="n"/>
      <c r="N34" s="7" t="n"/>
      <c r="O34" s="7" t="n"/>
      <c r="P34" s="7" t="n"/>
      <c r="Q34" s="14" t="n"/>
      <c r="R34" s="7" t="n"/>
      <c r="S34" s="7" t="n"/>
      <c r="T34" s="7" t="n"/>
      <c r="U34" s="12">
        <f>IF(A34="","",IF(OR(J34="",L34=""),"建議補聯絡紀錄","") )</f>
        <v/>
      </c>
    </row>
    <row r="35" ht="24" customHeight="1">
      <c r="A35" s="7" t="n"/>
      <c r="B35" s="7" t="n"/>
      <c r="C35" s="12">
        <f>IF($A35="","",IFERROR(INDEX(土地清冊_匯入!$B$6:$B$1005,MATCH($A35,土地清冊_匯入!$A$6:$A$1005,0)),"查無資料"))</f>
        <v/>
      </c>
      <c r="D35" s="12">
        <f>IF($A35="","",IFERROR(INDEX(土地清冊_匯入!$P$6:$P$1005,MATCH($A35,土地清冊_匯入!$A$6:$A$1005,0)),""))</f>
        <v/>
      </c>
      <c r="E35" s="12">
        <f>IF($A35="","",IFERROR(INDEX(土地清冊_匯入!$Q$6:$Q$1005,MATCH($A35,土地清冊_匯入!$A$6:$A$1005,0)),""))</f>
        <v/>
      </c>
      <c r="F35" s="12">
        <f>IF($A35="","",IFERROR(INDEX(土地清冊_匯入!$R$6:$R$1005,MATCH($A35,土地清冊_匯入!$A$6:$A$1005,0)),""))</f>
        <v/>
      </c>
      <c r="G35" s="12">
        <f>IF($A35="","",IFERROR(INDEX(土地清冊_匯入!$S$6:$S$1005,MATCH($A35,土地清冊_匯入!$A$6:$A$1005,0)),""))</f>
        <v/>
      </c>
      <c r="H35" s="12">
        <f>IF($A35="","",IFERROR(INDEX(土地清冊_匯入!$T$6:$T$1005,MATCH($A35,土地清冊_匯入!$A$6:$A$1005,0)),""))</f>
        <v/>
      </c>
      <c r="I35" s="12">
        <f>IF($A35="","",IFERROR(INDEX(土地清冊_匯入!$V$6:$V$1005,MATCH($A35,土地清冊_匯入!$A$6:$A$1005,0)),""))</f>
        <v/>
      </c>
      <c r="J35" s="14" t="n"/>
      <c r="K35" s="7" t="n"/>
      <c r="L35" s="7" t="n"/>
      <c r="M35" s="7" t="n"/>
      <c r="N35" s="7" t="n"/>
      <c r="O35" s="7" t="n"/>
      <c r="P35" s="7" t="n"/>
      <c r="Q35" s="14" t="n"/>
      <c r="R35" s="7" t="n"/>
      <c r="S35" s="7" t="n"/>
      <c r="T35" s="7" t="n"/>
      <c r="U35" s="12">
        <f>IF(A35="","",IF(OR(J35="",L35=""),"建議補聯絡紀錄","") )</f>
        <v/>
      </c>
    </row>
    <row r="36" ht="24" customHeight="1">
      <c r="A36" s="7" t="n"/>
      <c r="B36" s="7" t="n"/>
      <c r="C36" s="12">
        <f>IF($A36="","",IFERROR(INDEX(土地清冊_匯入!$B$6:$B$1005,MATCH($A36,土地清冊_匯入!$A$6:$A$1005,0)),"查無資料"))</f>
        <v/>
      </c>
      <c r="D36" s="12">
        <f>IF($A36="","",IFERROR(INDEX(土地清冊_匯入!$P$6:$P$1005,MATCH($A36,土地清冊_匯入!$A$6:$A$1005,0)),""))</f>
        <v/>
      </c>
      <c r="E36" s="12">
        <f>IF($A36="","",IFERROR(INDEX(土地清冊_匯入!$Q$6:$Q$1005,MATCH($A36,土地清冊_匯入!$A$6:$A$1005,0)),""))</f>
        <v/>
      </c>
      <c r="F36" s="12">
        <f>IF($A36="","",IFERROR(INDEX(土地清冊_匯入!$R$6:$R$1005,MATCH($A36,土地清冊_匯入!$A$6:$A$1005,0)),""))</f>
        <v/>
      </c>
      <c r="G36" s="12">
        <f>IF($A36="","",IFERROR(INDEX(土地清冊_匯入!$S$6:$S$1005,MATCH($A36,土地清冊_匯入!$A$6:$A$1005,0)),""))</f>
        <v/>
      </c>
      <c r="H36" s="12">
        <f>IF($A36="","",IFERROR(INDEX(土地清冊_匯入!$T$6:$T$1005,MATCH($A36,土地清冊_匯入!$A$6:$A$1005,0)),""))</f>
        <v/>
      </c>
      <c r="I36" s="12">
        <f>IF($A36="","",IFERROR(INDEX(土地清冊_匯入!$V$6:$V$1005,MATCH($A36,土地清冊_匯入!$A$6:$A$1005,0)),""))</f>
        <v/>
      </c>
      <c r="J36" s="14" t="n"/>
      <c r="K36" s="7" t="n"/>
      <c r="L36" s="7" t="n"/>
      <c r="M36" s="7" t="n"/>
      <c r="N36" s="7" t="n"/>
      <c r="O36" s="7" t="n"/>
      <c r="P36" s="7" t="n"/>
      <c r="Q36" s="14" t="n"/>
      <c r="R36" s="7" t="n"/>
      <c r="S36" s="7" t="n"/>
      <c r="T36" s="7" t="n"/>
      <c r="U36" s="12">
        <f>IF(A36="","",IF(OR(J36="",L36=""),"建議補聯絡紀錄","") )</f>
        <v/>
      </c>
    </row>
    <row r="37" ht="24" customHeight="1">
      <c r="A37" s="7" t="n"/>
      <c r="B37" s="7" t="n"/>
      <c r="C37" s="12">
        <f>IF($A37="","",IFERROR(INDEX(土地清冊_匯入!$B$6:$B$1005,MATCH($A37,土地清冊_匯入!$A$6:$A$1005,0)),"查無資料"))</f>
        <v/>
      </c>
      <c r="D37" s="12">
        <f>IF($A37="","",IFERROR(INDEX(土地清冊_匯入!$P$6:$P$1005,MATCH($A37,土地清冊_匯入!$A$6:$A$1005,0)),""))</f>
        <v/>
      </c>
      <c r="E37" s="12">
        <f>IF($A37="","",IFERROR(INDEX(土地清冊_匯入!$Q$6:$Q$1005,MATCH($A37,土地清冊_匯入!$A$6:$A$1005,0)),""))</f>
        <v/>
      </c>
      <c r="F37" s="12">
        <f>IF($A37="","",IFERROR(INDEX(土地清冊_匯入!$R$6:$R$1005,MATCH($A37,土地清冊_匯入!$A$6:$A$1005,0)),""))</f>
        <v/>
      </c>
      <c r="G37" s="12">
        <f>IF($A37="","",IFERROR(INDEX(土地清冊_匯入!$S$6:$S$1005,MATCH($A37,土地清冊_匯入!$A$6:$A$1005,0)),""))</f>
        <v/>
      </c>
      <c r="H37" s="12">
        <f>IF($A37="","",IFERROR(INDEX(土地清冊_匯入!$T$6:$T$1005,MATCH($A37,土地清冊_匯入!$A$6:$A$1005,0)),""))</f>
        <v/>
      </c>
      <c r="I37" s="12">
        <f>IF($A37="","",IFERROR(INDEX(土地清冊_匯入!$V$6:$V$1005,MATCH($A37,土地清冊_匯入!$A$6:$A$1005,0)),""))</f>
        <v/>
      </c>
      <c r="J37" s="14" t="n"/>
      <c r="K37" s="7" t="n"/>
      <c r="L37" s="7" t="n"/>
      <c r="M37" s="7" t="n"/>
      <c r="N37" s="7" t="n"/>
      <c r="O37" s="7" t="n"/>
      <c r="P37" s="7" t="n"/>
      <c r="Q37" s="14" t="n"/>
      <c r="R37" s="7" t="n"/>
      <c r="S37" s="7" t="n"/>
      <c r="T37" s="7" t="n"/>
      <c r="U37" s="12">
        <f>IF(A37="","",IF(OR(J37="",L37=""),"建議補聯絡紀錄","") )</f>
        <v/>
      </c>
    </row>
    <row r="38" ht="24" customHeight="1">
      <c r="A38" s="7" t="n"/>
      <c r="B38" s="7" t="n"/>
      <c r="C38" s="12">
        <f>IF($A38="","",IFERROR(INDEX(土地清冊_匯入!$B$6:$B$1005,MATCH($A38,土地清冊_匯入!$A$6:$A$1005,0)),"查無資料"))</f>
        <v/>
      </c>
      <c r="D38" s="12">
        <f>IF($A38="","",IFERROR(INDEX(土地清冊_匯入!$P$6:$P$1005,MATCH($A38,土地清冊_匯入!$A$6:$A$1005,0)),""))</f>
        <v/>
      </c>
      <c r="E38" s="12">
        <f>IF($A38="","",IFERROR(INDEX(土地清冊_匯入!$Q$6:$Q$1005,MATCH($A38,土地清冊_匯入!$A$6:$A$1005,0)),""))</f>
        <v/>
      </c>
      <c r="F38" s="12">
        <f>IF($A38="","",IFERROR(INDEX(土地清冊_匯入!$R$6:$R$1005,MATCH($A38,土地清冊_匯入!$A$6:$A$1005,0)),""))</f>
        <v/>
      </c>
      <c r="G38" s="12">
        <f>IF($A38="","",IFERROR(INDEX(土地清冊_匯入!$S$6:$S$1005,MATCH($A38,土地清冊_匯入!$A$6:$A$1005,0)),""))</f>
        <v/>
      </c>
      <c r="H38" s="12">
        <f>IF($A38="","",IFERROR(INDEX(土地清冊_匯入!$T$6:$T$1005,MATCH($A38,土地清冊_匯入!$A$6:$A$1005,0)),""))</f>
        <v/>
      </c>
      <c r="I38" s="12">
        <f>IF($A38="","",IFERROR(INDEX(土地清冊_匯入!$V$6:$V$1005,MATCH($A38,土地清冊_匯入!$A$6:$A$1005,0)),""))</f>
        <v/>
      </c>
      <c r="J38" s="14" t="n"/>
      <c r="K38" s="7" t="n"/>
      <c r="L38" s="7" t="n"/>
      <c r="M38" s="7" t="n"/>
      <c r="N38" s="7" t="n"/>
      <c r="O38" s="7" t="n"/>
      <c r="P38" s="7" t="n"/>
      <c r="Q38" s="14" t="n"/>
      <c r="R38" s="7" t="n"/>
      <c r="S38" s="7" t="n"/>
      <c r="T38" s="7" t="n"/>
      <c r="U38" s="12">
        <f>IF(A38="","",IF(OR(J38="",L38=""),"建議補聯絡紀錄","") )</f>
        <v/>
      </c>
    </row>
    <row r="39" ht="24" customHeight="1">
      <c r="A39" s="7" t="n"/>
      <c r="B39" s="7" t="n"/>
      <c r="C39" s="12">
        <f>IF($A39="","",IFERROR(INDEX(土地清冊_匯入!$B$6:$B$1005,MATCH($A39,土地清冊_匯入!$A$6:$A$1005,0)),"查無資料"))</f>
        <v/>
      </c>
      <c r="D39" s="12">
        <f>IF($A39="","",IFERROR(INDEX(土地清冊_匯入!$P$6:$P$1005,MATCH($A39,土地清冊_匯入!$A$6:$A$1005,0)),""))</f>
        <v/>
      </c>
      <c r="E39" s="12">
        <f>IF($A39="","",IFERROR(INDEX(土地清冊_匯入!$Q$6:$Q$1005,MATCH($A39,土地清冊_匯入!$A$6:$A$1005,0)),""))</f>
        <v/>
      </c>
      <c r="F39" s="12">
        <f>IF($A39="","",IFERROR(INDEX(土地清冊_匯入!$R$6:$R$1005,MATCH($A39,土地清冊_匯入!$A$6:$A$1005,0)),""))</f>
        <v/>
      </c>
      <c r="G39" s="12">
        <f>IF($A39="","",IFERROR(INDEX(土地清冊_匯入!$S$6:$S$1005,MATCH($A39,土地清冊_匯入!$A$6:$A$1005,0)),""))</f>
        <v/>
      </c>
      <c r="H39" s="12">
        <f>IF($A39="","",IFERROR(INDEX(土地清冊_匯入!$T$6:$T$1005,MATCH($A39,土地清冊_匯入!$A$6:$A$1005,0)),""))</f>
        <v/>
      </c>
      <c r="I39" s="12">
        <f>IF($A39="","",IFERROR(INDEX(土地清冊_匯入!$V$6:$V$1005,MATCH($A39,土地清冊_匯入!$A$6:$A$1005,0)),""))</f>
        <v/>
      </c>
      <c r="J39" s="14" t="n"/>
      <c r="K39" s="7" t="n"/>
      <c r="L39" s="7" t="n"/>
      <c r="M39" s="7" t="n"/>
      <c r="N39" s="7" t="n"/>
      <c r="O39" s="7" t="n"/>
      <c r="P39" s="7" t="n"/>
      <c r="Q39" s="14" t="n"/>
      <c r="R39" s="7" t="n"/>
      <c r="S39" s="7" t="n"/>
      <c r="T39" s="7" t="n"/>
      <c r="U39" s="12">
        <f>IF(A39="","",IF(OR(J39="",L39=""),"建議補聯絡紀錄","") )</f>
        <v/>
      </c>
    </row>
    <row r="40" ht="24" customHeight="1">
      <c r="A40" s="7" t="n"/>
      <c r="B40" s="7" t="n"/>
      <c r="C40" s="12">
        <f>IF($A40="","",IFERROR(INDEX(土地清冊_匯入!$B$6:$B$1005,MATCH($A40,土地清冊_匯入!$A$6:$A$1005,0)),"查無資料"))</f>
        <v/>
      </c>
      <c r="D40" s="12">
        <f>IF($A40="","",IFERROR(INDEX(土地清冊_匯入!$P$6:$P$1005,MATCH($A40,土地清冊_匯入!$A$6:$A$1005,0)),""))</f>
        <v/>
      </c>
      <c r="E40" s="12">
        <f>IF($A40="","",IFERROR(INDEX(土地清冊_匯入!$Q$6:$Q$1005,MATCH($A40,土地清冊_匯入!$A$6:$A$1005,0)),""))</f>
        <v/>
      </c>
      <c r="F40" s="12">
        <f>IF($A40="","",IFERROR(INDEX(土地清冊_匯入!$R$6:$R$1005,MATCH($A40,土地清冊_匯入!$A$6:$A$1005,0)),""))</f>
        <v/>
      </c>
      <c r="G40" s="12">
        <f>IF($A40="","",IFERROR(INDEX(土地清冊_匯入!$S$6:$S$1005,MATCH($A40,土地清冊_匯入!$A$6:$A$1005,0)),""))</f>
        <v/>
      </c>
      <c r="H40" s="12">
        <f>IF($A40="","",IFERROR(INDEX(土地清冊_匯入!$T$6:$T$1005,MATCH($A40,土地清冊_匯入!$A$6:$A$1005,0)),""))</f>
        <v/>
      </c>
      <c r="I40" s="12">
        <f>IF($A40="","",IFERROR(INDEX(土地清冊_匯入!$V$6:$V$1005,MATCH($A40,土地清冊_匯入!$A$6:$A$1005,0)),""))</f>
        <v/>
      </c>
      <c r="J40" s="14" t="n"/>
      <c r="K40" s="7" t="n"/>
      <c r="L40" s="7" t="n"/>
      <c r="M40" s="7" t="n"/>
      <c r="N40" s="7" t="n"/>
      <c r="O40" s="7" t="n"/>
      <c r="P40" s="7" t="n"/>
      <c r="Q40" s="14" t="n"/>
      <c r="R40" s="7" t="n"/>
      <c r="S40" s="7" t="n"/>
      <c r="T40" s="7" t="n"/>
      <c r="U40" s="12">
        <f>IF(A40="","",IF(OR(J40="",L40=""),"建議補聯絡紀錄","") )</f>
        <v/>
      </c>
    </row>
    <row r="41" ht="24" customHeight="1">
      <c r="A41" s="7" t="n"/>
      <c r="B41" s="7" t="n"/>
      <c r="C41" s="12">
        <f>IF($A41="","",IFERROR(INDEX(土地清冊_匯入!$B$6:$B$1005,MATCH($A41,土地清冊_匯入!$A$6:$A$1005,0)),"查無資料"))</f>
        <v/>
      </c>
      <c r="D41" s="12">
        <f>IF($A41="","",IFERROR(INDEX(土地清冊_匯入!$P$6:$P$1005,MATCH($A41,土地清冊_匯入!$A$6:$A$1005,0)),""))</f>
        <v/>
      </c>
      <c r="E41" s="12">
        <f>IF($A41="","",IFERROR(INDEX(土地清冊_匯入!$Q$6:$Q$1005,MATCH($A41,土地清冊_匯入!$A$6:$A$1005,0)),""))</f>
        <v/>
      </c>
      <c r="F41" s="12">
        <f>IF($A41="","",IFERROR(INDEX(土地清冊_匯入!$R$6:$R$1005,MATCH($A41,土地清冊_匯入!$A$6:$A$1005,0)),""))</f>
        <v/>
      </c>
      <c r="G41" s="12">
        <f>IF($A41="","",IFERROR(INDEX(土地清冊_匯入!$S$6:$S$1005,MATCH($A41,土地清冊_匯入!$A$6:$A$1005,0)),""))</f>
        <v/>
      </c>
      <c r="H41" s="12">
        <f>IF($A41="","",IFERROR(INDEX(土地清冊_匯入!$T$6:$T$1005,MATCH($A41,土地清冊_匯入!$A$6:$A$1005,0)),""))</f>
        <v/>
      </c>
      <c r="I41" s="12">
        <f>IF($A41="","",IFERROR(INDEX(土地清冊_匯入!$V$6:$V$1005,MATCH($A41,土地清冊_匯入!$A$6:$A$1005,0)),""))</f>
        <v/>
      </c>
      <c r="J41" s="14" t="n"/>
      <c r="K41" s="7" t="n"/>
      <c r="L41" s="7" t="n"/>
      <c r="M41" s="7" t="n"/>
      <c r="N41" s="7" t="n"/>
      <c r="O41" s="7" t="n"/>
      <c r="P41" s="7" t="n"/>
      <c r="Q41" s="14" t="n"/>
      <c r="R41" s="7" t="n"/>
      <c r="S41" s="7" t="n"/>
      <c r="T41" s="7" t="n"/>
      <c r="U41" s="12">
        <f>IF(A41="","",IF(OR(J41="",L41=""),"建議補聯絡紀錄","") )</f>
        <v/>
      </c>
    </row>
    <row r="42" ht="24" customHeight="1">
      <c r="A42" s="7" t="n"/>
      <c r="B42" s="7" t="n"/>
      <c r="C42" s="12">
        <f>IF($A42="","",IFERROR(INDEX(土地清冊_匯入!$B$6:$B$1005,MATCH($A42,土地清冊_匯入!$A$6:$A$1005,0)),"查無資料"))</f>
        <v/>
      </c>
      <c r="D42" s="12">
        <f>IF($A42="","",IFERROR(INDEX(土地清冊_匯入!$P$6:$P$1005,MATCH($A42,土地清冊_匯入!$A$6:$A$1005,0)),""))</f>
        <v/>
      </c>
      <c r="E42" s="12">
        <f>IF($A42="","",IFERROR(INDEX(土地清冊_匯入!$Q$6:$Q$1005,MATCH($A42,土地清冊_匯入!$A$6:$A$1005,0)),""))</f>
        <v/>
      </c>
      <c r="F42" s="12">
        <f>IF($A42="","",IFERROR(INDEX(土地清冊_匯入!$R$6:$R$1005,MATCH($A42,土地清冊_匯入!$A$6:$A$1005,0)),""))</f>
        <v/>
      </c>
      <c r="G42" s="12">
        <f>IF($A42="","",IFERROR(INDEX(土地清冊_匯入!$S$6:$S$1005,MATCH($A42,土地清冊_匯入!$A$6:$A$1005,0)),""))</f>
        <v/>
      </c>
      <c r="H42" s="12">
        <f>IF($A42="","",IFERROR(INDEX(土地清冊_匯入!$T$6:$T$1005,MATCH($A42,土地清冊_匯入!$A$6:$A$1005,0)),""))</f>
        <v/>
      </c>
      <c r="I42" s="12">
        <f>IF($A42="","",IFERROR(INDEX(土地清冊_匯入!$V$6:$V$1005,MATCH($A42,土地清冊_匯入!$A$6:$A$1005,0)),""))</f>
        <v/>
      </c>
      <c r="J42" s="14" t="n"/>
      <c r="K42" s="7" t="n"/>
      <c r="L42" s="7" t="n"/>
      <c r="M42" s="7" t="n"/>
      <c r="N42" s="7" t="n"/>
      <c r="O42" s="7" t="n"/>
      <c r="P42" s="7" t="n"/>
      <c r="Q42" s="14" t="n"/>
      <c r="R42" s="7" t="n"/>
      <c r="S42" s="7" t="n"/>
      <c r="T42" s="7" t="n"/>
      <c r="U42" s="12">
        <f>IF(A42="","",IF(OR(J42="",L42=""),"建議補聯絡紀錄","") )</f>
        <v/>
      </c>
    </row>
    <row r="43" ht="24" customHeight="1">
      <c r="A43" s="7" t="n"/>
      <c r="B43" s="7" t="n"/>
      <c r="C43" s="12">
        <f>IF($A43="","",IFERROR(INDEX(土地清冊_匯入!$B$6:$B$1005,MATCH($A43,土地清冊_匯入!$A$6:$A$1005,0)),"查無資料"))</f>
        <v/>
      </c>
      <c r="D43" s="12">
        <f>IF($A43="","",IFERROR(INDEX(土地清冊_匯入!$P$6:$P$1005,MATCH($A43,土地清冊_匯入!$A$6:$A$1005,0)),""))</f>
        <v/>
      </c>
      <c r="E43" s="12">
        <f>IF($A43="","",IFERROR(INDEX(土地清冊_匯入!$Q$6:$Q$1005,MATCH($A43,土地清冊_匯入!$A$6:$A$1005,0)),""))</f>
        <v/>
      </c>
      <c r="F43" s="12">
        <f>IF($A43="","",IFERROR(INDEX(土地清冊_匯入!$R$6:$R$1005,MATCH($A43,土地清冊_匯入!$A$6:$A$1005,0)),""))</f>
        <v/>
      </c>
      <c r="G43" s="12">
        <f>IF($A43="","",IFERROR(INDEX(土地清冊_匯入!$S$6:$S$1005,MATCH($A43,土地清冊_匯入!$A$6:$A$1005,0)),""))</f>
        <v/>
      </c>
      <c r="H43" s="12">
        <f>IF($A43="","",IFERROR(INDEX(土地清冊_匯入!$T$6:$T$1005,MATCH($A43,土地清冊_匯入!$A$6:$A$1005,0)),""))</f>
        <v/>
      </c>
      <c r="I43" s="12">
        <f>IF($A43="","",IFERROR(INDEX(土地清冊_匯入!$V$6:$V$1005,MATCH($A43,土地清冊_匯入!$A$6:$A$1005,0)),""))</f>
        <v/>
      </c>
      <c r="J43" s="14" t="n"/>
      <c r="K43" s="7" t="n"/>
      <c r="L43" s="7" t="n"/>
      <c r="M43" s="7" t="n"/>
      <c r="N43" s="7" t="n"/>
      <c r="O43" s="7" t="n"/>
      <c r="P43" s="7" t="n"/>
      <c r="Q43" s="14" t="n"/>
      <c r="R43" s="7" t="n"/>
      <c r="S43" s="7" t="n"/>
      <c r="T43" s="7" t="n"/>
      <c r="U43" s="12">
        <f>IF(A43="","",IF(OR(J43="",L43=""),"建議補聯絡紀錄","") )</f>
        <v/>
      </c>
    </row>
    <row r="44" ht="24" customHeight="1">
      <c r="A44" s="7" t="n"/>
      <c r="B44" s="7" t="n"/>
      <c r="C44" s="12">
        <f>IF($A44="","",IFERROR(INDEX(土地清冊_匯入!$B$6:$B$1005,MATCH($A44,土地清冊_匯入!$A$6:$A$1005,0)),"查無資料"))</f>
        <v/>
      </c>
      <c r="D44" s="12">
        <f>IF($A44="","",IFERROR(INDEX(土地清冊_匯入!$P$6:$P$1005,MATCH($A44,土地清冊_匯入!$A$6:$A$1005,0)),""))</f>
        <v/>
      </c>
      <c r="E44" s="12">
        <f>IF($A44="","",IFERROR(INDEX(土地清冊_匯入!$Q$6:$Q$1005,MATCH($A44,土地清冊_匯入!$A$6:$A$1005,0)),""))</f>
        <v/>
      </c>
      <c r="F44" s="12">
        <f>IF($A44="","",IFERROR(INDEX(土地清冊_匯入!$R$6:$R$1005,MATCH($A44,土地清冊_匯入!$A$6:$A$1005,0)),""))</f>
        <v/>
      </c>
      <c r="G44" s="12">
        <f>IF($A44="","",IFERROR(INDEX(土地清冊_匯入!$S$6:$S$1005,MATCH($A44,土地清冊_匯入!$A$6:$A$1005,0)),""))</f>
        <v/>
      </c>
      <c r="H44" s="12">
        <f>IF($A44="","",IFERROR(INDEX(土地清冊_匯入!$T$6:$T$1005,MATCH($A44,土地清冊_匯入!$A$6:$A$1005,0)),""))</f>
        <v/>
      </c>
      <c r="I44" s="12">
        <f>IF($A44="","",IFERROR(INDEX(土地清冊_匯入!$V$6:$V$1005,MATCH($A44,土地清冊_匯入!$A$6:$A$1005,0)),""))</f>
        <v/>
      </c>
      <c r="J44" s="14" t="n"/>
      <c r="K44" s="7" t="n"/>
      <c r="L44" s="7" t="n"/>
      <c r="M44" s="7" t="n"/>
      <c r="N44" s="7" t="n"/>
      <c r="O44" s="7" t="n"/>
      <c r="P44" s="7" t="n"/>
      <c r="Q44" s="14" t="n"/>
      <c r="R44" s="7" t="n"/>
      <c r="S44" s="7" t="n"/>
      <c r="T44" s="7" t="n"/>
      <c r="U44" s="12">
        <f>IF(A44="","",IF(OR(J44="",L44=""),"建議補聯絡紀錄","") )</f>
        <v/>
      </c>
    </row>
    <row r="45" ht="24" customHeight="1">
      <c r="A45" s="7" t="n"/>
      <c r="B45" s="7" t="n"/>
      <c r="C45" s="12">
        <f>IF($A45="","",IFERROR(INDEX(土地清冊_匯入!$B$6:$B$1005,MATCH($A45,土地清冊_匯入!$A$6:$A$1005,0)),"查無資料"))</f>
        <v/>
      </c>
      <c r="D45" s="12">
        <f>IF($A45="","",IFERROR(INDEX(土地清冊_匯入!$P$6:$P$1005,MATCH($A45,土地清冊_匯入!$A$6:$A$1005,0)),""))</f>
        <v/>
      </c>
      <c r="E45" s="12">
        <f>IF($A45="","",IFERROR(INDEX(土地清冊_匯入!$Q$6:$Q$1005,MATCH($A45,土地清冊_匯入!$A$6:$A$1005,0)),""))</f>
        <v/>
      </c>
      <c r="F45" s="12">
        <f>IF($A45="","",IFERROR(INDEX(土地清冊_匯入!$R$6:$R$1005,MATCH($A45,土地清冊_匯入!$A$6:$A$1005,0)),""))</f>
        <v/>
      </c>
      <c r="G45" s="12">
        <f>IF($A45="","",IFERROR(INDEX(土地清冊_匯入!$S$6:$S$1005,MATCH($A45,土地清冊_匯入!$A$6:$A$1005,0)),""))</f>
        <v/>
      </c>
      <c r="H45" s="12">
        <f>IF($A45="","",IFERROR(INDEX(土地清冊_匯入!$T$6:$T$1005,MATCH($A45,土地清冊_匯入!$A$6:$A$1005,0)),""))</f>
        <v/>
      </c>
      <c r="I45" s="12">
        <f>IF($A45="","",IFERROR(INDEX(土地清冊_匯入!$V$6:$V$1005,MATCH($A45,土地清冊_匯入!$A$6:$A$1005,0)),""))</f>
        <v/>
      </c>
      <c r="J45" s="14" t="n"/>
      <c r="K45" s="7" t="n"/>
      <c r="L45" s="7" t="n"/>
      <c r="M45" s="7" t="n"/>
      <c r="N45" s="7" t="n"/>
      <c r="O45" s="7" t="n"/>
      <c r="P45" s="7" t="n"/>
      <c r="Q45" s="14" t="n"/>
      <c r="R45" s="7" t="n"/>
      <c r="S45" s="7" t="n"/>
      <c r="T45" s="7" t="n"/>
      <c r="U45" s="12">
        <f>IF(A45="","",IF(OR(J45="",L45=""),"建議補聯絡紀錄","") )</f>
        <v/>
      </c>
    </row>
    <row r="46" ht="24" customHeight="1">
      <c r="A46" s="7" t="n"/>
      <c r="B46" s="7" t="n"/>
      <c r="C46" s="12">
        <f>IF($A46="","",IFERROR(INDEX(土地清冊_匯入!$B$6:$B$1005,MATCH($A46,土地清冊_匯入!$A$6:$A$1005,0)),"查無資料"))</f>
        <v/>
      </c>
      <c r="D46" s="12">
        <f>IF($A46="","",IFERROR(INDEX(土地清冊_匯入!$P$6:$P$1005,MATCH($A46,土地清冊_匯入!$A$6:$A$1005,0)),""))</f>
        <v/>
      </c>
      <c r="E46" s="12">
        <f>IF($A46="","",IFERROR(INDEX(土地清冊_匯入!$Q$6:$Q$1005,MATCH($A46,土地清冊_匯入!$A$6:$A$1005,0)),""))</f>
        <v/>
      </c>
      <c r="F46" s="12">
        <f>IF($A46="","",IFERROR(INDEX(土地清冊_匯入!$R$6:$R$1005,MATCH($A46,土地清冊_匯入!$A$6:$A$1005,0)),""))</f>
        <v/>
      </c>
      <c r="G46" s="12">
        <f>IF($A46="","",IFERROR(INDEX(土地清冊_匯入!$S$6:$S$1005,MATCH($A46,土地清冊_匯入!$A$6:$A$1005,0)),""))</f>
        <v/>
      </c>
      <c r="H46" s="12">
        <f>IF($A46="","",IFERROR(INDEX(土地清冊_匯入!$T$6:$T$1005,MATCH($A46,土地清冊_匯入!$A$6:$A$1005,0)),""))</f>
        <v/>
      </c>
      <c r="I46" s="12">
        <f>IF($A46="","",IFERROR(INDEX(土地清冊_匯入!$V$6:$V$1005,MATCH($A46,土地清冊_匯入!$A$6:$A$1005,0)),""))</f>
        <v/>
      </c>
      <c r="J46" s="14" t="n"/>
      <c r="K46" s="7" t="n"/>
      <c r="L46" s="7" t="n"/>
      <c r="M46" s="7" t="n"/>
      <c r="N46" s="7" t="n"/>
      <c r="O46" s="7" t="n"/>
      <c r="P46" s="7" t="n"/>
      <c r="Q46" s="14" t="n"/>
      <c r="R46" s="7" t="n"/>
      <c r="S46" s="7" t="n"/>
      <c r="T46" s="7" t="n"/>
      <c r="U46" s="12">
        <f>IF(A46="","",IF(OR(J46="",L46=""),"建議補聯絡紀錄","") )</f>
        <v/>
      </c>
    </row>
    <row r="47" ht="24" customHeight="1">
      <c r="A47" s="7" t="n"/>
      <c r="B47" s="7" t="n"/>
      <c r="C47" s="12">
        <f>IF($A47="","",IFERROR(INDEX(土地清冊_匯入!$B$6:$B$1005,MATCH($A47,土地清冊_匯入!$A$6:$A$1005,0)),"查無資料"))</f>
        <v/>
      </c>
      <c r="D47" s="12">
        <f>IF($A47="","",IFERROR(INDEX(土地清冊_匯入!$P$6:$P$1005,MATCH($A47,土地清冊_匯入!$A$6:$A$1005,0)),""))</f>
        <v/>
      </c>
      <c r="E47" s="12">
        <f>IF($A47="","",IFERROR(INDEX(土地清冊_匯入!$Q$6:$Q$1005,MATCH($A47,土地清冊_匯入!$A$6:$A$1005,0)),""))</f>
        <v/>
      </c>
      <c r="F47" s="12">
        <f>IF($A47="","",IFERROR(INDEX(土地清冊_匯入!$R$6:$R$1005,MATCH($A47,土地清冊_匯入!$A$6:$A$1005,0)),""))</f>
        <v/>
      </c>
      <c r="G47" s="12">
        <f>IF($A47="","",IFERROR(INDEX(土地清冊_匯入!$S$6:$S$1005,MATCH($A47,土地清冊_匯入!$A$6:$A$1005,0)),""))</f>
        <v/>
      </c>
      <c r="H47" s="12">
        <f>IF($A47="","",IFERROR(INDEX(土地清冊_匯入!$T$6:$T$1005,MATCH($A47,土地清冊_匯入!$A$6:$A$1005,0)),""))</f>
        <v/>
      </c>
      <c r="I47" s="12">
        <f>IF($A47="","",IFERROR(INDEX(土地清冊_匯入!$V$6:$V$1005,MATCH($A47,土地清冊_匯入!$A$6:$A$1005,0)),""))</f>
        <v/>
      </c>
      <c r="J47" s="14" t="n"/>
      <c r="K47" s="7" t="n"/>
      <c r="L47" s="7" t="n"/>
      <c r="M47" s="7" t="n"/>
      <c r="N47" s="7" t="n"/>
      <c r="O47" s="7" t="n"/>
      <c r="P47" s="7" t="n"/>
      <c r="Q47" s="14" t="n"/>
      <c r="R47" s="7" t="n"/>
      <c r="S47" s="7" t="n"/>
      <c r="T47" s="7" t="n"/>
      <c r="U47" s="12">
        <f>IF(A47="","",IF(OR(J47="",L47=""),"建議補聯絡紀錄","") )</f>
        <v/>
      </c>
    </row>
    <row r="48" ht="24" customHeight="1">
      <c r="A48" s="7" t="n"/>
      <c r="B48" s="7" t="n"/>
      <c r="C48" s="12">
        <f>IF($A48="","",IFERROR(INDEX(土地清冊_匯入!$B$6:$B$1005,MATCH($A48,土地清冊_匯入!$A$6:$A$1005,0)),"查無資料"))</f>
        <v/>
      </c>
      <c r="D48" s="12">
        <f>IF($A48="","",IFERROR(INDEX(土地清冊_匯入!$P$6:$P$1005,MATCH($A48,土地清冊_匯入!$A$6:$A$1005,0)),""))</f>
        <v/>
      </c>
      <c r="E48" s="12">
        <f>IF($A48="","",IFERROR(INDEX(土地清冊_匯入!$Q$6:$Q$1005,MATCH($A48,土地清冊_匯入!$A$6:$A$1005,0)),""))</f>
        <v/>
      </c>
      <c r="F48" s="12">
        <f>IF($A48="","",IFERROR(INDEX(土地清冊_匯入!$R$6:$R$1005,MATCH($A48,土地清冊_匯入!$A$6:$A$1005,0)),""))</f>
        <v/>
      </c>
      <c r="G48" s="12">
        <f>IF($A48="","",IFERROR(INDEX(土地清冊_匯入!$S$6:$S$1005,MATCH($A48,土地清冊_匯入!$A$6:$A$1005,0)),""))</f>
        <v/>
      </c>
      <c r="H48" s="12">
        <f>IF($A48="","",IFERROR(INDEX(土地清冊_匯入!$T$6:$T$1005,MATCH($A48,土地清冊_匯入!$A$6:$A$1005,0)),""))</f>
        <v/>
      </c>
      <c r="I48" s="12">
        <f>IF($A48="","",IFERROR(INDEX(土地清冊_匯入!$V$6:$V$1005,MATCH($A48,土地清冊_匯入!$A$6:$A$1005,0)),""))</f>
        <v/>
      </c>
      <c r="J48" s="14" t="n"/>
      <c r="K48" s="7" t="n"/>
      <c r="L48" s="7" t="n"/>
      <c r="M48" s="7" t="n"/>
      <c r="N48" s="7" t="n"/>
      <c r="O48" s="7" t="n"/>
      <c r="P48" s="7" t="n"/>
      <c r="Q48" s="14" t="n"/>
      <c r="R48" s="7" t="n"/>
      <c r="S48" s="7" t="n"/>
      <c r="T48" s="7" t="n"/>
      <c r="U48" s="12">
        <f>IF(A48="","",IF(OR(J48="",L48=""),"建議補聯絡紀錄","") )</f>
        <v/>
      </c>
    </row>
    <row r="49" ht="24" customHeight="1">
      <c r="A49" s="7" t="n"/>
      <c r="B49" s="7" t="n"/>
      <c r="C49" s="12">
        <f>IF($A49="","",IFERROR(INDEX(土地清冊_匯入!$B$6:$B$1005,MATCH($A49,土地清冊_匯入!$A$6:$A$1005,0)),"查無資料"))</f>
        <v/>
      </c>
      <c r="D49" s="12">
        <f>IF($A49="","",IFERROR(INDEX(土地清冊_匯入!$P$6:$P$1005,MATCH($A49,土地清冊_匯入!$A$6:$A$1005,0)),""))</f>
        <v/>
      </c>
      <c r="E49" s="12">
        <f>IF($A49="","",IFERROR(INDEX(土地清冊_匯入!$Q$6:$Q$1005,MATCH($A49,土地清冊_匯入!$A$6:$A$1005,0)),""))</f>
        <v/>
      </c>
      <c r="F49" s="12">
        <f>IF($A49="","",IFERROR(INDEX(土地清冊_匯入!$R$6:$R$1005,MATCH($A49,土地清冊_匯入!$A$6:$A$1005,0)),""))</f>
        <v/>
      </c>
      <c r="G49" s="12">
        <f>IF($A49="","",IFERROR(INDEX(土地清冊_匯入!$S$6:$S$1005,MATCH($A49,土地清冊_匯入!$A$6:$A$1005,0)),""))</f>
        <v/>
      </c>
      <c r="H49" s="12">
        <f>IF($A49="","",IFERROR(INDEX(土地清冊_匯入!$T$6:$T$1005,MATCH($A49,土地清冊_匯入!$A$6:$A$1005,0)),""))</f>
        <v/>
      </c>
      <c r="I49" s="12">
        <f>IF($A49="","",IFERROR(INDEX(土地清冊_匯入!$V$6:$V$1005,MATCH($A49,土地清冊_匯入!$A$6:$A$1005,0)),""))</f>
        <v/>
      </c>
      <c r="J49" s="14" t="n"/>
      <c r="K49" s="7" t="n"/>
      <c r="L49" s="7" t="n"/>
      <c r="M49" s="7" t="n"/>
      <c r="N49" s="7" t="n"/>
      <c r="O49" s="7" t="n"/>
      <c r="P49" s="7" t="n"/>
      <c r="Q49" s="14" t="n"/>
      <c r="R49" s="7" t="n"/>
      <c r="S49" s="7" t="n"/>
      <c r="T49" s="7" t="n"/>
      <c r="U49" s="12">
        <f>IF(A49="","",IF(OR(J49="",L49=""),"建議補聯絡紀錄","") )</f>
        <v/>
      </c>
    </row>
    <row r="50" ht="24" customHeight="1">
      <c r="A50" s="7" t="n"/>
      <c r="B50" s="7" t="n"/>
      <c r="C50" s="12">
        <f>IF($A50="","",IFERROR(INDEX(土地清冊_匯入!$B$6:$B$1005,MATCH($A50,土地清冊_匯入!$A$6:$A$1005,0)),"查無資料"))</f>
        <v/>
      </c>
      <c r="D50" s="12">
        <f>IF($A50="","",IFERROR(INDEX(土地清冊_匯入!$P$6:$P$1005,MATCH($A50,土地清冊_匯入!$A$6:$A$1005,0)),""))</f>
        <v/>
      </c>
      <c r="E50" s="12">
        <f>IF($A50="","",IFERROR(INDEX(土地清冊_匯入!$Q$6:$Q$1005,MATCH($A50,土地清冊_匯入!$A$6:$A$1005,0)),""))</f>
        <v/>
      </c>
      <c r="F50" s="12">
        <f>IF($A50="","",IFERROR(INDEX(土地清冊_匯入!$R$6:$R$1005,MATCH($A50,土地清冊_匯入!$A$6:$A$1005,0)),""))</f>
        <v/>
      </c>
      <c r="G50" s="12">
        <f>IF($A50="","",IFERROR(INDEX(土地清冊_匯入!$S$6:$S$1005,MATCH($A50,土地清冊_匯入!$A$6:$A$1005,0)),""))</f>
        <v/>
      </c>
      <c r="H50" s="12">
        <f>IF($A50="","",IFERROR(INDEX(土地清冊_匯入!$T$6:$T$1005,MATCH($A50,土地清冊_匯入!$A$6:$A$1005,0)),""))</f>
        <v/>
      </c>
      <c r="I50" s="12">
        <f>IF($A50="","",IFERROR(INDEX(土地清冊_匯入!$V$6:$V$1005,MATCH($A50,土地清冊_匯入!$A$6:$A$1005,0)),""))</f>
        <v/>
      </c>
      <c r="J50" s="14" t="n"/>
      <c r="K50" s="7" t="n"/>
      <c r="L50" s="7" t="n"/>
      <c r="M50" s="7" t="n"/>
      <c r="N50" s="7" t="n"/>
      <c r="O50" s="7" t="n"/>
      <c r="P50" s="7" t="n"/>
      <c r="Q50" s="14" t="n"/>
      <c r="R50" s="7" t="n"/>
      <c r="S50" s="7" t="n"/>
      <c r="T50" s="7" t="n"/>
      <c r="U50" s="12">
        <f>IF(A50="","",IF(OR(J50="",L50=""),"建議補聯絡紀錄","") )</f>
        <v/>
      </c>
    </row>
    <row r="51" ht="24" customHeight="1">
      <c r="A51" s="7" t="n"/>
      <c r="B51" s="7" t="n"/>
      <c r="C51" s="12">
        <f>IF($A51="","",IFERROR(INDEX(土地清冊_匯入!$B$6:$B$1005,MATCH($A51,土地清冊_匯入!$A$6:$A$1005,0)),"查無資料"))</f>
        <v/>
      </c>
      <c r="D51" s="12">
        <f>IF($A51="","",IFERROR(INDEX(土地清冊_匯入!$P$6:$P$1005,MATCH($A51,土地清冊_匯入!$A$6:$A$1005,0)),""))</f>
        <v/>
      </c>
      <c r="E51" s="12">
        <f>IF($A51="","",IFERROR(INDEX(土地清冊_匯入!$Q$6:$Q$1005,MATCH($A51,土地清冊_匯入!$A$6:$A$1005,0)),""))</f>
        <v/>
      </c>
      <c r="F51" s="12">
        <f>IF($A51="","",IFERROR(INDEX(土地清冊_匯入!$R$6:$R$1005,MATCH($A51,土地清冊_匯入!$A$6:$A$1005,0)),""))</f>
        <v/>
      </c>
      <c r="G51" s="12">
        <f>IF($A51="","",IFERROR(INDEX(土地清冊_匯入!$S$6:$S$1005,MATCH($A51,土地清冊_匯入!$A$6:$A$1005,0)),""))</f>
        <v/>
      </c>
      <c r="H51" s="12">
        <f>IF($A51="","",IFERROR(INDEX(土地清冊_匯入!$T$6:$T$1005,MATCH($A51,土地清冊_匯入!$A$6:$A$1005,0)),""))</f>
        <v/>
      </c>
      <c r="I51" s="12">
        <f>IF($A51="","",IFERROR(INDEX(土地清冊_匯入!$V$6:$V$1005,MATCH($A51,土地清冊_匯入!$A$6:$A$1005,0)),""))</f>
        <v/>
      </c>
      <c r="J51" s="14" t="n"/>
      <c r="K51" s="7" t="n"/>
      <c r="L51" s="7" t="n"/>
      <c r="M51" s="7" t="n"/>
      <c r="N51" s="7" t="n"/>
      <c r="O51" s="7" t="n"/>
      <c r="P51" s="7" t="n"/>
      <c r="Q51" s="14" t="n"/>
      <c r="R51" s="7" t="n"/>
      <c r="S51" s="7" t="n"/>
      <c r="T51" s="7" t="n"/>
      <c r="U51" s="12">
        <f>IF(A51="","",IF(OR(J51="",L51=""),"建議補聯絡紀錄","") )</f>
        <v/>
      </c>
    </row>
    <row r="52" ht="24" customHeight="1">
      <c r="A52" s="7" t="n"/>
      <c r="B52" s="7" t="n"/>
      <c r="C52" s="12">
        <f>IF($A52="","",IFERROR(INDEX(土地清冊_匯入!$B$6:$B$1005,MATCH($A52,土地清冊_匯入!$A$6:$A$1005,0)),"查無資料"))</f>
        <v/>
      </c>
      <c r="D52" s="12">
        <f>IF($A52="","",IFERROR(INDEX(土地清冊_匯入!$P$6:$P$1005,MATCH($A52,土地清冊_匯入!$A$6:$A$1005,0)),""))</f>
        <v/>
      </c>
      <c r="E52" s="12">
        <f>IF($A52="","",IFERROR(INDEX(土地清冊_匯入!$Q$6:$Q$1005,MATCH($A52,土地清冊_匯入!$A$6:$A$1005,0)),""))</f>
        <v/>
      </c>
      <c r="F52" s="12">
        <f>IF($A52="","",IFERROR(INDEX(土地清冊_匯入!$R$6:$R$1005,MATCH($A52,土地清冊_匯入!$A$6:$A$1005,0)),""))</f>
        <v/>
      </c>
      <c r="G52" s="12">
        <f>IF($A52="","",IFERROR(INDEX(土地清冊_匯入!$S$6:$S$1005,MATCH($A52,土地清冊_匯入!$A$6:$A$1005,0)),""))</f>
        <v/>
      </c>
      <c r="H52" s="12">
        <f>IF($A52="","",IFERROR(INDEX(土地清冊_匯入!$T$6:$T$1005,MATCH($A52,土地清冊_匯入!$A$6:$A$1005,0)),""))</f>
        <v/>
      </c>
      <c r="I52" s="12">
        <f>IF($A52="","",IFERROR(INDEX(土地清冊_匯入!$V$6:$V$1005,MATCH($A52,土地清冊_匯入!$A$6:$A$1005,0)),""))</f>
        <v/>
      </c>
      <c r="J52" s="14" t="n"/>
      <c r="K52" s="7" t="n"/>
      <c r="L52" s="7" t="n"/>
      <c r="M52" s="7" t="n"/>
      <c r="N52" s="7" t="n"/>
      <c r="O52" s="7" t="n"/>
      <c r="P52" s="7" t="n"/>
      <c r="Q52" s="14" t="n"/>
      <c r="R52" s="7" t="n"/>
      <c r="S52" s="7" t="n"/>
      <c r="T52" s="7" t="n"/>
      <c r="U52" s="12">
        <f>IF(A52="","",IF(OR(J52="",L52=""),"建議補聯絡紀錄","") )</f>
        <v/>
      </c>
    </row>
    <row r="53" ht="24" customHeight="1">
      <c r="A53" s="7" t="n"/>
      <c r="B53" s="7" t="n"/>
      <c r="C53" s="12">
        <f>IF($A53="","",IFERROR(INDEX(土地清冊_匯入!$B$6:$B$1005,MATCH($A53,土地清冊_匯入!$A$6:$A$1005,0)),"查無資料"))</f>
        <v/>
      </c>
      <c r="D53" s="12">
        <f>IF($A53="","",IFERROR(INDEX(土地清冊_匯入!$P$6:$P$1005,MATCH($A53,土地清冊_匯入!$A$6:$A$1005,0)),""))</f>
        <v/>
      </c>
      <c r="E53" s="12">
        <f>IF($A53="","",IFERROR(INDEX(土地清冊_匯入!$Q$6:$Q$1005,MATCH($A53,土地清冊_匯入!$A$6:$A$1005,0)),""))</f>
        <v/>
      </c>
      <c r="F53" s="12">
        <f>IF($A53="","",IFERROR(INDEX(土地清冊_匯入!$R$6:$R$1005,MATCH($A53,土地清冊_匯入!$A$6:$A$1005,0)),""))</f>
        <v/>
      </c>
      <c r="G53" s="12">
        <f>IF($A53="","",IFERROR(INDEX(土地清冊_匯入!$S$6:$S$1005,MATCH($A53,土地清冊_匯入!$A$6:$A$1005,0)),""))</f>
        <v/>
      </c>
      <c r="H53" s="12">
        <f>IF($A53="","",IFERROR(INDEX(土地清冊_匯入!$T$6:$T$1005,MATCH($A53,土地清冊_匯入!$A$6:$A$1005,0)),""))</f>
        <v/>
      </c>
      <c r="I53" s="12">
        <f>IF($A53="","",IFERROR(INDEX(土地清冊_匯入!$V$6:$V$1005,MATCH($A53,土地清冊_匯入!$A$6:$A$1005,0)),""))</f>
        <v/>
      </c>
      <c r="J53" s="14" t="n"/>
      <c r="K53" s="7" t="n"/>
      <c r="L53" s="7" t="n"/>
      <c r="M53" s="7" t="n"/>
      <c r="N53" s="7" t="n"/>
      <c r="O53" s="7" t="n"/>
      <c r="P53" s="7" t="n"/>
      <c r="Q53" s="14" t="n"/>
      <c r="R53" s="7" t="n"/>
      <c r="S53" s="7" t="n"/>
      <c r="T53" s="7" t="n"/>
      <c r="U53" s="12">
        <f>IF(A53="","",IF(OR(J53="",L53=""),"建議補聯絡紀錄","") )</f>
        <v/>
      </c>
    </row>
    <row r="54" ht="24" customHeight="1">
      <c r="A54" s="7" t="n"/>
      <c r="B54" s="7" t="n"/>
      <c r="C54" s="12">
        <f>IF($A54="","",IFERROR(INDEX(土地清冊_匯入!$B$6:$B$1005,MATCH($A54,土地清冊_匯入!$A$6:$A$1005,0)),"查無資料"))</f>
        <v/>
      </c>
      <c r="D54" s="12">
        <f>IF($A54="","",IFERROR(INDEX(土地清冊_匯入!$P$6:$P$1005,MATCH($A54,土地清冊_匯入!$A$6:$A$1005,0)),""))</f>
        <v/>
      </c>
      <c r="E54" s="12">
        <f>IF($A54="","",IFERROR(INDEX(土地清冊_匯入!$Q$6:$Q$1005,MATCH($A54,土地清冊_匯入!$A$6:$A$1005,0)),""))</f>
        <v/>
      </c>
      <c r="F54" s="12">
        <f>IF($A54="","",IFERROR(INDEX(土地清冊_匯入!$R$6:$R$1005,MATCH($A54,土地清冊_匯入!$A$6:$A$1005,0)),""))</f>
        <v/>
      </c>
      <c r="G54" s="12">
        <f>IF($A54="","",IFERROR(INDEX(土地清冊_匯入!$S$6:$S$1005,MATCH($A54,土地清冊_匯入!$A$6:$A$1005,0)),""))</f>
        <v/>
      </c>
      <c r="H54" s="12">
        <f>IF($A54="","",IFERROR(INDEX(土地清冊_匯入!$T$6:$T$1005,MATCH($A54,土地清冊_匯入!$A$6:$A$1005,0)),""))</f>
        <v/>
      </c>
      <c r="I54" s="12">
        <f>IF($A54="","",IFERROR(INDEX(土地清冊_匯入!$V$6:$V$1005,MATCH($A54,土地清冊_匯入!$A$6:$A$1005,0)),""))</f>
        <v/>
      </c>
      <c r="J54" s="14" t="n"/>
      <c r="K54" s="7" t="n"/>
      <c r="L54" s="7" t="n"/>
      <c r="M54" s="7" t="n"/>
      <c r="N54" s="7" t="n"/>
      <c r="O54" s="7" t="n"/>
      <c r="P54" s="7" t="n"/>
      <c r="Q54" s="14" t="n"/>
      <c r="R54" s="7" t="n"/>
      <c r="S54" s="7" t="n"/>
      <c r="T54" s="7" t="n"/>
      <c r="U54" s="12">
        <f>IF(A54="","",IF(OR(J54="",L54=""),"建議補聯絡紀錄","") )</f>
        <v/>
      </c>
    </row>
    <row r="55" ht="24" customHeight="1">
      <c r="A55" s="7" t="n"/>
      <c r="B55" s="7" t="n"/>
      <c r="C55" s="12">
        <f>IF($A55="","",IFERROR(INDEX(土地清冊_匯入!$B$6:$B$1005,MATCH($A55,土地清冊_匯入!$A$6:$A$1005,0)),"查無資料"))</f>
        <v/>
      </c>
      <c r="D55" s="12">
        <f>IF($A55="","",IFERROR(INDEX(土地清冊_匯入!$P$6:$P$1005,MATCH($A55,土地清冊_匯入!$A$6:$A$1005,0)),""))</f>
        <v/>
      </c>
      <c r="E55" s="12">
        <f>IF($A55="","",IFERROR(INDEX(土地清冊_匯入!$Q$6:$Q$1005,MATCH($A55,土地清冊_匯入!$A$6:$A$1005,0)),""))</f>
        <v/>
      </c>
      <c r="F55" s="12">
        <f>IF($A55="","",IFERROR(INDEX(土地清冊_匯入!$R$6:$R$1005,MATCH($A55,土地清冊_匯入!$A$6:$A$1005,0)),""))</f>
        <v/>
      </c>
      <c r="G55" s="12">
        <f>IF($A55="","",IFERROR(INDEX(土地清冊_匯入!$S$6:$S$1005,MATCH($A55,土地清冊_匯入!$A$6:$A$1005,0)),""))</f>
        <v/>
      </c>
      <c r="H55" s="12">
        <f>IF($A55="","",IFERROR(INDEX(土地清冊_匯入!$T$6:$T$1005,MATCH($A55,土地清冊_匯入!$A$6:$A$1005,0)),""))</f>
        <v/>
      </c>
      <c r="I55" s="12">
        <f>IF($A55="","",IFERROR(INDEX(土地清冊_匯入!$V$6:$V$1005,MATCH($A55,土地清冊_匯入!$A$6:$A$1005,0)),""))</f>
        <v/>
      </c>
      <c r="J55" s="14" t="n"/>
      <c r="K55" s="7" t="n"/>
      <c r="L55" s="7" t="n"/>
      <c r="M55" s="7" t="n"/>
      <c r="N55" s="7" t="n"/>
      <c r="O55" s="7" t="n"/>
      <c r="P55" s="7" t="n"/>
      <c r="Q55" s="14" t="n"/>
      <c r="R55" s="7" t="n"/>
      <c r="S55" s="7" t="n"/>
      <c r="T55" s="7" t="n"/>
      <c r="U55" s="12">
        <f>IF(A55="","",IF(OR(J55="",L55=""),"建議補聯絡紀錄","") )</f>
        <v/>
      </c>
    </row>
    <row r="56" ht="24" customHeight="1">
      <c r="A56" s="7" t="n"/>
      <c r="B56" s="7" t="n"/>
      <c r="C56" s="12">
        <f>IF($A56="","",IFERROR(INDEX(土地清冊_匯入!$B$6:$B$1005,MATCH($A56,土地清冊_匯入!$A$6:$A$1005,0)),"查無資料"))</f>
        <v/>
      </c>
      <c r="D56" s="12">
        <f>IF($A56="","",IFERROR(INDEX(土地清冊_匯入!$P$6:$P$1005,MATCH($A56,土地清冊_匯入!$A$6:$A$1005,0)),""))</f>
        <v/>
      </c>
      <c r="E56" s="12">
        <f>IF($A56="","",IFERROR(INDEX(土地清冊_匯入!$Q$6:$Q$1005,MATCH($A56,土地清冊_匯入!$A$6:$A$1005,0)),""))</f>
        <v/>
      </c>
      <c r="F56" s="12">
        <f>IF($A56="","",IFERROR(INDEX(土地清冊_匯入!$R$6:$R$1005,MATCH($A56,土地清冊_匯入!$A$6:$A$1005,0)),""))</f>
        <v/>
      </c>
      <c r="G56" s="12">
        <f>IF($A56="","",IFERROR(INDEX(土地清冊_匯入!$S$6:$S$1005,MATCH($A56,土地清冊_匯入!$A$6:$A$1005,0)),""))</f>
        <v/>
      </c>
      <c r="H56" s="12">
        <f>IF($A56="","",IFERROR(INDEX(土地清冊_匯入!$T$6:$T$1005,MATCH($A56,土地清冊_匯入!$A$6:$A$1005,0)),""))</f>
        <v/>
      </c>
      <c r="I56" s="12">
        <f>IF($A56="","",IFERROR(INDEX(土地清冊_匯入!$V$6:$V$1005,MATCH($A56,土地清冊_匯入!$A$6:$A$1005,0)),""))</f>
        <v/>
      </c>
      <c r="J56" s="14" t="n"/>
      <c r="K56" s="7" t="n"/>
      <c r="L56" s="7" t="n"/>
      <c r="M56" s="7" t="n"/>
      <c r="N56" s="7" t="n"/>
      <c r="O56" s="7" t="n"/>
      <c r="P56" s="7" t="n"/>
      <c r="Q56" s="14" t="n"/>
      <c r="R56" s="7" t="n"/>
      <c r="S56" s="7" t="n"/>
      <c r="T56" s="7" t="n"/>
      <c r="U56" s="12">
        <f>IF(A56="","",IF(OR(J56="",L56=""),"建議補聯絡紀錄","") )</f>
        <v/>
      </c>
    </row>
    <row r="57" ht="24" customHeight="1">
      <c r="A57" s="7" t="n"/>
      <c r="B57" s="7" t="n"/>
      <c r="C57" s="12">
        <f>IF($A57="","",IFERROR(INDEX(土地清冊_匯入!$B$6:$B$1005,MATCH($A57,土地清冊_匯入!$A$6:$A$1005,0)),"查無資料"))</f>
        <v/>
      </c>
      <c r="D57" s="12">
        <f>IF($A57="","",IFERROR(INDEX(土地清冊_匯入!$P$6:$P$1005,MATCH($A57,土地清冊_匯入!$A$6:$A$1005,0)),""))</f>
        <v/>
      </c>
      <c r="E57" s="12">
        <f>IF($A57="","",IFERROR(INDEX(土地清冊_匯入!$Q$6:$Q$1005,MATCH($A57,土地清冊_匯入!$A$6:$A$1005,0)),""))</f>
        <v/>
      </c>
      <c r="F57" s="12">
        <f>IF($A57="","",IFERROR(INDEX(土地清冊_匯入!$R$6:$R$1005,MATCH($A57,土地清冊_匯入!$A$6:$A$1005,0)),""))</f>
        <v/>
      </c>
      <c r="G57" s="12">
        <f>IF($A57="","",IFERROR(INDEX(土地清冊_匯入!$S$6:$S$1005,MATCH($A57,土地清冊_匯入!$A$6:$A$1005,0)),""))</f>
        <v/>
      </c>
      <c r="H57" s="12">
        <f>IF($A57="","",IFERROR(INDEX(土地清冊_匯入!$T$6:$T$1005,MATCH($A57,土地清冊_匯入!$A$6:$A$1005,0)),""))</f>
        <v/>
      </c>
      <c r="I57" s="12">
        <f>IF($A57="","",IFERROR(INDEX(土地清冊_匯入!$V$6:$V$1005,MATCH($A57,土地清冊_匯入!$A$6:$A$1005,0)),""))</f>
        <v/>
      </c>
      <c r="J57" s="14" t="n"/>
      <c r="K57" s="7" t="n"/>
      <c r="L57" s="7" t="n"/>
      <c r="M57" s="7" t="n"/>
      <c r="N57" s="7" t="n"/>
      <c r="O57" s="7" t="n"/>
      <c r="P57" s="7" t="n"/>
      <c r="Q57" s="14" t="n"/>
      <c r="R57" s="7" t="n"/>
      <c r="S57" s="7" t="n"/>
      <c r="T57" s="7" t="n"/>
      <c r="U57" s="12">
        <f>IF(A57="","",IF(OR(J57="",L57=""),"建議補聯絡紀錄","") )</f>
        <v/>
      </c>
    </row>
    <row r="58" ht="24" customHeight="1">
      <c r="A58" s="7" t="n"/>
      <c r="B58" s="7" t="n"/>
      <c r="C58" s="12">
        <f>IF($A58="","",IFERROR(INDEX(土地清冊_匯入!$B$6:$B$1005,MATCH($A58,土地清冊_匯入!$A$6:$A$1005,0)),"查無資料"))</f>
        <v/>
      </c>
      <c r="D58" s="12">
        <f>IF($A58="","",IFERROR(INDEX(土地清冊_匯入!$P$6:$P$1005,MATCH($A58,土地清冊_匯入!$A$6:$A$1005,0)),""))</f>
        <v/>
      </c>
      <c r="E58" s="12">
        <f>IF($A58="","",IFERROR(INDEX(土地清冊_匯入!$Q$6:$Q$1005,MATCH($A58,土地清冊_匯入!$A$6:$A$1005,0)),""))</f>
        <v/>
      </c>
      <c r="F58" s="12">
        <f>IF($A58="","",IFERROR(INDEX(土地清冊_匯入!$R$6:$R$1005,MATCH($A58,土地清冊_匯入!$A$6:$A$1005,0)),""))</f>
        <v/>
      </c>
      <c r="G58" s="12">
        <f>IF($A58="","",IFERROR(INDEX(土地清冊_匯入!$S$6:$S$1005,MATCH($A58,土地清冊_匯入!$A$6:$A$1005,0)),""))</f>
        <v/>
      </c>
      <c r="H58" s="12">
        <f>IF($A58="","",IFERROR(INDEX(土地清冊_匯入!$T$6:$T$1005,MATCH($A58,土地清冊_匯入!$A$6:$A$1005,0)),""))</f>
        <v/>
      </c>
      <c r="I58" s="12">
        <f>IF($A58="","",IFERROR(INDEX(土地清冊_匯入!$V$6:$V$1005,MATCH($A58,土地清冊_匯入!$A$6:$A$1005,0)),""))</f>
        <v/>
      </c>
      <c r="J58" s="14" t="n"/>
      <c r="K58" s="7" t="n"/>
      <c r="L58" s="7" t="n"/>
      <c r="M58" s="7" t="n"/>
      <c r="N58" s="7" t="n"/>
      <c r="O58" s="7" t="n"/>
      <c r="P58" s="7" t="n"/>
      <c r="Q58" s="14" t="n"/>
      <c r="R58" s="7" t="n"/>
      <c r="S58" s="7" t="n"/>
      <c r="T58" s="7" t="n"/>
      <c r="U58" s="12">
        <f>IF(A58="","",IF(OR(J58="",L58=""),"建議補聯絡紀錄","") )</f>
        <v/>
      </c>
    </row>
    <row r="59" ht="24" customHeight="1">
      <c r="A59" s="7" t="n"/>
      <c r="B59" s="7" t="n"/>
      <c r="C59" s="12">
        <f>IF($A59="","",IFERROR(INDEX(土地清冊_匯入!$B$6:$B$1005,MATCH($A59,土地清冊_匯入!$A$6:$A$1005,0)),"查無資料"))</f>
        <v/>
      </c>
      <c r="D59" s="12">
        <f>IF($A59="","",IFERROR(INDEX(土地清冊_匯入!$P$6:$P$1005,MATCH($A59,土地清冊_匯入!$A$6:$A$1005,0)),""))</f>
        <v/>
      </c>
      <c r="E59" s="12">
        <f>IF($A59="","",IFERROR(INDEX(土地清冊_匯入!$Q$6:$Q$1005,MATCH($A59,土地清冊_匯入!$A$6:$A$1005,0)),""))</f>
        <v/>
      </c>
      <c r="F59" s="12">
        <f>IF($A59="","",IFERROR(INDEX(土地清冊_匯入!$R$6:$R$1005,MATCH($A59,土地清冊_匯入!$A$6:$A$1005,0)),""))</f>
        <v/>
      </c>
      <c r="G59" s="12">
        <f>IF($A59="","",IFERROR(INDEX(土地清冊_匯入!$S$6:$S$1005,MATCH($A59,土地清冊_匯入!$A$6:$A$1005,0)),""))</f>
        <v/>
      </c>
      <c r="H59" s="12">
        <f>IF($A59="","",IFERROR(INDEX(土地清冊_匯入!$T$6:$T$1005,MATCH($A59,土地清冊_匯入!$A$6:$A$1005,0)),""))</f>
        <v/>
      </c>
      <c r="I59" s="12">
        <f>IF($A59="","",IFERROR(INDEX(土地清冊_匯入!$V$6:$V$1005,MATCH($A59,土地清冊_匯入!$A$6:$A$1005,0)),""))</f>
        <v/>
      </c>
      <c r="J59" s="14" t="n"/>
      <c r="K59" s="7" t="n"/>
      <c r="L59" s="7" t="n"/>
      <c r="M59" s="7" t="n"/>
      <c r="N59" s="7" t="n"/>
      <c r="O59" s="7" t="n"/>
      <c r="P59" s="7" t="n"/>
      <c r="Q59" s="14" t="n"/>
      <c r="R59" s="7" t="n"/>
      <c r="S59" s="7" t="n"/>
      <c r="T59" s="7" t="n"/>
      <c r="U59" s="12">
        <f>IF(A59="","",IF(OR(J59="",L59=""),"建議補聯絡紀錄","") )</f>
        <v/>
      </c>
    </row>
    <row r="60" ht="24" customHeight="1">
      <c r="A60" s="7" t="n"/>
      <c r="B60" s="7" t="n"/>
      <c r="C60" s="12">
        <f>IF($A60="","",IFERROR(INDEX(土地清冊_匯入!$B$6:$B$1005,MATCH($A60,土地清冊_匯入!$A$6:$A$1005,0)),"查無資料"))</f>
        <v/>
      </c>
      <c r="D60" s="12">
        <f>IF($A60="","",IFERROR(INDEX(土地清冊_匯入!$P$6:$P$1005,MATCH($A60,土地清冊_匯入!$A$6:$A$1005,0)),""))</f>
        <v/>
      </c>
      <c r="E60" s="12">
        <f>IF($A60="","",IFERROR(INDEX(土地清冊_匯入!$Q$6:$Q$1005,MATCH($A60,土地清冊_匯入!$A$6:$A$1005,0)),""))</f>
        <v/>
      </c>
      <c r="F60" s="12">
        <f>IF($A60="","",IFERROR(INDEX(土地清冊_匯入!$R$6:$R$1005,MATCH($A60,土地清冊_匯入!$A$6:$A$1005,0)),""))</f>
        <v/>
      </c>
      <c r="G60" s="12">
        <f>IF($A60="","",IFERROR(INDEX(土地清冊_匯入!$S$6:$S$1005,MATCH($A60,土地清冊_匯入!$A$6:$A$1005,0)),""))</f>
        <v/>
      </c>
      <c r="H60" s="12">
        <f>IF($A60="","",IFERROR(INDEX(土地清冊_匯入!$T$6:$T$1005,MATCH($A60,土地清冊_匯入!$A$6:$A$1005,0)),""))</f>
        <v/>
      </c>
      <c r="I60" s="12">
        <f>IF($A60="","",IFERROR(INDEX(土地清冊_匯入!$V$6:$V$1005,MATCH($A60,土地清冊_匯入!$A$6:$A$1005,0)),""))</f>
        <v/>
      </c>
      <c r="J60" s="14" t="n"/>
      <c r="K60" s="7" t="n"/>
      <c r="L60" s="7" t="n"/>
      <c r="M60" s="7" t="n"/>
      <c r="N60" s="7" t="n"/>
      <c r="O60" s="7" t="n"/>
      <c r="P60" s="7" t="n"/>
      <c r="Q60" s="14" t="n"/>
      <c r="R60" s="7" t="n"/>
      <c r="S60" s="7" t="n"/>
      <c r="T60" s="7" t="n"/>
      <c r="U60" s="12">
        <f>IF(A60="","",IF(OR(J60="",L60=""),"建議補聯絡紀錄","") )</f>
        <v/>
      </c>
    </row>
    <row r="61" ht="24" customHeight="1">
      <c r="A61" s="7" t="n"/>
      <c r="B61" s="7" t="n"/>
      <c r="C61" s="12">
        <f>IF($A61="","",IFERROR(INDEX(土地清冊_匯入!$B$6:$B$1005,MATCH($A61,土地清冊_匯入!$A$6:$A$1005,0)),"查無資料"))</f>
        <v/>
      </c>
      <c r="D61" s="12">
        <f>IF($A61="","",IFERROR(INDEX(土地清冊_匯入!$P$6:$P$1005,MATCH($A61,土地清冊_匯入!$A$6:$A$1005,0)),""))</f>
        <v/>
      </c>
      <c r="E61" s="12">
        <f>IF($A61="","",IFERROR(INDEX(土地清冊_匯入!$Q$6:$Q$1005,MATCH($A61,土地清冊_匯入!$A$6:$A$1005,0)),""))</f>
        <v/>
      </c>
      <c r="F61" s="12">
        <f>IF($A61="","",IFERROR(INDEX(土地清冊_匯入!$R$6:$R$1005,MATCH($A61,土地清冊_匯入!$A$6:$A$1005,0)),""))</f>
        <v/>
      </c>
      <c r="G61" s="12">
        <f>IF($A61="","",IFERROR(INDEX(土地清冊_匯入!$S$6:$S$1005,MATCH($A61,土地清冊_匯入!$A$6:$A$1005,0)),""))</f>
        <v/>
      </c>
      <c r="H61" s="12">
        <f>IF($A61="","",IFERROR(INDEX(土地清冊_匯入!$T$6:$T$1005,MATCH($A61,土地清冊_匯入!$A$6:$A$1005,0)),""))</f>
        <v/>
      </c>
      <c r="I61" s="12">
        <f>IF($A61="","",IFERROR(INDEX(土地清冊_匯入!$V$6:$V$1005,MATCH($A61,土地清冊_匯入!$A$6:$A$1005,0)),""))</f>
        <v/>
      </c>
      <c r="J61" s="14" t="n"/>
      <c r="K61" s="7" t="n"/>
      <c r="L61" s="7" t="n"/>
      <c r="M61" s="7" t="n"/>
      <c r="N61" s="7" t="n"/>
      <c r="O61" s="7" t="n"/>
      <c r="P61" s="7" t="n"/>
      <c r="Q61" s="14" t="n"/>
      <c r="R61" s="7" t="n"/>
      <c r="S61" s="7" t="n"/>
      <c r="T61" s="7" t="n"/>
      <c r="U61" s="12">
        <f>IF(A61="","",IF(OR(J61="",L61=""),"建議補聯絡紀錄","") )</f>
        <v/>
      </c>
    </row>
    <row r="62" ht="24" customHeight="1">
      <c r="A62" s="7" t="n"/>
      <c r="B62" s="7" t="n"/>
      <c r="C62" s="12">
        <f>IF($A62="","",IFERROR(INDEX(土地清冊_匯入!$B$6:$B$1005,MATCH($A62,土地清冊_匯入!$A$6:$A$1005,0)),"查無資料"))</f>
        <v/>
      </c>
      <c r="D62" s="12">
        <f>IF($A62="","",IFERROR(INDEX(土地清冊_匯入!$P$6:$P$1005,MATCH($A62,土地清冊_匯入!$A$6:$A$1005,0)),""))</f>
        <v/>
      </c>
      <c r="E62" s="12">
        <f>IF($A62="","",IFERROR(INDEX(土地清冊_匯入!$Q$6:$Q$1005,MATCH($A62,土地清冊_匯入!$A$6:$A$1005,0)),""))</f>
        <v/>
      </c>
      <c r="F62" s="12">
        <f>IF($A62="","",IFERROR(INDEX(土地清冊_匯入!$R$6:$R$1005,MATCH($A62,土地清冊_匯入!$A$6:$A$1005,0)),""))</f>
        <v/>
      </c>
      <c r="G62" s="12">
        <f>IF($A62="","",IFERROR(INDEX(土地清冊_匯入!$S$6:$S$1005,MATCH($A62,土地清冊_匯入!$A$6:$A$1005,0)),""))</f>
        <v/>
      </c>
      <c r="H62" s="12">
        <f>IF($A62="","",IFERROR(INDEX(土地清冊_匯入!$T$6:$T$1005,MATCH($A62,土地清冊_匯入!$A$6:$A$1005,0)),""))</f>
        <v/>
      </c>
      <c r="I62" s="12">
        <f>IF($A62="","",IFERROR(INDEX(土地清冊_匯入!$V$6:$V$1005,MATCH($A62,土地清冊_匯入!$A$6:$A$1005,0)),""))</f>
        <v/>
      </c>
      <c r="J62" s="14" t="n"/>
      <c r="K62" s="7" t="n"/>
      <c r="L62" s="7" t="n"/>
      <c r="M62" s="7" t="n"/>
      <c r="N62" s="7" t="n"/>
      <c r="O62" s="7" t="n"/>
      <c r="P62" s="7" t="n"/>
      <c r="Q62" s="14" t="n"/>
      <c r="R62" s="7" t="n"/>
      <c r="S62" s="7" t="n"/>
      <c r="T62" s="7" t="n"/>
      <c r="U62" s="12">
        <f>IF(A62="","",IF(OR(J62="",L62=""),"建議補聯絡紀錄","") )</f>
        <v/>
      </c>
    </row>
    <row r="63" ht="24" customHeight="1">
      <c r="A63" s="7" t="n"/>
      <c r="B63" s="7" t="n"/>
      <c r="C63" s="12">
        <f>IF($A63="","",IFERROR(INDEX(土地清冊_匯入!$B$6:$B$1005,MATCH($A63,土地清冊_匯入!$A$6:$A$1005,0)),"查無資料"))</f>
        <v/>
      </c>
      <c r="D63" s="12">
        <f>IF($A63="","",IFERROR(INDEX(土地清冊_匯入!$P$6:$P$1005,MATCH($A63,土地清冊_匯入!$A$6:$A$1005,0)),""))</f>
        <v/>
      </c>
      <c r="E63" s="12">
        <f>IF($A63="","",IFERROR(INDEX(土地清冊_匯入!$Q$6:$Q$1005,MATCH($A63,土地清冊_匯入!$A$6:$A$1005,0)),""))</f>
        <v/>
      </c>
      <c r="F63" s="12">
        <f>IF($A63="","",IFERROR(INDEX(土地清冊_匯入!$R$6:$R$1005,MATCH($A63,土地清冊_匯入!$A$6:$A$1005,0)),""))</f>
        <v/>
      </c>
      <c r="G63" s="12">
        <f>IF($A63="","",IFERROR(INDEX(土地清冊_匯入!$S$6:$S$1005,MATCH($A63,土地清冊_匯入!$A$6:$A$1005,0)),""))</f>
        <v/>
      </c>
      <c r="H63" s="12">
        <f>IF($A63="","",IFERROR(INDEX(土地清冊_匯入!$T$6:$T$1005,MATCH($A63,土地清冊_匯入!$A$6:$A$1005,0)),""))</f>
        <v/>
      </c>
      <c r="I63" s="12">
        <f>IF($A63="","",IFERROR(INDEX(土地清冊_匯入!$V$6:$V$1005,MATCH($A63,土地清冊_匯入!$A$6:$A$1005,0)),""))</f>
        <v/>
      </c>
      <c r="J63" s="14" t="n"/>
      <c r="K63" s="7" t="n"/>
      <c r="L63" s="7" t="n"/>
      <c r="M63" s="7" t="n"/>
      <c r="N63" s="7" t="n"/>
      <c r="O63" s="7" t="n"/>
      <c r="P63" s="7" t="n"/>
      <c r="Q63" s="14" t="n"/>
      <c r="R63" s="7" t="n"/>
      <c r="S63" s="7" t="n"/>
      <c r="T63" s="7" t="n"/>
      <c r="U63" s="12">
        <f>IF(A63="","",IF(OR(J63="",L63=""),"建議補聯絡紀錄","") )</f>
        <v/>
      </c>
    </row>
    <row r="64" ht="24" customHeight="1">
      <c r="A64" s="7" t="n"/>
      <c r="B64" s="7" t="n"/>
      <c r="C64" s="12">
        <f>IF($A64="","",IFERROR(INDEX(土地清冊_匯入!$B$6:$B$1005,MATCH($A64,土地清冊_匯入!$A$6:$A$1005,0)),"查無資料"))</f>
        <v/>
      </c>
      <c r="D64" s="12">
        <f>IF($A64="","",IFERROR(INDEX(土地清冊_匯入!$P$6:$P$1005,MATCH($A64,土地清冊_匯入!$A$6:$A$1005,0)),""))</f>
        <v/>
      </c>
      <c r="E64" s="12">
        <f>IF($A64="","",IFERROR(INDEX(土地清冊_匯入!$Q$6:$Q$1005,MATCH($A64,土地清冊_匯入!$A$6:$A$1005,0)),""))</f>
        <v/>
      </c>
      <c r="F64" s="12">
        <f>IF($A64="","",IFERROR(INDEX(土地清冊_匯入!$R$6:$R$1005,MATCH($A64,土地清冊_匯入!$A$6:$A$1005,0)),""))</f>
        <v/>
      </c>
      <c r="G64" s="12">
        <f>IF($A64="","",IFERROR(INDEX(土地清冊_匯入!$S$6:$S$1005,MATCH($A64,土地清冊_匯入!$A$6:$A$1005,0)),""))</f>
        <v/>
      </c>
      <c r="H64" s="12">
        <f>IF($A64="","",IFERROR(INDEX(土地清冊_匯入!$T$6:$T$1005,MATCH($A64,土地清冊_匯入!$A$6:$A$1005,0)),""))</f>
        <v/>
      </c>
      <c r="I64" s="12">
        <f>IF($A64="","",IFERROR(INDEX(土地清冊_匯入!$V$6:$V$1005,MATCH($A64,土地清冊_匯入!$A$6:$A$1005,0)),""))</f>
        <v/>
      </c>
      <c r="J64" s="14" t="n"/>
      <c r="K64" s="7" t="n"/>
      <c r="L64" s="7" t="n"/>
      <c r="M64" s="7" t="n"/>
      <c r="N64" s="7" t="n"/>
      <c r="O64" s="7" t="n"/>
      <c r="P64" s="7" t="n"/>
      <c r="Q64" s="14" t="n"/>
      <c r="R64" s="7" t="n"/>
      <c r="S64" s="7" t="n"/>
      <c r="T64" s="7" t="n"/>
      <c r="U64" s="12">
        <f>IF(A64="","",IF(OR(J64="",L64=""),"建議補聯絡紀錄","") )</f>
        <v/>
      </c>
    </row>
    <row r="65" ht="24" customHeight="1">
      <c r="A65" s="7" t="n"/>
      <c r="B65" s="7" t="n"/>
      <c r="C65" s="12">
        <f>IF($A65="","",IFERROR(INDEX(土地清冊_匯入!$B$6:$B$1005,MATCH($A65,土地清冊_匯入!$A$6:$A$1005,0)),"查無資料"))</f>
        <v/>
      </c>
      <c r="D65" s="12">
        <f>IF($A65="","",IFERROR(INDEX(土地清冊_匯入!$P$6:$P$1005,MATCH($A65,土地清冊_匯入!$A$6:$A$1005,0)),""))</f>
        <v/>
      </c>
      <c r="E65" s="12">
        <f>IF($A65="","",IFERROR(INDEX(土地清冊_匯入!$Q$6:$Q$1005,MATCH($A65,土地清冊_匯入!$A$6:$A$1005,0)),""))</f>
        <v/>
      </c>
      <c r="F65" s="12">
        <f>IF($A65="","",IFERROR(INDEX(土地清冊_匯入!$R$6:$R$1005,MATCH($A65,土地清冊_匯入!$A$6:$A$1005,0)),""))</f>
        <v/>
      </c>
      <c r="G65" s="12">
        <f>IF($A65="","",IFERROR(INDEX(土地清冊_匯入!$S$6:$S$1005,MATCH($A65,土地清冊_匯入!$A$6:$A$1005,0)),""))</f>
        <v/>
      </c>
      <c r="H65" s="12">
        <f>IF($A65="","",IFERROR(INDEX(土地清冊_匯入!$T$6:$T$1005,MATCH($A65,土地清冊_匯入!$A$6:$A$1005,0)),""))</f>
        <v/>
      </c>
      <c r="I65" s="12">
        <f>IF($A65="","",IFERROR(INDEX(土地清冊_匯入!$V$6:$V$1005,MATCH($A65,土地清冊_匯入!$A$6:$A$1005,0)),""))</f>
        <v/>
      </c>
      <c r="J65" s="14" t="n"/>
      <c r="K65" s="7" t="n"/>
      <c r="L65" s="7" t="n"/>
      <c r="M65" s="7" t="n"/>
      <c r="N65" s="7" t="n"/>
      <c r="O65" s="7" t="n"/>
      <c r="P65" s="7" t="n"/>
      <c r="Q65" s="14" t="n"/>
      <c r="R65" s="7" t="n"/>
      <c r="S65" s="7" t="n"/>
      <c r="T65" s="7" t="n"/>
      <c r="U65" s="12">
        <f>IF(A65="","",IF(OR(J65="",L65=""),"建議補聯絡紀錄","") )</f>
        <v/>
      </c>
    </row>
    <row r="66" ht="24" customHeight="1">
      <c r="A66" s="7" t="n"/>
      <c r="B66" s="7" t="n"/>
      <c r="C66" s="12">
        <f>IF($A66="","",IFERROR(INDEX(土地清冊_匯入!$B$6:$B$1005,MATCH($A66,土地清冊_匯入!$A$6:$A$1005,0)),"查無資料"))</f>
        <v/>
      </c>
      <c r="D66" s="12">
        <f>IF($A66="","",IFERROR(INDEX(土地清冊_匯入!$P$6:$P$1005,MATCH($A66,土地清冊_匯入!$A$6:$A$1005,0)),""))</f>
        <v/>
      </c>
      <c r="E66" s="12">
        <f>IF($A66="","",IFERROR(INDEX(土地清冊_匯入!$Q$6:$Q$1005,MATCH($A66,土地清冊_匯入!$A$6:$A$1005,0)),""))</f>
        <v/>
      </c>
      <c r="F66" s="12">
        <f>IF($A66="","",IFERROR(INDEX(土地清冊_匯入!$R$6:$R$1005,MATCH($A66,土地清冊_匯入!$A$6:$A$1005,0)),""))</f>
        <v/>
      </c>
      <c r="G66" s="12">
        <f>IF($A66="","",IFERROR(INDEX(土地清冊_匯入!$S$6:$S$1005,MATCH($A66,土地清冊_匯入!$A$6:$A$1005,0)),""))</f>
        <v/>
      </c>
      <c r="H66" s="12">
        <f>IF($A66="","",IFERROR(INDEX(土地清冊_匯入!$T$6:$T$1005,MATCH($A66,土地清冊_匯入!$A$6:$A$1005,0)),""))</f>
        <v/>
      </c>
      <c r="I66" s="12">
        <f>IF($A66="","",IFERROR(INDEX(土地清冊_匯入!$V$6:$V$1005,MATCH($A66,土地清冊_匯入!$A$6:$A$1005,0)),""))</f>
        <v/>
      </c>
      <c r="J66" s="14" t="n"/>
      <c r="K66" s="7" t="n"/>
      <c r="L66" s="7" t="n"/>
      <c r="M66" s="7" t="n"/>
      <c r="N66" s="7" t="n"/>
      <c r="O66" s="7" t="n"/>
      <c r="P66" s="7" t="n"/>
      <c r="Q66" s="14" t="n"/>
      <c r="R66" s="7" t="n"/>
      <c r="S66" s="7" t="n"/>
      <c r="T66" s="7" t="n"/>
      <c r="U66" s="12">
        <f>IF(A66="","",IF(OR(J66="",L66=""),"建議補聯絡紀錄","") )</f>
        <v/>
      </c>
    </row>
    <row r="67" ht="24" customHeight="1">
      <c r="A67" s="7" t="n"/>
      <c r="B67" s="7" t="n"/>
      <c r="C67" s="12">
        <f>IF($A67="","",IFERROR(INDEX(土地清冊_匯入!$B$6:$B$1005,MATCH($A67,土地清冊_匯入!$A$6:$A$1005,0)),"查無資料"))</f>
        <v/>
      </c>
      <c r="D67" s="12">
        <f>IF($A67="","",IFERROR(INDEX(土地清冊_匯入!$P$6:$P$1005,MATCH($A67,土地清冊_匯入!$A$6:$A$1005,0)),""))</f>
        <v/>
      </c>
      <c r="E67" s="12">
        <f>IF($A67="","",IFERROR(INDEX(土地清冊_匯入!$Q$6:$Q$1005,MATCH($A67,土地清冊_匯入!$A$6:$A$1005,0)),""))</f>
        <v/>
      </c>
      <c r="F67" s="12">
        <f>IF($A67="","",IFERROR(INDEX(土地清冊_匯入!$R$6:$R$1005,MATCH($A67,土地清冊_匯入!$A$6:$A$1005,0)),""))</f>
        <v/>
      </c>
      <c r="G67" s="12">
        <f>IF($A67="","",IFERROR(INDEX(土地清冊_匯入!$S$6:$S$1005,MATCH($A67,土地清冊_匯入!$A$6:$A$1005,0)),""))</f>
        <v/>
      </c>
      <c r="H67" s="12">
        <f>IF($A67="","",IFERROR(INDEX(土地清冊_匯入!$T$6:$T$1005,MATCH($A67,土地清冊_匯入!$A$6:$A$1005,0)),""))</f>
        <v/>
      </c>
      <c r="I67" s="12">
        <f>IF($A67="","",IFERROR(INDEX(土地清冊_匯入!$V$6:$V$1005,MATCH($A67,土地清冊_匯入!$A$6:$A$1005,0)),""))</f>
        <v/>
      </c>
      <c r="J67" s="14" t="n"/>
      <c r="K67" s="7" t="n"/>
      <c r="L67" s="7" t="n"/>
      <c r="M67" s="7" t="n"/>
      <c r="N67" s="7" t="n"/>
      <c r="O67" s="7" t="n"/>
      <c r="P67" s="7" t="n"/>
      <c r="Q67" s="14" t="n"/>
      <c r="R67" s="7" t="n"/>
      <c r="S67" s="7" t="n"/>
      <c r="T67" s="7" t="n"/>
      <c r="U67" s="12">
        <f>IF(A67="","",IF(OR(J67="",L67=""),"建議補聯絡紀錄","") )</f>
        <v/>
      </c>
    </row>
    <row r="68" ht="24" customHeight="1">
      <c r="A68" s="7" t="n"/>
      <c r="B68" s="7" t="n"/>
      <c r="C68" s="12">
        <f>IF($A68="","",IFERROR(INDEX(土地清冊_匯入!$B$6:$B$1005,MATCH($A68,土地清冊_匯入!$A$6:$A$1005,0)),"查無資料"))</f>
        <v/>
      </c>
      <c r="D68" s="12">
        <f>IF($A68="","",IFERROR(INDEX(土地清冊_匯入!$P$6:$P$1005,MATCH($A68,土地清冊_匯入!$A$6:$A$1005,0)),""))</f>
        <v/>
      </c>
      <c r="E68" s="12">
        <f>IF($A68="","",IFERROR(INDEX(土地清冊_匯入!$Q$6:$Q$1005,MATCH($A68,土地清冊_匯入!$A$6:$A$1005,0)),""))</f>
        <v/>
      </c>
      <c r="F68" s="12">
        <f>IF($A68="","",IFERROR(INDEX(土地清冊_匯入!$R$6:$R$1005,MATCH($A68,土地清冊_匯入!$A$6:$A$1005,0)),""))</f>
        <v/>
      </c>
      <c r="G68" s="12">
        <f>IF($A68="","",IFERROR(INDEX(土地清冊_匯入!$S$6:$S$1005,MATCH($A68,土地清冊_匯入!$A$6:$A$1005,0)),""))</f>
        <v/>
      </c>
      <c r="H68" s="12">
        <f>IF($A68="","",IFERROR(INDEX(土地清冊_匯入!$T$6:$T$1005,MATCH($A68,土地清冊_匯入!$A$6:$A$1005,0)),""))</f>
        <v/>
      </c>
      <c r="I68" s="12">
        <f>IF($A68="","",IFERROR(INDEX(土地清冊_匯入!$V$6:$V$1005,MATCH($A68,土地清冊_匯入!$A$6:$A$1005,0)),""))</f>
        <v/>
      </c>
      <c r="J68" s="14" t="n"/>
      <c r="K68" s="7" t="n"/>
      <c r="L68" s="7" t="n"/>
      <c r="M68" s="7" t="n"/>
      <c r="N68" s="7" t="n"/>
      <c r="O68" s="7" t="n"/>
      <c r="P68" s="7" t="n"/>
      <c r="Q68" s="14" t="n"/>
      <c r="R68" s="7" t="n"/>
      <c r="S68" s="7" t="n"/>
      <c r="T68" s="7" t="n"/>
      <c r="U68" s="12">
        <f>IF(A68="","",IF(OR(J68="",L68=""),"建議補聯絡紀錄","") )</f>
        <v/>
      </c>
    </row>
    <row r="69" ht="24" customHeight="1">
      <c r="A69" s="7" t="n"/>
      <c r="B69" s="7" t="n"/>
      <c r="C69" s="12">
        <f>IF($A69="","",IFERROR(INDEX(土地清冊_匯入!$B$6:$B$1005,MATCH($A69,土地清冊_匯入!$A$6:$A$1005,0)),"查無資料"))</f>
        <v/>
      </c>
      <c r="D69" s="12">
        <f>IF($A69="","",IFERROR(INDEX(土地清冊_匯入!$P$6:$P$1005,MATCH($A69,土地清冊_匯入!$A$6:$A$1005,0)),""))</f>
        <v/>
      </c>
      <c r="E69" s="12">
        <f>IF($A69="","",IFERROR(INDEX(土地清冊_匯入!$Q$6:$Q$1005,MATCH($A69,土地清冊_匯入!$A$6:$A$1005,0)),""))</f>
        <v/>
      </c>
      <c r="F69" s="12">
        <f>IF($A69="","",IFERROR(INDEX(土地清冊_匯入!$R$6:$R$1005,MATCH($A69,土地清冊_匯入!$A$6:$A$1005,0)),""))</f>
        <v/>
      </c>
      <c r="G69" s="12">
        <f>IF($A69="","",IFERROR(INDEX(土地清冊_匯入!$S$6:$S$1005,MATCH($A69,土地清冊_匯入!$A$6:$A$1005,0)),""))</f>
        <v/>
      </c>
      <c r="H69" s="12">
        <f>IF($A69="","",IFERROR(INDEX(土地清冊_匯入!$T$6:$T$1005,MATCH($A69,土地清冊_匯入!$A$6:$A$1005,0)),""))</f>
        <v/>
      </c>
      <c r="I69" s="12">
        <f>IF($A69="","",IFERROR(INDEX(土地清冊_匯入!$V$6:$V$1005,MATCH($A69,土地清冊_匯入!$A$6:$A$1005,0)),""))</f>
        <v/>
      </c>
      <c r="J69" s="14" t="n"/>
      <c r="K69" s="7" t="n"/>
      <c r="L69" s="7" t="n"/>
      <c r="M69" s="7" t="n"/>
      <c r="N69" s="7" t="n"/>
      <c r="O69" s="7" t="n"/>
      <c r="P69" s="7" t="n"/>
      <c r="Q69" s="14" t="n"/>
      <c r="R69" s="7" t="n"/>
      <c r="S69" s="7" t="n"/>
      <c r="T69" s="7" t="n"/>
      <c r="U69" s="12">
        <f>IF(A69="","",IF(OR(J69="",L69=""),"建議補聯絡紀錄","") )</f>
        <v/>
      </c>
    </row>
    <row r="70" ht="24" customHeight="1">
      <c r="A70" s="7" t="n"/>
      <c r="B70" s="7" t="n"/>
      <c r="C70" s="12">
        <f>IF($A70="","",IFERROR(INDEX(土地清冊_匯入!$B$6:$B$1005,MATCH($A70,土地清冊_匯入!$A$6:$A$1005,0)),"查無資料"))</f>
        <v/>
      </c>
      <c r="D70" s="12">
        <f>IF($A70="","",IFERROR(INDEX(土地清冊_匯入!$P$6:$P$1005,MATCH($A70,土地清冊_匯入!$A$6:$A$1005,0)),""))</f>
        <v/>
      </c>
      <c r="E70" s="12">
        <f>IF($A70="","",IFERROR(INDEX(土地清冊_匯入!$Q$6:$Q$1005,MATCH($A70,土地清冊_匯入!$A$6:$A$1005,0)),""))</f>
        <v/>
      </c>
      <c r="F70" s="12">
        <f>IF($A70="","",IFERROR(INDEX(土地清冊_匯入!$R$6:$R$1005,MATCH($A70,土地清冊_匯入!$A$6:$A$1005,0)),""))</f>
        <v/>
      </c>
      <c r="G70" s="12">
        <f>IF($A70="","",IFERROR(INDEX(土地清冊_匯入!$S$6:$S$1005,MATCH($A70,土地清冊_匯入!$A$6:$A$1005,0)),""))</f>
        <v/>
      </c>
      <c r="H70" s="12">
        <f>IF($A70="","",IFERROR(INDEX(土地清冊_匯入!$T$6:$T$1005,MATCH($A70,土地清冊_匯入!$A$6:$A$1005,0)),""))</f>
        <v/>
      </c>
      <c r="I70" s="12">
        <f>IF($A70="","",IFERROR(INDEX(土地清冊_匯入!$V$6:$V$1005,MATCH($A70,土地清冊_匯入!$A$6:$A$1005,0)),""))</f>
        <v/>
      </c>
      <c r="J70" s="14" t="n"/>
      <c r="K70" s="7" t="n"/>
      <c r="L70" s="7" t="n"/>
      <c r="M70" s="7" t="n"/>
      <c r="N70" s="7" t="n"/>
      <c r="O70" s="7" t="n"/>
      <c r="P70" s="7" t="n"/>
      <c r="Q70" s="14" t="n"/>
      <c r="R70" s="7" t="n"/>
      <c r="S70" s="7" t="n"/>
      <c r="T70" s="7" t="n"/>
      <c r="U70" s="12">
        <f>IF(A70="","",IF(OR(J70="",L70=""),"建議補聯絡紀錄","") )</f>
        <v/>
      </c>
    </row>
    <row r="71" ht="24" customHeight="1">
      <c r="A71" s="7" t="n"/>
      <c r="B71" s="7" t="n"/>
      <c r="C71" s="12">
        <f>IF($A71="","",IFERROR(INDEX(土地清冊_匯入!$B$6:$B$1005,MATCH($A71,土地清冊_匯入!$A$6:$A$1005,0)),"查無資料"))</f>
        <v/>
      </c>
      <c r="D71" s="12">
        <f>IF($A71="","",IFERROR(INDEX(土地清冊_匯入!$P$6:$P$1005,MATCH($A71,土地清冊_匯入!$A$6:$A$1005,0)),""))</f>
        <v/>
      </c>
      <c r="E71" s="12">
        <f>IF($A71="","",IFERROR(INDEX(土地清冊_匯入!$Q$6:$Q$1005,MATCH($A71,土地清冊_匯入!$A$6:$A$1005,0)),""))</f>
        <v/>
      </c>
      <c r="F71" s="12">
        <f>IF($A71="","",IFERROR(INDEX(土地清冊_匯入!$R$6:$R$1005,MATCH($A71,土地清冊_匯入!$A$6:$A$1005,0)),""))</f>
        <v/>
      </c>
      <c r="G71" s="12">
        <f>IF($A71="","",IFERROR(INDEX(土地清冊_匯入!$S$6:$S$1005,MATCH($A71,土地清冊_匯入!$A$6:$A$1005,0)),""))</f>
        <v/>
      </c>
      <c r="H71" s="12">
        <f>IF($A71="","",IFERROR(INDEX(土地清冊_匯入!$T$6:$T$1005,MATCH($A71,土地清冊_匯入!$A$6:$A$1005,0)),""))</f>
        <v/>
      </c>
      <c r="I71" s="12">
        <f>IF($A71="","",IFERROR(INDEX(土地清冊_匯入!$V$6:$V$1005,MATCH($A71,土地清冊_匯入!$A$6:$A$1005,0)),""))</f>
        <v/>
      </c>
      <c r="J71" s="14" t="n"/>
      <c r="K71" s="7" t="n"/>
      <c r="L71" s="7" t="n"/>
      <c r="M71" s="7" t="n"/>
      <c r="N71" s="7" t="n"/>
      <c r="O71" s="7" t="n"/>
      <c r="P71" s="7" t="n"/>
      <c r="Q71" s="14" t="n"/>
      <c r="R71" s="7" t="n"/>
      <c r="S71" s="7" t="n"/>
      <c r="T71" s="7" t="n"/>
      <c r="U71" s="12">
        <f>IF(A71="","",IF(OR(J71="",L71=""),"建議補聯絡紀錄","") )</f>
        <v/>
      </c>
    </row>
    <row r="72" ht="24" customHeight="1">
      <c r="A72" s="7" t="n"/>
      <c r="B72" s="7" t="n"/>
      <c r="C72" s="12">
        <f>IF($A72="","",IFERROR(INDEX(土地清冊_匯入!$B$6:$B$1005,MATCH($A72,土地清冊_匯入!$A$6:$A$1005,0)),"查無資料"))</f>
        <v/>
      </c>
      <c r="D72" s="12">
        <f>IF($A72="","",IFERROR(INDEX(土地清冊_匯入!$P$6:$P$1005,MATCH($A72,土地清冊_匯入!$A$6:$A$1005,0)),""))</f>
        <v/>
      </c>
      <c r="E72" s="12">
        <f>IF($A72="","",IFERROR(INDEX(土地清冊_匯入!$Q$6:$Q$1005,MATCH($A72,土地清冊_匯入!$A$6:$A$1005,0)),""))</f>
        <v/>
      </c>
      <c r="F72" s="12">
        <f>IF($A72="","",IFERROR(INDEX(土地清冊_匯入!$R$6:$R$1005,MATCH($A72,土地清冊_匯入!$A$6:$A$1005,0)),""))</f>
        <v/>
      </c>
      <c r="G72" s="12">
        <f>IF($A72="","",IFERROR(INDEX(土地清冊_匯入!$S$6:$S$1005,MATCH($A72,土地清冊_匯入!$A$6:$A$1005,0)),""))</f>
        <v/>
      </c>
      <c r="H72" s="12">
        <f>IF($A72="","",IFERROR(INDEX(土地清冊_匯入!$T$6:$T$1005,MATCH($A72,土地清冊_匯入!$A$6:$A$1005,0)),""))</f>
        <v/>
      </c>
      <c r="I72" s="12">
        <f>IF($A72="","",IFERROR(INDEX(土地清冊_匯入!$V$6:$V$1005,MATCH($A72,土地清冊_匯入!$A$6:$A$1005,0)),""))</f>
        <v/>
      </c>
      <c r="J72" s="14" t="n"/>
      <c r="K72" s="7" t="n"/>
      <c r="L72" s="7" t="n"/>
      <c r="M72" s="7" t="n"/>
      <c r="N72" s="7" t="n"/>
      <c r="O72" s="7" t="n"/>
      <c r="P72" s="7" t="n"/>
      <c r="Q72" s="14" t="n"/>
      <c r="R72" s="7" t="n"/>
      <c r="S72" s="7" t="n"/>
      <c r="T72" s="7" t="n"/>
      <c r="U72" s="12">
        <f>IF(A72="","",IF(OR(J72="",L72=""),"建議補聯絡紀錄","") )</f>
        <v/>
      </c>
    </row>
    <row r="73" ht="24" customHeight="1">
      <c r="A73" s="7" t="n"/>
      <c r="B73" s="7" t="n"/>
      <c r="C73" s="12">
        <f>IF($A73="","",IFERROR(INDEX(土地清冊_匯入!$B$6:$B$1005,MATCH($A73,土地清冊_匯入!$A$6:$A$1005,0)),"查無資料"))</f>
        <v/>
      </c>
      <c r="D73" s="12">
        <f>IF($A73="","",IFERROR(INDEX(土地清冊_匯入!$P$6:$P$1005,MATCH($A73,土地清冊_匯入!$A$6:$A$1005,0)),""))</f>
        <v/>
      </c>
      <c r="E73" s="12">
        <f>IF($A73="","",IFERROR(INDEX(土地清冊_匯入!$Q$6:$Q$1005,MATCH($A73,土地清冊_匯入!$A$6:$A$1005,0)),""))</f>
        <v/>
      </c>
      <c r="F73" s="12">
        <f>IF($A73="","",IFERROR(INDEX(土地清冊_匯入!$R$6:$R$1005,MATCH($A73,土地清冊_匯入!$A$6:$A$1005,0)),""))</f>
        <v/>
      </c>
      <c r="G73" s="12">
        <f>IF($A73="","",IFERROR(INDEX(土地清冊_匯入!$S$6:$S$1005,MATCH($A73,土地清冊_匯入!$A$6:$A$1005,0)),""))</f>
        <v/>
      </c>
      <c r="H73" s="12">
        <f>IF($A73="","",IFERROR(INDEX(土地清冊_匯入!$T$6:$T$1005,MATCH($A73,土地清冊_匯入!$A$6:$A$1005,0)),""))</f>
        <v/>
      </c>
      <c r="I73" s="12">
        <f>IF($A73="","",IFERROR(INDEX(土地清冊_匯入!$V$6:$V$1005,MATCH($A73,土地清冊_匯入!$A$6:$A$1005,0)),""))</f>
        <v/>
      </c>
      <c r="J73" s="14" t="n"/>
      <c r="K73" s="7" t="n"/>
      <c r="L73" s="7" t="n"/>
      <c r="M73" s="7" t="n"/>
      <c r="N73" s="7" t="n"/>
      <c r="O73" s="7" t="n"/>
      <c r="P73" s="7" t="n"/>
      <c r="Q73" s="14" t="n"/>
      <c r="R73" s="7" t="n"/>
      <c r="S73" s="7" t="n"/>
      <c r="T73" s="7" t="n"/>
      <c r="U73" s="12">
        <f>IF(A73="","",IF(OR(J73="",L73=""),"建議補聯絡紀錄","") )</f>
        <v/>
      </c>
    </row>
    <row r="74" ht="24" customHeight="1">
      <c r="A74" s="7" t="n"/>
      <c r="B74" s="7" t="n"/>
      <c r="C74" s="12">
        <f>IF($A74="","",IFERROR(INDEX(土地清冊_匯入!$B$6:$B$1005,MATCH($A74,土地清冊_匯入!$A$6:$A$1005,0)),"查無資料"))</f>
        <v/>
      </c>
      <c r="D74" s="12">
        <f>IF($A74="","",IFERROR(INDEX(土地清冊_匯入!$P$6:$P$1005,MATCH($A74,土地清冊_匯入!$A$6:$A$1005,0)),""))</f>
        <v/>
      </c>
      <c r="E74" s="12">
        <f>IF($A74="","",IFERROR(INDEX(土地清冊_匯入!$Q$6:$Q$1005,MATCH($A74,土地清冊_匯入!$A$6:$A$1005,0)),""))</f>
        <v/>
      </c>
      <c r="F74" s="12">
        <f>IF($A74="","",IFERROR(INDEX(土地清冊_匯入!$R$6:$R$1005,MATCH($A74,土地清冊_匯入!$A$6:$A$1005,0)),""))</f>
        <v/>
      </c>
      <c r="G74" s="12">
        <f>IF($A74="","",IFERROR(INDEX(土地清冊_匯入!$S$6:$S$1005,MATCH($A74,土地清冊_匯入!$A$6:$A$1005,0)),""))</f>
        <v/>
      </c>
      <c r="H74" s="12">
        <f>IF($A74="","",IFERROR(INDEX(土地清冊_匯入!$T$6:$T$1005,MATCH($A74,土地清冊_匯入!$A$6:$A$1005,0)),""))</f>
        <v/>
      </c>
      <c r="I74" s="12">
        <f>IF($A74="","",IFERROR(INDEX(土地清冊_匯入!$V$6:$V$1005,MATCH($A74,土地清冊_匯入!$A$6:$A$1005,0)),""))</f>
        <v/>
      </c>
      <c r="J74" s="14" t="n"/>
      <c r="K74" s="7" t="n"/>
      <c r="L74" s="7" t="n"/>
      <c r="M74" s="7" t="n"/>
      <c r="N74" s="7" t="n"/>
      <c r="O74" s="7" t="n"/>
      <c r="P74" s="7" t="n"/>
      <c r="Q74" s="14" t="n"/>
      <c r="R74" s="7" t="n"/>
      <c r="S74" s="7" t="n"/>
      <c r="T74" s="7" t="n"/>
      <c r="U74" s="12">
        <f>IF(A74="","",IF(OR(J74="",L74=""),"建議補聯絡紀錄","") )</f>
        <v/>
      </c>
    </row>
    <row r="75" ht="24" customHeight="1">
      <c r="A75" s="7" t="n"/>
      <c r="B75" s="7" t="n"/>
      <c r="C75" s="12">
        <f>IF($A75="","",IFERROR(INDEX(土地清冊_匯入!$B$6:$B$1005,MATCH($A75,土地清冊_匯入!$A$6:$A$1005,0)),"查無資料"))</f>
        <v/>
      </c>
      <c r="D75" s="12">
        <f>IF($A75="","",IFERROR(INDEX(土地清冊_匯入!$P$6:$P$1005,MATCH($A75,土地清冊_匯入!$A$6:$A$1005,0)),""))</f>
        <v/>
      </c>
      <c r="E75" s="12">
        <f>IF($A75="","",IFERROR(INDEX(土地清冊_匯入!$Q$6:$Q$1005,MATCH($A75,土地清冊_匯入!$A$6:$A$1005,0)),""))</f>
        <v/>
      </c>
      <c r="F75" s="12">
        <f>IF($A75="","",IFERROR(INDEX(土地清冊_匯入!$R$6:$R$1005,MATCH($A75,土地清冊_匯入!$A$6:$A$1005,0)),""))</f>
        <v/>
      </c>
      <c r="G75" s="12">
        <f>IF($A75="","",IFERROR(INDEX(土地清冊_匯入!$S$6:$S$1005,MATCH($A75,土地清冊_匯入!$A$6:$A$1005,0)),""))</f>
        <v/>
      </c>
      <c r="H75" s="12">
        <f>IF($A75="","",IFERROR(INDEX(土地清冊_匯入!$T$6:$T$1005,MATCH($A75,土地清冊_匯入!$A$6:$A$1005,0)),""))</f>
        <v/>
      </c>
      <c r="I75" s="12">
        <f>IF($A75="","",IFERROR(INDEX(土地清冊_匯入!$V$6:$V$1005,MATCH($A75,土地清冊_匯入!$A$6:$A$1005,0)),""))</f>
        <v/>
      </c>
      <c r="J75" s="14" t="n"/>
      <c r="K75" s="7" t="n"/>
      <c r="L75" s="7" t="n"/>
      <c r="M75" s="7" t="n"/>
      <c r="N75" s="7" t="n"/>
      <c r="O75" s="7" t="n"/>
      <c r="P75" s="7" t="n"/>
      <c r="Q75" s="14" t="n"/>
      <c r="R75" s="7" t="n"/>
      <c r="S75" s="7" t="n"/>
      <c r="T75" s="7" t="n"/>
      <c r="U75" s="12">
        <f>IF(A75="","",IF(OR(J75="",L75=""),"建議補聯絡紀錄","") )</f>
        <v/>
      </c>
    </row>
    <row r="76" ht="24" customHeight="1">
      <c r="A76" s="7" t="n"/>
      <c r="B76" s="7" t="n"/>
      <c r="C76" s="12">
        <f>IF($A76="","",IFERROR(INDEX(土地清冊_匯入!$B$6:$B$1005,MATCH($A76,土地清冊_匯入!$A$6:$A$1005,0)),"查無資料"))</f>
        <v/>
      </c>
      <c r="D76" s="12">
        <f>IF($A76="","",IFERROR(INDEX(土地清冊_匯入!$P$6:$P$1005,MATCH($A76,土地清冊_匯入!$A$6:$A$1005,0)),""))</f>
        <v/>
      </c>
      <c r="E76" s="12">
        <f>IF($A76="","",IFERROR(INDEX(土地清冊_匯入!$Q$6:$Q$1005,MATCH($A76,土地清冊_匯入!$A$6:$A$1005,0)),""))</f>
        <v/>
      </c>
      <c r="F76" s="12">
        <f>IF($A76="","",IFERROR(INDEX(土地清冊_匯入!$R$6:$R$1005,MATCH($A76,土地清冊_匯入!$A$6:$A$1005,0)),""))</f>
        <v/>
      </c>
      <c r="G76" s="12">
        <f>IF($A76="","",IFERROR(INDEX(土地清冊_匯入!$S$6:$S$1005,MATCH($A76,土地清冊_匯入!$A$6:$A$1005,0)),""))</f>
        <v/>
      </c>
      <c r="H76" s="12">
        <f>IF($A76="","",IFERROR(INDEX(土地清冊_匯入!$T$6:$T$1005,MATCH($A76,土地清冊_匯入!$A$6:$A$1005,0)),""))</f>
        <v/>
      </c>
      <c r="I76" s="12">
        <f>IF($A76="","",IFERROR(INDEX(土地清冊_匯入!$V$6:$V$1005,MATCH($A76,土地清冊_匯入!$A$6:$A$1005,0)),""))</f>
        <v/>
      </c>
      <c r="J76" s="14" t="n"/>
      <c r="K76" s="7" t="n"/>
      <c r="L76" s="7" t="n"/>
      <c r="M76" s="7" t="n"/>
      <c r="N76" s="7" t="n"/>
      <c r="O76" s="7" t="n"/>
      <c r="P76" s="7" t="n"/>
      <c r="Q76" s="14" t="n"/>
      <c r="R76" s="7" t="n"/>
      <c r="S76" s="7" t="n"/>
      <c r="T76" s="7" t="n"/>
      <c r="U76" s="12">
        <f>IF(A76="","",IF(OR(J76="",L76=""),"建議補聯絡紀錄","") )</f>
        <v/>
      </c>
    </row>
    <row r="77" ht="24" customHeight="1">
      <c r="A77" s="7" t="n"/>
      <c r="B77" s="7" t="n"/>
      <c r="C77" s="12">
        <f>IF($A77="","",IFERROR(INDEX(土地清冊_匯入!$B$6:$B$1005,MATCH($A77,土地清冊_匯入!$A$6:$A$1005,0)),"查無資料"))</f>
        <v/>
      </c>
      <c r="D77" s="12">
        <f>IF($A77="","",IFERROR(INDEX(土地清冊_匯入!$P$6:$P$1005,MATCH($A77,土地清冊_匯入!$A$6:$A$1005,0)),""))</f>
        <v/>
      </c>
      <c r="E77" s="12">
        <f>IF($A77="","",IFERROR(INDEX(土地清冊_匯入!$Q$6:$Q$1005,MATCH($A77,土地清冊_匯入!$A$6:$A$1005,0)),""))</f>
        <v/>
      </c>
      <c r="F77" s="12">
        <f>IF($A77="","",IFERROR(INDEX(土地清冊_匯入!$R$6:$R$1005,MATCH($A77,土地清冊_匯入!$A$6:$A$1005,0)),""))</f>
        <v/>
      </c>
      <c r="G77" s="12">
        <f>IF($A77="","",IFERROR(INDEX(土地清冊_匯入!$S$6:$S$1005,MATCH($A77,土地清冊_匯入!$A$6:$A$1005,0)),""))</f>
        <v/>
      </c>
      <c r="H77" s="12">
        <f>IF($A77="","",IFERROR(INDEX(土地清冊_匯入!$T$6:$T$1005,MATCH($A77,土地清冊_匯入!$A$6:$A$1005,0)),""))</f>
        <v/>
      </c>
      <c r="I77" s="12">
        <f>IF($A77="","",IFERROR(INDEX(土地清冊_匯入!$V$6:$V$1005,MATCH($A77,土地清冊_匯入!$A$6:$A$1005,0)),""))</f>
        <v/>
      </c>
      <c r="J77" s="14" t="n"/>
      <c r="K77" s="7" t="n"/>
      <c r="L77" s="7" t="n"/>
      <c r="M77" s="7" t="n"/>
      <c r="N77" s="7" t="n"/>
      <c r="O77" s="7" t="n"/>
      <c r="P77" s="7" t="n"/>
      <c r="Q77" s="14" t="n"/>
      <c r="R77" s="7" t="n"/>
      <c r="S77" s="7" t="n"/>
      <c r="T77" s="7" t="n"/>
      <c r="U77" s="12">
        <f>IF(A77="","",IF(OR(J77="",L77=""),"建議補聯絡紀錄","") )</f>
        <v/>
      </c>
    </row>
    <row r="78" ht="24" customHeight="1">
      <c r="A78" s="7" t="n"/>
      <c r="B78" s="7" t="n"/>
      <c r="C78" s="12">
        <f>IF($A78="","",IFERROR(INDEX(土地清冊_匯入!$B$6:$B$1005,MATCH($A78,土地清冊_匯入!$A$6:$A$1005,0)),"查無資料"))</f>
        <v/>
      </c>
      <c r="D78" s="12">
        <f>IF($A78="","",IFERROR(INDEX(土地清冊_匯入!$P$6:$P$1005,MATCH($A78,土地清冊_匯入!$A$6:$A$1005,0)),""))</f>
        <v/>
      </c>
      <c r="E78" s="12">
        <f>IF($A78="","",IFERROR(INDEX(土地清冊_匯入!$Q$6:$Q$1005,MATCH($A78,土地清冊_匯入!$A$6:$A$1005,0)),""))</f>
        <v/>
      </c>
      <c r="F78" s="12">
        <f>IF($A78="","",IFERROR(INDEX(土地清冊_匯入!$R$6:$R$1005,MATCH($A78,土地清冊_匯入!$A$6:$A$1005,0)),""))</f>
        <v/>
      </c>
      <c r="G78" s="12">
        <f>IF($A78="","",IFERROR(INDEX(土地清冊_匯入!$S$6:$S$1005,MATCH($A78,土地清冊_匯入!$A$6:$A$1005,0)),""))</f>
        <v/>
      </c>
      <c r="H78" s="12">
        <f>IF($A78="","",IFERROR(INDEX(土地清冊_匯入!$T$6:$T$1005,MATCH($A78,土地清冊_匯入!$A$6:$A$1005,0)),""))</f>
        <v/>
      </c>
      <c r="I78" s="12">
        <f>IF($A78="","",IFERROR(INDEX(土地清冊_匯入!$V$6:$V$1005,MATCH($A78,土地清冊_匯入!$A$6:$A$1005,0)),""))</f>
        <v/>
      </c>
      <c r="J78" s="14" t="n"/>
      <c r="K78" s="7" t="n"/>
      <c r="L78" s="7" t="n"/>
      <c r="M78" s="7" t="n"/>
      <c r="N78" s="7" t="n"/>
      <c r="O78" s="7" t="n"/>
      <c r="P78" s="7" t="n"/>
      <c r="Q78" s="14" t="n"/>
      <c r="R78" s="7" t="n"/>
      <c r="S78" s="7" t="n"/>
      <c r="T78" s="7" t="n"/>
      <c r="U78" s="12">
        <f>IF(A78="","",IF(OR(J78="",L78=""),"建議補聯絡紀錄","") )</f>
        <v/>
      </c>
    </row>
    <row r="79" ht="24" customHeight="1">
      <c r="A79" s="7" t="n"/>
      <c r="B79" s="7" t="n"/>
      <c r="C79" s="12">
        <f>IF($A79="","",IFERROR(INDEX(土地清冊_匯入!$B$6:$B$1005,MATCH($A79,土地清冊_匯入!$A$6:$A$1005,0)),"查無資料"))</f>
        <v/>
      </c>
      <c r="D79" s="12">
        <f>IF($A79="","",IFERROR(INDEX(土地清冊_匯入!$P$6:$P$1005,MATCH($A79,土地清冊_匯入!$A$6:$A$1005,0)),""))</f>
        <v/>
      </c>
      <c r="E79" s="12">
        <f>IF($A79="","",IFERROR(INDEX(土地清冊_匯入!$Q$6:$Q$1005,MATCH($A79,土地清冊_匯入!$A$6:$A$1005,0)),""))</f>
        <v/>
      </c>
      <c r="F79" s="12">
        <f>IF($A79="","",IFERROR(INDEX(土地清冊_匯入!$R$6:$R$1005,MATCH($A79,土地清冊_匯入!$A$6:$A$1005,0)),""))</f>
        <v/>
      </c>
      <c r="G79" s="12">
        <f>IF($A79="","",IFERROR(INDEX(土地清冊_匯入!$S$6:$S$1005,MATCH($A79,土地清冊_匯入!$A$6:$A$1005,0)),""))</f>
        <v/>
      </c>
      <c r="H79" s="12">
        <f>IF($A79="","",IFERROR(INDEX(土地清冊_匯入!$T$6:$T$1005,MATCH($A79,土地清冊_匯入!$A$6:$A$1005,0)),""))</f>
        <v/>
      </c>
      <c r="I79" s="12">
        <f>IF($A79="","",IFERROR(INDEX(土地清冊_匯入!$V$6:$V$1005,MATCH($A79,土地清冊_匯入!$A$6:$A$1005,0)),""))</f>
        <v/>
      </c>
      <c r="J79" s="14" t="n"/>
      <c r="K79" s="7" t="n"/>
      <c r="L79" s="7" t="n"/>
      <c r="M79" s="7" t="n"/>
      <c r="N79" s="7" t="n"/>
      <c r="O79" s="7" t="n"/>
      <c r="P79" s="7" t="n"/>
      <c r="Q79" s="14" t="n"/>
      <c r="R79" s="7" t="n"/>
      <c r="S79" s="7" t="n"/>
      <c r="T79" s="7" t="n"/>
      <c r="U79" s="12">
        <f>IF(A79="","",IF(OR(J79="",L79=""),"建議補聯絡紀錄","") )</f>
        <v/>
      </c>
    </row>
    <row r="80" ht="24" customHeight="1">
      <c r="A80" s="7" t="n"/>
      <c r="B80" s="7" t="n"/>
      <c r="C80" s="12">
        <f>IF($A80="","",IFERROR(INDEX(土地清冊_匯入!$B$6:$B$1005,MATCH($A80,土地清冊_匯入!$A$6:$A$1005,0)),"查無資料"))</f>
        <v/>
      </c>
      <c r="D80" s="12">
        <f>IF($A80="","",IFERROR(INDEX(土地清冊_匯入!$P$6:$P$1005,MATCH($A80,土地清冊_匯入!$A$6:$A$1005,0)),""))</f>
        <v/>
      </c>
      <c r="E80" s="12">
        <f>IF($A80="","",IFERROR(INDEX(土地清冊_匯入!$Q$6:$Q$1005,MATCH($A80,土地清冊_匯入!$A$6:$A$1005,0)),""))</f>
        <v/>
      </c>
      <c r="F80" s="12">
        <f>IF($A80="","",IFERROR(INDEX(土地清冊_匯入!$R$6:$R$1005,MATCH($A80,土地清冊_匯入!$A$6:$A$1005,0)),""))</f>
        <v/>
      </c>
      <c r="G80" s="12">
        <f>IF($A80="","",IFERROR(INDEX(土地清冊_匯入!$S$6:$S$1005,MATCH($A80,土地清冊_匯入!$A$6:$A$1005,0)),""))</f>
        <v/>
      </c>
      <c r="H80" s="12">
        <f>IF($A80="","",IFERROR(INDEX(土地清冊_匯入!$T$6:$T$1005,MATCH($A80,土地清冊_匯入!$A$6:$A$1005,0)),""))</f>
        <v/>
      </c>
      <c r="I80" s="12">
        <f>IF($A80="","",IFERROR(INDEX(土地清冊_匯入!$V$6:$V$1005,MATCH($A80,土地清冊_匯入!$A$6:$A$1005,0)),""))</f>
        <v/>
      </c>
      <c r="J80" s="14" t="n"/>
      <c r="K80" s="7" t="n"/>
      <c r="L80" s="7" t="n"/>
      <c r="M80" s="7" t="n"/>
      <c r="N80" s="7" t="n"/>
      <c r="O80" s="7" t="n"/>
      <c r="P80" s="7" t="n"/>
      <c r="Q80" s="14" t="n"/>
      <c r="R80" s="7" t="n"/>
      <c r="S80" s="7" t="n"/>
      <c r="T80" s="7" t="n"/>
      <c r="U80" s="12">
        <f>IF(A80="","",IF(OR(J80="",L80=""),"建議補聯絡紀錄","") )</f>
        <v/>
      </c>
    </row>
    <row r="81" ht="24" customHeight="1">
      <c r="A81" s="7" t="n"/>
      <c r="B81" s="7" t="n"/>
      <c r="C81" s="12">
        <f>IF($A81="","",IFERROR(INDEX(土地清冊_匯入!$B$6:$B$1005,MATCH($A81,土地清冊_匯入!$A$6:$A$1005,0)),"查無資料"))</f>
        <v/>
      </c>
      <c r="D81" s="12">
        <f>IF($A81="","",IFERROR(INDEX(土地清冊_匯入!$P$6:$P$1005,MATCH($A81,土地清冊_匯入!$A$6:$A$1005,0)),""))</f>
        <v/>
      </c>
      <c r="E81" s="12">
        <f>IF($A81="","",IFERROR(INDEX(土地清冊_匯入!$Q$6:$Q$1005,MATCH($A81,土地清冊_匯入!$A$6:$A$1005,0)),""))</f>
        <v/>
      </c>
      <c r="F81" s="12">
        <f>IF($A81="","",IFERROR(INDEX(土地清冊_匯入!$R$6:$R$1005,MATCH($A81,土地清冊_匯入!$A$6:$A$1005,0)),""))</f>
        <v/>
      </c>
      <c r="G81" s="12">
        <f>IF($A81="","",IFERROR(INDEX(土地清冊_匯入!$S$6:$S$1005,MATCH($A81,土地清冊_匯入!$A$6:$A$1005,0)),""))</f>
        <v/>
      </c>
      <c r="H81" s="12">
        <f>IF($A81="","",IFERROR(INDEX(土地清冊_匯入!$T$6:$T$1005,MATCH($A81,土地清冊_匯入!$A$6:$A$1005,0)),""))</f>
        <v/>
      </c>
      <c r="I81" s="12">
        <f>IF($A81="","",IFERROR(INDEX(土地清冊_匯入!$V$6:$V$1005,MATCH($A81,土地清冊_匯入!$A$6:$A$1005,0)),""))</f>
        <v/>
      </c>
      <c r="J81" s="14" t="n"/>
      <c r="K81" s="7" t="n"/>
      <c r="L81" s="7" t="n"/>
      <c r="M81" s="7" t="n"/>
      <c r="N81" s="7" t="n"/>
      <c r="O81" s="7" t="n"/>
      <c r="P81" s="7" t="n"/>
      <c r="Q81" s="14" t="n"/>
      <c r="R81" s="7" t="n"/>
      <c r="S81" s="7" t="n"/>
      <c r="T81" s="7" t="n"/>
      <c r="U81" s="12">
        <f>IF(A81="","",IF(OR(J81="",L81=""),"建議補聯絡紀錄","") )</f>
        <v/>
      </c>
    </row>
    <row r="82" ht="24" customHeight="1">
      <c r="A82" s="7" t="n"/>
      <c r="B82" s="7" t="n"/>
      <c r="C82" s="12">
        <f>IF($A82="","",IFERROR(INDEX(土地清冊_匯入!$B$6:$B$1005,MATCH($A82,土地清冊_匯入!$A$6:$A$1005,0)),"查無資料"))</f>
        <v/>
      </c>
      <c r="D82" s="12">
        <f>IF($A82="","",IFERROR(INDEX(土地清冊_匯入!$P$6:$P$1005,MATCH($A82,土地清冊_匯入!$A$6:$A$1005,0)),""))</f>
        <v/>
      </c>
      <c r="E82" s="12">
        <f>IF($A82="","",IFERROR(INDEX(土地清冊_匯入!$Q$6:$Q$1005,MATCH($A82,土地清冊_匯入!$A$6:$A$1005,0)),""))</f>
        <v/>
      </c>
      <c r="F82" s="12">
        <f>IF($A82="","",IFERROR(INDEX(土地清冊_匯入!$R$6:$R$1005,MATCH($A82,土地清冊_匯入!$A$6:$A$1005,0)),""))</f>
        <v/>
      </c>
      <c r="G82" s="12">
        <f>IF($A82="","",IFERROR(INDEX(土地清冊_匯入!$S$6:$S$1005,MATCH($A82,土地清冊_匯入!$A$6:$A$1005,0)),""))</f>
        <v/>
      </c>
      <c r="H82" s="12">
        <f>IF($A82="","",IFERROR(INDEX(土地清冊_匯入!$T$6:$T$1005,MATCH($A82,土地清冊_匯入!$A$6:$A$1005,0)),""))</f>
        <v/>
      </c>
      <c r="I82" s="12">
        <f>IF($A82="","",IFERROR(INDEX(土地清冊_匯入!$V$6:$V$1005,MATCH($A82,土地清冊_匯入!$A$6:$A$1005,0)),""))</f>
        <v/>
      </c>
      <c r="J82" s="14" t="n"/>
      <c r="K82" s="7" t="n"/>
      <c r="L82" s="7" t="n"/>
      <c r="M82" s="7" t="n"/>
      <c r="N82" s="7" t="n"/>
      <c r="O82" s="7" t="n"/>
      <c r="P82" s="7" t="n"/>
      <c r="Q82" s="14" t="n"/>
      <c r="R82" s="7" t="n"/>
      <c r="S82" s="7" t="n"/>
      <c r="T82" s="7" t="n"/>
      <c r="U82" s="12">
        <f>IF(A82="","",IF(OR(J82="",L82=""),"建議補聯絡紀錄","") )</f>
        <v/>
      </c>
    </row>
    <row r="83" ht="24" customHeight="1">
      <c r="A83" s="7" t="n"/>
      <c r="B83" s="7" t="n"/>
      <c r="C83" s="12">
        <f>IF($A83="","",IFERROR(INDEX(土地清冊_匯入!$B$6:$B$1005,MATCH($A83,土地清冊_匯入!$A$6:$A$1005,0)),"查無資料"))</f>
        <v/>
      </c>
      <c r="D83" s="12">
        <f>IF($A83="","",IFERROR(INDEX(土地清冊_匯入!$P$6:$P$1005,MATCH($A83,土地清冊_匯入!$A$6:$A$1005,0)),""))</f>
        <v/>
      </c>
      <c r="E83" s="12">
        <f>IF($A83="","",IFERROR(INDEX(土地清冊_匯入!$Q$6:$Q$1005,MATCH($A83,土地清冊_匯入!$A$6:$A$1005,0)),""))</f>
        <v/>
      </c>
      <c r="F83" s="12">
        <f>IF($A83="","",IFERROR(INDEX(土地清冊_匯入!$R$6:$R$1005,MATCH($A83,土地清冊_匯入!$A$6:$A$1005,0)),""))</f>
        <v/>
      </c>
      <c r="G83" s="12">
        <f>IF($A83="","",IFERROR(INDEX(土地清冊_匯入!$S$6:$S$1005,MATCH($A83,土地清冊_匯入!$A$6:$A$1005,0)),""))</f>
        <v/>
      </c>
      <c r="H83" s="12">
        <f>IF($A83="","",IFERROR(INDEX(土地清冊_匯入!$T$6:$T$1005,MATCH($A83,土地清冊_匯入!$A$6:$A$1005,0)),""))</f>
        <v/>
      </c>
      <c r="I83" s="12">
        <f>IF($A83="","",IFERROR(INDEX(土地清冊_匯入!$V$6:$V$1005,MATCH($A83,土地清冊_匯入!$A$6:$A$1005,0)),""))</f>
        <v/>
      </c>
      <c r="J83" s="14" t="n"/>
      <c r="K83" s="7" t="n"/>
      <c r="L83" s="7" t="n"/>
      <c r="M83" s="7" t="n"/>
      <c r="N83" s="7" t="n"/>
      <c r="O83" s="7" t="n"/>
      <c r="P83" s="7" t="n"/>
      <c r="Q83" s="14" t="n"/>
      <c r="R83" s="7" t="n"/>
      <c r="S83" s="7" t="n"/>
      <c r="T83" s="7" t="n"/>
      <c r="U83" s="12">
        <f>IF(A83="","",IF(OR(J83="",L83=""),"建議補聯絡紀錄","") )</f>
        <v/>
      </c>
    </row>
    <row r="84" ht="24" customHeight="1">
      <c r="A84" s="7" t="n"/>
      <c r="B84" s="7" t="n"/>
      <c r="C84" s="12">
        <f>IF($A84="","",IFERROR(INDEX(土地清冊_匯入!$B$6:$B$1005,MATCH($A84,土地清冊_匯入!$A$6:$A$1005,0)),"查無資料"))</f>
        <v/>
      </c>
      <c r="D84" s="12">
        <f>IF($A84="","",IFERROR(INDEX(土地清冊_匯入!$P$6:$P$1005,MATCH($A84,土地清冊_匯入!$A$6:$A$1005,0)),""))</f>
        <v/>
      </c>
      <c r="E84" s="12">
        <f>IF($A84="","",IFERROR(INDEX(土地清冊_匯入!$Q$6:$Q$1005,MATCH($A84,土地清冊_匯入!$A$6:$A$1005,0)),""))</f>
        <v/>
      </c>
      <c r="F84" s="12">
        <f>IF($A84="","",IFERROR(INDEX(土地清冊_匯入!$R$6:$R$1005,MATCH($A84,土地清冊_匯入!$A$6:$A$1005,0)),""))</f>
        <v/>
      </c>
      <c r="G84" s="12">
        <f>IF($A84="","",IFERROR(INDEX(土地清冊_匯入!$S$6:$S$1005,MATCH($A84,土地清冊_匯入!$A$6:$A$1005,0)),""))</f>
        <v/>
      </c>
      <c r="H84" s="12">
        <f>IF($A84="","",IFERROR(INDEX(土地清冊_匯入!$T$6:$T$1005,MATCH($A84,土地清冊_匯入!$A$6:$A$1005,0)),""))</f>
        <v/>
      </c>
      <c r="I84" s="12">
        <f>IF($A84="","",IFERROR(INDEX(土地清冊_匯入!$V$6:$V$1005,MATCH($A84,土地清冊_匯入!$A$6:$A$1005,0)),""))</f>
        <v/>
      </c>
      <c r="J84" s="14" t="n"/>
      <c r="K84" s="7" t="n"/>
      <c r="L84" s="7" t="n"/>
      <c r="M84" s="7" t="n"/>
      <c r="N84" s="7" t="n"/>
      <c r="O84" s="7" t="n"/>
      <c r="P84" s="7" t="n"/>
      <c r="Q84" s="14" t="n"/>
      <c r="R84" s="7" t="n"/>
      <c r="S84" s="7" t="n"/>
      <c r="T84" s="7" t="n"/>
      <c r="U84" s="12">
        <f>IF(A84="","",IF(OR(J84="",L84=""),"建議補聯絡紀錄","") )</f>
        <v/>
      </c>
    </row>
    <row r="85" ht="24" customHeight="1">
      <c r="A85" s="7" t="n"/>
      <c r="B85" s="7" t="n"/>
      <c r="C85" s="12">
        <f>IF($A85="","",IFERROR(INDEX(土地清冊_匯入!$B$6:$B$1005,MATCH($A85,土地清冊_匯入!$A$6:$A$1005,0)),"查無資料"))</f>
        <v/>
      </c>
      <c r="D85" s="12">
        <f>IF($A85="","",IFERROR(INDEX(土地清冊_匯入!$P$6:$P$1005,MATCH($A85,土地清冊_匯入!$A$6:$A$1005,0)),""))</f>
        <v/>
      </c>
      <c r="E85" s="12">
        <f>IF($A85="","",IFERROR(INDEX(土地清冊_匯入!$Q$6:$Q$1005,MATCH($A85,土地清冊_匯入!$A$6:$A$1005,0)),""))</f>
        <v/>
      </c>
      <c r="F85" s="12">
        <f>IF($A85="","",IFERROR(INDEX(土地清冊_匯入!$R$6:$R$1005,MATCH($A85,土地清冊_匯入!$A$6:$A$1005,0)),""))</f>
        <v/>
      </c>
      <c r="G85" s="12">
        <f>IF($A85="","",IFERROR(INDEX(土地清冊_匯入!$S$6:$S$1005,MATCH($A85,土地清冊_匯入!$A$6:$A$1005,0)),""))</f>
        <v/>
      </c>
      <c r="H85" s="12">
        <f>IF($A85="","",IFERROR(INDEX(土地清冊_匯入!$T$6:$T$1005,MATCH($A85,土地清冊_匯入!$A$6:$A$1005,0)),""))</f>
        <v/>
      </c>
      <c r="I85" s="12">
        <f>IF($A85="","",IFERROR(INDEX(土地清冊_匯入!$V$6:$V$1005,MATCH($A85,土地清冊_匯入!$A$6:$A$1005,0)),""))</f>
        <v/>
      </c>
      <c r="J85" s="14" t="n"/>
      <c r="K85" s="7" t="n"/>
      <c r="L85" s="7" t="n"/>
      <c r="M85" s="7" t="n"/>
      <c r="N85" s="7" t="n"/>
      <c r="O85" s="7" t="n"/>
      <c r="P85" s="7" t="n"/>
      <c r="Q85" s="14" t="n"/>
      <c r="R85" s="7" t="n"/>
      <c r="S85" s="7" t="n"/>
      <c r="T85" s="7" t="n"/>
      <c r="U85" s="12">
        <f>IF(A85="","",IF(OR(J85="",L85=""),"建議補聯絡紀錄","") )</f>
        <v/>
      </c>
    </row>
    <row r="86" ht="24" customHeight="1">
      <c r="A86" s="7" t="n"/>
      <c r="B86" s="7" t="n"/>
      <c r="C86" s="12">
        <f>IF($A86="","",IFERROR(INDEX(土地清冊_匯入!$B$6:$B$1005,MATCH($A86,土地清冊_匯入!$A$6:$A$1005,0)),"查無資料"))</f>
        <v/>
      </c>
      <c r="D86" s="12">
        <f>IF($A86="","",IFERROR(INDEX(土地清冊_匯入!$P$6:$P$1005,MATCH($A86,土地清冊_匯入!$A$6:$A$1005,0)),""))</f>
        <v/>
      </c>
      <c r="E86" s="12">
        <f>IF($A86="","",IFERROR(INDEX(土地清冊_匯入!$Q$6:$Q$1005,MATCH($A86,土地清冊_匯入!$A$6:$A$1005,0)),""))</f>
        <v/>
      </c>
      <c r="F86" s="12">
        <f>IF($A86="","",IFERROR(INDEX(土地清冊_匯入!$R$6:$R$1005,MATCH($A86,土地清冊_匯入!$A$6:$A$1005,0)),""))</f>
        <v/>
      </c>
      <c r="G86" s="12">
        <f>IF($A86="","",IFERROR(INDEX(土地清冊_匯入!$S$6:$S$1005,MATCH($A86,土地清冊_匯入!$A$6:$A$1005,0)),""))</f>
        <v/>
      </c>
      <c r="H86" s="12">
        <f>IF($A86="","",IFERROR(INDEX(土地清冊_匯入!$T$6:$T$1005,MATCH($A86,土地清冊_匯入!$A$6:$A$1005,0)),""))</f>
        <v/>
      </c>
      <c r="I86" s="12">
        <f>IF($A86="","",IFERROR(INDEX(土地清冊_匯入!$V$6:$V$1005,MATCH($A86,土地清冊_匯入!$A$6:$A$1005,0)),""))</f>
        <v/>
      </c>
      <c r="J86" s="14" t="n"/>
      <c r="K86" s="7" t="n"/>
      <c r="L86" s="7" t="n"/>
      <c r="M86" s="7" t="n"/>
      <c r="N86" s="7" t="n"/>
      <c r="O86" s="7" t="n"/>
      <c r="P86" s="7" t="n"/>
      <c r="Q86" s="14" t="n"/>
      <c r="R86" s="7" t="n"/>
      <c r="S86" s="7" t="n"/>
      <c r="T86" s="7" t="n"/>
      <c r="U86" s="12">
        <f>IF(A86="","",IF(OR(J86="",L86=""),"建議補聯絡紀錄","") )</f>
        <v/>
      </c>
    </row>
    <row r="87" ht="24" customHeight="1">
      <c r="A87" s="7" t="n"/>
      <c r="B87" s="7" t="n"/>
      <c r="C87" s="12">
        <f>IF($A87="","",IFERROR(INDEX(土地清冊_匯入!$B$6:$B$1005,MATCH($A87,土地清冊_匯入!$A$6:$A$1005,0)),"查無資料"))</f>
        <v/>
      </c>
      <c r="D87" s="12">
        <f>IF($A87="","",IFERROR(INDEX(土地清冊_匯入!$P$6:$P$1005,MATCH($A87,土地清冊_匯入!$A$6:$A$1005,0)),""))</f>
        <v/>
      </c>
      <c r="E87" s="12">
        <f>IF($A87="","",IFERROR(INDEX(土地清冊_匯入!$Q$6:$Q$1005,MATCH($A87,土地清冊_匯入!$A$6:$A$1005,0)),""))</f>
        <v/>
      </c>
      <c r="F87" s="12">
        <f>IF($A87="","",IFERROR(INDEX(土地清冊_匯入!$R$6:$R$1005,MATCH($A87,土地清冊_匯入!$A$6:$A$1005,0)),""))</f>
        <v/>
      </c>
      <c r="G87" s="12">
        <f>IF($A87="","",IFERROR(INDEX(土地清冊_匯入!$S$6:$S$1005,MATCH($A87,土地清冊_匯入!$A$6:$A$1005,0)),""))</f>
        <v/>
      </c>
      <c r="H87" s="12">
        <f>IF($A87="","",IFERROR(INDEX(土地清冊_匯入!$T$6:$T$1005,MATCH($A87,土地清冊_匯入!$A$6:$A$1005,0)),""))</f>
        <v/>
      </c>
      <c r="I87" s="12">
        <f>IF($A87="","",IFERROR(INDEX(土地清冊_匯入!$V$6:$V$1005,MATCH($A87,土地清冊_匯入!$A$6:$A$1005,0)),""))</f>
        <v/>
      </c>
      <c r="J87" s="14" t="n"/>
      <c r="K87" s="7" t="n"/>
      <c r="L87" s="7" t="n"/>
      <c r="M87" s="7" t="n"/>
      <c r="N87" s="7" t="n"/>
      <c r="O87" s="7" t="n"/>
      <c r="P87" s="7" t="n"/>
      <c r="Q87" s="14" t="n"/>
      <c r="R87" s="7" t="n"/>
      <c r="S87" s="7" t="n"/>
      <c r="T87" s="7" t="n"/>
      <c r="U87" s="12">
        <f>IF(A87="","",IF(OR(J87="",L87=""),"建議補聯絡紀錄","") )</f>
        <v/>
      </c>
    </row>
    <row r="88" ht="24" customHeight="1">
      <c r="A88" s="7" t="n"/>
      <c r="B88" s="7" t="n"/>
      <c r="C88" s="12">
        <f>IF($A88="","",IFERROR(INDEX(土地清冊_匯入!$B$6:$B$1005,MATCH($A88,土地清冊_匯入!$A$6:$A$1005,0)),"查無資料"))</f>
        <v/>
      </c>
      <c r="D88" s="12">
        <f>IF($A88="","",IFERROR(INDEX(土地清冊_匯入!$P$6:$P$1005,MATCH($A88,土地清冊_匯入!$A$6:$A$1005,0)),""))</f>
        <v/>
      </c>
      <c r="E88" s="12">
        <f>IF($A88="","",IFERROR(INDEX(土地清冊_匯入!$Q$6:$Q$1005,MATCH($A88,土地清冊_匯入!$A$6:$A$1005,0)),""))</f>
        <v/>
      </c>
      <c r="F88" s="12">
        <f>IF($A88="","",IFERROR(INDEX(土地清冊_匯入!$R$6:$R$1005,MATCH($A88,土地清冊_匯入!$A$6:$A$1005,0)),""))</f>
        <v/>
      </c>
      <c r="G88" s="12">
        <f>IF($A88="","",IFERROR(INDEX(土地清冊_匯入!$S$6:$S$1005,MATCH($A88,土地清冊_匯入!$A$6:$A$1005,0)),""))</f>
        <v/>
      </c>
      <c r="H88" s="12">
        <f>IF($A88="","",IFERROR(INDEX(土地清冊_匯入!$T$6:$T$1005,MATCH($A88,土地清冊_匯入!$A$6:$A$1005,0)),""))</f>
        <v/>
      </c>
      <c r="I88" s="12">
        <f>IF($A88="","",IFERROR(INDEX(土地清冊_匯入!$V$6:$V$1005,MATCH($A88,土地清冊_匯入!$A$6:$A$1005,0)),""))</f>
        <v/>
      </c>
      <c r="J88" s="14" t="n"/>
      <c r="K88" s="7" t="n"/>
      <c r="L88" s="7" t="n"/>
      <c r="M88" s="7" t="n"/>
      <c r="N88" s="7" t="n"/>
      <c r="O88" s="7" t="n"/>
      <c r="P88" s="7" t="n"/>
      <c r="Q88" s="14" t="n"/>
      <c r="R88" s="7" t="n"/>
      <c r="S88" s="7" t="n"/>
      <c r="T88" s="7" t="n"/>
      <c r="U88" s="12">
        <f>IF(A88="","",IF(OR(J88="",L88=""),"建議補聯絡紀錄","") )</f>
        <v/>
      </c>
    </row>
    <row r="89" ht="24" customHeight="1">
      <c r="A89" s="7" t="n"/>
      <c r="B89" s="7" t="n"/>
      <c r="C89" s="12">
        <f>IF($A89="","",IFERROR(INDEX(土地清冊_匯入!$B$6:$B$1005,MATCH($A89,土地清冊_匯入!$A$6:$A$1005,0)),"查無資料"))</f>
        <v/>
      </c>
      <c r="D89" s="12">
        <f>IF($A89="","",IFERROR(INDEX(土地清冊_匯入!$P$6:$P$1005,MATCH($A89,土地清冊_匯入!$A$6:$A$1005,0)),""))</f>
        <v/>
      </c>
      <c r="E89" s="12">
        <f>IF($A89="","",IFERROR(INDEX(土地清冊_匯入!$Q$6:$Q$1005,MATCH($A89,土地清冊_匯入!$A$6:$A$1005,0)),""))</f>
        <v/>
      </c>
      <c r="F89" s="12">
        <f>IF($A89="","",IFERROR(INDEX(土地清冊_匯入!$R$6:$R$1005,MATCH($A89,土地清冊_匯入!$A$6:$A$1005,0)),""))</f>
        <v/>
      </c>
      <c r="G89" s="12">
        <f>IF($A89="","",IFERROR(INDEX(土地清冊_匯入!$S$6:$S$1005,MATCH($A89,土地清冊_匯入!$A$6:$A$1005,0)),""))</f>
        <v/>
      </c>
      <c r="H89" s="12">
        <f>IF($A89="","",IFERROR(INDEX(土地清冊_匯入!$T$6:$T$1005,MATCH($A89,土地清冊_匯入!$A$6:$A$1005,0)),""))</f>
        <v/>
      </c>
      <c r="I89" s="12">
        <f>IF($A89="","",IFERROR(INDEX(土地清冊_匯入!$V$6:$V$1005,MATCH($A89,土地清冊_匯入!$A$6:$A$1005,0)),""))</f>
        <v/>
      </c>
      <c r="J89" s="14" t="n"/>
      <c r="K89" s="7" t="n"/>
      <c r="L89" s="7" t="n"/>
      <c r="M89" s="7" t="n"/>
      <c r="N89" s="7" t="n"/>
      <c r="O89" s="7" t="n"/>
      <c r="P89" s="7" t="n"/>
      <c r="Q89" s="14" t="n"/>
      <c r="R89" s="7" t="n"/>
      <c r="S89" s="7" t="n"/>
      <c r="T89" s="7" t="n"/>
      <c r="U89" s="12">
        <f>IF(A89="","",IF(OR(J89="",L89=""),"建議補聯絡紀錄","") )</f>
        <v/>
      </c>
    </row>
    <row r="90" ht="24" customHeight="1">
      <c r="A90" s="7" t="n"/>
      <c r="B90" s="7" t="n"/>
      <c r="C90" s="12">
        <f>IF($A90="","",IFERROR(INDEX(土地清冊_匯入!$B$6:$B$1005,MATCH($A90,土地清冊_匯入!$A$6:$A$1005,0)),"查無資料"))</f>
        <v/>
      </c>
      <c r="D90" s="12">
        <f>IF($A90="","",IFERROR(INDEX(土地清冊_匯入!$P$6:$P$1005,MATCH($A90,土地清冊_匯入!$A$6:$A$1005,0)),""))</f>
        <v/>
      </c>
      <c r="E90" s="12">
        <f>IF($A90="","",IFERROR(INDEX(土地清冊_匯入!$Q$6:$Q$1005,MATCH($A90,土地清冊_匯入!$A$6:$A$1005,0)),""))</f>
        <v/>
      </c>
      <c r="F90" s="12">
        <f>IF($A90="","",IFERROR(INDEX(土地清冊_匯入!$R$6:$R$1005,MATCH($A90,土地清冊_匯入!$A$6:$A$1005,0)),""))</f>
        <v/>
      </c>
      <c r="G90" s="12">
        <f>IF($A90="","",IFERROR(INDEX(土地清冊_匯入!$S$6:$S$1005,MATCH($A90,土地清冊_匯入!$A$6:$A$1005,0)),""))</f>
        <v/>
      </c>
      <c r="H90" s="12">
        <f>IF($A90="","",IFERROR(INDEX(土地清冊_匯入!$T$6:$T$1005,MATCH($A90,土地清冊_匯入!$A$6:$A$1005,0)),""))</f>
        <v/>
      </c>
      <c r="I90" s="12">
        <f>IF($A90="","",IFERROR(INDEX(土地清冊_匯入!$V$6:$V$1005,MATCH($A90,土地清冊_匯入!$A$6:$A$1005,0)),""))</f>
        <v/>
      </c>
      <c r="J90" s="14" t="n"/>
      <c r="K90" s="7" t="n"/>
      <c r="L90" s="7" t="n"/>
      <c r="M90" s="7" t="n"/>
      <c r="N90" s="7" t="n"/>
      <c r="O90" s="7" t="n"/>
      <c r="P90" s="7" t="n"/>
      <c r="Q90" s="14" t="n"/>
      <c r="R90" s="7" t="n"/>
      <c r="S90" s="7" t="n"/>
      <c r="T90" s="7" t="n"/>
      <c r="U90" s="12">
        <f>IF(A90="","",IF(OR(J90="",L90=""),"建議補聯絡紀錄","") )</f>
        <v/>
      </c>
    </row>
    <row r="91" ht="24" customHeight="1">
      <c r="A91" s="7" t="n"/>
      <c r="B91" s="7" t="n"/>
      <c r="C91" s="12">
        <f>IF($A91="","",IFERROR(INDEX(土地清冊_匯入!$B$6:$B$1005,MATCH($A91,土地清冊_匯入!$A$6:$A$1005,0)),"查無資料"))</f>
        <v/>
      </c>
      <c r="D91" s="12">
        <f>IF($A91="","",IFERROR(INDEX(土地清冊_匯入!$P$6:$P$1005,MATCH($A91,土地清冊_匯入!$A$6:$A$1005,0)),""))</f>
        <v/>
      </c>
      <c r="E91" s="12">
        <f>IF($A91="","",IFERROR(INDEX(土地清冊_匯入!$Q$6:$Q$1005,MATCH($A91,土地清冊_匯入!$A$6:$A$1005,0)),""))</f>
        <v/>
      </c>
      <c r="F91" s="12">
        <f>IF($A91="","",IFERROR(INDEX(土地清冊_匯入!$R$6:$R$1005,MATCH($A91,土地清冊_匯入!$A$6:$A$1005,0)),""))</f>
        <v/>
      </c>
      <c r="G91" s="12">
        <f>IF($A91="","",IFERROR(INDEX(土地清冊_匯入!$S$6:$S$1005,MATCH($A91,土地清冊_匯入!$A$6:$A$1005,0)),""))</f>
        <v/>
      </c>
      <c r="H91" s="12">
        <f>IF($A91="","",IFERROR(INDEX(土地清冊_匯入!$T$6:$T$1005,MATCH($A91,土地清冊_匯入!$A$6:$A$1005,0)),""))</f>
        <v/>
      </c>
      <c r="I91" s="12">
        <f>IF($A91="","",IFERROR(INDEX(土地清冊_匯入!$V$6:$V$1005,MATCH($A91,土地清冊_匯入!$A$6:$A$1005,0)),""))</f>
        <v/>
      </c>
      <c r="J91" s="14" t="n"/>
      <c r="K91" s="7" t="n"/>
      <c r="L91" s="7" t="n"/>
      <c r="M91" s="7" t="n"/>
      <c r="N91" s="7" t="n"/>
      <c r="O91" s="7" t="n"/>
      <c r="P91" s="7" t="n"/>
      <c r="Q91" s="14" t="n"/>
      <c r="R91" s="7" t="n"/>
      <c r="S91" s="7" t="n"/>
      <c r="T91" s="7" t="n"/>
      <c r="U91" s="12">
        <f>IF(A91="","",IF(OR(J91="",L91=""),"建議補聯絡紀錄","") )</f>
        <v/>
      </c>
    </row>
    <row r="92" ht="24" customHeight="1">
      <c r="A92" s="7" t="n"/>
      <c r="B92" s="7" t="n"/>
      <c r="C92" s="12">
        <f>IF($A92="","",IFERROR(INDEX(土地清冊_匯入!$B$6:$B$1005,MATCH($A92,土地清冊_匯入!$A$6:$A$1005,0)),"查無資料"))</f>
        <v/>
      </c>
      <c r="D92" s="12">
        <f>IF($A92="","",IFERROR(INDEX(土地清冊_匯入!$P$6:$P$1005,MATCH($A92,土地清冊_匯入!$A$6:$A$1005,0)),""))</f>
        <v/>
      </c>
      <c r="E92" s="12">
        <f>IF($A92="","",IFERROR(INDEX(土地清冊_匯入!$Q$6:$Q$1005,MATCH($A92,土地清冊_匯入!$A$6:$A$1005,0)),""))</f>
        <v/>
      </c>
      <c r="F92" s="12">
        <f>IF($A92="","",IFERROR(INDEX(土地清冊_匯入!$R$6:$R$1005,MATCH($A92,土地清冊_匯入!$A$6:$A$1005,0)),""))</f>
        <v/>
      </c>
      <c r="G92" s="12">
        <f>IF($A92="","",IFERROR(INDEX(土地清冊_匯入!$S$6:$S$1005,MATCH($A92,土地清冊_匯入!$A$6:$A$1005,0)),""))</f>
        <v/>
      </c>
      <c r="H92" s="12">
        <f>IF($A92="","",IFERROR(INDEX(土地清冊_匯入!$T$6:$T$1005,MATCH($A92,土地清冊_匯入!$A$6:$A$1005,0)),""))</f>
        <v/>
      </c>
      <c r="I92" s="12">
        <f>IF($A92="","",IFERROR(INDEX(土地清冊_匯入!$V$6:$V$1005,MATCH($A92,土地清冊_匯入!$A$6:$A$1005,0)),""))</f>
        <v/>
      </c>
      <c r="J92" s="14" t="n"/>
      <c r="K92" s="7" t="n"/>
      <c r="L92" s="7" t="n"/>
      <c r="M92" s="7" t="n"/>
      <c r="N92" s="7" t="n"/>
      <c r="O92" s="7" t="n"/>
      <c r="P92" s="7" t="n"/>
      <c r="Q92" s="14" t="n"/>
      <c r="R92" s="7" t="n"/>
      <c r="S92" s="7" t="n"/>
      <c r="T92" s="7" t="n"/>
      <c r="U92" s="12">
        <f>IF(A92="","",IF(OR(J92="",L92=""),"建議補聯絡紀錄","") )</f>
        <v/>
      </c>
    </row>
    <row r="93" ht="24" customHeight="1">
      <c r="A93" s="7" t="n"/>
      <c r="B93" s="7" t="n"/>
      <c r="C93" s="12">
        <f>IF($A93="","",IFERROR(INDEX(土地清冊_匯入!$B$6:$B$1005,MATCH($A93,土地清冊_匯入!$A$6:$A$1005,0)),"查無資料"))</f>
        <v/>
      </c>
      <c r="D93" s="12">
        <f>IF($A93="","",IFERROR(INDEX(土地清冊_匯入!$P$6:$P$1005,MATCH($A93,土地清冊_匯入!$A$6:$A$1005,0)),""))</f>
        <v/>
      </c>
      <c r="E93" s="12">
        <f>IF($A93="","",IFERROR(INDEX(土地清冊_匯入!$Q$6:$Q$1005,MATCH($A93,土地清冊_匯入!$A$6:$A$1005,0)),""))</f>
        <v/>
      </c>
      <c r="F93" s="12">
        <f>IF($A93="","",IFERROR(INDEX(土地清冊_匯入!$R$6:$R$1005,MATCH($A93,土地清冊_匯入!$A$6:$A$1005,0)),""))</f>
        <v/>
      </c>
      <c r="G93" s="12">
        <f>IF($A93="","",IFERROR(INDEX(土地清冊_匯入!$S$6:$S$1005,MATCH($A93,土地清冊_匯入!$A$6:$A$1005,0)),""))</f>
        <v/>
      </c>
      <c r="H93" s="12">
        <f>IF($A93="","",IFERROR(INDEX(土地清冊_匯入!$T$6:$T$1005,MATCH($A93,土地清冊_匯入!$A$6:$A$1005,0)),""))</f>
        <v/>
      </c>
      <c r="I93" s="12">
        <f>IF($A93="","",IFERROR(INDEX(土地清冊_匯入!$V$6:$V$1005,MATCH($A93,土地清冊_匯入!$A$6:$A$1005,0)),""))</f>
        <v/>
      </c>
      <c r="J93" s="14" t="n"/>
      <c r="K93" s="7" t="n"/>
      <c r="L93" s="7" t="n"/>
      <c r="M93" s="7" t="n"/>
      <c r="N93" s="7" t="n"/>
      <c r="O93" s="7" t="n"/>
      <c r="P93" s="7" t="n"/>
      <c r="Q93" s="14" t="n"/>
      <c r="R93" s="7" t="n"/>
      <c r="S93" s="7" t="n"/>
      <c r="T93" s="7" t="n"/>
      <c r="U93" s="12">
        <f>IF(A93="","",IF(OR(J93="",L93=""),"建議補聯絡紀錄","") )</f>
        <v/>
      </c>
    </row>
    <row r="94" ht="24" customHeight="1">
      <c r="A94" s="7" t="n"/>
      <c r="B94" s="7" t="n"/>
      <c r="C94" s="12">
        <f>IF($A94="","",IFERROR(INDEX(土地清冊_匯入!$B$6:$B$1005,MATCH($A94,土地清冊_匯入!$A$6:$A$1005,0)),"查無資料"))</f>
        <v/>
      </c>
      <c r="D94" s="12">
        <f>IF($A94="","",IFERROR(INDEX(土地清冊_匯入!$P$6:$P$1005,MATCH($A94,土地清冊_匯入!$A$6:$A$1005,0)),""))</f>
        <v/>
      </c>
      <c r="E94" s="12">
        <f>IF($A94="","",IFERROR(INDEX(土地清冊_匯入!$Q$6:$Q$1005,MATCH($A94,土地清冊_匯入!$A$6:$A$1005,0)),""))</f>
        <v/>
      </c>
      <c r="F94" s="12">
        <f>IF($A94="","",IFERROR(INDEX(土地清冊_匯入!$R$6:$R$1005,MATCH($A94,土地清冊_匯入!$A$6:$A$1005,0)),""))</f>
        <v/>
      </c>
      <c r="G94" s="12">
        <f>IF($A94="","",IFERROR(INDEX(土地清冊_匯入!$S$6:$S$1005,MATCH($A94,土地清冊_匯入!$A$6:$A$1005,0)),""))</f>
        <v/>
      </c>
      <c r="H94" s="12">
        <f>IF($A94="","",IFERROR(INDEX(土地清冊_匯入!$T$6:$T$1005,MATCH($A94,土地清冊_匯入!$A$6:$A$1005,0)),""))</f>
        <v/>
      </c>
      <c r="I94" s="12">
        <f>IF($A94="","",IFERROR(INDEX(土地清冊_匯入!$V$6:$V$1005,MATCH($A94,土地清冊_匯入!$A$6:$A$1005,0)),""))</f>
        <v/>
      </c>
      <c r="J94" s="14" t="n"/>
      <c r="K94" s="7" t="n"/>
      <c r="L94" s="7" t="n"/>
      <c r="M94" s="7" t="n"/>
      <c r="N94" s="7" t="n"/>
      <c r="O94" s="7" t="n"/>
      <c r="P94" s="7" t="n"/>
      <c r="Q94" s="14" t="n"/>
      <c r="R94" s="7" t="n"/>
      <c r="S94" s="7" t="n"/>
      <c r="T94" s="7" t="n"/>
      <c r="U94" s="12">
        <f>IF(A94="","",IF(OR(J94="",L94=""),"建議補聯絡紀錄","") )</f>
        <v/>
      </c>
    </row>
    <row r="95" ht="24" customHeight="1">
      <c r="A95" s="7" t="n"/>
      <c r="B95" s="7" t="n"/>
      <c r="C95" s="12">
        <f>IF($A95="","",IFERROR(INDEX(土地清冊_匯入!$B$6:$B$1005,MATCH($A95,土地清冊_匯入!$A$6:$A$1005,0)),"查無資料"))</f>
        <v/>
      </c>
      <c r="D95" s="12">
        <f>IF($A95="","",IFERROR(INDEX(土地清冊_匯入!$P$6:$P$1005,MATCH($A95,土地清冊_匯入!$A$6:$A$1005,0)),""))</f>
        <v/>
      </c>
      <c r="E95" s="12">
        <f>IF($A95="","",IFERROR(INDEX(土地清冊_匯入!$Q$6:$Q$1005,MATCH($A95,土地清冊_匯入!$A$6:$A$1005,0)),""))</f>
        <v/>
      </c>
      <c r="F95" s="12">
        <f>IF($A95="","",IFERROR(INDEX(土地清冊_匯入!$R$6:$R$1005,MATCH($A95,土地清冊_匯入!$A$6:$A$1005,0)),""))</f>
        <v/>
      </c>
      <c r="G95" s="12">
        <f>IF($A95="","",IFERROR(INDEX(土地清冊_匯入!$S$6:$S$1005,MATCH($A95,土地清冊_匯入!$A$6:$A$1005,0)),""))</f>
        <v/>
      </c>
      <c r="H95" s="12">
        <f>IF($A95="","",IFERROR(INDEX(土地清冊_匯入!$T$6:$T$1005,MATCH($A95,土地清冊_匯入!$A$6:$A$1005,0)),""))</f>
        <v/>
      </c>
      <c r="I95" s="12">
        <f>IF($A95="","",IFERROR(INDEX(土地清冊_匯入!$V$6:$V$1005,MATCH($A95,土地清冊_匯入!$A$6:$A$1005,0)),""))</f>
        <v/>
      </c>
      <c r="J95" s="14" t="n"/>
      <c r="K95" s="7" t="n"/>
      <c r="L95" s="7" t="n"/>
      <c r="M95" s="7" t="n"/>
      <c r="N95" s="7" t="n"/>
      <c r="O95" s="7" t="n"/>
      <c r="P95" s="7" t="n"/>
      <c r="Q95" s="14" t="n"/>
      <c r="R95" s="7" t="n"/>
      <c r="S95" s="7" t="n"/>
      <c r="T95" s="7" t="n"/>
      <c r="U95" s="12">
        <f>IF(A95="","",IF(OR(J95="",L95=""),"建議補聯絡紀錄","") )</f>
        <v/>
      </c>
    </row>
    <row r="96" ht="24" customHeight="1">
      <c r="A96" s="7" t="n"/>
      <c r="B96" s="7" t="n"/>
      <c r="C96" s="12">
        <f>IF($A96="","",IFERROR(INDEX(土地清冊_匯入!$B$6:$B$1005,MATCH($A96,土地清冊_匯入!$A$6:$A$1005,0)),"查無資料"))</f>
        <v/>
      </c>
      <c r="D96" s="12">
        <f>IF($A96="","",IFERROR(INDEX(土地清冊_匯入!$P$6:$P$1005,MATCH($A96,土地清冊_匯入!$A$6:$A$1005,0)),""))</f>
        <v/>
      </c>
      <c r="E96" s="12">
        <f>IF($A96="","",IFERROR(INDEX(土地清冊_匯入!$Q$6:$Q$1005,MATCH($A96,土地清冊_匯入!$A$6:$A$1005,0)),""))</f>
        <v/>
      </c>
      <c r="F96" s="12">
        <f>IF($A96="","",IFERROR(INDEX(土地清冊_匯入!$R$6:$R$1005,MATCH($A96,土地清冊_匯入!$A$6:$A$1005,0)),""))</f>
        <v/>
      </c>
      <c r="G96" s="12">
        <f>IF($A96="","",IFERROR(INDEX(土地清冊_匯入!$S$6:$S$1005,MATCH($A96,土地清冊_匯入!$A$6:$A$1005,0)),""))</f>
        <v/>
      </c>
      <c r="H96" s="12">
        <f>IF($A96="","",IFERROR(INDEX(土地清冊_匯入!$T$6:$T$1005,MATCH($A96,土地清冊_匯入!$A$6:$A$1005,0)),""))</f>
        <v/>
      </c>
      <c r="I96" s="12">
        <f>IF($A96="","",IFERROR(INDEX(土地清冊_匯入!$V$6:$V$1005,MATCH($A96,土地清冊_匯入!$A$6:$A$1005,0)),""))</f>
        <v/>
      </c>
      <c r="J96" s="14" t="n"/>
      <c r="K96" s="7" t="n"/>
      <c r="L96" s="7" t="n"/>
      <c r="M96" s="7" t="n"/>
      <c r="N96" s="7" t="n"/>
      <c r="O96" s="7" t="n"/>
      <c r="P96" s="7" t="n"/>
      <c r="Q96" s="14" t="n"/>
      <c r="R96" s="7" t="n"/>
      <c r="S96" s="7" t="n"/>
      <c r="T96" s="7" t="n"/>
      <c r="U96" s="12">
        <f>IF(A96="","",IF(OR(J96="",L96=""),"建議補聯絡紀錄","") )</f>
        <v/>
      </c>
    </row>
    <row r="97" ht="24" customHeight="1">
      <c r="A97" s="7" t="n"/>
      <c r="B97" s="7" t="n"/>
      <c r="C97" s="12">
        <f>IF($A97="","",IFERROR(INDEX(土地清冊_匯入!$B$6:$B$1005,MATCH($A97,土地清冊_匯入!$A$6:$A$1005,0)),"查無資料"))</f>
        <v/>
      </c>
      <c r="D97" s="12">
        <f>IF($A97="","",IFERROR(INDEX(土地清冊_匯入!$P$6:$P$1005,MATCH($A97,土地清冊_匯入!$A$6:$A$1005,0)),""))</f>
        <v/>
      </c>
      <c r="E97" s="12">
        <f>IF($A97="","",IFERROR(INDEX(土地清冊_匯入!$Q$6:$Q$1005,MATCH($A97,土地清冊_匯入!$A$6:$A$1005,0)),""))</f>
        <v/>
      </c>
      <c r="F97" s="12">
        <f>IF($A97="","",IFERROR(INDEX(土地清冊_匯入!$R$6:$R$1005,MATCH($A97,土地清冊_匯入!$A$6:$A$1005,0)),""))</f>
        <v/>
      </c>
      <c r="G97" s="12">
        <f>IF($A97="","",IFERROR(INDEX(土地清冊_匯入!$S$6:$S$1005,MATCH($A97,土地清冊_匯入!$A$6:$A$1005,0)),""))</f>
        <v/>
      </c>
      <c r="H97" s="12">
        <f>IF($A97="","",IFERROR(INDEX(土地清冊_匯入!$T$6:$T$1005,MATCH($A97,土地清冊_匯入!$A$6:$A$1005,0)),""))</f>
        <v/>
      </c>
      <c r="I97" s="12">
        <f>IF($A97="","",IFERROR(INDEX(土地清冊_匯入!$V$6:$V$1005,MATCH($A97,土地清冊_匯入!$A$6:$A$1005,0)),""))</f>
        <v/>
      </c>
      <c r="J97" s="14" t="n"/>
      <c r="K97" s="7" t="n"/>
      <c r="L97" s="7" t="n"/>
      <c r="M97" s="7" t="n"/>
      <c r="N97" s="7" t="n"/>
      <c r="O97" s="7" t="n"/>
      <c r="P97" s="7" t="n"/>
      <c r="Q97" s="14" t="n"/>
      <c r="R97" s="7" t="n"/>
      <c r="S97" s="7" t="n"/>
      <c r="T97" s="7" t="n"/>
      <c r="U97" s="12">
        <f>IF(A97="","",IF(OR(J97="",L97=""),"建議補聯絡紀錄","") )</f>
        <v/>
      </c>
    </row>
    <row r="98" ht="24" customHeight="1">
      <c r="A98" s="7" t="n"/>
      <c r="B98" s="7" t="n"/>
      <c r="C98" s="12">
        <f>IF($A98="","",IFERROR(INDEX(土地清冊_匯入!$B$6:$B$1005,MATCH($A98,土地清冊_匯入!$A$6:$A$1005,0)),"查無資料"))</f>
        <v/>
      </c>
      <c r="D98" s="12">
        <f>IF($A98="","",IFERROR(INDEX(土地清冊_匯入!$P$6:$P$1005,MATCH($A98,土地清冊_匯入!$A$6:$A$1005,0)),""))</f>
        <v/>
      </c>
      <c r="E98" s="12">
        <f>IF($A98="","",IFERROR(INDEX(土地清冊_匯入!$Q$6:$Q$1005,MATCH($A98,土地清冊_匯入!$A$6:$A$1005,0)),""))</f>
        <v/>
      </c>
      <c r="F98" s="12">
        <f>IF($A98="","",IFERROR(INDEX(土地清冊_匯入!$R$6:$R$1005,MATCH($A98,土地清冊_匯入!$A$6:$A$1005,0)),""))</f>
        <v/>
      </c>
      <c r="G98" s="12">
        <f>IF($A98="","",IFERROR(INDEX(土地清冊_匯入!$S$6:$S$1005,MATCH($A98,土地清冊_匯入!$A$6:$A$1005,0)),""))</f>
        <v/>
      </c>
      <c r="H98" s="12">
        <f>IF($A98="","",IFERROR(INDEX(土地清冊_匯入!$T$6:$T$1005,MATCH($A98,土地清冊_匯入!$A$6:$A$1005,0)),""))</f>
        <v/>
      </c>
      <c r="I98" s="12">
        <f>IF($A98="","",IFERROR(INDEX(土地清冊_匯入!$V$6:$V$1005,MATCH($A98,土地清冊_匯入!$A$6:$A$1005,0)),""))</f>
        <v/>
      </c>
      <c r="J98" s="14" t="n"/>
      <c r="K98" s="7" t="n"/>
      <c r="L98" s="7" t="n"/>
      <c r="M98" s="7" t="n"/>
      <c r="N98" s="7" t="n"/>
      <c r="O98" s="7" t="n"/>
      <c r="P98" s="7" t="n"/>
      <c r="Q98" s="14" t="n"/>
      <c r="R98" s="7" t="n"/>
      <c r="S98" s="7" t="n"/>
      <c r="T98" s="7" t="n"/>
      <c r="U98" s="12">
        <f>IF(A98="","",IF(OR(J98="",L98=""),"建議補聯絡紀錄","") )</f>
        <v/>
      </c>
    </row>
    <row r="99" ht="24" customHeight="1">
      <c r="A99" s="7" t="n"/>
      <c r="B99" s="7" t="n"/>
      <c r="C99" s="12">
        <f>IF($A99="","",IFERROR(INDEX(土地清冊_匯入!$B$6:$B$1005,MATCH($A99,土地清冊_匯入!$A$6:$A$1005,0)),"查無資料"))</f>
        <v/>
      </c>
      <c r="D99" s="12">
        <f>IF($A99="","",IFERROR(INDEX(土地清冊_匯入!$P$6:$P$1005,MATCH($A99,土地清冊_匯入!$A$6:$A$1005,0)),""))</f>
        <v/>
      </c>
      <c r="E99" s="12">
        <f>IF($A99="","",IFERROR(INDEX(土地清冊_匯入!$Q$6:$Q$1005,MATCH($A99,土地清冊_匯入!$A$6:$A$1005,0)),""))</f>
        <v/>
      </c>
      <c r="F99" s="12">
        <f>IF($A99="","",IFERROR(INDEX(土地清冊_匯入!$R$6:$R$1005,MATCH($A99,土地清冊_匯入!$A$6:$A$1005,0)),""))</f>
        <v/>
      </c>
      <c r="G99" s="12">
        <f>IF($A99="","",IFERROR(INDEX(土地清冊_匯入!$S$6:$S$1005,MATCH($A99,土地清冊_匯入!$A$6:$A$1005,0)),""))</f>
        <v/>
      </c>
      <c r="H99" s="12">
        <f>IF($A99="","",IFERROR(INDEX(土地清冊_匯入!$T$6:$T$1005,MATCH($A99,土地清冊_匯入!$A$6:$A$1005,0)),""))</f>
        <v/>
      </c>
      <c r="I99" s="12">
        <f>IF($A99="","",IFERROR(INDEX(土地清冊_匯入!$V$6:$V$1005,MATCH($A99,土地清冊_匯入!$A$6:$A$1005,0)),""))</f>
        <v/>
      </c>
      <c r="J99" s="14" t="n"/>
      <c r="K99" s="7" t="n"/>
      <c r="L99" s="7" t="n"/>
      <c r="M99" s="7" t="n"/>
      <c r="N99" s="7" t="n"/>
      <c r="O99" s="7" t="n"/>
      <c r="P99" s="7" t="n"/>
      <c r="Q99" s="14" t="n"/>
      <c r="R99" s="7" t="n"/>
      <c r="S99" s="7" t="n"/>
      <c r="T99" s="7" t="n"/>
      <c r="U99" s="12">
        <f>IF(A99="","",IF(OR(J99="",L99=""),"建議補聯絡紀錄","") )</f>
        <v/>
      </c>
    </row>
    <row r="100" ht="24" customHeight="1">
      <c r="A100" s="7" t="n"/>
      <c r="B100" s="7" t="n"/>
      <c r="C100" s="12">
        <f>IF($A100="","",IFERROR(INDEX(土地清冊_匯入!$B$6:$B$1005,MATCH($A100,土地清冊_匯入!$A$6:$A$1005,0)),"查無資料"))</f>
        <v/>
      </c>
      <c r="D100" s="12">
        <f>IF($A100="","",IFERROR(INDEX(土地清冊_匯入!$P$6:$P$1005,MATCH($A100,土地清冊_匯入!$A$6:$A$1005,0)),""))</f>
        <v/>
      </c>
      <c r="E100" s="12">
        <f>IF($A100="","",IFERROR(INDEX(土地清冊_匯入!$Q$6:$Q$1005,MATCH($A100,土地清冊_匯入!$A$6:$A$1005,0)),""))</f>
        <v/>
      </c>
      <c r="F100" s="12">
        <f>IF($A100="","",IFERROR(INDEX(土地清冊_匯入!$R$6:$R$1005,MATCH($A100,土地清冊_匯入!$A$6:$A$1005,0)),""))</f>
        <v/>
      </c>
      <c r="G100" s="12">
        <f>IF($A100="","",IFERROR(INDEX(土地清冊_匯入!$S$6:$S$1005,MATCH($A100,土地清冊_匯入!$A$6:$A$1005,0)),""))</f>
        <v/>
      </c>
      <c r="H100" s="12">
        <f>IF($A100="","",IFERROR(INDEX(土地清冊_匯入!$T$6:$T$1005,MATCH($A100,土地清冊_匯入!$A$6:$A$1005,0)),""))</f>
        <v/>
      </c>
      <c r="I100" s="12">
        <f>IF($A100="","",IFERROR(INDEX(土地清冊_匯入!$V$6:$V$1005,MATCH($A100,土地清冊_匯入!$A$6:$A$1005,0)),""))</f>
        <v/>
      </c>
      <c r="J100" s="14" t="n"/>
      <c r="K100" s="7" t="n"/>
      <c r="L100" s="7" t="n"/>
      <c r="M100" s="7" t="n"/>
      <c r="N100" s="7" t="n"/>
      <c r="O100" s="7" t="n"/>
      <c r="P100" s="7" t="n"/>
      <c r="Q100" s="14" t="n"/>
      <c r="R100" s="7" t="n"/>
      <c r="S100" s="7" t="n"/>
      <c r="T100" s="7" t="n"/>
      <c r="U100" s="12">
        <f>IF(A100="","",IF(OR(J100="",L100=""),"建議補聯絡紀錄","") )</f>
        <v/>
      </c>
    </row>
    <row r="101" ht="24" customHeight="1">
      <c r="A101" s="7" t="n"/>
      <c r="B101" s="7" t="n"/>
      <c r="C101" s="12">
        <f>IF($A101="","",IFERROR(INDEX(土地清冊_匯入!$B$6:$B$1005,MATCH($A101,土地清冊_匯入!$A$6:$A$1005,0)),"查無資料"))</f>
        <v/>
      </c>
      <c r="D101" s="12">
        <f>IF($A101="","",IFERROR(INDEX(土地清冊_匯入!$P$6:$P$1005,MATCH($A101,土地清冊_匯入!$A$6:$A$1005,0)),""))</f>
        <v/>
      </c>
      <c r="E101" s="12">
        <f>IF($A101="","",IFERROR(INDEX(土地清冊_匯入!$Q$6:$Q$1005,MATCH($A101,土地清冊_匯入!$A$6:$A$1005,0)),""))</f>
        <v/>
      </c>
      <c r="F101" s="12">
        <f>IF($A101="","",IFERROR(INDEX(土地清冊_匯入!$R$6:$R$1005,MATCH($A101,土地清冊_匯入!$A$6:$A$1005,0)),""))</f>
        <v/>
      </c>
      <c r="G101" s="12">
        <f>IF($A101="","",IFERROR(INDEX(土地清冊_匯入!$S$6:$S$1005,MATCH($A101,土地清冊_匯入!$A$6:$A$1005,0)),""))</f>
        <v/>
      </c>
      <c r="H101" s="12">
        <f>IF($A101="","",IFERROR(INDEX(土地清冊_匯入!$T$6:$T$1005,MATCH($A101,土地清冊_匯入!$A$6:$A$1005,0)),""))</f>
        <v/>
      </c>
      <c r="I101" s="12">
        <f>IF($A101="","",IFERROR(INDEX(土地清冊_匯入!$V$6:$V$1005,MATCH($A101,土地清冊_匯入!$A$6:$A$1005,0)),""))</f>
        <v/>
      </c>
      <c r="J101" s="14" t="n"/>
      <c r="K101" s="7" t="n"/>
      <c r="L101" s="7" t="n"/>
      <c r="M101" s="7" t="n"/>
      <c r="N101" s="7" t="n"/>
      <c r="O101" s="7" t="n"/>
      <c r="P101" s="7" t="n"/>
      <c r="Q101" s="14" t="n"/>
      <c r="R101" s="7" t="n"/>
      <c r="S101" s="7" t="n"/>
      <c r="T101" s="7" t="n"/>
      <c r="U101" s="12">
        <f>IF(A101="","",IF(OR(J101="",L101=""),"建議補聯絡紀錄","") )</f>
        <v/>
      </c>
    </row>
    <row r="102" ht="24" customHeight="1">
      <c r="A102" s="7" t="n"/>
      <c r="B102" s="7" t="n"/>
      <c r="C102" s="12">
        <f>IF($A102="","",IFERROR(INDEX(土地清冊_匯入!$B$6:$B$1005,MATCH($A102,土地清冊_匯入!$A$6:$A$1005,0)),"查無資料"))</f>
        <v/>
      </c>
      <c r="D102" s="12">
        <f>IF($A102="","",IFERROR(INDEX(土地清冊_匯入!$P$6:$P$1005,MATCH($A102,土地清冊_匯入!$A$6:$A$1005,0)),""))</f>
        <v/>
      </c>
      <c r="E102" s="12">
        <f>IF($A102="","",IFERROR(INDEX(土地清冊_匯入!$Q$6:$Q$1005,MATCH($A102,土地清冊_匯入!$A$6:$A$1005,0)),""))</f>
        <v/>
      </c>
      <c r="F102" s="12">
        <f>IF($A102="","",IFERROR(INDEX(土地清冊_匯入!$R$6:$R$1005,MATCH($A102,土地清冊_匯入!$A$6:$A$1005,0)),""))</f>
        <v/>
      </c>
      <c r="G102" s="12">
        <f>IF($A102="","",IFERROR(INDEX(土地清冊_匯入!$S$6:$S$1005,MATCH($A102,土地清冊_匯入!$A$6:$A$1005,0)),""))</f>
        <v/>
      </c>
      <c r="H102" s="12">
        <f>IF($A102="","",IFERROR(INDEX(土地清冊_匯入!$T$6:$T$1005,MATCH($A102,土地清冊_匯入!$A$6:$A$1005,0)),""))</f>
        <v/>
      </c>
      <c r="I102" s="12">
        <f>IF($A102="","",IFERROR(INDEX(土地清冊_匯入!$V$6:$V$1005,MATCH($A102,土地清冊_匯入!$A$6:$A$1005,0)),""))</f>
        <v/>
      </c>
      <c r="J102" s="14" t="n"/>
      <c r="K102" s="7" t="n"/>
      <c r="L102" s="7" t="n"/>
      <c r="M102" s="7" t="n"/>
      <c r="N102" s="7" t="n"/>
      <c r="O102" s="7" t="n"/>
      <c r="P102" s="7" t="n"/>
      <c r="Q102" s="14" t="n"/>
      <c r="R102" s="7" t="n"/>
      <c r="S102" s="7" t="n"/>
      <c r="T102" s="7" t="n"/>
      <c r="U102" s="12">
        <f>IF(A102="","",IF(OR(J102="",L102=""),"建議補聯絡紀錄","") )</f>
        <v/>
      </c>
    </row>
    <row r="103" ht="24" customHeight="1">
      <c r="A103" s="7" t="n"/>
      <c r="B103" s="7" t="n"/>
      <c r="C103" s="12">
        <f>IF($A103="","",IFERROR(INDEX(土地清冊_匯入!$B$6:$B$1005,MATCH($A103,土地清冊_匯入!$A$6:$A$1005,0)),"查無資料"))</f>
        <v/>
      </c>
      <c r="D103" s="12">
        <f>IF($A103="","",IFERROR(INDEX(土地清冊_匯入!$P$6:$P$1005,MATCH($A103,土地清冊_匯入!$A$6:$A$1005,0)),""))</f>
        <v/>
      </c>
      <c r="E103" s="12">
        <f>IF($A103="","",IFERROR(INDEX(土地清冊_匯入!$Q$6:$Q$1005,MATCH($A103,土地清冊_匯入!$A$6:$A$1005,0)),""))</f>
        <v/>
      </c>
      <c r="F103" s="12">
        <f>IF($A103="","",IFERROR(INDEX(土地清冊_匯入!$R$6:$R$1005,MATCH($A103,土地清冊_匯入!$A$6:$A$1005,0)),""))</f>
        <v/>
      </c>
      <c r="G103" s="12">
        <f>IF($A103="","",IFERROR(INDEX(土地清冊_匯入!$S$6:$S$1005,MATCH($A103,土地清冊_匯入!$A$6:$A$1005,0)),""))</f>
        <v/>
      </c>
      <c r="H103" s="12">
        <f>IF($A103="","",IFERROR(INDEX(土地清冊_匯入!$T$6:$T$1005,MATCH($A103,土地清冊_匯入!$A$6:$A$1005,0)),""))</f>
        <v/>
      </c>
      <c r="I103" s="12">
        <f>IF($A103="","",IFERROR(INDEX(土地清冊_匯入!$V$6:$V$1005,MATCH($A103,土地清冊_匯入!$A$6:$A$1005,0)),""))</f>
        <v/>
      </c>
      <c r="J103" s="14" t="n"/>
      <c r="K103" s="7" t="n"/>
      <c r="L103" s="7" t="n"/>
      <c r="M103" s="7" t="n"/>
      <c r="N103" s="7" t="n"/>
      <c r="O103" s="7" t="n"/>
      <c r="P103" s="7" t="n"/>
      <c r="Q103" s="14" t="n"/>
      <c r="R103" s="7" t="n"/>
      <c r="S103" s="7" t="n"/>
      <c r="T103" s="7" t="n"/>
      <c r="U103" s="12">
        <f>IF(A103="","",IF(OR(J103="",L103=""),"建議補聯絡紀錄","") )</f>
        <v/>
      </c>
    </row>
    <row r="104" ht="24" customHeight="1">
      <c r="A104" s="7" t="n"/>
      <c r="B104" s="7" t="n"/>
      <c r="C104" s="12">
        <f>IF($A104="","",IFERROR(INDEX(土地清冊_匯入!$B$6:$B$1005,MATCH($A104,土地清冊_匯入!$A$6:$A$1005,0)),"查無資料"))</f>
        <v/>
      </c>
      <c r="D104" s="12">
        <f>IF($A104="","",IFERROR(INDEX(土地清冊_匯入!$P$6:$P$1005,MATCH($A104,土地清冊_匯入!$A$6:$A$1005,0)),""))</f>
        <v/>
      </c>
      <c r="E104" s="12">
        <f>IF($A104="","",IFERROR(INDEX(土地清冊_匯入!$Q$6:$Q$1005,MATCH($A104,土地清冊_匯入!$A$6:$A$1005,0)),""))</f>
        <v/>
      </c>
      <c r="F104" s="12">
        <f>IF($A104="","",IFERROR(INDEX(土地清冊_匯入!$R$6:$R$1005,MATCH($A104,土地清冊_匯入!$A$6:$A$1005,0)),""))</f>
        <v/>
      </c>
      <c r="G104" s="12">
        <f>IF($A104="","",IFERROR(INDEX(土地清冊_匯入!$S$6:$S$1005,MATCH($A104,土地清冊_匯入!$A$6:$A$1005,0)),""))</f>
        <v/>
      </c>
      <c r="H104" s="12">
        <f>IF($A104="","",IFERROR(INDEX(土地清冊_匯入!$T$6:$T$1005,MATCH($A104,土地清冊_匯入!$A$6:$A$1005,0)),""))</f>
        <v/>
      </c>
      <c r="I104" s="12">
        <f>IF($A104="","",IFERROR(INDEX(土地清冊_匯入!$V$6:$V$1005,MATCH($A104,土地清冊_匯入!$A$6:$A$1005,0)),""))</f>
        <v/>
      </c>
      <c r="J104" s="14" t="n"/>
      <c r="K104" s="7" t="n"/>
      <c r="L104" s="7" t="n"/>
      <c r="M104" s="7" t="n"/>
      <c r="N104" s="7" t="n"/>
      <c r="O104" s="7" t="n"/>
      <c r="P104" s="7" t="n"/>
      <c r="Q104" s="14" t="n"/>
      <c r="R104" s="7" t="n"/>
      <c r="S104" s="7" t="n"/>
      <c r="T104" s="7" t="n"/>
      <c r="U104" s="12">
        <f>IF(A104="","",IF(OR(J104="",L104=""),"建議補聯絡紀錄","") )</f>
        <v/>
      </c>
    </row>
    <row r="105" ht="24" customHeight="1">
      <c r="A105" s="7" t="n"/>
      <c r="B105" s="7" t="n"/>
      <c r="C105" s="12">
        <f>IF($A105="","",IFERROR(INDEX(土地清冊_匯入!$B$6:$B$1005,MATCH($A105,土地清冊_匯入!$A$6:$A$1005,0)),"查無資料"))</f>
        <v/>
      </c>
      <c r="D105" s="12">
        <f>IF($A105="","",IFERROR(INDEX(土地清冊_匯入!$P$6:$P$1005,MATCH($A105,土地清冊_匯入!$A$6:$A$1005,0)),""))</f>
        <v/>
      </c>
      <c r="E105" s="12">
        <f>IF($A105="","",IFERROR(INDEX(土地清冊_匯入!$Q$6:$Q$1005,MATCH($A105,土地清冊_匯入!$A$6:$A$1005,0)),""))</f>
        <v/>
      </c>
      <c r="F105" s="12">
        <f>IF($A105="","",IFERROR(INDEX(土地清冊_匯入!$R$6:$R$1005,MATCH($A105,土地清冊_匯入!$A$6:$A$1005,0)),""))</f>
        <v/>
      </c>
      <c r="G105" s="12">
        <f>IF($A105="","",IFERROR(INDEX(土地清冊_匯入!$S$6:$S$1005,MATCH($A105,土地清冊_匯入!$A$6:$A$1005,0)),""))</f>
        <v/>
      </c>
      <c r="H105" s="12">
        <f>IF($A105="","",IFERROR(INDEX(土地清冊_匯入!$T$6:$T$1005,MATCH($A105,土地清冊_匯入!$A$6:$A$1005,0)),""))</f>
        <v/>
      </c>
      <c r="I105" s="12">
        <f>IF($A105="","",IFERROR(INDEX(土地清冊_匯入!$V$6:$V$1005,MATCH($A105,土地清冊_匯入!$A$6:$A$1005,0)),""))</f>
        <v/>
      </c>
      <c r="J105" s="14" t="n"/>
      <c r="K105" s="7" t="n"/>
      <c r="L105" s="7" t="n"/>
      <c r="M105" s="7" t="n"/>
      <c r="N105" s="7" t="n"/>
      <c r="O105" s="7" t="n"/>
      <c r="P105" s="7" t="n"/>
      <c r="Q105" s="14" t="n"/>
      <c r="R105" s="7" t="n"/>
      <c r="S105" s="7" t="n"/>
      <c r="T105" s="7" t="n"/>
      <c r="U105" s="12">
        <f>IF(A105="","",IF(OR(J105="",L105=""),"建議補聯絡紀錄","") )</f>
        <v/>
      </c>
    </row>
    <row r="106" ht="24" customHeight="1">
      <c r="A106" s="7" t="n"/>
      <c r="B106" s="7" t="n"/>
      <c r="C106" s="12">
        <f>IF($A106="","",IFERROR(INDEX(土地清冊_匯入!$B$6:$B$1005,MATCH($A106,土地清冊_匯入!$A$6:$A$1005,0)),"查無資料"))</f>
        <v/>
      </c>
      <c r="D106" s="12">
        <f>IF($A106="","",IFERROR(INDEX(土地清冊_匯入!$P$6:$P$1005,MATCH($A106,土地清冊_匯入!$A$6:$A$1005,0)),""))</f>
        <v/>
      </c>
      <c r="E106" s="12">
        <f>IF($A106="","",IFERROR(INDEX(土地清冊_匯入!$Q$6:$Q$1005,MATCH($A106,土地清冊_匯入!$A$6:$A$1005,0)),""))</f>
        <v/>
      </c>
      <c r="F106" s="12">
        <f>IF($A106="","",IFERROR(INDEX(土地清冊_匯入!$R$6:$R$1005,MATCH($A106,土地清冊_匯入!$A$6:$A$1005,0)),""))</f>
        <v/>
      </c>
      <c r="G106" s="12">
        <f>IF($A106="","",IFERROR(INDEX(土地清冊_匯入!$S$6:$S$1005,MATCH($A106,土地清冊_匯入!$A$6:$A$1005,0)),""))</f>
        <v/>
      </c>
      <c r="H106" s="12">
        <f>IF($A106="","",IFERROR(INDEX(土地清冊_匯入!$T$6:$T$1005,MATCH($A106,土地清冊_匯入!$A$6:$A$1005,0)),""))</f>
        <v/>
      </c>
      <c r="I106" s="12">
        <f>IF($A106="","",IFERROR(INDEX(土地清冊_匯入!$V$6:$V$1005,MATCH($A106,土地清冊_匯入!$A$6:$A$1005,0)),""))</f>
        <v/>
      </c>
      <c r="J106" s="14" t="n"/>
      <c r="K106" s="7" t="n"/>
      <c r="L106" s="7" t="n"/>
      <c r="M106" s="7" t="n"/>
      <c r="N106" s="7" t="n"/>
      <c r="O106" s="7" t="n"/>
      <c r="P106" s="7" t="n"/>
      <c r="Q106" s="14" t="n"/>
      <c r="R106" s="7" t="n"/>
      <c r="S106" s="7" t="n"/>
      <c r="T106" s="7" t="n"/>
      <c r="U106" s="12">
        <f>IF(A106="","",IF(OR(J106="",L106=""),"建議補聯絡紀錄","") )</f>
        <v/>
      </c>
    </row>
    <row r="107" ht="24" customHeight="1">
      <c r="A107" s="7" t="n"/>
      <c r="B107" s="7" t="n"/>
      <c r="C107" s="12">
        <f>IF($A107="","",IFERROR(INDEX(土地清冊_匯入!$B$6:$B$1005,MATCH($A107,土地清冊_匯入!$A$6:$A$1005,0)),"查無資料"))</f>
        <v/>
      </c>
      <c r="D107" s="12">
        <f>IF($A107="","",IFERROR(INDEX(土地清冊_匯入!$P$6:$P$1005,MATCH($A107,土地清冊_匯入!$A$6:$A$1005,0)),""))</f>
        <v/>
      </c>
      <c r="E107" s="12">
        <f>IF($A107="","",IFERROR(INDEX(土地清冊_匯入!$Q$6:$Q$1005,MATCH($A107,土地清冊_匯入!$A$6:$A$1005,0)),""))</f>
        <v/>
      </c>
      <c r="F107" s="12">
        <f>IF($A107="","",IFERROR(INDEX(土地清冊_匯入!$R$6:$R$1005,MATCH($A107,土地清冊_匯入!$A$6:$A$1005,0)),""))</f>
        <v/>
      </c>
      <c r="G107" s="12">
        <f>IF($A107="","",IFERROR(INDEX(土地清冊_匯入!$S$6:$S$1005,MATCH($A107,土地清冊_匯入!$A$6:$A$1005,0)),""))</f>
        <v/>
      </c>
      <c r="H107" s="12">
        <f>IF($A107="","",IFERROR(INDEX(土地清冊_匯入!$T$6:$T$1005,MATCH($A107,土地清冊_匯入!$A$6:$A$1005,0)),""))</f>
        <v/>
      </c>
      <c r="I107" s="12">
        <f>IF($A107="","",IFERROR(INDEX(土地清冊_匯入!$V$6:$V$1005,MATCH($A107,土地清冊_匯入!$A$6:$A$1005,0)),""))</f>
        <v/>
      </c>
      <c r="J107" s="14" t="n"/>
      <c r="K107" s="7" t="n"/>
      <c r="L107" s="7" t="n"/>
      <c r="M107" s="7" t="n"/>
      <c r="N107" s="7" t="n"/>
      <c r="O107" s="7" t="n"/>
      <c r="P107" s="7" t="n"/>
      <c r="Q107" s="14" t="n"/>
      <c r="R107" s="7" t="n"/>
      <c r="S107" s="7" t="n"/>
      <c r="T107" s="7" t="n"/>
      <c r="U107" s="12">
        <f>IF(A107="","",IF(OR(J107="",L107=""),"建議補聯絡紀錄","") )</f>
        <v/>
      </c>
    </row>
    <row r="108" ht="24" customHeight="1">
      <c r="A108" s="7" t="n"/>
      <c r="B108" s="7" t="n"/>
      <c r="C108" s="12">
        <f>IF($A108="","",IFERROR(INDEX(土地清冊_匯入!$B$6:$B$1005,MATCH($A108,土地清冊_匯入!$A$6:$A$1005,0)),"查無資料"))</f>
        <v/>
      </c>
      <c r="D108" s="12">
        <f>IF($A108="","",IFERROR(INDEX(土地清冊_匯入!$P$6:$P$1005,MATCH($A108,土地清冊_匯入!$A$6:$A$1005,0)),""))</f>
        <v/>
      </c>
      <c r="E108" s="12">
        <f>IF($A108="","",IFERROR(INDEX(土地清冊_匯入!$Q$6:$Q$1005,MATCH($A108,土地清冊_匯入!$A$6:$A$1005,0)),""))</f>
        <v/>
      </c>
      <c r="F108" s="12">
        <f>IF($A108="","",IFERROR(INDEX(土地清冊_匯入!$R$6:$R$1005,MATCH($A108,土地清冊_匯入!$A$6:$A$1005,0)),""))</f>
        <v/>
      </c>
      <c r="G108" s="12">
        <f>IF($A108="","",IFERROR(INDEX(土地清冊_匯入!$S$6:$S$1005,MATCH($A108,土地清冊_匯入!$A$6:$A$1005,0)),""))</f>
        <v/>
      </c>
      <c r="H108" s="12">
        <f>IF($A108="","",IFERROR(INDEX(土地清冊_匯入!$T$6:$T$1005,MATCH($A108,土地清冊_匯入!$A$6:$A$1005,0)),""))</f>
        <v/>
      </c>
      <c r="I108" s="12">
        <f>IF($A108="","",IFERROR(INDEX(土地清冊_匯入!$V$6:$V$1005,MATCH($A108,土地清冊_匯入!$A$6:$A$1005,0)),""))</f>
        <v/>
      </c>
      <c r="J108" s="14" t="n"/>
      <c r="K108" s="7" t="n"/>
      <c r="L108" s="7" t="n"/>
      <c r="M108" s="7" t="n"/>
      <c r="N108" s="7" t="n"/>
      <c r="O108" s="7" t="n"/>
      <c r="P108" s="7" t="n"/>
      <c r="Q108" s="14" t="n"/>
      <c r="R108" s="7" t="n"/>
      <c r="S108" s="7" t="n"/>
      <c r="T108" s="7" t="n"/>
      <c r="U108" s="12">
        <f>IF(A108="","",IF(OR(J108="",L108=""),"建議補聯絡紀錄","") )</f>
        <v/>
      </c>
    </row>
    <row r="109" ht="24" customHeight="1">
      <c r="A109" s="7" t="n"/>
      <c r="B109" s="7" t="n"/>
      <c r="C109" s="12">
        <f>IF($A109="","",IFERROR(INDEX(土地清冊_匯入!$B$6:$B$1005,MATCH($A109,土地清冊_匯入!$A$6:$A$1005,0)),"查無資料"))</f>
        <v/>
      </c>
      <c r="D109" s="12">
        <f>IF($A109="","",IFERROR(INDEX(土地清冊_匯入!$P$6:$P$1005,MATCH($A109,土地清冊_匯入!$A$6:$A$1005,0)),""))</f>
        <v/>
      </c>
      <c r="E109" s="12">
        <f>IF($A109="","",IFERROR(INDEX(土地清冊_匯入!$Q$6:$Q$1005,MATCH($A109,土地清冊_匯入!$A$6:$A$1005,0)),""))</f>
        <v/>
      </c>
      <c r="F109" s="12">
        <f>IF($A109="","",IFERROR(INDEX(土地清冊_匯入!$R$6:$R$1005,MATCH($A109,土地清冊_匯入!$A$6:$A$1005,0)),""))</f>
        <v/>
      </c>
      <c r="G109" s="12">
        <f>IF($A109="","",IFERROR(INDEX(土地清冊_匯入!$S$6:$S$1005,MATCH($A109,土地清冊_匯入!$A$6:$A$1005,0)),""))</f>
        <v/>
      </c>
      <c r="H109" s="12">
        <f>IF($A109="","",IFERROR(INDEX(土地清冊_匯入!$T$6:$T$1005,MATCH($A109,土地清冊_匯入!$A$6:$A$1005,0)),""))</f>
        <v/>
      </c>
      <c r="I109" s="12">
        <f>IF($A109="","",IFERROR(INDEX(土地清冊_匯入!$V$6:$V$1005,MATCH($A109,土地清冊_匯入!$A$6:$A$1005,0)),""))</f>
        <v/>
      </c>
      <c r="J109" s="14" t="n"/>
      <c r="K109" s="7" t="n"/>
      <c r="L109" s="7" t="n"/>
      <c r="M109" s="7" t="n"/>
      <c r="N109" s="7" t="n"/>
      <c r="O109" s="7" t="n"/>
      <c r="P109" s="7" t="n"/>
      <c r="Q109" s="14" t="n"/>
      <c r="R109" s="7" t="n"/>
      <c r="S109" s="7" t="n"/>
      <c r="T109" s="7" t="n"/>
      <c r="U109" s="12">
        <f>IF(A109="","",IF(OR(J109="",L109=""),"建議補聯絡紀錄","") )</f>
        <v/>
      </c>
    </row>
    <row r="110" ht="24" customHeight="1">
      <c r="A110" s="7" t="n"/>
      <c r="B110" s="7" t="n"/>
      <c r="C110" s="12">
        <f>IF($A110="","",IFERROR(INDEX(土地清冊_匯入!$B$6:$B$1005,MATCH($A110,土地清冊_匯入!$A$6:$A$1005,0)),"查無資料"))</f>
        <v/>
      </c>
      <c r="D110" s="12">
        <f>IF($A110="","",IFERROR(INDEX(土地清冊_匯入!$P$6:$P$1005,MATCH($A110,土地清冊_匯入!$A$6:$A$1005,0)),""))</f>
        <v/>
      </c>
      <c r="E110" s="12">
        <f>IF($A110="","",IFERROR(INDEX(土地清冊_匯入!$Q$6:$Q$1005,MATCH($A110,土地清冊_匯入!$A$6:$A$1005,0)),""))</f>
        <v/>
      </c>
      <c r="F110" s="12">
        <f>IF($A110="","",IFERROR(INDEX(土地清冊_匯入!$R$6:$R$1005,MATCH($A110,土地清冊_匯入!$A$6:$A$1005,0)),""))</f>
        <v/>
      </c>
      <c r="G110" s="12">
        <f>IF($A110="","",IFERROR(INDEX(土地清冊_匯入!$S$6:$S$1005,MATCH($A110,土地清冊_匯入!$A$6:$A$1005,0)),""))</f>
        <v/>
      </c>
      <c r="H110" s="12">
        <f>IF($A110="","",IFERROR(INDEX(土地清冊_匯入!$T$6:$T$1005,MATCH($A110,土地清冊_匯入!$A$6:$A$1005,0)),""))</f>
        <v/>
      </c>
      <c r="I110" s="12">
        <f>IF($A110="","",IFERROR(INDEX(土地清冊_匯入!$V$6:$V$1005,MATCH($A110,土地清冊_匯入!$A$6:$A$1005,0)),""))</f>
        <v/>
      </c>
      <c r="J110" s="14" t="n"/>
      <c r="K110" s="7" t="n"/>
      <c r="L110" s="7" t="n"/>
      <c r="M110" s="7" t="n"/>
      <c r="N110" s="7" t="n"/>
      <c r="O110" s="7" t="n"/>
      <c r="P110" s="7" t="n"/>
      <c r="Q110" s="14" t="n"/>
      <c r="R110" s="7" t="n"/>
      <c r="S110" s="7" t="n"/>
      <c r="T110" s="7" t="n"/>
      <c r="U110" s="12">
        <f>IF(A110="","",IF(OR(J110="",L110=""),"建議補聯絡紀錄","") )</f>
        <v/>
      </c>
    </row>
    <row r="111" ht="24" customHeight="1">
      <c r="A111" s="7" t="n"/>
      <c r="B111" s="7" t="n"/>
      <c r="C111" s="12">
        <f>IF($A111="","",IFERROR(INDEX(土地清冊_匯入!$B$6:$B$1005,MATCH($A111,土地清冊_匯入!$A$6:$A$1005,0)),"查無資料"))</f>
        <v/>
      </c>
      <c r="D111" s="12">
        <f>IF($A111="","",IFERROR(INDEX(土地清冊_匯入!$P$6:$P$1005,MATCH($A111,土地清冊_匯入!$A$6:$A$1005,0)),""))</f>
        <v/>
      </c>
      <c r="E111" s="12">
        <f>IF($A111="","",IFERROR(INDEX(土地清冊_匯入!$Q$6:$Q$1005,MATCH($A111,土地清冊_匯入!$A$6:$A$1005,0)),""))</f>
        <v/>
      </c>
      <c r="F111" s="12">
        <f>IF($A111="","",IFERROR(INDEX(土地清冊_匯入!$R$6:$R$1005,MATCH($A111,土地清冊_匯入!$A$6:$A$1005,0)),""))</f>
        <v/>
      </c>
      <c r="G111" s="12">
        <f>IF($A111="","",IFERROR(INDEX(土地清冊_匯入!$S$6:$S$1005,MATCH($A111,土地清冊_匯入!$A$6:$A$1005,0)),""))</f>
        <v/>
      </c>
      <c r="H111" s="12">
        <f>IF($A111="","",IFERROR(INDEX(土地清冊_匯入!$T$6:$T$1005,MATCH($A111,土地清冊_匯入!$A$6:$A$1005,0)),""))</f>
        <v/>
      </c>
      <c r="I111" s="12">
        <f>IF($A111="","",IFERROR(INDEX(土地清冊_匯入!$V$6:$V$1005,MATCH($A111,土地清冊_匯入!$A$6:$A$1005,0)),""))</f>
        <v/>
      </c>
      <c r="J111" s="14" t="n"/>
      <c r="K111" s="7" t="n"/>
      <c r="L111" s="7" t="n"/>
      <c r="M111" s="7" t="n"/>
      <c r="N111" s="7" t="n"/>
      <c r="O111" s="7" t="n"/>
      <c r="P111" s="7" t="n"/>
      <c r="Q111" s="14" t="n"/>
      <c r="R111" s="7" t="n"/>
      <c r="S111" s="7" t="n"/>
      <c r="T111" s="7" t="n"/>
      <c r="U111" s="12">
        <f>IF(A111="","",IF(OR(J111="",L111=""),"建議補聯絡紀錄","") )</f>
        <v/>
      </c>
    </row>
    <row r="112" ht="24" customHeight="1">
      <c r="A112" s="7" t="n"/>
      <c r="B112" s="7" t="n"/>
      <c r="C112" s="12">
        <f>IF($A112="","",IFERROR(INDEX(土地清冊_匯入!$B$6:$B$1005,MATCH($A112,土地清冊_匯入!$A$6:$A$1005,0)),"查無資料"))</f>
        <v/>
      </c>
      <c r="D112" s="12">
        <f>IF($A112="","",IFERROR(INDEX(土地清冊_匯入!$P$6:$P$1005,MATCH($A112,土地清冊_匯入!$A$6:$A$1005,0)),""))</f>
        <v/>
      </c>
      <c r="E112" s="12">
        <f>IF($A112="","",IFERROR(INDEX(土地清冊_匯入!$Q$6:$Q$1005,MATCH($A112,土地清冊_匯入!$A$6:$A$1005,0)),""))</f>
        <v/>
      </c>
      <c r="F112" s="12">
        <f>IF($A112="","",IFERROR(INDEX(土地清冊_匯入!$R$6:$R$1005,MATCH($A112,土地清冊_匯入!$A$6:$A$1005,0)),""))</f>
        <v/>
      </c>
      <c r="G112" s="12">
        <f>IF($A112="","",IFERROR(INDEX(土地清冊_匯入!$S$6:$S$1005,MATCH($A112,土地清冊_匯入!$A$6:$A$1005,0)),""))</f>
        <v/>
      </c>
      <c r="H112" s="12">
        <f>IF($A112="","",IFERROR(INDEX(土地清冊_匯入!$T$6:$T$1005,MATCH($A112,土地清冊_匯入!$A$6:$A$1005,0)),""))</f>
        <v/>
      </c>
      <c r="I112" s="12">
        <f>IF($A112="","",IFERROR(INDEX(土地清冊_匯入!$V$6:$V$1005,MATCH($A112,土地清冊_匯入!$A$6:$A$1005,0)),""))</f>
        <v/>
      </c>
      <c r="J112" s="14" t="n"/>
      <c r="K112" s="7" t="n"/>
      <c r="L112" s="7" t="n"/>
      <c r="M112" s="7" t="n"/>
      <c r="N112" s="7" t="n"/>
      <c r="O112" s="7" t="n"/>
      <c r="P112" s="7" t="n"/>
      <c r="Q112" s="14" t="n"/>
      <c r="R112" s="7" t="n"/>
      <c r="S112" s="7" t="n"/>
      <c r="T112" s="7" t="n"/>
      <c r="U112" s="12">
        <f>IF(A112="","",IF(OR(J112="",L112=""),"建議補聯絡紀錄","") )</f>
        <v/>
      </c>
    </row>
    <row r="113" ht="24" customHeight="1">
      <c r="A113" s="7" t="n"/>
      <c r="B113" s="7" t="n"/>
      <c r="C113" s="12">
        <f>IF($A113="","",IFERROR(INDEX(土地清冊_匯入!$B$6:$B$1005,MATCH($A113,土地清冊_匯入!$A$6:$A$1005,0)),"查無資料"))</f>
        <v/>
      </c>
      <c r="D113" s="12">
        <f>IF($A113="","",IFERROR(INDEX(土地清冊_匯入!$P$6:$P$1005,MATCH($A113,土地清冊_匯入!$A$6:$A$1005,0)),""))</f>
        <v/>
      </c>
      <c r="E113" s="12">
        <f>IF($A113="","",IFERROR(INDEX(土地清冊_匯入!$Q$6:$Q$1005,MATCH($A113,土地清冊_匯入!$A$6:$A$1005,0)),""))</f>
        <v/>
      </c>
      <c r="F113" s="12">
        <f>IF($A113="","",IFERROR(INDEX(土地清冊_匯入!$R$6:$R$1005,MATCH($A113,土地清冊_匯入!$A$6:$A$1005,0)),""))</f>
        <v/>
      </c>
      <c r="G113" s="12">
        <f>IF($A113="","",IFERROR(INDEX(土地清冊_匯入!$S$6:$S$1005,MATCH($A113,土地清冊_匯入!$A$6:$A$1005,0)),""))</f>
        <v/>
      </c>
      <c r="H113" s="12">
        <f>IF($A113="","",IFERROR(INDEX(土地清冊_匯入!$T$6:$T$1005,MATCH($A113,土地清冊_匯入!$A$6:$A$1005,0)),""))</f>
        <v/>
      </c>
      <c r="I113" s="12">
        <f>IF($A113="","",IFERROR(INDEX(土地清冊_匯入!$V$6:$V$1005,MATCH($A113,土地清冊_匯入!$A$6:$A$1005,0)),""))</f>
        <v/>
      </c>
      <c r="J113" s="14" t="n"/>
      <c r="K113" s="7" t="n"/>
      <c r="L113" s="7" t="n"/>
      <c r="M113" s="7" t="n"/>
      <c r="N113" s="7" t="n"/>
      <c r="O113" s="7" t="n"/>
      <c r="P113" s="7" t="n"/>
      <c r="Q113" s="14" t="n"/>
      <c r="R113" s="7" t="n"/>
      <c r="S113" s="7" t="n"/>
      <c r="T113" s="7" t="n"/>
      <c r="U113" s="12">
        <f>IF(A113="","",IF(OR(J113="",L113=""),"建議補聯絡紀錄","") )</f>
        <v/>
      </c>
    </row>
    <row r="114" ht="24" customHeight="1">
      <c r="A114" s="7" t="n"/>
      <c r="B114" s="7" t="n"/>
      <c r="C114" s="12">
        <f>IF($A114="","",IFERROR(INDEX(土地清冊_匯入!$B$6:$B$1005,MATCH($A114,土地清冊_匯入!$A$6:$A$1005,0)),"查無資料"))</f>
        <v/>
      </c>
      <c r="D114" s="12">
        <f>IF($A114="","",IFERROR(INDEX(土地清冊_匯入!$P$6:$P$1005,MATCH($A114,土地清冊_匯入!$A$6:$A$1005,0)),""))</f>
        <v/>
      </c>
      <c r="E114" s="12">
        <f>IF($A114="","",IFERROR(INDEX(土地清冊_匯入!$Q$6:$Q$1005,MATCH($A114,土地清冊_匯入!$A$6:$A$1005,0)),""))</f>
        <v/>
      </c>
      <c r="F114" s="12">
        <f>IF($A114="","",IFERROR(INDEX(土地清冊_匯入!$R$6:$R$1005,MATCH($A114,土地清冊_匯入!$A$6:$A$1005,0)),""))</f>
        <v/>
      </c>
      <c r="G114" s="12">
        <f>IF($A114="","",IFERROR(INDEX(土地清冊_匯入!$S$6:$S$1005,MATCH($A114,土地清冊_匯入!$A$6:$A$1005,0)),""))</f>
        <v/>
      </c>
      <c r="H114" s="12">
        <f>IF($A114="","",IFERROR(INDEX(土地清冊_匯入!$T$6:$T$1005,MATCH($A114,土地清冊_匯入!$A$6:$A$1005,0)),""))</f>
        <v/>
      </c>
      <c r="I114" s="12">
        <f>IF($A114="","",IFERROR(INDEX(土地清冊_匯入!$V$6:$V$1005,MATCH($A114,土地清冊_匯入!$A$6:$A$1005,0)),""))</f>
        <v/>
      </c>
      <c r="J114" s="14" t="n"/>
      <c r="K114" s="7" t="n"/>
      <c r="L114" s="7" t="n"/>
      <c r="M114" s="7" t="n"/>
      <c r="N114" s="7" t="n"/>
      <c r="O114" s="7" t="n"/>
      <c r="P114" s="7" t="n"/>
      <c r="Q114" s="14" t="n"/>
      <c r="R114" s="7" t="n"/>
      <c r="S114" s="7" t="n"/>
      <c r="T114" s="7" t="n"/>
      <c r="U114" s="12">
        <f>IF(A114="","",IF(OR(J114="",L114=""),"建議補聯絡紀錄","") )</f>
        <v/>
      </c>
    </row>
    <row r="115" ht="24" customHeight="1">
      <c r="A115" s="7" t="n"/>
      <c r="B115" s="7" t="n"/>
      <c r="C115" s="12">
        <f>IF($A115="","",IFERROR(INDEX(土地清冊_匯入!$B$6:$B$1005,MATCH($A115,土地清冊_匯入!$A$6:$A$1005,0)),"查無資料"))</f>
        <v/>
      </c>
      <c r="D115" s="12">
        <f>IF($A115="","",IFERROR(INDEX(土地清冊_匯入!$P$6:$P$1005,MATCH($A115,土地清冊_匯入!$A$6:$A$1005,0)),""))</f>
        <v/>
      </c>
      <c r="E115" s="12">
        <f>IF($A115="","",IFERROR(INDEX(土地清冊_匯入!$Q$6:$Q$1005,MATCH($A115,土地清冊_匯入!$A$6:$A$1005,0)),""))</f>
        <v/>
      </c>
      <c r="F115" s="12">
        <f>IF($A115="","",IFERROR(INDEX(土地清冊_匯入!$R$6:$R$1005,MATCH($A115,土地清冊_匯入!$A$6:$A$1005,0)),""))</f>
        <v/>
      </c>
      <c r="G115" s="12">
        <f>IF($A115="","",IFERROR(INDEX(土地清冊_匯入!$S$6:$S$1005,MATCH($A115,土地清冊_匯入!$A$6:$A$1005,0)),""))</f>
        <v/>
      </c>
      <c r="H115" s="12">
        <f>IF($A115="","",IFERROR(INDEX(土地清冊_匯入!$T$6:$T$1005,MATCH($A115,土地清冊_匯入!$A$6:$A$1005,0)),""))</f>
        <v/>
      </c>
      <c r="I115" s="12">
        <f>IF($A115="","",IFERROR(INDEX(土地清冊_匯入!$V$6:$V$1005,MATCH($A115,土地清冊_匯入!$A$6:$A$1005,0)),""))</f>
        <v/>
      </c>
      <c r="J115" s="14" t="n"/>
      <c r="K115" s="7" t="n"/>
      <c r="L115" s="7" t="n"/>
      <c r="M115" s="7" t="n"/>
      <c r="N115" s="7" t="n"/>
      <c r="O115" s="7" t="n"/>
      <c r="P115" s="7" t="n"/>
      <c r="Q115" s="14" t="n"/>
      <c r="R115" s="7" t="n"/>
      <c r="S115" s="7" t="n"/>
      <c r="T115" s="7" t="n"/>
      <c r="U115" s="12">
        <f>IF(A115="","",IF(OR(J115="",L115=""),"建議補聯絡紀錄","") )</f>
        <v/>
      </c>
    </row>
    <row r="116" ht="24" customHeight="1">
      <c r="A116" s="7" t="n"/>
      <c r="B116" s="7" t="n"/>
      <c r="C116" s="12">
        <f>IF($A116="","",IFERROR(INDEX(土地清冊_匯入!$B$6:$B$1005,MATCH($A116,土地清冊_匯入!$A$6:$A$1005,0)),"查無資料"))</f>
        <v/>
      </c>
      <c r="D116" s="12">
        <f>IF($A116="","",IFERROR(INDEX(土地清冊_匯入!$P$6:$P$1005,MATCH($A116,土地清冊_匯入!$A$6:$A$1005,0)),""))</f>
        <v/>
      </c>
      <c r="E116" s="12">
        <f>IF($A116="","",IFERROR(INDEX(土地清冊_匯入!$Q$6:$Q$1005,MATCH($A116,土地清冊_匯入!$A$6:$A$1005,0)),""))</f>
        <v/>
      </c>
      <c r="F116" s="12">
        <f>IF($A116="","",IFERROR(INDEX(土地清冊_匯入!$R$6:$R$1005,MATCH($A116,土地清冊_匯入!$A$6:$A$1005,0)),""))</f>
        <v/>
      </c>
      <c r="G116" s="12">
        <f>IF($A116="","",IFERROR(INDEX(土地清冊_匯入!$S$6:$S$1005,MATCH($A116,土地清冊_匯入!$A$6:$A$1005,0)),""))</f>
        <v/>
      </c>
      <c r="H116" s="12">
        <f>IF($A116="","",IFERROR(INDEX(土地清冊_匯入!$T$6:$T$1005,MATCH($A116,土地清冊_匯入!$A$6:$A$1005,0)),""))</f>
        <v/>
      </c>
      <c r="I116" s="12">
        <f>IF($A116="","",IFERROR(INDEX(土地清冊_匯入!$V$6:$V$1005,MATCH($A116,土地清冊_匯入!$A$6:$A$1005,0)),""))</f>
        <v/>
      </c>
      <c r="J116" s="14" t="n"/>
      <c r="K116" s="7" t="n"/>
      <c r="L116" s="7" t="n"/>
      <c r="M116" s="7" t="n"/>
      <c r="N116" s="7" t="n"/>
      <c r="O116" s="7" t="n"/>
      <c r="P116" s="7" t="n"/>
      <c r="Q116" s="14" t="n"/>
      <c r="R116" s="7" t="n"/>
      <c r="S116" s="7" t="n"/>
      <c r="T116" s="7" t="n"/>
      <c r="U116" s="12">
        <f>IF(A116="","",IF(OR(J116="",L116=""),"建議補聯絡紀錄","") )</f>
        <v/>
      </c>
    </row>
    <row r="117" ht="24" customHeight="1">
      <c r="A117" s="7" t="n"/>
      <c r="B117" s="7" t="n"/>
      <c r="C117" s="12">
        <f>IF($A117="","",IFERROR(INDEX(土地清冊_匯入!$B$6:$B$1005,MATCH($A117,土地清冊_匯入!$A$6:$A$1005,0)),"查無資料"))</f>
        <v/>
      </c>
      <c r="D117" s="12">
        <f>IF($A117="","",IFERROR(INDEX(土地清冊_匯入!$P$6:$P$1005,MATCH($A117,土地清冊_匯入!$A$6:$A$1005,0)),""))</f>
        <v/>
      </c>
      <c r="E117" s="12">
        <f>IF($A117="","",IFERROR(INDEX(土地清冊_匯入!$Q$6:$Q$1005,MATCH($A117,土地清冊_匯入!$A$6:$A$1005,0)),""))</f>
        <v/>
      </c>
      <c r="F117" s="12">
        <f>IF($A117="","",IFERROR(INDEX(土地清冊_匯入!$R$6:$R$1005,MATCH($A117,土地清冊_匯入!$A$6:$A$1005,0)),""))</f>
        <v/>
      </c>
      <c r="G117" s="12">
        <f>IF($A117="","",IFERROR(INDEX(土地清冊_匯入!$S$6:$S$1005,MATCH($A117,土地清冊_匯入!$A$6:$A$1005,0)),""))</f>
        <v/>
      </c>
      <c r="H117" s="12">
        <f>IF($A117="","",IFERROR(INDEX(土地清冊_匯入!$T$6:$T$1005,MATCH($A117,土地清冊_匯入!$A$6:$A$1005,0)),""))</f>
        <v/>
      </c>
      <c r="I117" s="12">
        <f>IF($A117="","",IFERROR(INDEX(土地清冊_匯入!$V$6:$V$1005,MATCH($A117,土地清冊_匯入!$A$6:$A$1005,0)),""))</f>
        <v/>
      </c>
      <c r="J117" s="14" t="n"/>
      <c r="K117" s="7" t="n"/>
      <c r="L117" s="7" t="n"/>
      <c r="M117" s="7" t="n"/>
      <c r="N117" s="7" t="n"/>
      <c r="O117" s="7" t="n"/>
      <c r="P117" s="7" t="n"/>
      <c r="Q117" s="14" t="n"/>
      <c r="R117" s="7" t="n"/>
      <c r="S117" s="7" t="n"/>
      <c r="T117" s="7" t="n"/>
      <c r="U117" s="12">
        <f>IF(A117="","",IF(OR(J117="",L117=""),"建議補聯絡紀錄","") )</f>
        <v/>
      </c>
    </row>
    <row r="118" ht="24" customHeight="1">
      <c r="A118" s="7" t="n"/>
      <c r="B118" s="7" t="n"/>
      <c r="C118" s="12">
        <f>IF($A118="","",IFERROR(INDEX(土地清冊_匯入!$B$6:$B$1005,MATCH($A118,土地清冊_匯入!$A$6:$A$1005,0)),"查無資料"))</f>
        <v/>
      </c>
      <c r="D118" s="12">
        <f>IF($A118="","",IFERROR(INDEX(土地清冊_匯入!$P$6:$P$1005,MATCH($A118,土地清冊_匯入!$A$6:$A$1005,0)),""))</f>
        <v/>
      </c>
      <c r="E118" s="12">
        <f>IF($A118="","",IFERROR(INDEX(土地清冊_匯入!$Q$6:$Q$1005,MATCH($A118,土地清冊_匯入!$A$6:$A$1005,0)),""))</f>
        <v/>
      </c>
      <c r="F118" s="12">
        <f>IF($A118="","",IFERROR(INDEX(土地清冊_匯入!$R$6:$R$1005,MATCH($A118,土地清冊_匯入!$A$6:$A$1005,0)),""))</f>
        <v/>
      </c>
      <c r="G118" s="12">
        <f>IF($A118="","",IFERROR(INDEX(土地清冊_匯入!$S$6:$S$1005,MATCH($A118,土地清冊_匯入!$A$6:$A$1005,0)),""))</f>
        <v/>
      </c>
      <c r="H118" s="12">
        <f>IF($A118="","",IFERROR(INDEX(土地清冊_匯入!$T$6:$T$1005,MATCH($A118,土地清冊_匯入!$A$6:$A$1005,0)),""))</f>
        <v/>
      </c>
      <c r="I118" s="12">
        <f>IF($A118="","",IFERROR(INDEX(土地清冊_匯入!$V$6:$V$1005,MATCH($A118,土地清冊_匯入!$A$6:$A$1005,0)),""))</f>
        <v/>
      </c>
      <c r="J118" s="14" t="n"/>
      <c r="K118" s="7" t="n"/>
      <c r="L118" s="7" t="n"/>
      <c r="M118" s="7" t="n"/>
      <c r="N118" s="7" t="n"/>
      <c r="O118" s="7" t="n"/>
      <c r="P118" s="7" t="n"/>
      <c r="Q118" s="14" t="n"/>
      <c r="R118" s="7" t="n"/>
      <c r="S118" s="7" t="n"/>
      <c r="T118" s="7" t="n"/>
      <c r="U118" s="12">
        <f>IF(A118="","",IF(OR(J118="",L118=""),"建議補聯絡紀錄","") )</f>
        <v/>
      </c>
    </row>
    <row r="119" ht="24" customHeight="1">
      <c r="A119" s="7" t="n"/>
      <c r="B119" s="7" t="n"/>
      <c r="C119" s="12">
        <f>IF($A119="","",IFERROR(INDEX(土地清冊_匯入!$B$6:$B$1005,MATCH($A119,土地清冊_匯入!$A$6:$A$1005,0)),"查無資料"))</f>
        <v/>
      </c>
      <c r="D119" s="12">
        <f>IF($A119="","",IFERROR(INDEX(土地清冊_匯入!$P$6:$P$1005,MATCH($A119,土地清冊_匯入!$A$6:$A$1005,0)),""))</f>
        <v/>
      </c>
      <c r="E119" s="12">
        <f>IF($A119="","",IFERROR(INDEX(土地清冊_匯入!$Q$6:$Q$1005,MATCH($A119,土地清冊_匯入!$A$6:$A$1005,0)),""))</f>
        <v/>
      </c>
      <c r="F119" s="12">
        <f>IF($A119="","",IFERROR(INDEX(土地清冊_匯入!$R$6:$R$1005,MATCH($A119,土地清冊_匯入!$A$6:$A$1005,0)),""))</f>
        <v/>
      </c>
      <c r="G119" s="12">
        <f>IF($A119="","",IFERROR(INDEX(土地清冊_匯入!$S$6:$S$1005,MATCH($A119,土地清冊_匯入!$A$6:$A$1005,0)),""))</f>
        <v/>
      </c>
      <c r="H119" s="12">
        <f>IF($A119="","",IFERROR(INDEX(土地清冊_匯入!$T$6:$T$1005,MATCH($A119,土地清冊_匯入!$A$6:$A$1005,0)),""))</f>
        <v/>
      </c>
      <c r="I119" s="12">
        <f>IF($A119="","",IFERROR(INDEX(土地清冊_匯入!$V$6:$V$1005,MATCH($A119,土地清冊_匯入!$A$6:$A$1005,0)),""))</f>
        <v/>
      </c>
      <c r="J119" s="14" t="n"/>
      <c r="K119" s="7" t="n"/>
      <c r="L119" s="7" t="n"/>
      <c r="M119" s="7" t="n"/>
      <c r="N119" s="7" t="n"/>
      <c r="O119" s="7" t="n"/>
      <c r="P119" s="7" t="n"/>
      <c r="Q119" s="14" t="n"/>
      <c r="R119" s="7" t="n"/>
      <c r="S119" s="7" t="n"/>
      <c r="T119" s="7" t="n"/>
      <c r="U119" s="12">
        <f>IF(A119="","",IF(OR(J119="",L119=""),"建議補聯絡紀錄","") )</f>
        <v/>
      </c>
    </row>
    <row r="120" ht="24" customHeight="1">
      <c r="A120" s="7" t="n"/>
      <c r="B120" s="7" t="n"/>
      <c r="C120" s="12">
        <f>IF($A120="","",IFERROR(INDEX(土地清冊_匯入!$B$6:$B$1005,MATCH($A120,土地清冊_匯入!$A$6:$A$1005,0)),"查無資料"))</f>
        <v/>
      </c>
      <c r="D120" s="12">
        <f>IF($A120="","",IFERROR(INDEX(土地清冊_匯入!$P$6:$P$1005,MATCH($A120,土地清冊_匯入!$A$6:$A$1005,0)),""))</f>
        <v/>
      </c>
      <c r="E120" s="12">
        <f>IF($A120="","",IFERROR(INDEX(土地清冊_匯入!$Q$6:$Q$1005,MATCH($A120,土地清冊_匯入!$A$6:$A$1005,0)),""))</f>
        <v/>
      </c>
      <c r="F120" s="12">
        <f>IF($A120="","",IFERROR(INDEX(土地清冊_匯入!$R$6:$R$1005,MATCH($A120,土地清冊_匯入!$A$6:$A$1005,0)),""))</f>
        <v/>
      </c>
      <c r="G120" s="12">
        <f>IF($A120="","",IFERROR(INDEX(土地清冊_匯入!$S$6:$S$1005,MATCH($A120,土地清冊_匯入!$A$6:$A$1005,0)),""))</f>
        <v/>
      </c>
      <c r="H120" s="12">
        <f>IF($A120="","",IFERROR(INDEX(土地清冊_匯入!$T$6:$T$1005,MATCH($A120,土地清冊_匯入!$A$6:$A$1005,0)),""))</f>
        <v/>
      </c>
      <c r="I120" s="12">
        <f>IF($A120="","",IFERROR(INDEX(土地清冊_匯入!$V$6:$V$1005,MATCH($A120,土地清冊_匯入!$A$6:$A$1005,0)),""))</f>
        <v/>
      </c>
      <c r="J120" s="14" t="n"/>
      <c r="K120" s="7" t="n"/>
      <c r="L120" s="7" t="n"/>
      <c r="M120" s="7" t="n"/>
      <c r="N120" s="7" t="n"/>
      <c r="O120" s="7" t="n"/>
      <c r="P120" s="7" t="n"/>
      <c r="Q120" s="14" t="n"/>
      <c r="R120" s="7" t="n"/>
      <c r="S120" s="7" t="n"/>
      <c r="T120" s="7" t="n"/>
      <c r="U120" s="12">
        <f>IF(A120="","",IF(OR(J120="",L120=""),"建議補聯絡紀錄","") )</f>
        <v/>
      </c>
    </row>
    <row r="121" ht="24" customHeight="1">
      <c r="A121" s="7" t="n"/>
      <c r="B121" s="7" t="n"/>
      <c r="C121" s="12">
        <f>IF($A121="","",IFERROR(INDEX(土地清冊_匯入!$B$6:$B$1005,MATCH($A121,土地清冊_匯入!$A$6:$A$1005,0)),"查無資料"))</f>
        <v/>
      </c>
      <c r="D121" s="12">
        <f>IF($A121="","",IFERROR(INDEX(土地清冊_匯入!$P$6:$P$1005,MATCH($A121,土地清冊_匯入!$A$6:$A$1005,0)),""))</f>
        <v/>
      </c>
      <c r="E121" s="12">
        <f>IF($A121="","",IFERROR(INDEX(土地清冊_匯入!$Q$6:$Q$1005,MATCH($A121,土地清冊_匯入!$A$6:$A$1005,0)),""))</f>
        <v/>
      </c>
      <c r="F121" s="12">
        <f>IF($A121="","",IFERROR(INDEX(土地清冊_匯入!$R$6:$R$1005,MATCH($A121,土地清冊_匯入!$A$6:$A$1005,0)),""))</f>
        <v/>
      </c>
      <c r="G121" s="12">
        <f>IF($A121="","",IFERROR(INDEX(土地清冊_匯入!$S$6:$S$1005,MATCH($A121,土地清冊_匯入!$A$6:$A$1005,0)),""))</f>
        <v/>
      </c>
      <c r="H121" s="12">
        <f>IF($A121="","",IFERROR(INDEX(土地清冊_匯入!$T$6:$T$1005,MATCH($A121,土地清冊_匯入!$A$6:$A$1005,0)),""))</f>
        <v/>
      </c>
      <c r="I121" s="12">
        <f>IF($A121="","",IFERROR(INDEX(土地清冊_匯入!$V$6:$V$1005,MATCH($A121,土地清冊_匯入!$A$6:$A$1005,0)),""))</f>
        <v/>
      </c>
      <c r="J121" s="14" t="n"/>
      <c r="K121" s="7" t="n"/>
      <c r="L121" s="7" t="n"/>
      <c r="M121" s="7" t="n"/>
      <c r="N121" s="7" t="n"/>
      <c r="O121" s="7" t="n"/>
      <c r="P121" s="7" t="n"/>
      <c r="Q121" s="14" t="n"/>
      <c r="R121" s="7" t="n"/>
      <c r="S121" s="7" t="n"/>
      <c r="T121" s="7" t="n"/>
      <c r="U121" s="12">
        <f>IF(A121="","",IF(OR(J121="",L121=""),"建議補聯絡紀錄","") )</f>
        <v/>
      </c>
    </row>
    <row r="122" ht="24" customHeight="1">
      <c r="A122" s="7" t="n"/>
      <c r="B122" s="7" t="n"/>
      <c r="C122" s="12">
        <f>IF($A122="","",IFERROR(INDEX(土地清冊_匯入!$B$6:$B$1005,MATCH($A122,土地清冊_匯入!$A$6:$A$1005,0)),"查無資料"))</f>
        <v/>
      </c>
      <c r="D122" s="12">
        <f>IF($A122="","",IFERROR(INDEX(土地清冊_匯入!$P$6:$P$1005,MATCH($A122,土地清冊_匯入!$A$6:$A$1005,0)),""))</f>
        <v/>
      </c>
      <c r="E122" s="12">
        <f>IF($A122="","",IFERROR(INDEX(土地清冊_匯入!$Q$6:$Q$1005,MATCH($A122,土地清冊_匯入!$A$6:$A$1005,0)),""))</f>
        <v/>
      </c>
      <c r="F122" s="12">
        <f>IF($A122="","",IFERROR(INDEX(土地清冊_匯入!$R$6:$R$1005,MATCH($A122,土地清冊_匯入!$A$6:$A$1005,0)),""))</f>
        <v/>
      </c>
      <c r="G122" s="12">
        <f>IF($A122="","",IFERROR(INDEX(土地清冊_匯入!$S$6:$S$1005,MATCH($A122,土地清冊_匯入!$A$6:$A$1005,0)),""))</f>
        <v/>
      </c>
      <c r="H122" s="12">
        <f>IF($A122="","",IFERROR(INDEX(土地清冊_匯入!$T$6:$T$1005,MATCH($A122,土地清冊_匯入!$A$6:$A$1005,0)),""))</f>
        <v/>
      </c>
      <c r="I122" s="12">
        <f>IF($A122="","",IFERROR(INDEX(土地清冊_匯入!$V$6:$V$1005,MATCH($A122,土地清冊_匯入!$A$6:$A$1005,0)),""))</f>
        <v/>
      </c>
      <c r="J122" s="14" t="n"/>
      <c r="K122" s="7" t="n"/>
      <c r="L122" s="7" t="n"/>
      <c r="M122" s="7" t="n"/>
      <c r="N122" s="7" t="n"/>
      <c r="O122" s="7" t="n"/>
      <c r="P122" s="7" t="n"/>
      <c r="Q122" s="14" t="n"/>
      <c r="R122" s="7" t="n"/>
      <c r="S122" s="7" t="n"/>
      <c r="T122" s="7" t="n"/>
      <c r="U122" s="12">
        <f>IF(A122="","",IF(OR(J122="",L122=""),"建議補聯絡紀錄","") )</f>
        <v/>
      </c>
    </row>
    <row r="123" ht="24" customHeight="1">
      <c r="A123" s="7" t="n"/>
      <c r="B123" s="7" t="n"/>
      <c r="C123" s="12">
        <f>IF($A123="","",IFERROR(INDEX(土地清冊_匯入!$B$6:$B$1005,MATCH($A123,土地清冊_匯入!$A$6:$A$1005,0)),"查無資料"))</f>
        <v/>
      </c>
      <c r="D123" s="12">
        <f>IF($A123="","",IFERROR(INDEX(土地清冊_匯入!$P$6:$P$1005,MATCH($A123,土地清冊_匯入!$A$6:$A$1005,0)),""))</f>
        <v/>
      </c>
      <c r="E123" s="12">
        <f>IF($A123="","",IFERROR(INDEX(土地清冊_匯入!$Q$6:$Q$1005,MATCH($A123,土地清冊_匯入!$A$6:$A$1005,0)),""))</f>
        <v/>
      </c>
      <c r="F123" s="12">
        <f>IF($A123="","",IFERROR(INDEX(土地清冊_匯入!$R$6:$R$1005,MATCH($A123,土地清冊_匯入!$A$6:$A$1005,0)),""))</f>
        <v/>
      </c>
      <c r="G123" s="12">
        <f>IF($A123="","",IFERROR(INDEX(土地清冊_匯入!$S$6:$S$1005,MATCH($A123,土地清冊_匯入!$A$6:$A$1005,0)),""))</f>
        <v/>
      </c>
      <c r="H123" s="12">
        <f>IF($A123="","",IFERROR(INDEX(土地清冊_匯入!$T$6:$T$1005,MATCH($A123,土地清冊_匯入!$A$6:$A$1005,0)),""))</f>
        <v/>
      </c>
      <c r="I123" s="12">
        <f>IF($A123="","",IFERROR(INDEX(土地清冊_匯入!$V$6:$V$1005,MATCH($A123,土地清冊_匯入!$A$6:$A$1005,0)),""))</f>
        <v/>
      </c>
      <c r="J123" s="14" t="n"/>
      <c r="K123" s="7" t="n"/>
      <c r="L123" s="7" t="n"/>
      <c r="M123" s="7" t="n"/>
      <c r="N123" s="7" t="n"/>
      <c r="O123" s="7" t="n"/>
      <c r="P123" s="7" t="n"/>
      <c r="Q123" s="14" t="n"/>
      <c r="R123" s="7" t="n"/>
      <c r="S123" s="7" t="n"/>
      <c r="T123" s="7" t="n"/>
      <c r="U123" s="12">
        <f>IF(A123="","",IF(OR(J123="",L123=""),"建議補聯絡紀錄","") )</f>
        <v/>
      </c>
    </row>
    <row r="124" ht="24" customHeight="1">
      <c r="A124" s="7" t="n"/>
      <c r="B124" s="7" t="n"/>
      <c r="C124" s="12">
        <f>IF($A124="","",IFERROR(INDEX(土地清冊_匯入!$B$6:$B$1005,MATCH($A124,土地清冊_匯入!$A$6:$A$1005,0)),"查無資料"))</f>
        <v/>
      </c>
      <c r="D124" s="12">
        <f>IF($A124="","",IFERROR(INDEX(土地清冊_匯入!$P$6:$P$1005,MATCH($A124,土地清冊_匯入!$A$6:$A$1005,0)),""))</f>
        <v/>
      </c>
      <c r="E124" s="12">
        <f>IF($A124="","",IFERROR(INDEX(土地清冊_匯入!$Q$6:$Q$1005,MATCH($A124,土地清冊_匯入!$A$6:$A$1005,0)),""))</f>
        <v/>
      </c>
      <c r="F124" s="12">
        <f>IF($A124="","",IFERROR(INDEX(土地清冊_匯入!$R$6:$R$1005,MATCH($A124,土地清冊_匯入!$A$6:$A$1005,0)),""))</f>
        <v/>
      </c>
      <c r="G124" s="12">
        <f>IF($A124="","",IFERROR(INDEX(土地清冊_匯入!$S$6:$S$1005,MATCH($A124,土地清冊_匯入!$A$6:$A$1005,0)),""))</f>
        <v/>
      </c>
      <c r="H124" s="12">
        <f>IF($A124="","",IFERROR(INDEX(土地清冊_匯入!$T$6:$T$1005,MATCH($A124,土地清冊_匯入!$A$6:$A$1005,0)),""))</f>
        <v/>
      </c>
      <c r="I124" s="12">
        <f>IF($A124="","",IFERROR(INDEX(土地清冊_匯入!$V$6:$V$1005,MATCH($A124,土地清冊_匯入!$A$6:$A$1005,0)),""))</f>
        <v/>
      </c>
      <c r="J124" s="14" t="n"/>
      <c r="K124" s="7" t="n"/>
      <c r="L124" s="7" t="n"/>
      <c r="M124" s="7" t="n"/>
      <c r="N124" s="7" t="n"/>
      <c r="O124" s="7" t="n"/>
      <c r="P124" s="7" t="n"/>
      <c r="Q124" s="14" t="n"/>
      <c r="R124" s="7" t="n"/>
      <c r="S124" s="7" t="n"/>
      <c r="T124" s="7" t="n"/>
      <c r="U124" s="12">
        <f>IF(A124="","",IF(OR(J124="",L124=""),"建議補聯絡紀錄","") )</f>
        <v/>
      </c>
    </row>
    <row r="125" ht="24" customHeight="1">
      <c r="A125" s="7" t="n"/>
      <c r="B125" s="7" t="n"/>
      <c r="C125" s="12">
        <f>IF($A125="","",IFERROR(INDEX(土地清冊_匯入!$B$6:$B$1005,MATCH($A125,土地清冊_匯入!$A$6:$A$1005,0)),"查無資料"))</f>
        <v/>
      </c>
      <c r="D125" s="12">
        <f>IF($A125="","",IFERROR(INDEX(土地清冊_匯入!$P$6:$P$1005,MATCH($A125,土地清冊_匯入!$A$6:$A$1005,0)),""))</f>
        <v/>
      </c>
      <c r="E125" s="12">
        <f>IF($A125="","",IFERROR(INDEX(土地清冊_匯入!$Q$6:$Q$1005,MATCH($A125,土地清冊_匯入!$A$6:$A$1005,0)),""))</f>
        <v/>
      </c>
      <c r="F125" s="12">
        <f>IF($A125="","",IFERROR(INDEX(土地清冊_匯入!$R$6:$R$1005,MATCH($A125,土地清冊_匯入!$A$6:$A$1005,0)),""))</f>
        <v/>
      </c>
      <c r="G125" s="12">
        <f>IF($A125="","",IFERROR(INDEX(土地清冊_匯入!$S$6:$S$1005,MATCH($A125,土地清冊_匯入!$A$6:$A$1005,0)),""))</f>
        <v/>
      </c>
      <c r="H125" s="12">
        <f>IF($A125="","",IFERROR(INDEX(土地清冊_匯入!$T$6:$T$1005,MATCH($A125,土地清冊_匯入!$A$6:$A$1005,0)),""))</f>
        <v/>
      </c>
      <c r="I125" s="12">
        <f>IF($A125="","",IFERROR(INDEX(土地清冊_匯入!$V$6:$V$1005,MATCH($A125,土地清冊_匯入!$A$6:$A$1005,0)),""))</f>
        <v/>
      </c>
      <c r="J125" s="14" t="n"/>
      <c r="K125" s="7" t="n"/>
      <c r="L125" s="7" t="n"/>
      <c r="M125" s="7" t="n"/>
      <c r="N125" s="7" t="n"/>
      <c r="O125" s="7" t="n"/>
      <c r="P125" s="7" t="n"/>
      <c r="Q125" s="14" t="n"/>
      <c r="R125" s="7" t="n"/>
      <c r="S125" s="7" t="n"/>
      <c r="T125" s="7" t="n"/>
      <c r="U125" s="12">
        <f>IF(A125="","",IF(OR(J125="",L125=""),"建議補聯絡紀錄","") )</f>
        <v/>
      </c>
    </row>
    <row r="126" ht="24" customHeight="1">
      <c r="A126" s="7" t="n"/>
      <c r="B126" s="7" t="n"/>
      <c r="C126" s="12">
        <f>IF($A126="","",IFERROR(INDEX(土地清冊_匯入!$B$6:$B$1005,MATCH($A126,土地清冊_匯入!$A$6:$A$1005,0)),"查無資料"))</f>
        <v/>
      </c>
      <c r="D126" s="12">
        <f>IF($A126="","",IFERROR(INDEX(土地清冊_匯入!$P$6:$P$1005,MATCH($A126,土地清冊_匯入!$A$6:$A$1005,0)),""))</f>
        <v/>
      </c>
      <c r="E126" s="12">
        <f>IF($A126="","",IFERROR(INDEX(土地清冊_匯入!$Q$6:$Q$1005,MATCH($A126,土地清冊_匯入!$A$6:$A$1005,0)),""))</f>
        <v/>
      </c>
      <c r="F126" s="12">
        <f>IF($A126="","",IFERROR(INDEX(土地清冊_匯入!$R$6:$R$1005,MATCH($A126,土地清冊_匯入!$A$6:$A$1005,0)),""))</f>
        <v/>
      </c>
      <c r="G126" s="12">
        <f>IF($A126="","",IFERROR(INDEX(土地清冊_匯入!$S$6:$S$1005,MATCH($A126,土地清冊_匯入!$A$6:$A$1005,0)),""))</f>
        <v/>
      </c>
      <c r="H126" s="12">
        <f>IF($A126="","",IFERROR(INDEX(土地清冊_匯入!$T$6:$T$1005,MATCH($A126,土地清冊_匯入!$A$6:$A$1005,0)),""))</f>
        <v/>
      </c>
      <c r="I126" s="12">
        <f>IF($A126="","",IFERROR(INDEX(土地清冊_匯入!$V$6:$V$1005,MATCH($A126,土地清冊_匯入!$A$6:$A$1005,0)),""))</f>
        <v/>
      </c>
      <c r="J126" s="14" t="n"/>
      <c r="K126" s="7" t="n"/>
      <c r="L126" s="7" t="n"/>
      <c r="M126" s="7" t="n"/>
      <c r="N126" s="7" t="n"/>
      <c r="O126" s="7" t="n"/>
      <c r="P126" s="7" t="n"/>
      <c r="Q126" s="14" t="n"/>
      <c r="R126" s="7" t="n"/>
      <c r="S126" s="7" t="n"/>
      <c r="T126" s="7" t="n"/>
      <c r="U126" s="12">
        <f>IF(A126="","",IF(OR(J126="",L126=""),"建議補聯絡紀錄","") )</f>
        <v/>
      </c>
    </row>
    <row r="127" ht="24" customHeight="1">
      <c r="A127" s="7" t="n"/>
      <c r="B127" s="7" t="n"/>
      <c r="C127" s="12">
        <f>IF($A127="","",IFERROR(INDEX(土地清冊_匯入!$B$6:$B$1005,MATCH($A127,土地清冊_匯入!$A$6:$A$1005,0)),"查無資料"))</f>
        <v/>
      </c>
      <c r="D127" s="12">
        <f>IF($A127="","",IFERROR(INDEX(土地清冊_匯入!$P$6:$P$1005,MATCH($A127,土地清冊_匯入!$A$6:$A$1005,0)),""))</f>
        <v/>
      </c>
      <c r="E127" s="12">
        <f>IF($A127="","",IFERROR(INDEX(土地清冊_匯入!$Q$6:$Q$1005,MATCH($A127,土地清冊_匯入!$A$6:$A$1005,0)),""))</f>
        <v/>
      </c>
      <c r="F127" s="12">
        <f>IF($A127="","",IFERROR(INDEX(土地清冊_匯入!$R$6:$R$1005,MATCH($A127,土地清冊_匯入!$A$6:$A$1005,0)),""))</f>
        <v/>
      </c>
      <c r="G127" s="12">
        <f>IF($A127="","",IFERROR(INDEX(土地清冊_匯入!$S$6:$S$1005,MATCH($A127,土地清冊_匯入!$A$6:$A$1005,0)),""))</f>
        <v/>
      </c>
      <c r="H127" s="12">
        <f>IF($A127="","",IFERROR(INDEX(土地清冊_匯入!$T$6:$T$1005,MATCH($A127,土地清冊_匯入!$A$6:$A$1005,0)),""))</f>
        <v/>
      </c>
      <c r="I127" s="12">
        <f>IF($A127="","",IFERROR(INDEX(土地清冊_匯入!$V$6:$V$1005,MATCH($A127,土地清冊_匯入!$A$6:$A$1005,0)),""))</f>
        <v/>
      </c>
      <c r="J127" s="14" t="n"/>
      <c r="K127" s="7" t="n"/>
      <c r="L127" s="7" t="n"/>
      <c r="M127" s="7" t="n"/>
      <c r="N127" s="7" t="n"/>
      <c r="O127" s="7" t="n"/>
      <c r="P127" s="7" t="n"/>
      <c r="Q127" s="14" t="n"/>
      <c r="R127" s="7" t="n"/>
      <c r="S127" s="7" t="n"/>
      <c r="T127" s="7" t="n"/>
      <c r="U127" s="12">
        <f>IF(A127="","",IF(OR(J127="",L127=""),"建議補聯絡紀錄","") )</f>
        <v/>
      </c>
    </row>
    <row r="128" ht="24" customHeight="1">
      <c r="A128" s="7" t="n"/>
      <c r="B128" s="7" t="n"/>
      <c r="C128" s="12">
        <f>IF($A128="","",IFERROR(INDEX(土地清冊_匯入!$B$6:$B$1005,MATCH($A128,土地清冊_匯入!$A$6:$A$1005,0)),"查無資料"))</f>
        <v/>
      </c>
      <c r="D128" s="12">
        <f>IF($A128="","",IFERROR(INDEX(土地清冊_匯入!$P$6:$P$1005,MATCH($A128,土地清冊_匯入!$A$6:$A$1005,0)),""))</f>
        <v/>
      </c>
      <c r="E128" s="12">
        <f>IF($A128="","",IFERROR(INDEX(土地清冊_匯入!$Q$6:$Q$1005,MATCH($A128,土地清冊_匯入!$A$6:$A$1005,0)),""))</f>
        <v/>
      </c>
      <c r="F128" s="12">
        <f>IF($A128="","",IFERROR(INDEX(土地清冊_匯入!$R$6:$R$1005,MATCH($A128,土地清冊_匯入!$A$6:$A$1005,0)),""))</f>
        <v/>
      </c>
      <c r="G128" s="12">
        <f>IF($A128="","",IFERROR(INDEX(土地清冊_匯入!$S$6:$S$1005,MATCH($A128,土地清冊_匯入!$A$6:$A$1005,0)),""))</f>
        <v/>
      </c>
      <c r="H128" s="12">
        <f>IF($A128="","",IFERROR(INDEX(土地清冊_匯入!$T$6:$T$1005,MATCH($A128,土地清冊_匯入!$A$6:$A$1005,0)),""))</f>
        <v/>
      </c>
      <c r="I128" s="12">
        <f>IF($A128="","",IFERROR(INDEX(土地清冊_匯入!$V$6:$V$1005,MATCH($A128,土地清冊_匯入!$A$6:$A$1005,0)),""))</f>
        <v/>
      </c>
      <c r="J128" s="14" t="n"/>
      <c r="K128" s="7" t="n"/>
      <c r="L128" s="7" t="n"/>
      <c r="M128" s="7" t="n"/>
      <c r="N128" s="7" t="n"/>
      <c r="O128" s="7" t="n"/>
      <c r="P128" s="7" t="n"/>
      <c r="Q128" s="14" t="n"/>
      <c r="R128" s="7" t="n"/>
      <c r="S128" s="7" t="n"/>
      <c r="T128" s="7" t="n"/>
      <c r="U128" s="12">
        <f>IF(A128="","",IF(OR(J128="",L128=""),"建議補聯絡紀錄","") )</f>
        <v/>
      </c>
    </row>
    <row r="129" ht="24" customHeight="1">
      <c r="A129" s="7" t="n"/>
      <c r="B129" s="7" t="n"/>
      <c r="C129" s="12">
        <f>IF($A129="","",IFERROR(INDEX(土地清冊_匯入!$B$6:$B$1005,MATCH($A129,土地清冊_匯入!$A$6:$A$1005,0)),"查無資料"))</f>
        <v/>
      </c>
      <c r="D129" s="12">
        <f>IF($A129="","",IFERROR(INDEX(土地清冊_匯入!$P$6:$P$1005,MATCH($A129,土地清冊_匯入!$A$6:$A$1005,0)),""))</f>
        <v/>
      </c>
      <c r="E129" s="12">
        <f>IF($A129="","",IFERROR(INDEX(土地清冊_匯入!$Q$6:$Q$1005,MATCH($A129,土地清冊_匯入!$A$6:$A$1005,0)),""))</f>
        <v/>
      </c>
      <c r="F129" s="12">
        <f>IF($A129="","",IFERROR(INDEX(土地清冊_匯入!$R$6:$R$1005,MATCH($A129,土地清冊_匯入!$A$6:$A$1005,0)),""))</f>
        <v/>
      </c>
      <c r="G129" s="12">
        <f>IF($A129="","",IFERROR(INDEX(土地清冊_匯入!$S$6:$S$1005,MATCH($A129,土地清冊_匯入!$A$6:$A$1005,0)),""))</f>
        <v/>
      </c>
      <c r="H129" s="12">
        <f>IF($A129="","",IFERROR(INDEX(土地清冊_匯入!$T$6:$T$1005,MATCH($A129,土地清冊_匯入!$A$6:$A$1005,0)),""))</f>
        <v/>
      </c>
      <c r="I129" s="12">
        <f>IF($A129="","",IFERROR(INDEX(土地清冊_匯入!$V$6:$V$1005,MATCH($A129,土地清冊_匯入!$A$6:$A$1005,0)),""))</f>
        <v/>
      </c>
      <c r="J129" s="14" t="n"/>
      <c r="K129" s="7" t="n"/>
      <c r="L129" s="7" t="n"/>
      <c r="M129" s="7" t="n"/>
      <c r="N129" s="7" t="n"/>
      <c r="O129" s="7" t="n"/>
      <c r="P129" s="7" t="n"/>
      <c r="Q129" s="14" t="n"/>
      <c r="R129" s="7" t="n"/>
      <c r="S129" s="7" t="n"/>
      <c r="T129" s="7" t="n"/>
      <c r="U129" s="12">
        <f>IF(A129="","",IF(OR(J129="",L129=""),"建議補聯絡紀錄","") )</f>
        <v/>
      </c>
    </row>
    <row r="130" ht="24" customHeight="1">
      <c r="A130" s="7" t="n"/>
      <c r="B130" s="7" t="n"/>
      <c r="C130" s="12">
        <f>IF($A130="","",IFERROR(INDEX(土地清冊_匯入!$B$6:$B$1005,MATCH($A130,土地清冊_匯入!$A$6:$A$1005,0)),"查無資料"))</f>
        <v/>
      </c>
      <c r="D130" s="12">
        <f>IF($A130="","",IFERROR(INDEX(土地清冊_匯入!$P$6:$P$1005,MATCH($A130,土地清冊_匯入!$A$6:$A$1005,0)),""))</f>
        <v/>
      </c>
      <c r="E130" s="12">
        <f>IF($A130="","",IFERROR(INDEX(土地清冊_匯入!$Q$6:$Q$1005,MATCH($A130,土地清冊_匯入!$A$6:$A$1005,0)),""))</f>
        <v/>
      </c>
      <c r="F130" s="12">
        <f>IF($A130="","",IFERROR(INDEX(土地清冊_匯入!$R$6:$R$1005,MATCH($A130,土地清冊_匯入!$A$6:$A$1005,0)),""))</f>
        <v/>
      </c>
      <c r="G130" s="12">
        <f>IF($A130="","",IFERROR(INDEX(土地清冊_匯入!$S$6:$S$1005,MATCH($A130,土地清冊_匯入!$A$6:$A$1005,0)),""))</f>
        <v/>
      </c>
      <c r="H130" s="12">
        <f>IF($A130="","",IFERROR(INDEX(土地清冊_匯入!$T$6:$T$1005,MATCH($A130,土地清冊_匯入!$A$6:$A$1005,0)),""))</f>
        <v/>
      </c>
      <c r="I130" s="12">
        <f>IF($A130="","",IFERROR(INDEX(土地清冊_匯入!$V$6:$V$1005,MATCH($A130,土地清冊_匯入!$A$6:$A$1005,0)),""))</f>
        <v/>
      </c>
      <c r="J130" s="14" t="n"/>
      <c r="K130" s="7" t="n"/>
      <c r="L130" s="7" t="n"/>
      <c r="M130" s="7" t="n"/>
      <c r="N130" s="7" t="n"/>
      <c r="O130" s="7" t="n"/>
      <c r="P130" s="7" t="n"/>
      <c r="Q130" s="14" t="n"/>
      <c r="R130" s="7" t="n"/>
      <c r="S130" s="7" t="n"/>
      <c r="T130" s="7" t="n"/>
      <c r="U130" s="12">
        <f>IF(A130="","",IF(OR(J130="",L130=""),"建議補聯絡紀錄","") )</f>
        <v/>
      </c>
    </row>
    <row r="131" ht="24" customHeight="1">
      <c r="A131" s="7" t="n"/>
      <c r="B131" s="7" t="n"/>
      <c r="C131" s="12">
        <f>IF($A131="","",IFERROR(INDEX(土地清冊_匯入!$B$6:$B$1005,MATCH($A131,土地清冊_匯入!$A$6:$A$1005,0)),"查無資料"))</f>
        <v/>
      </c>
      <c r="D131" s="12">
        <f>IF($A131="","",IFERROR(INDEX(土地清冊_匯入!$P$6:$P$1005,MATCH($A131,土地清冊_匯入!$A$6:$A$1005,0)),""))</f>
        <v/>
      </c>
      <c r="E131" s="12">
        <f>IF($A131="","",IFERROR(INDEX(土地清冊_匯入!$Q$6:$Q$1005,MATCH($A131,土地清冊_匯入!$A$6:$A$1005,0)),""))</f>
        <v/>
      </c>
      <c r="F131" s="12">
        <f>IF($A131="","",IFERROR(INDEX(土地清冊_匯入!$R$6:$R$1005,MATCH($A131,土地清冊_匯入!$A$6:$A$1005,0)),""))</f>
        <v/>
      </c>
      <c r="G131" s="12">
        <f>IF($A131="","",IFERROR(INDEX(土地清冊_匯入!$S$6:$S$1005,MATCH($A131,土地清冊_匯入!$A$6:$A$1005,0)),""))</f>
        <v/>
      </c>
      <c r="H131" s="12">
        <f>IF($A131="","",IFERROR(INDEX(土地清冊_匯入!$T$6:$T$1005,MATCH($A131,土地清冊_匯入!$A$6:$A$1005,0)),""))</f>
        <v/>
      </c>
      <c r="I131" s="12">
        <f>IF($A131="","",IFERROR(INDEX(土地清冊_匯入!$V$6:$V$1005,MATCH($A131,土地清冊_匯入!$A$6:$A$1005,0)),""))</f>
        <v/>
      </c>
      <c r="J131" s="14" t="n"/>
      <c r="K131" s="7" t="n"/>
      <c r="L131" s="7" t="n"/>
      <c r="M131" s="7" t="n"/>
      <c r="N131" s="7" t="n"/>
      <c r="O131" s="7" t="n"/>
      <c r="P131" s="7" t="n"/>
      <c r="Q131" s="14" t="n"/>
      <c r="R131" s="7" t="n"/>
      <c r="S131" s="7" t="n"/>
      <c r="T131" s="7" t="n"/>
      <c r="U131" s="12">
        <f>IF(A131="","",IF(OR(J131="",L131=""),"建議補聯絡紀錄","") )</f>
        <v/>
      </c>
    </row>
    <row r="132" ht="24" customHeight="1">
      <c r="A132" s="7" t="n"/>
      <c r="B132" s="7" t="n"/>
      <c r="C132" s="12">
        <f>IF($A132="","",IFERROR(INDEX(土地清冊_匯入!$B$6:$B$1005,MATCH($A132,土地清冊_匯入!$A$6:$A$1005,0)),"查無資料"))</f>
        <v/>
      </c>
      <c r="D132" s="12">
        <f>IF($A132="","",IFERROR(INDEX(土地清冊_匯入!$P$6:$P$1005,MATCH($A132,土地清冊_匯入!$A$6:$A$1005,0)),""))</f>
        <v/>
      </c>
      <c r="E132" s="12">
        <f>IF($A132="","",IFERROR(INDEX(土地清冊_匯入!$Q$6:$Q$1005,MATCH($A132,土地清冊_匯入!$A$6:$A$1005,0)),""))</f>
        <v/>
      </c>
      <c r="F132" s="12">
        <f>IF($A132="","",IFERROR(INDEX(土地清冊_匯入!$R$6:$R$1005,MATCH($A132,土地清冊_匯入!$A$6:$A$1005,0)),""))</f>
        <v/>
      </c>
      <c r="G132" s="12">
        <f>IF($A132="","",IFERROR(INDEX(土地清冊_匯入!$S$6:$S$1005,MATCH($A132,土地清冊_匯入!$A$6:$A$1005,0)),""))</f>
        <v/>
      </c>
      <c r="H132" s="12">
        <f>IF($A132="","",IFERROR(INDEX(土地清冊_匯入!$T$6:$T$1005,MATCH($A132,土地清冊_匯入!$A$6:$A$1005,0)),""))</f>
        <v/>
      </c>
      <c r="I132" s="12">
        <f>IF($A132="","",IFERROR(INDEX(土地清冊_匯入!$V$6:$V$1005,MATCH($A132,土地清冊_匯入!$A$6:$A$1005,0)),""))</f>
        <v/>
      </c>
      <c r="J132" s="14" t="n"/>
      <c r="K132" s="7" t="n"/>
      <c r="L132" s="7" t="n"/>
      <c r="M132" s="7" t="n"/>
      <c r="N132" s="7" t="n"/>
      <c r="O132" s="7" t="n"/>
      <c r="P132" s="7" t="n"/>
      <c r="Q132" s="14" t="n"/>
      <c r="R132" s="7" t="n"/>
      <c r="S132" s="7" t="n"/>
      <c r="T132" s="7" t="n"/>
      <c r="U132" s="12">
        <f>IF(A132="","",IF(OR(J132="",L132=""),"建議補聯絡紀錄","") )</f>
        <v/>
      </c>
    </row>
    <row r="133" ht="24" customHeight="1">
      <c r="A133" s="7" t="n"/>
      <c r="B133" s="7" t="n"/>
      <c r="C133" s="12">
        <f>IF($A133="","",IFERROR(INDEX(土地清冊_匯入!$B$6:$B$1005,MATCH($A133,土地清冊_匯入!$A$6:$A$1005,0)),"查無資料"))</f>
        <v/>
      </c>
      <c r="D133" s="12">
        <f>IF($A133="","",IFERROR(INDEX(土地清冊_匯入!$P$6:$P$1005,MATCH($A133,土地清冊_匯入!$A$6:$A$1005,0)),""))</f>
        <v/>
      </c>
      <c r="E133" s="12">
        <f>IF($A133="","",IFERROR(INDEX(土地清冊_匯入!$Q$6:$Q$1005,MATCH($A133,土地清冊_匯入!$A$6:$A$1005,0)),""))</f>
        <v/>
      </c>
      <c r="F133" s="12">
        <f>IF($A133="","",IFERROR(INDEX(土地清冊_匯入!$R$6:$R$1005,MATCH($A133,土地清冊_匯入!$A$6:$A$1005,0)),""))</f>
        <v/>
      </c>
      <c r="G133" s="12">
        <f>IF($A133="","",IFERROR(INDEX(土地清冊_匯入!$S$6:$S$1005,MATCH($A133,土地清冊_匯入!$A$6:$A$1005,0)),""))</f>
        <v/>
      </c>
      <c r="H133" s="12">
        <f>IF($A133="","",IFERROR(INDEX(土地清冊_匯入!$T$6:$T$1005,MATCH($A133,土地清冊_匯入!$A$6:$A$1005,0)),""))</f>
        <v/>
      </c>
      <c r="I133" s="12">
        <f>IF($A133="","",IFERROR(INDEX(土地清冊_匯入!$V$6:$V$1005,MATCH($A133,土地清冊_匯入!$A$6:$A$1005,0)),""))</f>
        <v/>
      </c>
      <c r="J133" s="14" t="n"/>
      <c r="K133" s="7" t="n"/>
      <c r="L133" s="7" t="n"/>
      <c r="M133" s="7" t="n"/>
      <c r="N133" s="7" t="n"/>
      <c r="O133" s="7" t="n"/>
      <c r="P133" s="7" t="n"/>
      <c r="Q133" s="14" t="n"/>
      <c r="R133" s="7" t="n"/>
      <c r="S133" s="7" t="n"/>
      <c r="T133" s="7" t="n"/>
      <c r="U133" s="12">
        <f>IF(A133="","",IF(OR(J133="",L133=""),"建議補聯絡紀錄","") )</f>
        <v/>
      </c>
    </row>
    <row r="134" ht="24" customHeight="1">
      <c r="A134" s="7" t="n"/>
      <c r="B134" s="7" t="n"/>
      <c r="C134" s="12">
        <f>IF($A134="","",IFERROR(INDEX(土地清冊_匯入!$B$6:$B$1005,MATCH($A134,土地清冊_匯入!$A$6:$A$1005,0)),"查無資料"))</f>
        <v/>
      </c>
      <c r="D134" s="12">
        <f>IF($A134="","",IFERROR(INDEX(土地清冊_匯入!$P$6:$P$1005,MATCH($A134,土地清冊_匯入!$A$6:$A$1005,0)),""))</f>
        <v/>
      </c>
      <c r="E134" s="12">
        <f>IF($A134="","",IFERROR(INDEX(土地清冊_匯入!$Q$6:$Q$1005,MATCH($A134,土地清冊_匯入!$A$6:$A$1005,0)),""))</f>
        <v/>
      </c>
      <c r="F134" s="12">
        <f>IF($A134="","",IFERROR(INDEX(土地清冊_匯入!$R$6:$R$1005,MATCH($A134,土地清冊_匯入!$A$6:$A$1005,0)),""))</f>
        <v/>
      </c>
      <c r="G134" s="12">
        <f>IF($A134="","",IFERROR(INDEX(土地清冊_匯入!$S$6:$S$1005,MATCH($A134,土地清冊_匯入!$A$6:$A$1005,0)),""))</f>
        <v/>
      </c>
      <c r="H134" s="12">
        <f>IF($A134="","",IFERROR(INDEX(土地清冊_匯入!$T$6:$T$1005,MATCH($A134,土地清冊_匯入!$A$6:$A$1005,0)),""))</f>
        <v/>
      </c>
      <c r="I134" s="12">
        <f>IF($A134="","",IFERROR(INDEX(土地清冊_匯入!$V$6:$V$1005,MATCH($A134,土地清冊_匯入!$A$6:$A$1005,0)),""))</f>
        <v/>
      </c>
      <c r="J134" s="14" t="n"/>
      <c r="K134" s="7" t="n"/>
      <c r="L134" s="7" t="n"/>
      <c r="M134" s="7" t="n"/>
      <c r="N134" s="7" t="n"/>
      <c r="O134" s="7" t="n"/>
      <c r="P134" s="7" t="n"/>
      <c r="Q134" s="14" t="n"/>
      <c r="R134" s="7" t="n"/>
      <c r="S134" s="7" t="n"/>
      <c r="T134" s="7" t="n"/>
      <c r="U134" s="12">
        <f>IF(A134="","",IF(OR(J134="",L134=""),"建議補聯絡紀錄","") )</f>
        <v/>
      </c>
    </row>
    <row r="135" ht="24" customHeight="1">
      <c r="A135" s="7" t="n"/>
      <c r="B135" s="7" t="n"/>
      <c r="C135" s="12">
        <f>IF($A135="","",IFERROR(INDEX(土地清冊_匯入!$B$6:$B$1005,MATCH($A135,土地清冊_匯入!$A$6:$A$1005,0)),"查無資料"))</f>
        <v/>
      </c>
      <c r="D135" s="12">
        <f>IF($A135="","",IFERROR(INDEX(土地清冊_匯入!$P$6:$P$1005,MATCH($A135,土地清冊_匯入!$A$6:$A$1005,0)),""))</f>
        <v/>
      </c>
      <c r="E135" s="12">
        <f>IF($A135="","",IFERROR(INDEX(土地清冊_匯入!$Q$6:$Q$1005,MATCH($A135,土地清冊_匯入!$A$6:$A$1005,0)),""))</f>
        <v/>
      </c>
      <c r="F135" s="12">
        <f>IF($A135="","",IFERROR(INDEX(土地清冊_匯入!$R$6:$R$1005,MATCH($A135,土地清冊_匯入!$A$6:$A$1005,0)),""))</f>
        <v/>
      </c>
      <c r="G135" s="12">
        <f>IF($A135="","",IFERROR(INDEX(土地清冊_匯入!$S$6:$S$1005,MATCH($A135,土地清冊_匯入!$A$6:$A$1005,0)),""))</f>
        <v/>
      </c>
      <c r="H135" s="12">
        <f>IF($A135="","",IFERROR(INDEX(土地清冊_匯入!$T$6:$T$1005,MATCH($A135,土地清冊_匯入!$A$6:$A$1005,0)),""))</f>
        <v/>
      </c>
      <c r="I135" s="12">
        <f>IF($A135="","",IFERROR(INDEX(土地清冊_匯入!$V$6:$V$1005,MATCH($A135,土地清冊_匯入!$A$6:$A$1005,0)),""))</f>
        <v/>
      </c>
      <c r="J135" s="14" t="n"/>
      <c r="K135" s="7" t="n"/>
      <c r="L135" s="7" t="n"/>
      <c r="M135" s="7" t="n"/>
      <c r="N135" s="7" t="n"/>
      <c r="O135" s="7" t="n"/>
      <c r="P135" s="7" t="n"/>
      <c r="Q135" s="14" t="n"/>
      <c r="R135" s="7" t="n"/>
      <c r="S135" s="7" t="n"/>
      <c r="T135" s="7" t="n"/>
      <c r="U135" s="12">
        <f>IF(A135="","",IF(OR(J135="",L135=""),"建議補聯絡紀錄","") )</f>
        <v/>
      </c>
    </row>
    <row r="136" ht="24" customHeight="1">
      <c r="A136" s="7" t="n"/>
      <c r="B136" s="7" t="n"/>
      <c r="C136" s="12">
        <f>IF($A136="","",IFERROR(INDEX(土地清冊_匯入!$B$6:$B$1005,MATCH($A136,土地清冊_匯入!$A$6:$A$1005,0)),"查無資料"))</f>
        <v/>
      </c>
      <c r="D136" s="12">
        <f>IF($A136="","",IFERROR(INDEX(土地清冊_匯入!$P$6:$P$1005,MATCH($A136,土地清冊_匯入!$A$6:$A$1005,0)),""))</f>
        <v/>
      </c>
      <c r="E136" s="12">
        <f>IF($A136="","",IFERROR(INDEX(土地清冊_匯入!$Q$6:$Q$1005,MATCH($A136,土地清冊_匯入!$A$6:$A$1005,0)),""))</f>
        <v/>
      </c>
      <c r="F136" s="12">
        <f>IF($A136="","",IFERROR(INDEX(土地清冊_匯入!$R$6:$R$1005,MATCH($A136,土地清冊_匯入!$A$6:$A$1005,0)),""))</f>
        <v/>
      </c>
      <c r="G136" s="12">
        <f>IF($A136="","",IFERROR(INDEX(土地清冊_匯入!$S$6:$S$1005,MATCH($A136,土地清冊_匯入!$A$6:$A$1005,0)),""))</f>
        <v/>
      </c>
      <c r="H136" s="12">
        <f>IF($A136="","",IFERROR(INDEX(土地清冊_匯入!$T$6:$T$1005,MATCH($A136,土地清冊_匯入!$A$6:$A$1005,0)),""))</f>
        <v/>
      </c>
      <c r="I136" s="12">
        <f>IF($A136="","",IFERROR(INDEX(土地清冊_匯入!$V$6:$V$1005,MATCH($A136,土地清冊_匯入!$A$6:$A$1005,0)),""))</f>
        <v/>
      </c>
      <c r="J136" s="14" t="n"/>
      <c r="K136" s="7" t="n"/>
      <c r="L136" s="7" t="n"/>
      <c r="M136" s="7" t="n"/>
      <c r="N136" s="7" t="n"/>
      <c r="O136" s="7" t="n"/>
      <c r="P136" s="7" t="n"/>
      <c r="Q136" s="14" t="n"/>
      <c r="R136" s="7" t="n"/>
      <c r="S136" s="7" t="n"/>
      <c r="T136" s="7" t="n"/>
      <c r="U136" s="12">
        <f>IF(A136="","",IF(OR(J136="",L136=""),"建議補聯絡紀錄","") )</f>
        <v/>
      </c>
    </row>
    <row r="137" ht="24" customHeight="1">
      <c r="A137" s="7" t="n"/>
      <c r="B137" s="7" t="n"/>
      <c r="C137" s="12">
        <f>IF($A137="","",IFERROR(INDEX(土地清冊_匯入!$B$6:$B$1005,MATCH($A137,土地清冊_匯入!$A$6:$A$1005,0)),"查無資料"))</f>
        <v/>
      </c>
      <c r="D137" s="12">
        <f>IF($A137="","",IFERROR(INDEX(土地清冊_匯入!$P$6:$P$1005,MATCH($A137,土地清冊_匯入!$A$6:$A$1005,0)),""))</f>
        <v/>
      </c>
      <c r="E137" s="12">
        <f>IF($A137="","",IFERROR(INDEX(土地清冊_匯入!$Q$6:$Q$1005,MATCH($A137,土地清冊_匯入!$A$6:$A$1005,0)),""))</f>
        <v/>
      </c>
      <c r="F137" s="12">
        <f>IF($A137="","",IFERROR(INDEX(土地清冊_匯入!$R$6:$R$1005,MATCH($A137,土地清冊_匯入!$A$6:$A$1005,0)),""))</f>
        <v/>
      </c>
      <c r="G137" s="12">
        <f>IF($A137="","",IFERROR(INDEX(土地清冊_匯入!$S$6:$S$1005,MATCH($A137,土地清冊_匯入!$A$6:$A$1005,0)),""))</f>
        <v/>
      </c>
      <c r="H137" s="12">
        <f>IF($A137="","",IFERROR(INDEX(土地清冊_匯入!$T$6:$T$1005,MATCH($A137,土地清冊_匯入!$A$6:$A$1005,0)),""))</f>
        <v/>
      </c>
      <c r="I137" s="12">
        <f>IF($A137="","",IFERROR(INDEX(土地清冊_匯入!$V$6:$V$1005,MATCH($A137,土地清冊_匯入!$A$6:$A$1005,0)),""))</f>
        <v/>
      </c>
      <c r="J137" s="14" t="n"/>
      <c r="K137" s="7" t="n"/>
      <c r="L137" s="7" t="n"/>
      <c r="M137" s="7" t="n"/>
      <c r="N137" s="7" t="n"/>
      <c r="O137" s="7" t="n"/>
      <c r="P137" s="7" t="n"/>
      <c r="Q137" s="14" t="n"/>
      <c r="R137" s="7" t="n"/>
      <c r="S137" s="7" t="n"/>
      <c r="T137" s="7" t="n"/>
      <c r="U137" s="12">
        <f>IF(A137="","",IF(OR(J137="",L137=""),"建議補聯絡紀錄","") )</f>
        <v/>
      </c>
    </row>
    <row r="138" ht="24" customHeight="1">
      <c r="A138" s="7" t="n"/>
      <c r="B138" s="7" t="n"/>
      <c r="C138" s="12">
        <f>IF($A138="","",IFERROR(INDEX(土地清冊_匯入!$B$6:$B$1005,MATCH($A138,土地清冊_匯入!$A$6:$A$1005,0)),"查無資料"))</f>
        <v/>
      </c>
      <c r="D138" s="12">
        <f>IF($A138="","",IFERROR(INDEX(土地清冊_匯入!$P$6:$P$1005,MATCH($A138,土地清冊_匯入!$A$6:$A$1005,0)),""))</f>
        <v/>
      </c>
      <c r="E138" s="12">
        <f>IF($A138="","",IFERROR(INDEX(土地清冊_匯入!$Q$6:$Q$1005,MATCH($A138,土地清冊_匯入!$A$6:$A$1005,0)),""))</f>
        <v/>
      </c>
      <c r="F138" s="12">
        <f>IF($A138="","",IFERROR(INDEX(土地清冊_匯入!$R$6:$R$1005,MATCH($A138,土地清冊_匯入!$A$6:$A$1005,0)),""))</f>
        <v/>
      </c>
      <c r="G138" s="12">
        <f>IF($A138="","",IFERROR(INDEX(土地清冊_匯入!$S$6:$S$1005,MATCH($A138,土地清冊_匯入!$A$6:$A$1005,0)),""))</f>
        <v/>
      </c>
      <c r="H138" s="12">
        <f>IF($A138="","",IFERROR(INDEX(土地清冊_匯入!$T$6:$T$1005,MATCH($A138,土地清冊_匯入!$A$6:$A$1005,0)),""))</f>
        <v/>
      </c>
      <c r="I138" s="12">
        <f>IF($A138="","",IFERROR(INDEX(土地清冊_匯入!$V$6:$V$1005,MATCH($A138,土地清冊_匯入!$A$6:$A$1005,0)),""))</f>
        <v/>
      </c>
      <c r="J138" s="14" t="n"/>
      <c r="K138" s="7" t="n"/>
      <c r="L138" s="7" t="n"/>
      <c r="M138" s="7" t="n"/>
      <c r="N138" s="7" t="n"/>
      <c r="O138" s="7" t="n"/>
      <c r="P138" s="7" t="n"/>
      <c r="Q138" s="14" t="n"/>
      <c r="R138" s="7" t="n"/>
      <c r="S138" s="7" t="n"/>
      <c r="T138" s="7" t="n"/>
      <c r="U138" s="12">
        <f>IF(A138="","",IF(OR(J138="",L138=""),"建議補聯絡紀錄","") )</f>
        <v/>
      </c>
    </row>
    <row r="139" ht="24" customHeight="1">
      <c r="A139" s="7" t="n"/>
      <c r="B139" s="7" t="n"/>
      <c r="C139" s="12">
        <f>IF($A139="","",IFERROR(INDEX(土地清冊_匯入!$B$6:$B$1005,MATCH($A139,土地清冊_匯入!$A$6:$A$1005,0)),"查無資料"))</f>
        <v/>
      </c>
      <c r="D139" s="12">
        <f>IF($A139="","",IFERROR(INDEX(土地清冊_匯入!$P$6:$P$1005,MATCH($A139,土地清冊_匯入!$A$6:$A$1005,0)),""))</f>
        <v/>
      </c>
      <c r="E139" s="12">
        <f>IF($A139="","",IFERROR(INDEX(土地清冊_匯入!$Q$6:$Q$1005,MATCH($A139,土地清冊_匯入!$A$6:$A$1005,0)),""))</f>
        <v/>
      </c>
      <c r="F139" s="12">
        <f>IF($A139="","",IFERROR(INDEX(土地清冊_匯入!$R$6:$R$1005,MATCH($A139,土地清冊_匯入!$A$6:$A$1005,0)),""))</f>
        <v/>
      </c>
      <c r="G139" s="12">
        <f>IF($A139="","",IFERROR(INDEX(土地清冊_匯入!$S$6:$S$1005,MATCH($A139,土地清冊_匯入!$A$6:$A$1005,0)),""))</f>
        <v/>
      </c>
      <c r="H139" s="12">
        <f>IF($A139="","",IFERROR(INDEX(土地清冊_匯入!$T$6:$T$1005,MATCH($A139,土地清冊_匯入!$A$6:$A$1005,0)),""))</f>
        <v/>
      </c>
      <c r="I139" s="12">
        <f>IF($A139="","",IFERROR(INDEX(土地清冊_匯入!$V$6:$V$1005,MATCH($A139,土地清冊_匯入!$A$6:$A$1005,0)),""))</f>
        <v/>
      </c>
      <c r="J139" s="14" t="n"/>
      <c r="K139" s="7" t="n"/>
      <c r="L139" s="7" t="n"/>
      <c r="M139" s="7" t="n"/>
      <c r="N139" s="7" t="n"/>
      <c r="O139" s="7" t="n"/>
      <c r="P139" s="7" t="n"/>
      <c r="Q139" s="14" t="n"/>
      <c r="R139" s="7" t="n"/>
      <c r="S139" s="7" t="n"/>
      <c r="T139" s="7" t="n"/>
      <c r="U139" s="12">
        <f>IF(A139="","",IF(OR(J139="",L139=""),"建議補聯絡紀錄","") )</f>
        <v/>
      </c>
    </row>
    <row r="140" ht="24" customHeight="1">
      <c r="A140" s="7" t="n"/>
      <c r="B140" s="7" t="n"/>
      <c r="C140" s="12">
        <f>IF($A140="","",IFERROR(INDEX(土地清冊_匯入!$B$6:$B$1005,MATCH($A140,土地清冊_匯入!$A$6:$A$1005,0)),"查無資料"))</f>
        <v/>
      </c>
      <c r="D140" s="12">
        <f>IF($A140="","",IFERROR(INDEX(土地清冊_匯入!$P$6:$P$1005,MATCH($A140,土地清冊_匯入!$A$6:$A$1005,0)),""))</f>
        <v/>
      </c>
      <c r="E140" s="12">
        <f>IF($A140="","",IFERROR(INDEX(土地清冊_匯入!$Q$6:$Q$1005,MATCH($A140,土地清冊_匯入!$A$6:$A$1005,0)),""))</f>
        <v/>
      </c>
      <c r="F140" s="12">
        <f>IF($A140="","",IFERROR(INDEX(土地清冊_匯入!$R$6:$R$1005,MATCH($A140,土地清冊_匯入!$A$6:$A$1005,0)),""))</f>
        <v/>
      </c>
      <c r="G140" s="12">
        <f>IF($A140="","",IFERROR(INDEX(土地清冊_匯入!$S$6:$S$1005,MATCH($A140,土地清冊_匯入!$A$6:$A$1005,0)),""))</f>
        <v/>
      </c>
      <c r="H140" s="12">
        <f>IF($A140="","",IFERROR(INDEX(土地清冊_匯入!$T$6:$T$1005,MATCH($A140,土地清冊_匯入!$A$6:$A$1005,0)),""))</f>
        <v/>
      </c>
      <c r="I140" s="12">
        <f>IF($A140="","",IFERROR(INDEX(土地清冊_匯入!$V$6:$V$1005,MATCH($A140,土地清冊_匯入!$A$6:$A$1005,0)),""))</f>
        <v/>
      </c>
      <c r="J140" s="14" t="n"/>
      <c r="K140" s="7" t="n"/>
      <c r="L140" s="7" t="n"/>
      <c r="M140" s="7" t="n"/>
      <c r="N140" s="7" t="n"/>
      <c r="O140" s="7" t="n"/>
      <c r="P140" s="7" t="n"/>
      <c r="Q140" s="14" t="n"/>
      <c r="R140" s="7" t="n"/>
      <c r="S140" s="7" t="n"/>
      <c r="T140" s="7" t="n"/>
      <c r="U140" s="12">
        <f>IF(A140="","",IF(OR(J140="",L140=""),"建議補聯絡紀錄","") )</f>
        <v/>
      </c>
    </row>
    <row r="141" ht="24" customHeight="1">
      <c r="A141" s="7" t="n"/>
      <c r="B141" s="7" t="n"/>
      <c r="C141" s="12">
        <f>IF($A141="","",IFERROR(INDEX(土地清冊_匯入!$B$6:$B$1005,MATCH($A141,土地清冊_匯入!$A$6:$A$1005,0)),"查無資料"))</f>
        <v/>
      </c>
      <c r="D141" s="12">
        <f>IF($A141="","",IFERROR(INDEX(土地清冊_匯入!$P$6:$P$1005,MATCH($A141,土地清冊_匯入!$A$6:$A$1005,0)),""))</f>
        <v/>
      </c>
      <c r="E141" s="12">
        <f>IF($A141="","",IFERROR(INDEX(土地清冊_匯入!$Q$6:$Q$1005,MATCH($A141,土地清冊_匯入!$A$6:$A$1005,0)),""))</f>
        <v/>
      </c>
      <c r="F141" s="12">
        <f>IF($A141="","",IFERROR(INDEX(土地清冊_匯入!$R$6:$R$1005,MATCH($A141,土地清冊_匯入!$A$6:$A$1005,0)),""))</f>
        <v/>
      </c>
      <c r="G141" s="12">
        <f>IF($A141="","",IFERROR(INDEX(土地清冊_匯入!$S$6:$S$1005,MATCH($A141,土地清冊_匯入!$A$6:$A$1005,0)),""))</f>
        <v/>
      </c>
      <c r="H141" s="12">
        <f>IF($A141="","",IFERROR(INDEX(土地清冊_匯入!$T$6:$T$1005,MATCH($A141,土地清冊_匯入!$A$6:$A$1005,0)),""))</f>
        <v/>
      </c>
      <c r="I141" s="12">
        <f>IF($A141="","",IFERROR(INDEX(土地清冊_匯入!$V$6:$V$1005,MATCH($A141,土地清冊_匯入!$A$6:$A$1005,0)),""))</f>
        <v/>
      </c>
      <c r="J141" s="14" t="n"/>
      <c r="K141" s="7" t="n"/>
      <c r="L141" s="7" t="n"/>
      <c r="M141" s="7" t="n"/>
      <c r="N141" s="7" t="n"/>
      <c r="O141" s="7" t="n"/>
      <c r="P141" s="7" t="n"/>
      <c r="Q141" s="14" t="n"/>
      <c r="R141" s="7" t="n"/>
      <c r="S141" s="7" t="n"/>
      <c r="T141" s="7" t="n"/>
      <c r="U141" s="12">
        <f>IF(A141="","",IF(OR(J141="",L141=""),"建議補聯絡紀錄","") )</f>
        <v/>
      </c>
    </row>
    <row r="142" ht="24" customHeight="1">
      <c r="A142" s="7" t="n"/>
      <c r="B142" s="7" t="n"/>
      <c r="C142" s="12">
        <f>IF($A142="","",IFERROR(INDEX(土地清冊_匯入!$B$6:$B$1005,MATCH($A142,土地清冊_匯入!$A$6:$A$1005,0)),"查無資料"))</f>
        <v/>
      </c>
      <c r="D142" s="12">
        <f>IF($A142="","",IFERROR(INDEX(土地清冊_匯入!$P$6:$P$1005,MATCH($A142,土地清冊_匯入!$A$6:$A$1005,0)),""))</f>
        <v/>
      </c>
      <c r="E142" s="12">
        <f>IF($A142="","",IFERROR(INDEX(土地清冊_匯入!$Q$6:$Q$1005,MATCH($A142,土地清冊_匯入!$A$6:$A$1005,0)),""))</f>
        <v/>
      </c>
      <c r="F142" s="12">
        <f>IF($A142="","",IFERROR(INDEX(土地清冊_匯入!$R$6:$R$1005,MATCH($A142,土地清冊_匯入!$A$6:$A$1005,0)),""))</f>
        <v/>
      </c>
      <c r="G142" s="12">
        <f>IF($A142="","",IFERROR(INDEX(土地清冊_匯入!$S$6:$S$1005,MATCH($A142,土地清冊_匯入!$A$6:$A$1005,0)),""))</f>
        <v/>
      </c>
      <c r="H142" s="12">
        <f>IF($A142="","",IFERROR(INDEX(土地清冊_匯入!$T$6:$T$1005,MATCH($A142,土地清冊_匯入!$A$6:$A$1005,0)),""))</f>
        <v/>
      </c>
      <c r="I142" s="12">
        <f>IF($A142="","",IFERROR(INDEX(土地清冊_匯入!$V$6:$V$1005,MATCH($A142,土地清冊_匯入!$A$6:$A$1005,0)),""))</f>
        <v/>
      </c>
      <c r="J142" s="14" t="n"/>
      <c r="K142" s="7" t="n"/>
      <c r="L142" s="7" t="n"/>
      <c r="M142" s="7" t="n"/>
      <c r="N142" s="7" t="n"/>
      <c r="O142" s="7" t="n"/>
      <c r="P142" s="7" t="n"/>
      <c r="Q142" s="14" t="n"/>
      <c r="R142" s="7" t="n"/>
      <c r="S142" s="7" t="n"/>
      <c r="T142" s="7" t="n"/>
      <c r="U142" s="12">
        <f>IF(A142="","",IF(OR(J142="",L142=""),"建議補聯絡紀錄","") )</f>
        <v/>
      </c>
    </row>
    <row r="143" ht="24" customHeight="1">
      <c r="A143" s="7" t="n"/>
      <c r="B143" s="7" t="n"/>
      <c r="C143" s="12">
        <f>IF($A143="","",IFERROR(INDEX(土地清冊_匯入!$B$6:$B$1005,MATCH($A143,土地清冊_匯入!$A$6:$A$1005,0)),"查無資料"))</f>
        <v/>
      </c>
      <c r="D143" s="12">
        <f>IF($A143="","",IFERROR(INDEX(土地清冊_匯入!$P$6:$P$1005,MATCH($A143,土地清冊_匯入!$A$6:$A$1005,0)),""))</f>
        <v/>
      </c>
      <c r="E143" s="12">
        <f>IF($A143="","",IFERROR(INDEX(土地清冊_匯入!$Q$6:$Q$1005,MATCH($A143,土地清冊_匯入!$A$6:$A$1005,0)),""))</f>
        <v/>
      </c>
      <c r="F143" s="12">
        <f>IF($A143="","",IFERROR(INDEX(土地清冊_匯入!$R$6:$R$1005,MATCH($A143,土地清冊_匯入!$A$6:$A$1005,0)),""))</f>
        <v/>
      </c>
      <c r="G143" s="12">
        <f>IF($A143="","",IFERROR(INDEX(土地清冊_匯入!$S$6:$S$1005,MATCH($A143,土地清冊_匯入!$A$6:$A$1005,0)),""))</f>
        <v/>
      </c>
      <c r="H143" s="12">
        <f>IF($A143="","",IFERROR(INDEX(土地清冊_匯入!$T$6:$T$1005,MATCH($A143,土地清冊_匯入!$A$6:$A$1005,0)),""))</f>
        <v/>
      </c>
      <c r="I143" s="12">
        <f>IF($A143="","",IFERROR(INDEX(土地清冊_匯入!$V$6:$V$1005,MATCH($A143,土地清冊_匯入!$A$6:$A$1005,0)),""))</f>
        <v/>
      </c>
      <c r="J143" s="14" t="n"/>
      <c r="K143" s="7" t="n"/>
      <c r="L143" s="7" t="n"/>
      <c r="M143" s="7" t="n"/>
      <c r="N143" s="7" t="n"/>
      <c r="O143" s="7" t="n"/>
      <c r="P143" s="7" t="n"/>
      <c r="Q143" s="14" t="n"/>
      <c r="R143" s="7" t="n"/>
      <c r="S143" s="7" t="n"/>
      <c r="T143" s="7" t="n"/>
      <c r="U143" s="12">
        <f>IF(A143="","",IF(OR(J143="",L143=""),"建議補聯絡紀錄","") )</f>
        <v/>
      </c>
    </row>
    <row r="144" ht="24" customHeight="1">
      <c r="A144" s="7" t="n"/>
      <c r="B144" s="7" t="n"/>
      <c r="C144" s="12">
        <f>IF($A144="","",IFERROR(INDEX(土地清冊_匯入!$B$6:$B$1005,MATCH($A144,土地清冊_匯入!$A$6:$A$1005,0)),"查無資料"))</f>
        <v/>
      </c>
      <c r="D144" s="12">
        <f>IF($A144="","",IFERROR(INDEX(土地清冊_匯入!$P$6:$P$1005,MATCH($A144,土地清冊_匯入!$A$6:$A$1005,0)),""))</f>
        <v/>
      </c>
      <c r="E144" s="12">
        <f>IF($A144="","",IFERROR(INDEX(土地清冊_匯入!$Q$6:$Q$1005,MATCH($A144,土地清冊_匯入!$A$6:$A$1005,0)),""))</f>
        <v/>
      </c>
      <c r="F144" s="12">
        <f>IF($A144="","",IFERROR(INDEX(土地清冊_匯入!$R$6:$R$1005,MATCH($A144,土地清冊_匯入!$A$6:$A$1005,0)),""))</f>
        <v/>
      </c>
      <c r="G144" s="12">
        <f>IF($A144="","",IFERROR(INDEX(土地清冊_匯入!$S$6:$S$1005,MATCH($A144,土地清冊_匯入!$A$6:$A$1005,0)),""))</f>
        <v/>
      </c>
      <c r="H144" s="12">
        <f>IF($A144="","",IFERROR(INDEX(土地清冊_匯入!$T$6:$T$1005,MATCH($A144,土地清冊_匯入!$A$6:$A$1005,0)),""))</f>
        <v/>
      </c>
      <c r="I144" s="12">
        <f>IF($A144="","",IFERROR(INDEX(土地清冊_匯入!$V$6:$V$1005,MATCH($A144,土地清冊_匯入!$A$6:$A$1005,0)),""))</f>
        <v/>
      </c>
      <c r="J144" s="14" t="n"/>
      <c r="K144" s="7" t="n"/>
      <c r="L144" s="7" t="n"/>
      <c r="M144" s="7" t="n"/>
      <c r="N144" s="7" t="n"/>
      <c r="O144" s="7" t="n"/>
      <c r="P144" s="7" t="n"/>
      <c r="Q144" s="14" t="n"/>
      <c r="R144" s="7" t="n"/>
      <c r="S144" s="7" t="n"/>
      <c r="T144" s="7" t="n"/>
      <c r="U144" s="12">
        <f>IF(A144="","",IF(OR(J144="",L144=""),"建議補聯絡紀錄","") )</f>
        <v/>
      </c>
    </row>
    <row r="145" ht="24" customHeight="1">
      <c r="A145" s="7" t="n"/>
      <c r="B145" s="7" t="n"/>
      <c r="C145" s="12">
        <f>IF($A145="","",IFERROR(INDEX(土地清冊_匯入!$B$6:$B$1005,MATCH($A145,土地清冊_匯入!$A$6:$A$1005,0)),"查無資料"))</f>
        <v/>
      </c>
      <c r="D145" s="12">
        <f>IF($A145="","",IFERROR(INDEX(土地清冊_匯入!$P$6:$P$1005,MATCH($A145,土地清冊_匯入!$A$6:$A$1005,0)),""))</f>
        <v/>
      </c>
      <c r="E145" s="12">
        <f>IF($A145="","",IFERROR(INDEX(土地清冊_匯入!$Q$6:$Q$1005,MATCH($A145,土地清冊_匯入!$A$6:$A$1005,0)),""))</f>
        <v/>
      </c>
      <c r="F145" s="12">
        <f>IF($A145="","",IFERROR(INDEX(土地清冊_匯入!$R$6:$R$1005,MATCH($A145,土地清冊_匯入!$A$6:$A$1005,0)),""))</f>
        <v/>
      </c>
      <c r="G145" s="12">
        <f>IF($A145="","",IFERROR(INDEX(土地清冊_匯入!$S$6:$S$1005,MATCH($A145,土地清冊_匯入!$A$6:$A$1005,0)),""))</f>
        <v/>
      </c>
      <c r="H145" s="12">
        <f>IF($A145="","",IFERROR(INDEX(土地清冊_匯入!$T$6:$T$1005,MATCH($A145,土地清冊_匯入!$A$6:$A$1005,0)),""))</f>
        <v/>
      </c>
      <c r="I145" s="12">
        <f>IF($A145="","",IFERROR(INDEX(土地清冊_匯入!$V$6:$V$1005,MATCH($A145,土地清冊_匯入!$A$6:$A$1005,0)),""))</f>
        <v/>
      </c>
      <c r="J145" s="14" t="n"/>
      <c r="K145" s="7" t="n"/>
      <c r="L145" s="7" t="n"/>
      <c r="M145" s="7" t="n"/>
      <c r="N145" s="7" t="n"/>
      <c r="O145" s="7" t="n"/>
      <c r="P145" s="7" t="n"/>
      <c r="Q145" s="14" t="n"/>
      <c r="R145" s="7" t="n"/>
      <c r="S145" s="7" t="n"/>
      <c r="T145" s="7" t="n"/>
      <c r="U145" s="12">
        <f>IF(A145="","",IF(OR(J145="",L145=""),"建議補聯絡紀錄","") )</f>
        <v/>
      </c>
    </row>
    <row r="146" ht="24" customHeight="1">
      <c r="A146" s="7" t="n"/>
      <c r="B146" s="7" t="n"/>
      <c r="C146" s="12">
        <f>IF($A146="","",IFERROR(INDEX(土地清冊_匯入!$B$6:$B$1005,MATCH($A146,土地清冊_匯入!$A$6:$A$1005,0)),"查無資料"))</f>
        <v/>
      </c>
      <c r="D146" s="12">
        <f>IF($A146="","",IFERROR(INDEX(土地清冊_匯入!$P$6:$P$1005,MATCH($A146,土地清冊_匯入!$A$6:$A$1005,0)),""))</f>
        <v/>
      </c>
      <c r="E146" s="12">
        <f>IF($A146="","",IFERROR(INDEX(土地清冊_匯入!$Q$6:$Q$1005,MATCH($A146,土地清冊_匯入!$A$6:$A$1005,0)),""))</f>
        <v/>
      </c>
      <c r="F146" s="12">
        <f>IF($A146="","",IFERROR(INDEX(土地清冊_匯入!$R$6:$R$1005,MATCH($A146,土地清冊_匯入!$A$6:$A$1005,0)),""))</f>
        <v/>
      </c>
      <c r="G146" s="12">
        <f>IF($A146="","",IFERROR(INDEX(土地清冊_匯入!$S$6:$S$1005,MATCH($A146,土地清冊_匯入!$A$6:$A$1005,0)),""))</f>
        <v/>
      </c>
      <c r="H146" s="12">
        <f>IF($A146="","",IFERROR(INDEX(土地清冊_匯入!$T$6:$T$1005,MATCH($A146,土地清冊_匯入!$A$6:$A$1005,0)),""))</f>
        <v/>
      </c>
      <c r="I146" s="12">
        <f>IF($A146="","",IFERROR(INDEX(土地清冊_匯入!$V$6:$V$1005,MATCH($A146,土地清冊_匯入!$A$6:$A$1005,0)),""))</f>
        <v/>
      </c>
      <c r="J146" s="14" t="n"/>
      <c r="K146" s="7" t="n"/>
      <c r="L146" s="7" t="n"/>
      <c r="M146" s="7" t="n"/>
      <c r="N146" s="7" t="n"/>
      <c r="O146" s="7" t="n"/>
      <c r="P146" s="7" t="n"/>
      <c r="Q146" s="14" t="n"/>
      <c r="R146" s="7" t="n"/>
      <c r="S146" s="7" t="n"/>
      <c r="T146" s="7" t="n"/>
      <c r="U146" s="12">
        <f>IF(A146="","",IF(OR(J146="",L146=""),"建議補聯絡紀錄","") )</f>
        <v/>
      </c>
    </row>
    <row r="147" ht="24" customHeight="1">
      <c r="A147" s="7" t="n"/>
      <c r="B147" s="7" t="n"/>
      <c r="C147" s="12">
        <f>IF($A147="","",IFERROR(INDEX(土地清冊_匯入!$B$6:$B$1005,MATCH($A147,土地清冊_匯入!$A$6:$A$1005,0)),"查無資料"))</f>
        <v/>
      </c>
      <c r="D147" s="12">
        <f>IF($A147="","",IFERROR(INDEX(土地清冊_匯入!$P$6:$P$1005,MATCH($A147,土地清冊_匯入!$A$6:$A$1005,0)),""))</f>
        <v/>
      </c>
      <c r="E147" s="12">
        <f>IF($A147="","",IFERROR(INDEX(土地清冊_匯入!$Q$6:$Q$1005,MATCH($A147,土地清冊_匯入!$A$6:$A$1005,0)),""))</f>
        <v/>
      </c>
      <c r="F147" s="12">
        <f>IF($A147="","",IFERROR(INDEX(土地清冊_匯入!$R$6:$R$1005,MATCH($A147,土地清冊_匯入!$A$6:$A$1005,0)),""))</f>
        <v/>
      </c>
      <c r="G147" s="12">
        <f>IF($A147="","",IFERROR(INDEX(土地清冊_匯入!$S$6:$S$1005,MATCH($A147,土地清冊_匯入!$A$6:$A$1005,0)),""))</f>
        <v/>
      </c>
      <c r="H147" s="12">
        <f>IF($A147="","",IFERROR(INDEX(土地清冊_匯入!$T$6:$T$1005,MATCH($A147,土地清冊_匯入!$A$6:$A$1005,0)),""))</f>
        <v/>
      </c>
      <c r="I147" s="12">
        <f>IF($A147="","",IFERROR(INDEX(土地清冊_匯入!$V$6:$V$1005,MATCH($A147,土地清冊_匯入!$A$6:$A$1005,0)),""))</f>
        <v/>
      </c>
      <c r="J147" s="14" t="n"/>
      <c r="K147" s="7" t="n"/>
      <c r="L147" s="7" t="n"/>
      <c r="M147" s="7" t="n"/>
      <c r="N147" s="7" t="n"/>
      <c r="O147" s="7" t="n"/>
      <c r="P147" s="7" t="n"/>
      <c r="Q147" s="14" t="n"/>
      <c r="R147" s="7" t="n"/>
      <c r="S147" s="7" t="n"/>
      <c r="T147" s="7" t="n"/>
      <c r="U147" s="12">
        <f>IF(A147="","",IF(OR(J147="",L147=""),"建議補聯絡紀錄","") )</f>
        <v/>
      </c>
    </row>
    <row r="148" ht="24" customHeight="1">
      <c r="A148" s="7" t="n"/>
      <c r="B148" s="7" t="n"/>
      <c r="C148" s="12">
        <f>IF($A148="","",IFERROR(INDEX(土地清冊_匯入!$B$6:$B$1005,MATCH($A148,土地清冊_匯入!$A$6:$A$1005,0)),"查無資料"))</f>
        <v/>
      </c>
      <c r="D148" s="12">
        <f>IF($A148="","",IFERROR(INDEX(土地清冊_匯入!$P$6:$P$1005,MATCH($A148,土地清冊_匯入!$A$6:$A$1005,0)),""))</f>
        <v/>
      </c>
      <c r="E148" s="12">
        <f>IF($A148="","",IFERROR(INDEX(土地清冊_匯入!$Q$6:$Q$1005,MATCH($A148,土地清冊_匯入!$A$6:$A$1005,0)),""))</f>
        <v/>
      </c>
      <c r="F148" s="12">
        <f>IF($A148="","",IFERROR(INDEX(土地清冊_匯入!$R$6:$R$1005,MATCH($A148,土地清冊_匯入!$A$6:$A$1005,0)),""))</f>
        <v/>
      </c>
      <c r="G148" s="12">
        <f>IF($A148="","",IFERROR(INDEX(土地清冊_匯入!$S$6:$S$1005,MATCH($A148,土地清冊_匯入!$A$6:$A$1005,0)),""))</f>
        <v/>
      </c>
      <c r="H148" s="12">
        <f>IF($A148="","",IFERROR(INDEX(土地清冊_匯入!$T$6:$T$1005,MATCH($A148,土地清冊_匯入!$A$6:$A$1005,0)),""))</f>
        <v/>
      </c>
      <c r="I148" s="12">
        <f>IF($A148="","",IFERROR(INDEX(土地清冊_匯入!$V$6:$V$1005,MATCH($A148,土地清冊_匯入!$A$6:$A$1005,0)),""))</f>
        <v/>
      </c>
      <c r="J148" s="14" t="n"/>
      <c r="K148" s="7" t="n"/>
      <c r="L148" s="7" t="n"/>
      <c r="M148" s="7" t="n"/>
      <c r="N148" s="7" t="n"/>
      <c r="O148" s="7" t="n"/>
      <c r="P148" s="7" t="n"/>
      <c r="Q148" s="14" t="n"/>
      <c r="R148" s="7" t="n"/>
      <c r="S148" s="7" t="n"/>
      <c r="T148" s="7" t="n"/>
      <c r="U148" s="12">
        <f>IF(A148="","",IF(OR(J148="",L148=""),"建議補聯絡紀錄","") )</f>
        <v/>
      </c>
    </row>
    <row r="149" ht="24" customHeight="1">
      <c r="A149" s="7" t="n"/>
      <c r="B149" s="7" t="n"/>
      <c r="C149" s="12">
        <f>IF($A149="","",IFERROR(INDEX(土地清冊_匯入!$B$6:$B$1005,MATCH($A149,土地清冊_匯入!$A$6:$A$1005,0)),"查無資料"))</f>
        <v/>
      </c>
      <c r="D149" s="12">
        <f>IF($A149="","",IFERROR(INDEX(土地清冊_匯入!$P$6:$P$1005,MATCH($A149,土地清冊_匯入!$A$6:$A$1005,0)),""))</f>
        <v/>
      </c>
      <c r="E149" s="12">
        <f>IF($A149="","",IFERROR(INDEX(土地清冊_匯入!$Q$6:$Q$1005,MATCH($A149,土地清冊_匯入!$A$6:$A$1005,0)),""))</f>
        <v/>
      </c>
      <c r="F149" s="12">
        <f>IF($A149="","",IFERROR(INDEX(土地清冊_匯入!$R$6:$R$1005,MATCH($A149,土地清冊_匯入!$A$6:$A$1005,0)),""))</f>
        <v/>
      </c>
      <c r="G149" s="12">
        <f>IF($A149="","",IFERROR(INDEX(土地清冊_匯入!$S$6:$S$1005,MATCH($A149,土地清冊_匯入!$A$6:$A$1005,0)),""))</f>
        <v/>
      </c>
      <c r="H149" s="12">
        <f>IF($A149="","",IFERROR(INDEX(土地清冊_匯入!$T$6:$T$1005,MATCH($A149,土地清冊_匯入!$A$6:$A$1005,0)),""))</f>
        <v/>
      </c>
      <c r="I149" s="12">
        <f>IF($A149="","",IFERROR(INDEX(土地清冊_匯入!$V$6:$V$1005,MATCH($A149,土地清冊_匯入!$A$6:$A$1005,0)),""))</f>
        <v/>
      </c>
      <c r="J149" s="14" t="n"/>
      <c r="K149" s="7" t="n"/>
      <c r="L149" s="7" t="n"/>
      <c r="M149" s="7" t="n"/>
      <c r="N149" s="7" t="n"/>
      <c r="O149" s="7" t="n"/>
      <c r="P149" s="7" t="n"/>
      <c r="Q149" s="14" t="n"/>
      <c r="R149" s="7" t="n"/>
      <c r="S149" s="7" t="n"/>
      <c r="T149" s="7" t="n"/>
      <c r="U149" s="12">
        <f>IF(A149="","",IF(OR(J149="",L149=""),"建議補聯絡紀錄","") )</f>
        <v/>
      </c>
    </row>
    <row r="150" ht="24" customHeight="1">
      <c r="A150" s="7" t="n"/>
      <c r="B150" s="7" t="n"/>
      <c r="C150" s="12">
        <f>IF($A150="","",IFERROR(INDEX(土地清冊_匯入!$B$6:$B$1005,MATCH($A150,土地清冊_匯入!$A$6:$A$1005,0)),"查無資料"))</f>
        <v/>
      </c>
      <c r="D150" s="12">
        <f>IF($A150="","",IFERROR(INDEX(土地清冊_匯入!$P$6:$P$1005,MATCH($A150,土地清冊_匯入!$A$6:$A$1005,0)),""))</f>
        <v/>
      </c>
      <c r="E150" s="12">
        <f>IF($A150="","",IFERROR(INDEX(土地清冊_匯入!$Q$6:$Q$1005,MATCH($A150,土地清冊_匯入!$A$6:$A$1005,0)),""))</f>
        <v/>
      </c>
      <c r="F150" s="12">
        <f>IF($A150="","",IFERROR(INDEX(土地清冊_匯入!$R$6:$R$1005,MATCH($A150,土地清冊_匯入!$A$6:$A$1005,0)),""))</f>
        <v/>
      </c>
      <c r="G150" s="12">
        <f>IF($A150="","",IFERROR(INDEX(土地清冊_匯入!$S$6:$S$1005,MATCH($A150,土地清冊_匯入!$A$6:$A$1005,0)),""))</f>
        <v/>
      </c>
      <c r="H150" s="12">
        <f>IF($A150="","",IFERROR(INDEX(土地清冊_匯入!$T$6:$T$1005,MATCH($A150,土地清冊_匯入!$A$6:$A$1005,0)),""))</f>
        <v/>
      </c>
      <c r="I150" s="12">
        <f>IF($A150="","",IFERROR(INDEX(土地清冊_匯入!$V$6:$V$1005,MATCH($A150,土地清冊_匯入!$A$6:$A$1005,0)),""))</f>
        <v/>
      </c>
      <c r="J150" s="14" t="n"/>
      <c r="K150" s="7" t="n"/>
      <c r="L150" s="7" t="n"/>
      <c r="M150" s="7" t="n"/>
      <c r="N150" s="7" t="n"/>
      <c r="O150" s="7" t="n"/>
      <c r="P150" s="7" t="n"/>
      <c r="Q150" s="14" t="n"/>
      <c r="R150" s="7" t="n"/>
      <c r="S150" s="7" t="n"/>
      <c r="T150" s="7" t="n"/>
      <c r="U150" s="12">
        <f>IF(A150="","",IF(OR(J150="",L150=""),"建議補聯絡紀錄","") )</f>
        <v/>
      </c>
    </row>
    <row r="151" ht="24" customHeight="1">
      <c r="A151" s="7" t="n"/>
      <c r="B151" s="7" t="n"/>
      <c r="C151" s="12">
        <f>IF($A151="","",IFERROR(INDEX(土地清冊_匯入!$B$6:$B$1005,MATCH($A151,土地清冊_匯入!$A$6:$A$1005,0)),"查無資料"))</f>
        <v/>
      </c>
      <c r="D151" s="12">
        <f>IF($A151="","",IFERROR(INDEX(土地清冊_匯入!$P$6:$P$1005,MATCH($A151,土地清冊_匯入!$A$6:$A$1005,0)),""))</f>
        <v/>
      </c>
      <c r="E151" s="12">
        <f>IF($A151="","",IFERROR(INDEX(土地清冊_匯入!$Q$6:$Q$1005,MATCH($A151,土地清冊_匯入!$A$6:$A$1005,0)),""))</f>
        <v/>
      </c>
      <c r="F151" s="12">
        <f>IF($A151="","",IFERROR(INDEX(土地清冊_匯入!$R$6:$R$1005,MATCH($A151,土地清冊_匯入!$A$6:$A$1005,0)),""))</f>
        <v/>
      </c>
      <c r="G151" s="12">
        <f>IF($A151="","",IFERROR(INDEX(土地清冊_匯入!$S$6:$S$1005,MATCH($A151,土地清冊_匯入!$A$6:$A$1005,0)),""))</f>
        <v/>
      </c>
      <c r="H151" s="12">
        <f>IF($A151="","",IFERROR(INDEX(土地清冊_匯入!$T$6:$T$1005,MATCH($A151,土地清冊_匯入!$A$6:$A$1005,0)),""))</f>
        <v/>
      </c>
      <c r="I151" s="12">
        <f>IF($A151="","",IFERROR(INDEX(土地清冊_匯入!$V$6:$V$1005,MATCH($A151,土地清冊_匯入!$A$6:$A$1005,0)),""))</f>
        <v/>
      </c>
      <c r="J151" s="14" t="n"/>
      <c r="K151" s="7" t="n"/>
      <c r="L151" s="7" t="n"/>
      <c r="M151" s="7" t="n"/>
      <c r="N151" s="7" t="n"/>
      <c r="O151" s="7" t="n"/>
      <c r="P151" s="7" t="n"/>
      <c r="Q151" s="14" t="n"/>
      <c r="R151" s="7" t="n"/>
      <c r="S151" s="7" t="n"/>
      <c r="T151" s="7" t="n"/>
      <c r="U151" s="12">
        <f>IF(A151="","",IF(OR(J151="",L151=""),"建議補聯絡紀錄","") )</f>
        <v/>
      </c>
    </row>
    <row r="152" ht="24" customHeight="1">
      <c r="A152" s="7" t="n"/>
      <c r="B152" s="7" t="n"/>
      <c r="C152" s="12">
        <f>IF($A152="","",IFERROR(INDEX(土地清冊_匯入!$B$6:$B$1005,MATCH($A152,土地清冊_匯入!$A$6:$A$1005,0)),"查無資料"))</f>
        <v/>
      </c>
      <c r="D152" s="12">
        <f>IF($A152="","",IFERROR(INDEX(土地清冊_匯入!$P$6:$P$1005,MATCH($A152,土地清冊_匯入!$A$6:$A$1005,0)),""))</f>
        <v/>
      </c>
      <c r="E152" s="12">
        <f>IF($A152="","",IFERROR(INDEX(土地清冊_匯入!$Q$6:$Q$1005,MATCH($A152,土地清冊_匯入!$A$6:$A$1005,0)),""))</f>
        <v/>
      </c>
      <c r="F152" s="12">
        <f>IF($A152="","",IFERROR(INDEX(土地清冊_匯入!$R$6:$R$1005,MATCH($A152,土地清冊_匯入!$A$6:$A$1005,0)),""))</f>
        <v/>
      </c>
      <c r="G152" s="12">
        <f>IF($A152="","",IFERROR(INDEX(土地清冊_匯入!$S$6:$S$1005,MATCH($A152,土地清冊_匯入!$A$6:$A$1005,0)),""))</f>
        <v/>
      </c>
      <c r="H152" s="12">
        <f>IF($A152="","",IFERROR(INDEX(土地清冊_匯入!$T$6:$T$1005,MATCH($A152,土地清冊_匯入!$A$6:$A$1005,0)),""))</f>
        <v/>
      </c>
      <c r="I152" s="12">
        <f>IF($A152="","",IFERROR(INDEX(土地清冊_匯入!$V$6:$V$1005,MATCH($A152,土地清冊_匯入!$A$6:$A$1005,0)),""))</f>
        <v/>
      </c>
      <c r="J152" s="14" t="n"/>
      <c r="K152" s="7" t="n"/>
      <c r="L152" s="7" t="n"/>
      <c r="M152" s="7" t="n"/>
      <c r="N152" s="7" t="n"/>
      <c r="O152" s="7" t="n"/>
      <c r="P152" s="7" t="n"/>
      <c r="Q152" s="14" t="n"/>
      <c r="R152" s="7" t="n"/>
      <c r="S152" s="7" t="n"/>
      <c r="T152" s="7" t="n"/>
      <c r="U152" s="12">
        <f>IF(A152="","",IF(OR(J152="",L152=""),"建議補聯絡紀錄","") )</f>
        <v/>
      </c>
    </row>
    <row r="153" ht="24" customHeight="1">
      <c r="A153" s="7" t="n"/>
      <c r="B153" s="7" t="n"/>
      <c r="C153" s="12">
        <f>IF($A153="","",IFERROR(INDEX(土地清冊_匯入!$B$6:$B$1005,MATCH($A153,土地清冊_匯入!$A$6:$A$1005,0)),"查無資料"))</f>
        <v/>
      </c>
      <c r="D153" s="12">
        <f>IF($A153="","",IFERROR(INDEX(土地清冊_匯入!$P$6:$P$1005,MATCH($A153,土地清冊_匯入!$A$6:$A$1005,0)),""))</f>
        <v/>
      </c>
      <c r="E153" s="12">
        <f>IF($A153="","",IFERROR(INDEX(土地清冊_匯入!$Q$6:$Q$1005,MATCH($A153,土地清冊_匯入!$A$6:$A$1005,0)),""))</f>
        <v/>
      </c>
      <c r="F153" s="12">
        <f>IF($A153="","",IFERROR(INDEX(土地清冊_匯入!$R$6:$R$1005,MATCH($A153,土地清冊_匯入!$A$6:$A$1005,0)),""))</f>
        <v/>
      </c>
      <c r="G153" s="12">
        <f>IF($A153="","",IFERROR(INDEX(土地清冊_匯入!$S$6:$S$1005,MATCH($A153,土地清冊_匯入!$A$6:$A$1005,0)),""))</f>
        <v/>
      </c>
      <c r="H153" s="12">
        <f>IF($A153="","",IFERROR(INDEX(土地清冊_匯入!$T$6:$T$1005,MATCH($A153,土地清冊_匯入!$A$6:$A$1005,0)),""))</f>
        <v/>
      </c>
      <c r="I153" s="12">
        <f>IF($A153="","",IFERROR(INDEX(土地清冊_匯入!$V$6:$V$1005,MATCH($A153,土地清冊_匯入!$A$6:$A$1005,0)),""))</f>
        <v/>
      </c>
      <c r="J153" s="14" t="n"/>
      <c r="K153" s="7" t="n"/>
      <c r="L153" s="7" t="n"/>
      <c r="M153" s="7" t="n"/>
      <c r="N153" s="7" t="n"/>
      <c r="O153" s="7" t="n"/>
      <c r="P153" s="7" t="n"/>
      <c r="Q153" s="14" t="n"/>
      <c r="R153" s="7" t="n"/>
      <c r="S153" s="7" t="n"/>
      <c r="T153" s="7" t="n"/>
      <c r="U153" s="12">
        <f>IF(A153="","",IF(OR(J153="",L153=""),"建議補聯絡紀錄","") )</f>
        <v/>
      </c>
    </row>
    <row r="154" ht="24" customHeight="1">
      <c r="A154" s="7" t="n"/>
      <c r="B154" s="7" t="n"/>
      <c r="C154" s="12">
        <f>IF($A154="","",IFERROR(INDEX(土地清冊_匯入!$B$6:$B$1005,MATCH($A154,土地清冊_匯入!$A$6:$A$1005,0)),"查無資料"))</f>
        <v/>
      </c>
      <c r="D154" s="12">
        <f>IF($A154="","",IFERROR(INDEX(土地清冊_匯入!$P$6:$P$1005,MATCH($A154,土地清冊_匯入!$A$6:$A$1005,0)),""))</f>
        <v/>
      </c>
      <c r="E154" s="12">
        <f>IF($A154="","",IFERROR(INDEX(土地清冊_匯入!$Q$6:$Q$1005,MATCH($A154,土地清冊_匯入!$A$6:$A$1005,0)),""))</f>
        <v/>
      </c>
      <c r="F154" s="12">
        <f>IF($A154="","",IFERROR(INDEX(土地清冊_匯入!$R$6:$R$1005,MATCH($A154,土地清冊_匯入!$A$6:$A$1005,0)),""))</f>
        <v/>
      </c>
      <c r="G154" s="12">
        <f>IF($A154="","",IFERROR(INDEX(土地清冊_匯入!$S$6:$S$1005,MATCH($A154,土地清冊_匯入!$A$6:$A$1005,0)),""))</f>
        <v/>
      </c>
      <c r="H154" s="12">
        <f>IF($A154="","",IFERROR(INDEX(土地清冊_匯入!$T$6:$T$1005,MATCH($A154,土地清冊_匯入!$A$6:$A$1005,0)),""))</f>
        <v/>
      </c>
      <c r="I154" s="12">
        <f>IF($A154="","",IFERROR(INDEX(土地清冊_匯入!$V$6:$V$1005,MATCH($A154,土地清冊_匯入!$A$6:$A$1005,0)),""))</f>
        <v/>
      </c>
      <c r="J154" s="14" t="n"/>
      <c r="K154" s="7" t="n"/>
      <c r="L154" s="7" t="n"/>
      <c r="M154" s="7" t="n"/>
      <c r="N154" s="7" t="n"/>
      <c r="O154" s="7" t="n"/>
      <c r="P154" s="7" t="n"/>
      <c r="Q154" s="14" t="n"/>
      <c r="R154" s="7" t="n"/>
      <c r="S154" s="7" t="n"/>
      <c r="T154" s="7" t="n"/>
      <c r="U154" s="12">
        <f>IF(A154="","",IF(OR(J154="",L154=""),"建議補聯絡紀錄","") )</f>
        <v/>
      </c>
    </row>
    <row r="155" ht="24" customHeight="1">
      <c r="A155" s="7" t="n"/>
      <c r="B155" s="7" t="n"/>
      <c r="C155" s="12">
        <f>IF($A155="","",IFERROR(INDEX(土地清冊_匯入!$B$6:$B$1005,MATCH($A155,土地清冊_匯入!$A$6:$A$1005,0)),"查無資料"))</f>
        <v/>
      </c>
      <c r="D155" s="12">
        <f>IF($A155="","",IFERROR(INDEX(土地清冊_匯入!$P$6:$P$1005,MATCH($A155,土地清冊_匯入!$A$6:$A$1005,0)),""))</f>
        <v/>
      </c>
      <c r="E155" s="12">
        <f>IF($A155="","",IFERROR(INDEX(土地清冊_匯入!$Q$6:$Q$1005,MATCH($A155,土地清冊_匯入!$A$6:$A$1005,0)),""))</f>
        <v/>
      </c>
      <c r="F155" s="12">
        <f>IF($A155="","",IFERROR(INDEX(土地清冊_匯入!$R$6:$R$1005,MATCH($A155,土地清冊_匯入!$A$6:$A$1005,0)),""))</f>
        <v/>
      </c>
      <c r="G155" s="12">
        <f>IF($A155="","",IFERROR(INDEX(土地清冊_匯入!$S$6:$S$1005,MATCH($A155,土地清冊_匯入!$A$6:$A$1005,0)),""))</f>
        <v/>
      </c>
      <c r="H155" s="12">
        <f>IF($A155="","",IFERROR(INDEX(土地清冊_匯入!$T$6:$T$1005,MATCH($A155,土地清冊_匯入!$A$6:$A$1005,0)),""))</f>
        <v/>
      </c>
      <c r="I155" s="12">
        <f>IF($A155="","",IFERROR(INDEX(土地清冊_匯入!$V$6:$V$1005,MATCH($A155,土地清冊_匯入!$A$6:$A$1005,0)),""))</f>
        <v/>
      </c>
      <c r="J155" s="14" t="n"/>
      <c r="K155" s="7" t="n"/>
      <c r="L155" s="7" t="n"/>
      <c r="M155" s="7" t="n"/>
      <c r="N155" s="7" t="n"/>
      <c r="O155" s="7" t="n"/>
      <c r="P155" s="7" t="n"/>
      <c r="Q155" s="14" t="n"/>
      <c r="R155" s="7" t="n"/>
      <c r="S155" s="7" t="n"/>
      <c r="T155" s="7" t="n"/>
      <c r="U155" s="12">
        <f>IF(A155="","",IF(OR(J155="",L155=""),"建議補聯絡紀錄","") )</f>
        <v/>
      </c>
    </row>
    <row r="156" ht="24" customHeight="1">
      <c r="A156" s="7" t="n"/>
      <c r="B156" s="7" t="n"/>
      <c r="C156" s="12">
        <f>IF($A156="","",IFERROR(INDEX(土地清冊_匯入!$B$6:$B$1005,MATCH($A156,土地清冊_匯入!$A$6:$A$1005,0)),"查無資料"))</f>
        <v/>
      </c>
      <c r="D156" s="12">
        <f>IF($A156="","",IFERROR(INDEX(土地清冊_匯入!$P$6:$P$1005,MATCH($A156,土地清冊_匯入!$A$6:$A$1005,0)),""))</f>
        <v/>
      </c>
      <c r="E156" s="12">
        <f>IF($A156="","",IFERROR(INDEX(土地清冊_匯入!$Q$6:$Q$1005,MATCH($A156,土地清冊_匯入!$A$6:$A$1005,0)),""))</f>
        <v/>
      </c>
      <c r="F156" s="12">
        <f>IF($A156="","",IFERROR(INDEX(土地清冊_匯入!$R$6:$R$1005,MATCH($A156,土地清冊_匯入!$A$6:$A$1005,0)),""))</f>
        <v/>
      </c>
      <c r="G156" s="12">
        <f>IF($A156="","",IFERROR(INDEX(土地清冊_匯入!$S$6:$S$1005,MATCH($A156,土地清冊_匯入!$A$6:$A$1005,0)),""))</f>
        <v/>
      </c>
      <c r="H156" s="12">
        <f>IF($A156="","",IFERROR(INDEX(土地清冊_匯入!$T$6:$T$1005,MATCH($A156,土地清冊_匯入!$A$6:$A$1005,0)),""))</f>
        <v/>
      </c>
      <c r="I156" s="12">
        <f>IF($A156="","",IFERROR(INDEX(土地清冊_匯入!$V$6:$V$1005,MATCH($A156,土地清冊_匯入!$A$6:$A$1005,0)),""))</f>
        <v/>
      </c>
      <c r="J156" s="14" t="n"/>
      <c r="K156" s="7" t="n"/>
      <c r="L156" s="7" t="n"/>
      <c r="M156" s="7" t="n"/>
      <c r="N156" s="7" t="n"/>
      <c r="O156" s="7" t="n"/>
      <c r="P156" s="7" t="n"/>
      <c r="Q156" s="14" t="n"/>
      <c r="R156" s="7" t="n"/>
      <c r="S156" s="7" t="n"/>
      <c r="T156" s="7" t="n"/>
      <c r="U156" s="12">
        <f>IF(A156="","",IF(OR(J156="",L156=""),"建議補聯絡紀錄","") )</f>
        <v/>
      </c>
    </row>
    <row r="157" ht="24" customHeight="1">
      <c r="A157" s="7" t="n"/>
      <c r="B157" s="7" t="n"/>
      <c r="C157" s="12">
        <f>IF($A157="","",IFERROR(INDEX(土地清冊_匯入!$B$6:$B$1005,MATCH($A157,土地清冊_匯入!$A$6:$A$1005,0)),"查無資料"))</f>
        <v/>
      </c>
      <c r="D157" s="12">
        <f>IF($A157="","",IFERROR(INDEX(土地清冊_匯入!$P$6:$P$1005,MATCH($A157,土地清冊_匯入!$A$6:$A$1005,0)),""))</f>
        <v/>
      </c>
      <c r="E157" s="12">
        <f>IF($A157="","",IFERROR(INDEX(土地清冊_匯入!$Q$6:$Q$1005,MATCH($A157,土地清冊_匯入!$A$6:$A$1005,0)),""))</f>
        <v/>
      </c>
      <c r="F157" s="12">
        <f>IF($A157="","",IFERROR(INDEX(土地清冊_匯入!$R$6:$R$1005,MATCH($A157,土地清冊_匯入!$A$6:$A$1005,0)),""))</f>
        <v/>
      </c>
      <c r="G157" s="12">
        <f>IF($A157="","",IFERROR(INDEX(土地清冊_匯入!$S$6:$S$1005,MATCH($A157,土地清冊_匯入!$A$6:$A$1005,0)),""))</f>
        <v/>
      </c>
      <c r="H157" s="12">
        <f>IF($A157="","",IFERROR(INDEX(土地清冊_匯入!$T$6:$T$1005,MATCH($A157,土地清冊_匯入!$A$6:$A$1005,0)),""))</f>
        <v/>
      </c>
      <c r="I157" s="12">
        <f>IF($A157="","",IFERROR(INDEX(土地清冊_匯入!$V$6:$V$1005,MATCH($A157,土地清冊_匯入!$A$6:$A$1005,0)),""))</f>
        <v/>
      </c>
      <c r="J157" s="14" t="n"/>
      <c r="K157" s="7" t="n"/>
      <c r="L157" s="7" t="n"/>
      <c r="M157" s="7" t="n"/>
      <c r="N157" s="7" t="n"/>
      <c r="O157" s="7" t="n"/>
      <c r="P157" s="7" t="n"/>
      <c r="Q157" s="14" t="n"/>
      <c r="R157" s="7" t="n"/>
      <c r="S157" s="7" t="n"/>
      <c r="T157" s="7" t="n"/>
      <c r="U157" s="12">
        <f>IF(A157="","",IF(OR(J157="",L157=""),"建議補聯絡紀錄","") )</f>
        <v/>
      </c>
    </row>
    <row r="158" ht="24" customHeight="1">
      <c r="A158" s="7" t="n"/>
      <c r="B158" s="7" t="n"/>
      <c r="C158" s="12">
        <f>IF($A158="","",IFERROR(INDEX(土地清冊_匯入!$B$6:$B$1005,MATCH($A158,土地清冊_匯入!$A$6:$A$1005,0)),"查無資料"))</f>
        <v/>
      </c>
      <c r="D158" s="12">
        <f>IF($A158="","",IFERROR(INDEX(土地清冊_匯入!$P$6:$P$1005,MATCH($A158,土地清冊_匯入!$A$6:$A$1005,0)),""))</f>
        <v/>
      </c>
      <c r="E158" s="12">
        <f>IF($A158="","",IFERROR(INDEX(土地清冊_匯入!$Q$6:$Q$1005,MATCH($A158,土地清冊_匯入!$A$6:$A$1005,0)),""))</f>
        <v/>
      </c>
      <c r="F158" s="12">
        <f>IF($A158="","",IFERROR(INDEX(土地清冊_匯入!$R$6:$R$1005,MATCH($A158,土地清冊_匯入!$A$6:$A$1005,0)),""))</f>
        <v/>
      </c>
      <c r="G158" s="12">
        <f>IF($A158="","",IFERROR(INDEX(土地清冊_匯入!$S$6:$S$1005,MATCH($A158,土地清冊_匯入!$A$6:$A$1005,0)),""))</f>
        <v/>
      </c>
      <c r="H158" s="12">
        <f>IF($A158="","",IFERROR(INDEX(土地清冊_匯入!$T$6:$T$1005,MATCH($A158,土地清冊_匯入!$A$6:$A$1005,0)),""))</f>
        <v/>
      </c>
      <c r="I158" s="12">
        <f>IF($A158="","",IFERROR(INDEX(土地清冊_匯入!$V$6:$V$1005,MATCH($A158,土地清冊_匯入!$A$6:$A$1005,0)),""))</f>
        <v/>
      </c>
      <c r="J158" s="14" t="n"/>
      <c r="K158" s="7" t="n"/>
      <c r="L158" s="7" t="n"/>
      <c r="M158" s="7" t="n"/>
      <c r="N158" s="7" t="n"/>
      <c r="O158" s="7" t="n"/>
      <c r="P158" s="7" t="n"/>
      <c r="Q158" s="14" t="n"/>
      <c r="R158" s="7" t="n"/>
      <c r="S158" s="7" t="n"/>
      <c r="T158" s="7" t="n"/>
      <c r="U158" s="12">
        <f>IF(A158="","",IF(OR(J158="",L158=""),"建議補聯絡紀錄","") )</f>
        <v/>
      </c>
    </row>
    <row r="159" ht="24" customHeight="1">
      <c r="A159" s="7" t="n"/>
      <c r="B159" s="7" t="n"/>
      <c r="C159" s="12">
        <f>IF($A159="","",IFERROR(INDEX(土地清冊_匯入!$B$6:$B$1005,MATCH($A159,土地清冊_匯入!$A$6:$A$1005,0)),"查無資料"))</f>
        <v/>
      </c>
      <c r="D159" s="12">
        <f>IF($A159="","",IFERROR(INDEX(土地清冊_匯入!$P$6:$P$1005,MATCH($A159,土地清冊_匯入!$A$6:$A$1005,0)),""))</f>
        <v/>
      </c>
      <c r="E159" s="12">
        <f>IF($A159="","",IFERROR(INDEX(土地清冊_匯入!$Q$6:$Q$1005,MATCH($A159,土地清冊_匯入!$A$6:$A$1005,0)),""))</f>
        <v/>
      </c>
      <c r="F159" s="12">
        <f>IF($A159="","",IFERROR(INDEX(土地清冊_匯入!$R$6:$R$1005,MATCH($A159,土地清冊_匯入!$A$6:$A$1005,0)),""))</f>
        <v/>
      </c>
      <c r="G159" s="12">
        <f>IF($A159="","",IFERROR(INDEX(土地清冊_匯入!$S$6:$S$1005,MATCH($A159,土地清冊_匯入!$A$6:$A$1005,0)),""))</f>
        <v/>
      </c>
      <c r="H159" s="12">
        <f>IF($A159="","",IFERROR(INDEX(土地清冊_匯入!$T$6:$T$1005,MATCH($A159,土地清冊_匯入!$A$6:$A$1005,0)),""))</f>
        <v/>
      </c>
      <c r="I159" s="12">
        <f>IF($A159="","",IFERROR(INDEX(土地清冊_匯入!$V$6:$V$1005,MATCH($A159,土地清冊_匯入!$A$6:$A$1005,0)),""))</f>
        <v/>
      </c>
      <c r="J159" s="14" t="n"/>
      <c r="K159" s="7" t="n"/>
      <c r="L159" s="7" t="n"/>
      <c r="M159" s="7" t="n"/>
      <c r="N159" s="7" t="n"/>
      <c r="O159" s="7" t="n"/>
      <c r="P159" s="7" t="n"/>
      <c r="Q159" s="14" t="n"/>
      <c r="R159" s="7" t="n"/>
      <c r="S159" s="7" t="n"/>
      <c r="T159" s="7" t="n"/>
      <c r="U159" s="12">
        <f>IF(A159="","",IF(OR(J159="",L159=""),"建議補聯絡紀錄","") )</f>
        <v/>
      </c>
    </row>
    <row r="160" ht="24" customHeight="1">
      <c r="A160" s="7" t="n"/>
      <c r="B160" s="7" t="n"/>
      <c r="C160" s="12">
        <f>IF($A160="","",IFERROR(INDEX(土地清冊_匯入!$B$6:$B$1005,MATCH($A160,土地清冊_匯入!$A$6:$A$1005,0)),"查無資料"))</f>
        <v/>
      </c>
      <c r="D160" s="12">
        <f>IF($A160="","",IFERROR(INDEX(土地清冊_匯入!$P$6:$P$1005,MATCH($A160,土地清冊_匯入!$A$6:$A$1005,0)),""))</f>
        <v/>
      </c>
      <c r="E160" s="12">
        <f>IF($A160="","",IFERROR(INDEX(土地清冊_匯入!$Q$6:$Q$1005,MATCH($A160,土地清冊_匯入!$A$6:$A$1005,0)),""))</f>
        <v/>
      </c>
      <c r="F160" s="12">
        <f>IF($A160="","",IFERROR(INDEX(土地清冊_匯入!$R$6:$R$1005,MATCH($A160,土地清冊_匯入!$A$6:$A$1005,0)),""))</f>
        <v/>
      </c>
      <c r="G160" s="12">
        <f>IF($A160="","",IFERROR(INDEX(土地清冊_匯入!$S$6:$S$1005,MATCH($A160,土地清冊_匯入!$A$6:$A$1005,0)),""))</f>
        <v/>
      </c>
      <c r="H160" s="12">
        <f>IF($A160="","",IFERROR(INDEX(土地清冊_匯入!$T$6:$T$1005,MATCH($A160,土地清冊_匯入!$A$6:$A$1005,0)),""))</f>
        <v/>
      </c>
      <c r="I160" s="12">
        <f>IF($A160="","",IFERROR(INDEX(土地清冊_匯入!$V$6:$V$1005,MATCH($A160,土地清冊_匯入!$A$6:$A$1005,0)),""))</f>
        <v/>
      </c>
      <c r="J160" s="14" t="n"/>
      <c r="K160" s="7" t="n"/>
      <c r="L160" s="7" t="n"/>
      <c r="M160" s="7" t="n"/>
      <c r="N160" s="7" t="n"/>
      <c r="O160" s="7" t="n"/>
      <c r="P160" s="7" t="n"/>
      <c r="Q160" s="14" t="n"/>
      <c r="R160" s="7" t="n"/>
      <c r="S160" s="7" t="n"/>
      <c r="T160" s="7" t="n"/>
      <c r="U160" s="12">
        <f>IF(A160="","",IF(OR(J160="",L160=""),"建議補聯絡紀錄","") )</f>
        <v/>
      </c>
    </row>
    <row r="161" ht="24" customHeight="1">
      <c r="A161" s="7" t="n"/>
      <c r="B161" s="7" t="n"/>
      <c r="C161" s="12">
        <f>IF($A161="","",IFERROR(INDEX(土地清冊_匯入!$B$6:$B$1005,MATCH($A161,土地清冊_匯入!$A$6:$A$1005,0)),"查無資料"))</f>
        <v/>
      </c>
      <c r="D161" s="12">
        <f>IF($A161="","",IFERROR(INDEX(土地清冊_匯入!$P$6:$P$1005,MATCH($A161,土地清冊_匯入!$A$6:$A$1005,0)),""))</f>
        <v/>
      </c>
      <c r="E161" s="12">
        <f>IF($A161="","",IFERROR(INDEX(土地清冊_匯入!$Q$6:$Q$1005,MATCH($A161,土地清冊_匯入!$A$6:$A$1005,0)),""))</f>
        <v/>
      </c>
      <c r="F161" s="12">
        <f>IF($A161="","",IFERROR(INDEX(土地清冊_匯入!$R$6:$R$1005,MATCH($A161,土地清冊_匯入!$A$6:$A$1005,0)),""))</f>
        <v/>
      </c>
      <c r="G161" s="12">
        <f>IF($A161="","",IFERROR(INDEX(土地清冊_匯入!$S$6:$S$1005,MATCH($A161,土地清冊_匯入!$A$6:$A$1005,0)),""))</f>
        <v/>
      </c>
      <c r="H161" s="12">
        <f>IF($A161="","",IFERROR(INDEX(土地清冊_匯入!$T$6:$T$1005,MATCH($A161,土地清冊_匯入!$A$6:$A$1005,0)),""))</f>
        <v/>
      </c>
      <c r="I161" s="12">
        <f>IF($A161="","",IFERROR(INDEX(土地清冊_匯入!$V$6:$V$1005,MATCH($A161,土地清冊_匯入!$A$6:$A$1005,0)),""))</f>
        <v/>
      </c>
      <c r="J161" s="14" t="n"/>
      <c r="K161" s="7" t="n"/>
      <c r="L161" s="7" t="n"/>
      <c r="M161" s="7" t="n"/>
      <c r="N161" s="7" t="n"/>
      <c r="O161" s="7" t="n"/>
      <c r="P161" s="7" t="n"/>
      <c r="Q161" s="14" t="n"/>
      <c r="R161" s="7" t="n"/>
      <c r="S161" s="7" t="n"/>
      <c r="T161" s="7" t="n"/>
      <c r="U161" s="12">
        <f>IF(A161="","",IF(OR(J161="",L161=""),"建議補聯絡紀錄","") )</f>
        <v/>
      </c>
    </row>
    <row r="162" ht="24" customHeight="1">
      <c r="A162" s="7" t="n"/>
      <c r="B162" s="7" t="n"/>
      <c r="C162" s="12">
        <f>IF($A162="","",IFERROR(INDEX(土地清冊_匯入!$B$6:$B$1005,MATCH($A162,土地清冊_匯入!$A$6:$A$1005,0)),"查無資料"))</f>
        <v/>
      </c>
      <c r="D162" s="12">
        <f>IF($A162="","",IFERROR(INDEX(土地清冊_匯入!$P$6:$P$1005,MATCH($A162,土地清冊_匯入!$A$6:$A$1005,0)),""))</f>
        <v/>
      </c>
      <c r="E162" s="12">
        <f>IF($A162="","",IFERROR(INDEX(土地清冊_匯入!$Q$6:$Q$1005,MATCH($A162,土地清冊_匯入!$A$6:$A$1005,0)),""))</f>
        <v/>
      </c>
      <c r="F162" s="12">
        <f>IF($A162="","",IFERROR(INDEX(土地清冊_匯入!$R$6:$R$1005,MATCH($A162,土地清冊_匯入!$A$6:$A$1005,0)),""))</f>
        <v/>
      </c>
      <c r="G162" s="12">
        <f>IF($A162="","",IFERROR(INDEX(土地清冊_匯入!$S$6:$S$1005,MATCH($A162,土地清冊_匯入!$A$6:$A$1005,0)),""))</f>
        <v/>
      </c>
      <c r="H162" s="12">
        <f>IF($A162="","",IFERROR(INDEX(土地清冊_匯入!$T$6:$T$1005,MATCH($A162,土地清冊_匯入!$A$6:$A$1005,0)),""))</f>
        <v/>
      </c>
      <c r="I162" s="12">
        <f>IF($A162="","",IFERROR(INDEX(土地清冊_匯入!$V$6:$V$1005,MATCH($A162,土地清冊_匯入!$A$6:$A$1005,0)),""))</f>
        <v/>
      </c>
      <c r="J162" s="14" t="n"/>
      <c r="K162" s="7" t="n"/>
      <c r="L162" s="7" t="n"/>
      <c r="M162" s="7" t="n"/>
      <c r="N162" s="7" t="n"/>
      <c r="O162" s="7" t="n"/>
      <c r="P162" s="7" t="n"/>
      <c r="Q162" s="14" t="n"/>
      <c r="R162" s="7" t="n"/>
      <c r="S162" s="7" t="n"/>
      <c r="T162" s="7" t="n"/>
      <c r="U162" s="12">
        <f>IF(A162="","",IF(OR(J162="",L162=""),"建議補聯絡紀錄","") )</f>
        <v/>
      </c>
    </row>
    <row r="163" ht="24" customHeight="1">
      <c r="A163" s="7" t="n"/>
      <c r="B163" s="7" t="n"/>
      <c r="C163" s="12">
        <f>IF($A163="","",IFERROR(INDEX(土地清冊_匯入!$B$6:$B$1005,MATCH($A163,土地清冊_匯入!$A$6:$A$1005,0)),"查無資料"))</f>
        <v/>
      </c>
      <c r="D163" s="12">
        <f>IF($A163="","",IFERROR(INDEX(土地清冊_匯入!$P$6:$P$1005,MATCH($A163,土地清冊_匯入!$A$6:$A$1005,0)),""))</f>
        <v/>
      </c>
      <c r="E163" s="12">
        <f>IF($A163="","",IFERROR(INDEX(土地清冊_匯入!$Q$6:$Q$1005,MATCH($A163,土地清冊_匯入!$A$6:$A$1005,0)),""))</f>
        <v/>
      </c>
      <c r="F163" s="12">
        <f>IF($A163="","",IFERROR(INDEX(土地清冊_匯入!$R$6:$R$1005,MATCH($A163,土地清冊_匯入!$A$6:$A$1005,0)),""))</f>
        <v/>
      </c>
      <c r="G163" s="12">
        <f>IF($A163="","",IFERROR(INDEX(土地清冊_匯入!$S$6:$S$1005,MATCH($A163,土地清冊_匯入!$A$6:$A$1005,0)),""))</f>
        <v/>
      </c>
      <c r="H163" s="12">
        <f>IF($A163="","",IFERROR(INDEX(土地清冊_匯入!$T$6:$T$1005,MATCH($A163,土地清冊_匯入!$A$6:$A$1005,0)),""))</f>
        <v/>
      </c>
      <c r="I163" s="12">
        <f>IF($A163="","",IFERROR(INDEX(土地清冊_匯入!$V$6:$V$1005,MATCH($A163,土地清冊_匯入!$A$6:$A$1005,0)),""))</f>
        <v/>
      </c>
      <c r="J163" s="14" t="n"/>
      <c r="K163" s="7" t="n"/>
      <c r="L163" s="7" t="n"/>
      <c r="M163" s="7" t="n"/>
      <c r="N163" s="7" t="n"/>
      <c r="O163" s="7" t="n"/>
      <c r="P163" s="7" t="n"/>
      <c r="Q163" s="14" t="n"/>
      <c r="R163" s="7" t="n"/>
      <c r="S163" s="7" t="n"/>
      <c r="T163" s="7" t="n"/>
      <c r="U163" s="12">
        <f>IF(A163="","",IF(OR(J163="",L163=""),"建議補聯絡紀錄","") )</f>
        <v/>
      </c>
    </row>
    <row r="164" ht="24" customHeight="1">
      <c r="A164" s="7" t="n"/>
      <c r="B164" s="7" t="n"/>
      <c r="C164" s="12">
        <f>IF($A164="","",IFERROR(INDEX(土地清冊_匯入!$B$6:$B$1005,MATCH($A164,土地清冊_匯入!$A$6:$A$1005,0)),"查無資料"))</f>
        <v/>
      </c>
      <c r="D164" s="12">
        <f>IF($A164="","",IFERROR(INDEX(土地清冊_匯入!$P$6:$P$1005,MATCH($A164,土地清冊_匯入!$A$6:$A$1005,0)),""))</f>
        <v/>
      </c>
      <c r="E164" s="12">
        <f>IF($A164="","",IFERROR(INDEX(土地清冊_匯入!$Q$6:$Q$1005,MATCH($A164,土地清冊_匯入!$A$6:$A$1005,0)),""))</f>
        <v/>
      </c>
      <c r="F164" s="12">
        <f>IF($A164="","",IFERROR(INDEX(土地清冊_匯入!$R$6:$R$1005,MATCH($A164,土地清冊_匯入!$A$6:$A$1005,0)),""))</f>
        <v/>
      </c>
      <c r="G164" s="12">
        <f>IF($A164="","",IFERROR(INDEX(土地清冊_匯入!$S$6:$S$1005,MATCH($A164,土地清冊_匯入!$A$6:$A$1005,0)),""))</f>
        <v/>
      </c>
      <c r="H164" s="12">
        <f>IF($A164="","",IFERROR(INDEX(土地清冊_匯入!$T$6:$T$1005,MATCH($A164,土地清冊_匯入!$A$6:$A$1005,0)),""))</f>
        <v/>
      </c>
      <c r="I164" s="12">
        <f>IF($A164="","",IFERROR(INDEX(土地清冊_匯入!$V$6:$V$1005,MATCH($A164,土地清冊_匯入!$A$6:$A$1005,0)),""))</f>
        <v/>
      </c>
      <c r="J164" s="14" t="n"/>
      <c r="K164" s="7" t="n"/>
      <c r="L164" s="7" t="n"/>
      <c r="M164" s="7" t="n"/>
      <c r="N164" s="7" t="n"/>
      <c r="O164" s="7" t="n"/>
      <c r="P164" s="7" t="n"/>
      <c r="Q164" s="14" t="n"/>
      <c r="R164" s="7" t="n"/>
      <c r="S164" s="7" t="n"/>
      <c r="T164" s="7" t="n"/>
      <c r="U164" s="12">
        <f>IF(A164="","",IF(OR(J164="",L164=""),"建議補聯絡紀錄","") )</f>
        <v/>
      </c>
    </row>
    <row r="165" ht="24" customHeight="1">
      <c r="A165" s="7" t="n"/>
      <c r="B165" s="7" t="n"/>
      <c r="C165" s="12">
        <f>IF($A165="","",IFERROR(INDEX(土地清冊_匯入!$B$6:$B$1005,MATCH($A165,土地清冊_匯入!$A$6:$A$1005,0)),"查無資料"))</f>
        <v/>
      </c>
      <c r="D165" s="12">
        <f>IF($A165="","",IFERROR(INDEX(土地清冊_匯入!$P$6:$P$1005,MATCH($A165,土地清冊_匯入!$A$6:$A$1005,0)),""))</f>
        <v/>
      </c>
      <c r="E165" s="12">
        <f>IF($A165="","",IFERROR(INDEX(土地清冊_匯入!$Q$6:$Q$1005,MATCH($A165,土地清冊_匯入!$A$6:$A$1005,0)),""))</f>
        <v/>
      </c>
      <c r="F165" s="12">
        <f>IF($A165="","",IFERROR(INDEX(土地清冊_匯入!$R$6:$R$1005,MATCH($A165,土地清冊_匯入!$A$6:$A$1005,0)),""))</f>
        <v/>
      </c>
      <c r="G165" s="12">
        <f>IF($A165="","",IFERROR(INDEX(土地清冊_匯入!$S$6:$S$1005,MATCH($A165,土地清冊_匯入!$A$6:$A$1005,0)),""))</f>
        <v/>
      </c>
      <c r="H165" s="12">
        <f>IF($A165="","",IFERROR(INDEX(土地清冊_匯入!$T$6:$T$1005,MATCH($A165,土地清冊_匯入!$A$6:$A$1005,0)),""))</f>
        <v/>
      </c>
      <c r="I165" s="12">
        <f>IF($A165="","",IFERROR(INDEX(土地清冊_匯入!$V$6:$V$1005,MATCH($A165,土地清冊_匯入!$A$6:$A$1005,0)),""))</f>
        <v/>
      </c>
      <c r="J165" s="14" t="n"/>
      <c r="K165" s="7" t="n"/>
      <c r="L165" s="7" t="n"/>
      <c r="M165" s="7" t="n"/>
      <c r="N165" s="7" t="n"/>
      <c r="O165" s="7" t="n"/>
      <c r="P165" s="7" t="n"/>
      <c r="Q165" s="14" t="n"/>
      <c r="R165" s="7" t="n"/>
      <c r="S165" s="7" t="n"/>
      <c r="T165" s="7" t="n"/>
      <c r="U165" s="12">
        <f>IF(A165="","",IF(OR(J165="",L165=""),"建議補聯絡紀錄","") )</f>
        <v/>
      </c>
    </row>
    <row r="166" ht="24" customHeight="1">
      <c r="A166" s="7" t="n"/>
      <c r="B166" s="7" t="n"/>
      <c r="C166" s="12">
        <f>IF($A166="","",IFERROR(INDEX(土地清冊_匯入!$B$6:$B$1005,MATCH($A166,土地清冊_匯入!$A$6:$A$1005,0)),"查無資料"))</f>
        <v/>
      </c>
      <c r="D166" s="12">
        <f>IF($A166="","",IFERROR(INDEX(土地清冊_匯入!$P$6:$P$1005,MATCH($A166,土地清冊_匯入!$A$6:$A$1005,0)),""))</f>
        <v/>
      </c>
      <c r="E166" s="12">
        <f>IF($A166="","",IFERROR(INDEX(土地清冊_匯入!$Q$6:$Q$1005,MATCH($A166,土地清冊_匯入!$A$6:$A$1005,0)),""))</f>
        <v/>
      </c>
      <c r="F166" s="12">
        <f>IF($A166="","",IFERROR(INDEX(土地清冊_匯入!$R$6:$R$1005,MATCH($A166,土地清冊_匯入!$A$6:$A$1005,0)),""))</f>
        <v/>
      </c>
      <c r="G166" s="12">
        <f>IF($A166="","",IFERROR(INDEX(土地清冊_匯入!$S$6:$S$1005,MATCH($A166,土地清冊_匯入!$A$6:$A$1005,0)),""))</f>
        <v/>
      </c>
      <c r="H166" s="12">
        <f>IF($A166="","",IFERROR(INDEX(土地清冊_匯入!$T$6:$T$1005,MATCH($A166,土地清冊_匯入!$A$6:$A$1005,0)),""))</f>
        <v/>
      </c>
      <c r="I166" s="12">
        <f>IF($A166="","",IFERROR(INDEX(土地清冊_匯入!$V$6:$V$1005,MATCH($A166,土地清冊_匯入!$A$6:$A$1005,0)),""))</f>
        <v/>
      </c>
      <c r="J166" s="14" t="n"/>
      <c r="K166" s="7" t="n"/>
      <c r="L166" s="7" t="n"/>
      <c r="M166" s="7" t="n"/>
      <c r="N166" s="7" t="n"/>
      <c r="O166" s="7" t="n"/>
      <c r="P166" s="7" t="n"/>
      <c r="Q166" s="14" t="n"/>
      <c r="R166" s="7" t="n"/>
      <c r="S166" s="7" t="n"/>
      <c r="T166" s="7" t="n"/>
      <c r="U166" s="12">
        <f>IF(A166="","",IF(OR(J166="",L166=""),"建議補聯絡紀錄","") )</f>
        <v/>
      </c>
    </row>
    <row r="167" ht="24" customHeight="1">
      <c r="A167" s="7" t="n"/>
      <c r="B167" s="7" t="n"/>
      <c r="C167" s="12">
        <f>IF($A167="","",IFERROR(INDEX(土地清冊_匯入!$B$6:$B$1005,MATCH($A167,土地清冊_匯入!$A$6:$A$1005,0)),"查無資料"))</f>
        <v/>
      </c>
      <c r="D167" s="12">
        <f>IF($A167="","",IFERROR(INDEX(土地清冊_匯入!$P$6:$P$1005,MATCH($A167,土地清冊_匯入!$A$6:$A$1005,0)),""))</f>
        <v/>
      </c>
      <c r="E167" s="12">
        <f>IF($A167="","",IFERROR(INDEX(土地清冊_匯入!$Q$6:$Q$1005,MATCH($A167,土地清冊_匯入!$A$6:$A$1005,0)),""))</f>
        <v/>
      </c>
      <c r="F167" s="12">
        <f>IF($A167="","",IFERROR(INDEX(土地清冊_匯入!$R$6:$R$1005,MATCH($A167,土地清冊_匯入!$A$6:$A$1005,0)),""))</f>
        <v/>
      </c>
      <c r="G167" s="12">
        <f>IF($A167="","",IFERROR(INDEX(土地清冊_匯入!$S$6:$S$1005,MATCH($A167,土地清冊_匯入!$A$6:$A$1005,0)),""))</f>
        <v/>
      </c>
      <c r="H167" s="12">
        <f>IF($A167="","",IFERROR(INDEX(土地清冊_匯入!$T$6:$T$1005,MATCH($A167,土地清冊_匯入!$A$6:$A$1005,0)),""))</f>
        <v/>
      </c>
      <c r="I167" s="12">
        <f>IF($A167="","",IFERROR(INDEX(土地清冊_匯入!$V$6:$V$1005,MATCH($A167,土地清冊_匯入!$A$6:$A$1005,0)),""))</f>
        <v/>
      </c>
      <c r="J167" s="14" t="n"/>
      <c r="K167" s="7" t="n"/>
      <c r="L167" s="7" t="n"/>
      <c r="M167" s="7" t="n"/>
      <c r="N167" s="7" t="n"/>
      <c r="O167" s="7" t="n"/>
      <c r="P167" s="7" t="n"/>
      <c r="Q167" s="14" t="n"/>
      <c r="R167" s="7" t="n"/>
      <c r="S167" s="7" t="n"/>
      <c r="T167" s="7" t="n"/>
      <c r="U167" s="12">
        <f>IF(A167="","",IF(OR(J167="",L167=""),"建議補聯絡紀錄","") )</f>
        <v/>
      </c>
    </row>
    <row r="168" ht="24" customHeight="1">
      <c r="A168" s="7" t="n"/>
      <c r="B168" s="7" t="n"/>
      <c r="C168" s="12">
        <f>IF($A168="","",IFERROR(INDEX(土地清冊_匯入!$B$6:$B$1005,MATCH($A168,土地清冊_匯入!$A$6:$A$1005,0)),"查無資料"))</f>
        <v/>
      </c>
      <c r="D168" s="12">
        <f>IF($A168="","",IFERROR(INDEX(土地清冊_匯入!$P$6:$P$1005,MATCH($A168,土地清冊_匯入!$A$6:$A$1005,0)),""))</f>
        <v/>
      </c>
      <c r="E168" s="12">
        <f>IF($A168="","",IFERROR(INDEX(土地清冊_匯入!$Q$6:$Q$1005,MATCH($A168,土地清冊_匯入!$A$6:$A$1005,0)),""))</f>
        <v/>
      </c>
      <c r="F168" s="12">
        <f>IF($A168="","",IFERROR(INDEX(土地清冊_匯入!$R$6:$R$1005,MATCH($A168,土地清冊_匯入!$A$6:$A$1005,0)),""))</f>
        <v/>
      </c>
      <c r="G168" s="12">
        <f>IF($A168="","",IFERROR(INDEX(土地清冊_匯入!$S$6:$S$1005,MATCH($A168,土地清冊_匯入!$A$6:$A$1005,0)),""))</f>
        <v/>
      </c>
      <c r="H168" s="12">
        <f>IF($A168="","",IFERROR(INDEX(土地清冊_匯入!$T$6:$T$1005,MATCH($A168,土地清冊_匯入!$A$6:$A$1005,0)),""))</f>
        <v/>
      </c>
      <c r="I168" s="12">
        <f>IF($A168="","",IFERROR(INDEX(土地清冊_匯入!$V$6:$V$1005,MATCH($A168,土地清冊_匯入!$A$6:$A$1005,0)),""))</f>
        <v/>
      </c>
      <c r="J168" s="14" t="n"/>
      <c r="K168" s="7" t="n"/>
      <c r="L168" s="7" t="n"/>
      <c r="M168" s="7" t="n"/>
      <c r="N168" s="7" t="n"/>
      <c r="O168" s="7" t="n"/>
      <c r="P168" s="7" t="n"/>
      <c r="Q168" s="14" t="n"/>
      <c r="R168" s="7" t="n"/>
      <c r="S168" s="7" t="n"/>
      <c r="T168" s="7" t="n"/>
      <c r="U168" s="12">
        <f>IF(A168="","",IF(OR(J168="",L168=""),"建議補聯絡紀錄","") )</f>
        <v/>
      </c>
    </row>
    <row r="169" ht="24" customHeight="1">
      <c r="A169" s="7" t="n"/>
      <c r="B169" s="7" t="n"/>
      <c r="C169" s="12">
        <f>IF($A169="","",IFERROR(INDEX(土地清冊_匯入!$B$6:$B$1005,MATCH($A169,土地清冊_匯入!$A$6:$A$1005,0)),"查無資料"))</f>
        <v/>
      </c>
      <c r="D169" s="12">
        <f>IF($A169="","",IFERROR(INDEX(土地清冊_匯入!$P$6:$P$1005,MATCH($A169,土地清冊_匯入!$A$6:$A$1005,0)),""))</f>
        <v/>
      </c>
      <c r="E169" s="12">
        <f>IF($A169="","",IFERROR(INDEX(土地清冊_匯入!$Q$6:$Q$1005,MATCH($A169,土地清冊_匯入!$A$6:$A$1005,0)),""))</f>
        <v/>
      </c>
      <c r="F169" s="12">
        <f>IF($A169="","",IFERROR(INDEX(土地清冊_匯入!$R$6:$R$1005,MATCH($A169,土地清冊_匯入!$A$6:$A$1005,0)),""))</f>
        <v/>
      </c>
      <c r="G169" s="12">
        <f>IF($A169="","",IFERROR(INDEX(土地清冊_匯入!$S$6:$S$1005,MATCH($A169,土地清冊_匯入!$A$6:$A$1005,0)),""))</f>
        <v/>
      </c>
      <c r="H169" s="12">
        <f>IF($A169="","",IFERROR(INDEX(土地清冊_匯入!$T$6:$T$1005,MATCH($A169,土地清冊_匯入!$A$6:$A$1005,0)),""))</f>
        <v/>
      </c>
      <c r="I169" s="12">
        <f>IF($A169="","",IFERROR(INDEX(土地清冊_匯入!$V$6:$V$1005,MATCH($A169,土地清冊_匯入!$A$6:$A$1005,0)),""))</f>
        <v/>
      </c>
      <c r="J169" s="14" t="n"/>
      <c r="K169" s="7" t="n"/>
      <c r="L169" s="7" t="n"/>
      <c r="M169" s="7" t="n"/>
      <c r="N169" s="7" t="n"/>
      <c r="O169" s="7" t="n"/>
      <c r="P169" s="7" t="n"/>
      <c r="Q169" s="14" t="n"/>
      <c r="R169" s="7" t="n"/>
      <c r="S169" s="7" t="n"/>
      <c r="T169" s="7" t="n"/>
      <c r="U169" s="12">
        <f>IF(A169="","",IF(OR(J169="",L169=""),"建議補聯絡紀錄","") )</f>
        <v/>
      </c>
    </row>
    <row r="170" ht="24" customHeight="1">
      <c r="A170" s="7" t="n"/>
      <c r="B170" s="7" t="n"/>
      <c r="C170" s="12">
        <f>IF($A170="","",IFERROR(INDEX(土地清冊_匯入!$B$6:$B$1005,MATCH($A170,土地清冊_匯入!$A$6:$A$1005,0)),"查無資料"))</f>
        <v/>
      </c>
      <c r="D170" s="12">
        <f>IF($A170="","",IFERROR(INDEX(土地清冊_匯入!$P$6:$P$1005,MATCH($A170,土地清冊_匯入!$A$6:$A$1005,0)),""))</f>
        <v/>
      </c>
      <c r="E170" s="12">
        <f>IF($A170="","",IFERROR(INDEX(土地清冊_匯入!$Q$6:$Q$1005,MATCH($A170,土地清冊_匯入!$A$6:$A$1005,0)),""))</f>
        <v/>
      </c>
      <c r="F170" s="12">
        <f>IF($A170="","",IFERROR(INDEX(土地清冊_匯入!$R$6:$R$1005,MATCH($A170,土地清冊_匯入!$A$6:$A$1005,0)),""))</f>
        <v/>
      </c>
      <c r="G170" s="12">
        <f>IF($A170="","",IFERROR(INDEX(土地清冊_匯入!$S$6:$S$1005,MATCH($A170,土地清冊_匯入!$A$6:$A$1005,0)),""))</f>
        <v/>
      </c>
      <c r="H170" s="12">
        <f>IF($A170="","",IFERROR(INDEX(土地清冊_匯入!$T$6:$T$1005,MATCH($A170,土地清冊_匯入!$A$6:$A$1005,0)),""))</f>
        <v/>
      </c>
      <c r="I170" s="12">
        <f>IF($A170="","",IFERROR(INDEX(土地清冊_匯入!$V$6:$V$1005,MATCH($A170,土地清冊_匯入!$A$6:$A$1005,0)),""))</f>
        <v/>
      </c>
      <c r="J170" s="14" t="n"/>
      <c r="K170" s="7" t="n"/>
      <c r="L170" s="7" t="n"/>
      <c r="M170" s="7" t="n"/>
      <c r="N170" s="7" t="n"/>
      <c r="O170" s="7" t="n"/>
      <c r="P170" s="7" t="n"/>
      <c r="Q170" s="14" t="n"/>
      <c r="R170" s="7" t="n"/>
      <c r="S170" s="7" t="n"/>
      <c r="T170" s="7" t="n"/>
      <c r="U170" s="12">
        <f>IF(A170="","",IF(OR(J170="",L170=""),"建議補聯絡紀錄","") )</f>
        <v/>
      </c>
    </row>
    <row r="171" ht="24" customHeight="1">
      <c r="A171" s="7" t="n"/>
      <c r="B171" s="7" t="n"/>
      <c r="C171" s="12">
        <f>IF($A171="","",IFERROR(INDEX(土地清冊_匯入!$B$6:$B$1005,MATCH($A171,土地清冊_匯入!$A$6:$A$1005,0)),"查無資料"))</f>
        <v/>
      </c>
      <c r="D171" s="12">
        <f>IF($A171="","",IFERROR(INDEX(土地清冊_匯入!$P$6:$P$1005,MATCH($A171,土地清冊_匯入!$A$6:$A$1005,0)),""))</f>
        <v/>
      </c>
      <c r="E171" s="12">
        <f>IF($A171="","",IFERROR(INDEX(土地清冊_匯入!$Q$6:$Q$1005,MATCH($A171,土地清冊_匯入!$A$6:$A$1005,0)),""))</f>
        <v/>
      </c>
      <c r="F171" s="12">
        <f>IF($A171="","",IFERROR(INDEX(土地清冊_匯入!$R$6:$R$1005,MATCH($A171,土地清冊_匯入!$A$6:$A$1005,0)),""))</f>
        <v/>
      </c>
      <c r="G171" s="12">
        <f>IF($A171="","",IFERROR(INDEX(土地清冊_匯入!$S$6:$S$1005,MATCH($A171,土地清冊_匯入!$A$6:$A$1005,0)),""))</f>
        <v/>
      </c>
      <c r="H171" s="12">
        <f>IF($A171="","",IFERROR(INDEX(土地清冊_匯入!$T$6:$T$1005,MATCH($A171,土地清冊_匯入!$A$6:$A$1005,0)),""))</f>
        <v/>
      </c>
      <c r="I171" s="12">
        <f>IF($A171="","",IFERROR(INDEX(土地清冊_匯入!$V$6:$V$1005,MATCH($A171,土地清冊_匯入!$A$6:$A$1005,0)),""))</f>
        <v/>
      </c>
      <c r="J171" s="14" t="n"/>
      <c r="K171" s="7" t="n"/>
      <c r="L171" s="7" t="n"/>
      <c r="M171" s="7" t="n"/>
      <c r="N171" s="7" t="n"/>
      <c r="O171" s="7" t="n"/>
      <c r="P171" s="7" t="n"/>
      <c r="Q171" s="14" t="n"/>
      <c r="R171" s="7" t="n"/>
      <c r="S171" s="7" t="n"/>
      <c r="T171" s="7" t="n"/>
      <c r="U171" s="12">
        <f>IF(A171="","",IF(OR(J171="",L171=""),"建議補聯絡紀錄","") )</f>
        <v/>
      </c>
    </row>
    <row r="172" ht="24" customHeight="1">
      <c r="A172" s="7" t="n"/>
      <c r="B172" s="7" t="n"/>
      <c r="C172" s="12">
        <f>IF($A172="","",IFERROR(INDEX(土地清冊_匯入!$B$6:$B$1005,MATCH($A172,土地清冊_匯入!$A$6:$A$1005,0)),"查無資料"))</f>
        <v/>
      </c>
      <c r="D172" s="12">
        <f>IF($A172="","",IFERROR(INDEX(土地清冊_匯入!$P$6:$P$1005,MATCH($A172,土地清冊_匯入!$A$6:$A$1005,0)),""))</f>
        <v/>
      </c>
      <c r="E172" s="12">
        <f>IF($A172="","",IFERROR(INDEX(土地清冊_匯入!$Q$6:$Q$1005,MATCH($A172,土地清冊_匯入!$A$6:$A$1005,0)),""))</f>
        <v/>
      </c>
      <c r="F172" s="12">
        <f>IF($A172="","",IFERROR(INDEX(土地清冊_匯入!$R$6:$R$1005,MATCH($A172,土地清冊_匯入!$A$6:$A$1005,0)),""))</f>
        <v/>
      </c>
      <c r="G172" s="12">
        <f>IF($A172="","",IFERROR(INDEX(土地清冊_匯入!$S$6:$S$1005,MATCH($A172,土地清冊_匯入!$A$6:$A$1005,0)),""))</f>
        <v/>
      </c>
      <c r="H172" s="12">
        <f>IF($A172="","",IFERROR(INDEX(土地清冊_匯入!$T$6:$T$1005,MATCH($A172,土地清冊_匯入!$A$6:$A$1005,0)),""))</f>
        <v/>
      </c>
      <c r="I172" s="12">
        <f>IF($A172="","",IFERROR(INDEX(土地清冊_匯入!$V$6:$V$1005,MATCH($A172,土地清冊_匯入!$A$6:$A$1005,0)),""))</f>
        <v/>
      </c>
      <c r="J172" s="14" t="n"/>
      <c r="K172" s="7" t="n"/>
      <c r="L172" s="7" t="n"/>
      <c r="M172" s="7" t="n"/>
      <c r="N172" s="7" t="n"/>
      <c r="O172" s="7" t="n"/>
      <c r="P172" s="7" t="n"/>
      <c r="Q172" s="14" t="n"/>
      <c r="R172" s="7" t="n"/>
      <c r="S172" s="7" t="n"/>
      <c r="T172" s="7" t="n"/>
      <c r="U172" s="12">
        <f>IF(A172="","",IF(OR(J172="",L172=""),"建議補聯絡紀錄","") )</f>
        <v/>
      </c>
    </row>
    <row r="173" ht="24" customHeight="1">
      <c r="A173" s="7" t="n"/>
      <c r="B173" s="7" t="n"/>
      <c r="C173" s="12">
        <f>IF($A173="","",IFERROR(INDEX(土地清冊_匯入!$B$6:$B$1005,MATCH($A173,土地清冊_匯入!$A$6:$A$1005,0)),"查無資料"))</f>
        <v/>
      </c>
      <c r="D173" s="12">
        <f>IF($A173="","",IFERROR(INDEX(土地清冊_匯入!$P$6:$P$1005,MATCH($A173,土地清冊_匯入!$A$6:$A$1005,0)),""))</f>
        <v/>
      </c>
      <c r="E173" s="12">
        <f>IF($A173="","",IFERROR(INDEX(土地清冊_匯入!$Q$6:$Q$1005,MATCH($A173,土地清冊_匯入!$A$6:$A$1005,0)),""))</f>
        <v/>
      </c>
      <c r="F173" s="12">
        <f>IF($A173="","",IFERROR(INDEX(土地清冊_匯入!$R$6:$R$1005,MATCH($A173,土地清冊_匯入!$A$6:$A$1005,0)),""))</f>
        <v/>
      </c>
      <c r="G173" s="12">
        <f>IF($A173="","",IFERROR(INDEX(土地清冊_匯入!$S$6:$S$1005,MATCH($A173,土地清冊_匯入!$A$6:$A$1005,0)),""))</f>
        <v/>
      </c>
      <c r="H173" s="12">
        <f>IF($A173="","",IFERROR(INDEX(土地清冊_匯入!$T$6:$T$1005,MATCH($A173,土地清冊_匯入!$A$6:$A$1005,0)),""))</f>
        <v/>
      </c>
      <c r="I173" s="12">
        <f>IF($A173="","",IFERROR(INDEX(土地清冊_匯入!$V$6:$V$1005,MATCH($A173,土地清冊_匯入!$A$6:$A$1005,0)),""))</f>
        <v/>
      </c>
      <c r="J173" s="14" t="n"/>
      <c r="K173" s="7" t="n"/>
      <c r="L173" s="7" t="n"/>
      <c r="M173" s="7" t="n"/>
      <c r="N173" s="7" t="n"/>
      <c r="O173" s="7" t="n"/>
      <c r="P173" s="7" t="n"/>
      <c r="Q173" s="14" t="n"/>
      <c r="R173" s="7" t="n"/>
      <c r="S173" s="7" t="n"/>
      <c r="T173" s="7" t="n"/>
      <c r="U173" s="12">
        <f>IF(A173="","",IF(OR(J173="",L173=""),"建議補聯絡紀錄","") )</f>
        <v/>
      </c>
    </row>
    <row r="174" ht="24" customHeight="1">
      <c r="A174" s="7" t="n"/>
      <c r="B174" s="7" t="n"/>
      <c r="C174" s="12">
        <f>IF($A174="","",IFERROR(INDEX(土地清冊_匯入!$B$6:$B$1005,MATCH($A174,土地清冊_匯入!$A$6:$A$1005,0)),"查無資料"))</f>
        <v/>
      </c>
      <c r="D174" s="12">
        <f>IF($A174="","",IFERROR(INDEX(土地清冊_匯入!$P$6:$P$1005,MATCH($A174,土地清冊_匯入!$A$6:$A$1005,0)),""))</f>
        <v/>
      </c>
      <c r="E174" s="12">
        <f>IF($A174="","",IFERROR(INDEX(土地清冊_匯入!$Q$6:$Q$1005,MATCH($A174,土地清冊_匯入!$A$6:$A$1005,0)),""))</f>
        <v/>
      </c>
      <c r="F174" s="12">
        <f>IF($A174="","",IFERROR(INDEX(土地清冊_匯入!$R$6:$R$1005,MATCH($A174,土地清冊_匯入!$A$6:$A$1005,0)),""))</f>
        <v/>
      </c>
      <c r="G174" s="12">
        <f>IF($A174="","",IFERROR(INDEX(土地清冊_匯入!$S$6:$S$1005,MATCH($A174,土地清冊_匯入!$A$6:$A$1005,0)),""))</f>
        <v/>
      </c>
      <c r="H174" s="12">
        <f>IF($A174="","",IFERROR(INDEX(土地清冊_匯入!$T$6:$T$1005,MATCH($A174,土地清冊_匯入!$A$6:$A$1005,0)),""))</f>
        <v/>
      </c>
      <c r="I174" s="12">
        <f>IF($A174="","",IFERROR(INDEX(土地清冊_匯入!$V$6:$V$1005,MATCH($A174,土地清冊_匯入!$A$6:$A$1005,0)),""))</f>
        <v/>
      </c>
      <c r="J174" s="14" t="n"/>
      <c r="K174" s="7" t="n"/>
      <c r="L174" s="7" t="n"/>
      <c r="M174" s="7" t="n"/>
      <c r="N174" s="7" t="n"/>
      <c r="O174" s="7" t="n"/>
      <c r="P174" s="7" t="n"/>
      <c r="Q174" s="14" t="n"/>
      <c r="R174" s="7" t="n"/>
      <c r="S174" s="7" t="n"/>
      <c r="T174" s="7" t="n"/>
      <c r="U174" s="12">
        <f>IF(A174="","",IF(OR(J174="",L174=""),"建議補聯絡紀錄","") )</f>
        <v/>
      </c>
    </row>
    <row r="175" ht="24" customHeight="1">
      <c r="A175" s="7" t="n"/>
      <c r="B175" s="7" t="n"/>
      <c r="C175" s="12">
        <f>IF($A175="","",IFERROR(INDEX(土地清冊_匯入!$B$6:$B$1005,MATCH($A175,土地清冊_匯入!$A$6:$A$1005,0)),"查無資料"))</f>
        <v/>
      </c>
      <c r="D175" s="12">
        <f>IF($A175="","",IFERROR(INDEX(土地清冊_匯入!$P$6:$P$1005,MATCH($A175,土地清冊_匯入!$A$6:$A$1005,0)),""))</f>
        <v/>
      </c>
      <c r="E175" s="12">
        <f>IF($A175="","",IFERROR(INDEX(土地清冊_匯入!$Q$6:$Q$1005,MATCH($A175,土地清冊_匯入!$A$6:$A$1005,0)),""))</f>
        <v/>
      </c>
      <c r="F175" s="12">
        <f>IF($A175="","",IFERROR(INDEX(土地清冊_匯入!$R$6:$R$1005,MATCH($A175,土地清冊_匯入!$A$6:$A$1005,0)),""))</f>
        <v/>
      </c>
      <c r="G175" s="12">
        <f>IF($A175="","",IFERROR(INDEX(土地清冊_匯入!$S$6:$S$1005,MATCH($A175,土地清冊_匯入!$A$6:$A$1005,0)),""))</f>
        <v/>
      </c>
      <c r="H175" s="12">
        <f>IF($A175="","",IFERROR(INDEX(土地清冊_匯入!$T$6:$T$1005,MATCH($A175,土地清冊_匯入!$A$6:$A$1005,0)),""))</f>
        <v/>
      </c>
      <c r="I175" s="12">
        <f>IF($A175="","",IFERROR(INDEX(土地清冊_匯入!$V$6:$V$1005,MATCH($A175,土地清冊_匯入!$A$6:$A$1005,0)),""))</f>
        <v/>
      </c>
      <c r="J175" s="14" t="n"/>
      <c r="K175" s="7" t="n"/>
      <c r="L175" s="7" t="n"/>
      <c r="M175" s="7" t="n"/>
      <c r="N175" s="7" t="n"/>
      <c r="O175" s="7" t="n"/>
      <c r="P175" s="7" t="n"/>
      <c r="Q175" s="14" t="n"/>
      <c r="R175" s="7" t="n"/>
      <c r="S175" s="7" t="n"/>
      <c r="T175" s="7" t="n"/>
      <c r="U175" s="12">
        <f>IF(A175="","",IF(OR(J175="",L175=""),"建議補聯絡紀錄","") )</f>
        <v/>
      </c>
    </row>
    <row r="176" ht="24" customHeight="1">
      <c r="A176" s="7" t="n"/>
      <c r="B176" s="7" t="n"/>
      <c r="C176" s="12">
        <f>IF($A176="","",IFERROR(INDEX(土地清冊_匯入!$B$6:$B$1005,MATCH($A176,土地清冊_匯入!$A$6:$A$1005,0)),"查無資料"))</f>
        <v/>
      </c>
      <c r="D176" s="12">
        <f>IF($A176="","",IFERROR(INDEX(土地清冊_匯入!$P$6:$P$1005,MATCH($A176,土地清冊_匯入!$A$6:$A$1005,0)),""))</f>
        <v/>
      </c>
      <c r="E176" s="12">
        <f>IF($A176="","",IFERROR(INDEX(土地清冊_匯入!$Q$6:$Q$1005,MATCH($A176,土地清冊_匯入!$A$6:$A$1005,0)),""))</f>
        <v/>
      </c>
      <c r="F176" s="12">
        <f>IF($A176="","",IFERROR(INDEX(土地清冊_匯入!$R$6:$R$1005,MATCH($A176,土地清冊_匯入!$A$6:$A$1005,0)),""))</f>
        <v/>
      </c>
      <c r="G176" s="12">
        <f>IF($A176="","",IFERROR(INDEX(土地清冊_匯入!$S$6:$S$1005,MATCH($A176,土地清冊_匯入!$A$6:$A$1005,0)),""))</f>
        <v/>
      </c>
      <c r="H176" s="12">
        <f>IF($A176="","",IFERROR(INDEX(土地清冊_匯入!$T$6:$T$1005,MATCH($A176,土地清冊_匯入!$A$6:$A$1005,0)),""))</f>
        <v/>
      </c>
      <c r="I176" s="12">
        <f>IF($A176="","",IFERROR(INDEX(土地清冊_匯入!$V$6:$V$1005,MATCH($A176,土地清冊_匯入!$A$6:$A$1005,0)),""))</f>
        <v/>
      </c>
      <c r="J176" s="14" t="n"/>
      <c r="K176" s="7" t="n"/>
      <c r="L176" s="7" t="n"/>
      <c r="M176" s="7" t="n"/>
      <c r="N176" s="7" t="n"/>
      <c r="O176" s="7" t="n"/>
      <c r="P176" s="7" t="n"/>
      <c r="Q176" s="14" t="n"/>
      <c r="R176" s="7" t="n"/>
      <c r="S176" s="7" t="n"/>
      <c r="T176" s="7" t="n"/>
      <c r="U176" s="12">
        <f>IF(A176="","",IF(OR(J176="",L176=""),"建議補聯絡紀錄","") )</f>
        <v/>
      </c>
    </row>
    <row r="177" ht="24" customHeight="1">
      <c r="A177" s="7" t="n"/>
      <c r="B177" s="7" t="n"/>
      <c r="C177" s="12">
        <f>IF($A177="","",IFERROR(INDEX(土地清冊_匯入!$B$6:$B$1005,MATCH($A177,土地清冊_匯入!$A$6:$A$1005,0)),"查無資料"))</f>
        <v/>
      </c>
      <c r="D177" s="12">
        <f>IF($A177="","",IFERROR(INDEX(土地清冊_匯入!$P$6:$P$1005,MATCH($A177,土地清冊_匯入!$A$6:$A$1005,0)),""))</f>
        <v/>
      </c>
      <c r="E177" s="12">
        <f>IF($A177="","",IFERROR(INDEX(土地清冊_匯入!$Q$6:$Q$1005,MATCH($A177,土地清冊_匯入!$A$6:$A$1005,0)),""))</f>
        <v/>
      </c>
      <c r="F177" s="12">
        <f>IF($A177="","",IFERROR(INDEX(土地清冊_匯入!$R$6:$R$1005,MATCH($A177,土地清冊_匯入!$A$6:$A$1005,0)),""))</f>
        <v/>
      </c>
      <c r="G177" s="12">
        <f>IF($A177="","",IFERROR(INDEX(土地清冊_匯入!$S$6:$S$1005,MATCH($A177,土地清冊_匯入!$A$6:$A$1005,0)),""))</f>
        <v/>
      </c>
      <c r="H177" s="12">
        <f>IF($A177="","",IFERROR(INDEX(土地清冊_匯入!$T$6:$T$1005,MATCH($A177,土地清冊_匯入!$A$6:$A$1005,0)),""))</f>
        <v/>
      </c>
      <c r="I177" s="12">
        <f>IF($A177="","",IFERROR(INDEX(土地清冊_匯入!$V$6:$V$1005,MATCH($A177,土地清冊_匯入!$A$6:$A$1005,0)),""))</f>
        <v/>
      </c>
      <c r="J177" s="14" t="n"/>
      <c r="K177" s="7" t="n"/>
      <c r="L177" s="7" t="n"/>
      <c r="M177" s="7" t="n"/>
      <c r="N177" s="7" t="n"/>
      <c r="O177" s="7" t="n"/>
      <c r="P177" s="7" t="n"/>
      <c r="Q177" s="14" t="n"/>
      <c r="R177" s="7" t="n"/>
      <c r="S177" s="7" t="n"/>
      <c r="T177" s="7" t="n"/>
      <c r="U177" s="12">
        <f>IF(A177="","",IF(OR(J177="",L177=""),"建議補聯絡紀錄","") )</f>
        <v/>
      </c>
    </row>
    <row r="178" ht="24" customHeight="1">
      <c r="A178" s="7" t="n"/>
      <c r="B178" s="7" t="n"/>
      <c r="C178" s="12">
        <f>IF($A178="","",IFERROR(INDEX(土地清冊_匯入!$B$6:$B$1005,MATCH($A178,土地清冊_匯入!$A$6:$A$1005,0)),"查無資料"))</f>
        <v/>
      </c>
      <c r="D178" s="12">
        <f>IF($A178="","",IFERROR(INDEX(土地清冊_匯入!$P$6:$P$1005,MATCH($A178,土地清冊_匯入!$A$6:$A$1005,0)),""))</f>
        <v/>
      </c>
      <c r="E178" s="12">
        <f>IF($A178="","",IFERROR(INDEX(土地清冊_匯入!$Q$6:$Q$1005,MATCH($A178,土地清冊_匯入!$A$6:$A$1005,0)),""))</f>
        <v/>
      </c>
      <c r="F178" s="12">
        <f>IF($A178="","",IFERROR(INDEX(土地清冊_匯入!$R$6:$R$1005,MATCH($A178,土地清冊_匯入!$A$6:$A$1005,0)),""))</f>
        <v/>
      </c>
      <c r="G178" s="12">
        <f>IF($A178="","",IFERROR(INDEX(土地清冊_匯入!$S$6:$S$1005,MATCH($A178,土地清冊_匯入!$A$6:$A$1005,0)),""))</f>
        <v/>
      </c>
      <c r="H178" s="12">
        <f>IF($A178="","",IFERROR(INDEX(土地清冊_匯入!$T$6:$T$1005,MATCH($A178,土地清冊_匯入!$A$6:$A$1005,0)),""))</f>
        <v/>
      </c>
      <c r="I178" s="12">
        <f>IF($A178="","",IFERROR(INDEX(土地清冊_匯入!$V$6:$V$1005,MATCH($A178,土地清冊_匯入!$A$6:$A$1005,0)),""))</f>
        <v/>
      </c>
      <c r="J178" s="14" t="n"/>
      <c r="K178" s="7" t="n"/>
      <c r="L178" s="7" t="n"/>
      <c r="M178" s="7" t="n"/>
      <c r="N178" s="7" t="n"/>
      <c r="O178" s="7" t="n"/>
      <c r="P178" s="7" t="n"/>
      <c r="Q178" s="14" t="n"/>
      <c r="R178" s="7" t="n"/>
      <c r="S178" s="7" t="n"/>
      <c r="T178" s="7" t="n"/>
      <c r="U178" s="12">
        <f>IF(A178="","",IF(OR(J178="",L178=""),"建議補聯絡紀錄","") )</f>
        <v/>
      </c>
    </row>
    <row r="179" ht="24" customHeight="1">
      <c r="A179" s="7" t="n"/>
      <c r="B179" s="7" t="n"/>
      <c r="C179" s="12">
        <f>IF($A179="","",IFERROR(INDEX(土地清冊_匯入!$B$6:$B$1005,MATCH($A179,土地清冊_匯入!$A$6:$A$1005,0)),"查無資料"))</f>
        <v/>
      </c>
      <c r="D179" s="12">
        <f>IF($A179="","",IFERROR(INDEX(土地清冊_匯入!$P$6:$P$1005,MATCH($A179,土地清冊_匯入!$A$6:$A$1005,0)),""))</f>
        <v/>
      </c>
      <c r="E179" s="12">
        <f>IF($A179="","",IFERROR(INDEX(土地清冊_匯入!$Q$6:$Q$1005,MATCH($A179,土地清冊_匯入!$A$6:$A$1005,0)),""))</f>
        <v/>
      </c>
      <c r="F179" s="12">
        <f>IF($A179="","",IFERROR(INDEX(土地清冊_匯入!$R$6:$R$1005,MATCH($A179,土地清冊_匯入!$A$6:$A$1005,0)),""))</f>
        <v/>
      </c>
      <c r="G179" s="12">
        <f>IF($A179="","",IFERROR(INDEX(土地清冊_匯入!$S$6:$S$1005,MATCH($A179,土地清冊_匯入!$A$6:$A$1005,0)),""))</f>
        <v/>
      </c>
      <c r="H179" s="12">
        <f>IF($A179="","",IFERROR(INDEX(土地清冊_匯入!$T$6:$T$1005,MATCH($A179,土地清冊_匯入!$A$6:$A$1005,0)),""))</f>
        <v/>
      </c>
      <c r="I179" s="12">
        <f>IF($A179="","",IFERROR(INDEX(土地清冊_匯入!$V$6:$V$1005,MATCH($A179,土地清冊_匯入!$A$6:$A$1005,0)),""))</f>
        <v/>
      </c>
      <c r="J179" s="14" t="n"/>
      <c r="K179" s="7" t="n"/>
      <c r="L179" s="7" t="n"/>
      <c r="M179" s="7" t="n"/>
      <c r="N179" s="7" t="n"/>
      <c r="O179" s="7" t="n"/>
      <c r="P179" s="7" t="n"/>
      <c r="Q179" s="14" t="n"/>
      <c r="R179" s="7" t="n"/>
      <c r="S179" s="7" t="n"/>
      <c r="T179" s="7" t="n"/>
      <c r="U179" s="12">
        <f>IF(A179="","",IF(OR(J179="",L179=""),"建議補聯絡紀錄","") )</f>
        <v/>
      </c>
    </row>
    <row r="180" ht="24" customHeight="1">
      <c r="A180" s="7" t="n"/>
      <c r="B180" s="7" t="n"/>
      <c r="C180" s="12">
        <f>IF($A180="","",IFERROR(INDEX(土地清冊_匯入!$B$6:$B$1005,MATCH($A180,土地清冊_匯入!$A$6:$A$1005,0)),"查無資料"))</f>
        <v/>
      </c>
      <c r="D180" s="12">
        <f>IF($A180="","",IFERROR(INDEX(土地清冊_匯入!$P$6:$P$1005,MATCH($A180,土地清冊_匯入!$A$6:$A$1005,0)),""))</f>
        <v/>
      </c>
      <c r="E180" s="12">
        <f>IF($A180="","",IFERROR(INDEX(土地清冊_匯入!$Q$6:$Q$1005,MATCH($A180,土地清冊_匯入!$A$6:$A$1005,0)),""))</f>
        <v/>
      </c>
      <c r="F180" s="12">
        <f>IF($A180="","",IFERROR(INDEX(土地清冊_匯入!$R$6:$R$1005,MATCH($A180,土地清冊_匯入!$A$6:$A$1005,0)),""))</f>
        <v/>
      </c>
      <c r="G180" s="12">
        <f>IF($A180="","",IFERROR(INDEX(土地清冊_匯入!$S$6:$S$1005,MATCH($A180,土地清冊_匯入!$A$6:$A$1005,0)),""))</f>
        <v/>
      </c>
      <c r="H180" s="12">
        <f>IF($A180="","",IFERROR(INDEX(土地清冊_匯入!$T$6:$T$1005,MATCH($A180,土地清冊_匯入!$A$6:$A$1005,0)),""))</f>
        <v/>
      </c>
      <c r="I180" s="12">
        <f>IF($A180="","",IFERROR(INDEX(土地清冊_匯入!$V$6:$V$1005,MATCH($A180,土地清冊_匯入!$A$6:$A$1005,0)),""))</f>
        <v/>
      </c>
      <c r="J180" s="14" t="n"/>
      <c r="K180" s="7" t="n"/>
      <c r="L180" s="7" t="n"/>
      <c r="M180" s="7" t="n"/>
      <c r="N180" s="7" t="n"/>
      <c r="O180" s="7" t="n"/>
      <c r="P180" s="7" t="n"/>
      <c r="Q180" s="14" t="n"/>
      <c r="R180" s="7" t="n"/>
      <c r="S180" s="7" t="n"/>
      <c r="T180" s="7" t="n"/>
      <c r="U180" s="12">
        <f>IF(A180="","",IF(OR(J180="",L180=""),"建議補聯絡紀錄","") )</f>
        <v/>
      </c>
    </row>
    <row r="181" ht="24" customHeight="1">
      <c r="A181" s="7" t="n"/>
      <c r="B181" s="7" t="n"/>
      <c r="C181" s="12">
        <f>IF($A181="","",IFERROR(INDEX(土地清冊_匯入!$B$6:$B$1005,MATCH($A181,土地清冊_匯入!$A$6:$A$1005,0)),"查無資料"))</f>
        <v/>
      </c>
      <c r="D181" s="12">
        <f>IF($A181="","",IFERROR(INDEX(土地清冊_匯入!$P$6:$P$1005,MATCH($A181,土地清冊_匯入!$A$6:$A$1005,0)),""))</f>
        <v/>
      </c>
      <c r="E181" s="12">
        <f>IF($A181="","",IFERROR(INDEX(土地清冊_匯入!$Q$6:$Q$1005,MATCH($A181,土地清冊_匯入!$A$6:$A$1005,0)),""))</f>
        <v/>
      </c>
      <c r="F181" s="12">
        <f>IF($A181="","",IFERROR(INDEX(土地清冊_匯入!$R$6:$R$1005,MATCH($A181,土地清冊_匯入!$A$6:$A$1005,0)),""))</f>
        <v/>
      </c>
      <c r="G181" s="12">
        <f>IF($A181="","",IFERROR(INDEX(土地清冊_匯入!$S$6:$S$1005,MATCH($A181,土地清冊_匯入!$A$6:$A$1005,0)),""))</f>
        <v/>
      </c>
      <c r="H181" s="12">
        <f>IF($A181="","",IFERROR(INDEX(土地清冊_匯入!$T$6:$T$1005,MATCH($A181,土地清冊_匯入!$A$6:$A$1005,0)),""))</f>
        <v/>
      </c>
      <c r="I181" s="12">
        <f>IF($A181="","",IFERROR(INDEX(土地清冊_匯入!$V$6:$V$1005,MATCH($A181,土地清冊_匯入!$A$6:$A$1005,0)),""))</f>
        <v/>
      </c>
      <c r="J181" s="14" t="n"/>
      <c r="K181" s="7" t="n"/>
      <c r="L181" s="7" t="n"/>
      <c r="M181" s="7" t="n"/>
      <c r="N181" s="7" t="n"/>
      <c r="O181" s="7" t="n"/>
      <c r="P181" s="7" t="n"/>
      <c r="Q181" s="14" t="n"/>
      <c r="R181" s="7" t="n"/>
      <c r="S181" s="7" t="n"/>
      <c r="T181" s="7" t="n"/>
      <c r="U181" s="12">
        <f>IF(A181="","",IF(OR(J181="",L181=""),"建議補聯絡紀錄","") )</f>
        <v/>
      </c>
    </row>
    <row r="182" ht="24" customHeight="1">
      <c r="A182" s="7" t="n"/>
      <c r="B182" s="7" t="n"/>
      <c r="C182" s="12">
        <f>IF($A182="","",IFERROR(INDEX(土地清冊_匯入!$B$6:$B$1005,MATCH($A182,土地清冊_匯入!$A$6:$A$1005,0)),"查無資料"))</f>
        <v/>
      </c>
      <c r="D182" s="12">
        <f>IF($A182="","",IFERROR(INDEX(土地清冊_匯入!$P$6:$P$1005,MATCH($A182,土地清冊_匯入!$A$6:$A$1005,0)),""))</f>
        <v/>
      </c>
      <c r="E182" s="12">
        <f>IF($A182="","",IFERROR(INDEX(土地清冊_匯入!$Q$6:$Q$1005,MATCH($A182,土地清冊_匯入!$A$6:$A$1005,0)),""))</f>
        <v/>
      </c>
      <c r="F182" s="12">
        <f>IF($A182="","",IFERROR(INDEX(土地清冊_匯入!$R$6:$R$1005,MATCH($A182,土地清冊_匯入!$A$6:$A$1005,0)),""))</f>
        <v/>
      </c>
      <c r="G182" s="12">
        <f>IF($A182="","",IFERROR(INDEX(土地清冊_匯入!$S$6:$S$1005,MATCH($A182,土地清冊_匯入!$A$6:$A$1005,0)),""))</f>
        <v/>
      </c>
      <c r="H182" s="12">
        <f>IF($A182="","",IFERROR(INDEX(土地清冊_匯入!$T$6:$T$1005,MATCH($A182,土地清冊_匯入!$A$6:$A$1005,0)),""))</f>
        <v/>
      </c>
      <c r="I182" s="12">
        <f>IF($A182="","",IFERROR(INDEX(土地清冊_匯入!$V$6:$V$1005,MATCH($A182,土地清冊_匯入!$A$6:$A$1005,0)),""))</f>
        <v/>
      </c>
      <c r="J182" s="14" t="n"/>
      <c r="K182" s="7" t="n"/>
      <c r="L182" s="7" t="n"/>
      <c r="M182" s="7" t="n"/>
      <c r="N182" s="7" t="n"/>
      <c r="O182" s="7" t="n"/>
      <c r="P182" s="7" t="n"/>
      <c r="Q182" s="14" t="n"/>
      <c r="R182" s="7" t="n"/>
      <c r="S182" s="7" t="n"/>
      <c r="T182" s="7" t="n"/>
      <c r="U182" s="12">
        <f>IF(A182="","",IF(OR(J182="",L182=""),"建議補聯絡紀錄","") )</f>
        <v/>
      </c>
    </row>
    <row r="183" ht="24" customHeight="1">
      <c r="A183" s="7" t="n"/>
      <c r="B183" s="7" t="n"/>
      <c r="C183" s="12">
        <f>IF($A183="","",IFERROR(INDEX(土地清冊_匯入!$B$6:$B$1005,MATCH($A183,土地清冊_匯入!$A$6:$A$1005,0)),"查無資料"))</f>
        <v/>
      </c>
      <c r="D183" s="12">
        <f>IF($A183="","",IFERROR(INDEX(土地清冊_匯入!$P$6:$P$1005,MATCH($A183,土地清冊_匯入!$A$6:$A$1005,0)),""))</f>
        <v/>
      </c>
      <c r="E183" s="12">
        <f>IF($A183="","",IFERROR(INDEX(土地清冊_匯入!$Q$6:$Q$1005,MATCH($A183,土地清冊_匯入!$A$6:$A$1005,0)),""))</f>
        <v/>
      </c>
      <c r="F183" s="12">
        <f>IF($A183="","",IFERROR(INDEX(土地清冊_匯入!$R$6:$R$1005,MATCH($A183,土地清冊_匯入!$A$6:$A$1005,0)),""))</f>
        <v/>
      </c>
      <c r="G183" s="12">
        <f>IF($A183="","",IFERROR(INDEX(土地清冊_匯入!$S$6:$S$1005,MATCH($A183,土地清冊_匯入!$A$6:$A$1005,0)),""))</f>
        <v/>
      </c>
      <c r="H183" s="12">
        <f>IF($A183="","",IFERROR(INDEX(土地清冊_匯入!$T$6:$T$1005,MATCH($A183,土地清冊_匯入!$A$6:$A$1005,0)),""))</f>
        <v/>
      </c>
      <c r="I183" s="12">
        <f>IF($A183="","",IFERROR(INDEX(土地清冊_匯入!$V$6:$V$1005,MATCH($A183,土地清冊_匯入!$A$6:$A$1005,0)),""))</f>
        <v/>
      </c>
      <c r="J183" s="14" t="n"/>
      <c r="K183" s="7" t="n"/>
      <c r="L183" s="7" t="n"/>
      <c r="M183" s="7" t="n"/>
      <c r="N183" s="7" t="n"/>
      <c r="O183" s="7" t="n"/>
      <c r="P183" s="7" t="n"/>
      <c r="Q183" s="14" t="n"/>
      <c r="R183" s="7" t="n"/>
      <c r="S183" s="7" t="n"/>
      <c r="T183" s="7" t="n"/>
      <c r="U183" s="12">
        <f>IF(A183="","",IF(OR(J183="",L183=""),"建議補聯絡紀錄","") )</f>
        <v/>
      </c>
    </row>
    <row r="184" ht="24" customHeight="1">
      <c r="A184" s="7" t="n"/>
      <c r="B184" s="7" t="n"/>
      <c r="C184" s="12">
        <f>IF($A184="","",IFERROR(INDEX(土地清冊_匯入!$B$6:$B$1005,MATCH($A184,土地清冊_匯入!$A$6:$A$1005,0)),"查無資料"))</f>
        <v/>
      </c>
      <c r="D184" s="12">
        <f>IF($A184="","",IFERROR(INDEX(土地清冊_匯入!$P$6:$P$1005,MATCH($A184,土地清冊_匯入!$A$6:$A$1005,0)),""))</f>
        <v/>
      </c>
      <c r="E184" s="12">
        <f>IF($A184="","",IFERROR(INDEX(土地清冊_匯入!$Q$6:$Q$1005,MATCH($A184,土地清冊_匯入!$A$6:$A$1005,0)),""))</f>
        <v/>
      </c>
      <c r="F184" s="12">
        <f>IF($A184="","",IFERROR(INDEX(土地清冊_匯入!$R$6:$R$1005,MATCH($A184,土地清冊_匯入!$A$6:$A$1005,0)),""))</f>
        <v/>
      </c>
      <c r="G184" s="12">
        <f>IF($A184="","",IFERROR(INDEX(土地清冊_匯入!$S$6:$S$1005,MATCH($A184,土地清冊_匯入!$A$6:$A$1005,0)),""))</f>
        <v/>
      </c>
      <c r="H184" s="12">
        <f>IF($A184="","",IFERROR(INDEX(土地清冊_匯入!$T$6:$T$1005,MATCH($A184,土地清冊_匯入!$A$6:$A$1005,0)),""))</f>
        <v/>
      </c>
      <c r="I184" s="12">
        <f>IF($A184="","",IFERROR(INDEX(土地清冊_匯入!$V$6:$V$1005,MATCH($A184,土地清冊_匯入!$A$6:$A$1005,0)),""))</f>
        <v/>
      </c>
      <c r="J184" s="14" t="n"/>
      <c r="K184" s="7" t="n"/>
      <c r="L184" s="7" t="n"/>
      <c r="M184" s="7" t="n"/>
      <c r="N184" s="7" t="n"/>
      <c r="O184" s="7" t="n"/>
      <c r="P184" s="7" t="n"/>
      <c r="Q184" s="14" t="n"/>
      <c r="R184" s="7" t="n"/>
      <c r="S184" s="7" t="n"/>
      <c r="T184" s="7" t="n"/>
      <c r="U184" s="12">
        <f>IF(A184="","",IF(OR(J184="",L184=""),"建議補聯絡紀錄","") )</f>
        <v/>
      </c>
    </row>
    <row r="185" ht="24" customHeight="1">
      <c r="A185" s="7" t="n"/>
      <c r="B185" s="7" t="n"/>
      <c r="C185" s="12">
        <f>IF($A185="","",IFERROR(INDEX(土地清冊_匯入!$B$6:$B$1005,MATCH($A185,土地清冊_匯入!$A$6:$A$1005,0)),"查無資料"))</f>
        <v/>
      </c>
      <c r="D185" s="12">
        <f>IF($A185="","",IFERROR(INDEX(土地清冊_匯入!$P$6:$P$1005,MATCH($A185,土地清冊_匯入!$A$6:$A$1005,0)),""))</f>
        <v/>
      </c>
      <c r="E185" s="12">
        <f>IF($A185="","",IFERROR(INDEX(土地清冊_匯入!$Q$6:$Q$1005,MATCH($A185,土地清冊_匯入!$A$6:$A$1005,0)),""))</f>
        <v/>
      </c>
      <c r="F185" s="12">
        <f>IF($A185="","",IFERROR(INDEX(土地清冊_匯入!$R$6:$R$1005,MATCH($A185,土地清冊_匯入!$A$6:$A$1005,0)),""))</f>
        <v/>
      </c>
      <c r="G185" s="12">
        <f>IF($A185="","",IFERROR(INDEX(土地清冊_匯入!$S$6:$S$1005,MATCH($A185,土地清冊_匯入!$A$6:$A$1005,0)),""))</f>
        <v/>
      </c>
      <c r="H185" s="12">
        <f>IF($A185="","",IFERROR(INDEX(土地清冊_匯入!$T$6:$T$1005,MATCH($A185,土地清冊_匯入!$A$6:$A$1005,0)),""))</f>
        <v/>
      </c>
      <c r="I185" s="12">
        <f>IF($A185="","",IFERROR(INDEX(土地清冊_匯入!$V$6:$V$1005,MATCH($A185,土地清冊_匯入!$A$6:$A$1005,0)),""))</f>
        <v/>
      </c>
      <c r="J185" s="14" t="n"/>
      <c r="K185" s="7" t="n"/>
      <c r="L185" s="7" t="n"/>
      <c r="M185" s="7" t="n"/>
      <c r="N185" s="7" t="n"/>
      <c r="O185" s="7" t="n"/>
      <c r="P185" s="7" t="n"/>
      <c r="Q185" s="14" t="n"/>
      <c r="R185" s="7" t="n"/>
      <c r="S185" s="7" t="n"/>
      <c r="T185" s="7" t="n"/>
      <c r="U185" s="12">
        <f>IF(A185="","",IF(OR(J185="",L185=""),"建議補聯絡紀錄","") )</f>
        <v/>
      </c>
    </row>
    <row r="186" ht="24" customHeight="1">
      <c r="A186" s="7" t="n"/>
      <c r="B186" s="7" t="n"/>
      <c r="C186" s="12">
        <f>IF($A186="","",IFERROR(INDEX(土地清冊_匯入!$B$6:$B$1005,MATCH($A186,土地清冊_匯入!$A$6:$A$1005,0)),"查無資料"))</f>
        <v/>
      </c>
      <c r="D186" s="12">
        <f>IF($A186="","",IFERROR(INDEX(土地清冊_匯入!$P$6:$P$1005,MATCH($A186,土地清冊_匯入!$A$6:$A$1005,0)),""))</f>
        <v/>
      </c>
      <c r="E186" s="12">
        <f>IF($A186="","",IFERROR(INDEX(土地清冊_匯入!$Q$6:$Q$1005,MATCH($A186,土地清冊_匯入!$A$6:$A$1005,0)),""))</f>
        <v/>
      </c>
      <c r="F186" s="12">
        <f>IF($A186="","",IFERROR(INDEX(土地清冊_匯入!$R$6:$R$1005,MATCH($A186,土地清冊_匯入!$A$6:$A$1005,0)),""))</f>
        <v/>
      </c>
      <c r="G186" s="12">
        <f>IF($A186="","",IFERROR(INDEX(土地清冊_匯入!$S$6:$S$1005,MATCH($A186,土地清冊_匯入!$A$6:$A$1005,0)),""))</f>
        <v/>
      </c>
      <c r="H186" s="12">
        <f>IF($A186="","",IFERROR(INDEX(土地清冊_匯入!$T$6:$T$1005,MATCH($A186,土地清冊_匯入!$A$6:$A$1005,0)),""))</f>
        <v/>
      </c>
      <c r="I186" s="12">
        <f>IF($A186="","",IFERROR(INDEX(土地清冊_匯入!$V$6:$V$1005,MATCH($A186,土地清冊_匯入!$A$6:$A$1005,0)),""))</f>
        <v/>
      </c>
      <c r="J186" s="14" t="n"/>
      <c r="K186" s="7" t="n"/>
      <c r="L186" s="7" t="n"/>
      <c r="M186" s="7" t="n"/>
      <c r="N186" s="7" t="n"/>
      <c r="O186" s="7" t="n"/>
      <c r="P186" s="7" t="n"/>
      <c r="Q186" s="14" t="n"/>
      <c r="R186" s="7" t="n"/>
      <c r="S186" s="7" t="n"/>
      <c r="T186" s="7" t="n"/>
      <c r="U186" s="12">
        <f>IF(A186="","",IF(OR(J186="",L186=""),"建議補聯絡紀錄","") )</f>
        <v/>
      </c>
    </row>
    <row r="187" ht="24" customHeight="1">
      <c r="A187" s="7" t="n"/>
      <c r="B187" s="7" t="n"/>
      <c r="C187" s="12">
        <f>IF($A187="","",IFERROR(INDEX(土地清冊_匯入!$B$6:$B$1005,MATCH($A187,土地清冊_匯入!$A$6:$A$1005,0)),"查無資料"))</f>
        <v/>
      </c>
      <c r="D187" s="12">
        <f>IF($A187="","",IFERROR(INDEX(土地清冊_匯入!$P$6:$P$1005,MATCH($A187,土地清冊_匯入!$A$6:$A$1005,0)),""))</f>
        <v/>
      </c>
      <c r="E187" s="12">
        <f>IF($A187="","",IFERROR(INDEX(土地清冊_匯入!$Q$6:$Q$1005,MATCH($A187,土地清冊_匯入!$A$6:$A$1005,0)),""))</f>
        <v/>
      </c>
      <c r="F187" s="12">
        <f>IF($A187="","",IFERROR(INDEX(土地清冊_匯入!$R$6:$R$1005,MATCH($A187,土地清冊_匯入!$A$6:$A$1005,0)),""))</f>
        <v/>
      </c>
      <c r="G187" s="12">
        <f>IF($A187="","",IFERROR(INDEX(土地清冊_匯入!$S$6:$S$1005,MATCH($A187,土地清冊_匯入!$A$6:$A$1005,0)),""))</f>
        <v/>
      </c>
      <c r="H187" s="12">
        <f>IF($A187="","",IFERROR(INDEX(土地清冊_匯入!$T$6:$T$1005,MATCH($A187,土地清冊_匯入!$A$6:$A$1005,0)),""))</f>
        <v/>
      </c>
      <c r="I187" s="12">
        <f>IF($A187="","",IFERROR(INDEX(土地清冊_匯入!$V$6:$V$1005,MATCH($A187,土地清冊_匯入!$A$6:$A$1005,0)),""))</f>
        <v/>
      </c>
      <c r="J187" s="14" t="n"/>
      <c r="K187" s="7" t="n"/>
      <c r="L187" s="7" t="n"/>
      <c r="M187" s="7" t="n"/>
      <c r="N187" s="7" t="n"/>
      <c r="O187" s="7" t="n"/>
      <c r="P187" s="7" t="n"/>
      <c r="Q187" s="14" t="n"/>
      <c r="R187" s="7" t="n"/>
      <c r="S187" s="7" t="n"/>
      <c r="T187" s="7" t="n"/>
      <c r="U187" s="12">
        <f>IF(A187="","",IF(OR(J187="",L187=""),"建議補聯絡紀錄","") )</f>
        <v/>
      </c>
    </row>
    <row r="188" ht="24" customHeight="1">
      <c r="A188" s="7" t="n"/>
      <c r="B188" s="7" t="n"/>
      <c r="C188" s="12">
        <f>IF($A188="","",IFERROR(INDEX(土地清冊_匯入!$B$6:$B$1005,MATCH($A188,土地清冊_匯入!$A$6:$A$1005,0)),"查無資料"))</f>
        <v/>
      </c>
      <c r="D188" s="12">
        <f>IF($A188="","",IFERROR(INDEX(土地清冊_匯入!$P$6:$P$1005,MATCH($A188,土地清冊_匯入!$A$6:$A$1005,0)),""))</f>
        <v/>
      </c>
      <c r="E188" s="12">
        <f>IF($A188="","",IFERROR(INDEX(土地清冊_匯入!$Q$6:$Q$1005,MATCH($A188,土地清冊_匯入!$A$6:$A$1005,0)),""))</f>
        <v/>
      </c>
      <c r="F188" s="12">
        <f>IF($A188="","",IFERROR(INDEX(土地清冊_匯入!$R$6:$R$1005,MATCH($A188,土地清冊_匯入!$A$6:$A$1005,0)),""))</f>
        <v/>
      </c>
      <c r="G188" s="12">
        <f>IF($A188="","",IFERROR(INDEX(土地清冊_匯入!$S$6:$S$1005,MATCH($A188,土地清冊_匯入!$A$6:$A$1005,0)),""))</f>
        <v/>
      </c>
      <c r="H188" s="12">
        <f>IF($A188="","",IFERROR(INDEX(土地清冊_匯入!$T$6:$T$1005,MATCH($A188,土地清冊_匯入!$A$6:$A$1005,0)),""))</f>
        <v/>
      </c>
      <c r="I188" s="12">
        <f>IF($A188="","",IFERROR(INDEX(土地清冊_匯入!$V$6:$V$1005,MATCH($A188,土地清冊_匯入!$A$6:$A$1005,0)),""))</f>
        <v/>
      </c>
      <c r="J188" s="14" t="n"/>
      <c r="K188" s="7" t="n"/>
      <c r="L188" s="7" t="n"/>
      <c r="M188" s="7" t="n"/>
      <c r="N188" s="7" t="n"/>
      <c r="O188" s="7" t="n"/>
      <c r="P188" s="7" t="n"/>
      <c r="Q188" s="14" t="n"/>
      <c r="R188" s="7" t="n"/>
      <c r="S188" s="7" t="n"/>
      <c r="T188" s="7" t="n"/>
      <c r="U188" s="12">
        <f>IF(A188="","",IF(OR(J188="",L188=""),"建議補聯絡紀錄","") )</f>
        <v/>
      </c>
    </row>
    <row r="189" ht="24" customHeight="1">
      <c r="A189" s="7" t="n"/>
      <c r="B189" s="7" t="n"/>
      <c r="C189" s="12">
        <f>IF($A189="","",IFERROR(INDEX(土地清冊_匯入!$B$6:$B$1005,MATCH($A189,土地清冊_匯入!$A$6:$A$1005,0)),"查無資料"))</f>
        <v/>
      </c>
      <c r="D189" s="12">
        <f>IF($A189="","",IFERROR(INDEX(土地清冊_匯入!$P$6:$P$1005,MATCH($A189,土地清冊_匯入!$A$6:$A$1005,0)),""))</f>
        <v/>
      </c>
      <c r="E189" s="12">
        <f>IF($A189="","",IFERROR(INDEX(土地清冊_匯入!$Q$6:$Q$1005,MATCH($A189,土地清冊_匯入!$A$6:$A$1005,0)),""))</f>
        <v/>
      </c>
      <c r="F189" s="12">
        <f>IF($A189="","",IFERROR(INDEX(土地清冊_匯入!$R$6:$R$1005,MATCH($A189,土地清冊_匯入!$A$6:$A$1005,0)),""))</f>
        <v/>
      </c>
      <c r="G189" s="12">
        <f>IF($A189="","",IFERROR(INDEX(土地清冊_匯入!$S$6:$S$1005,MATCH($A189,土地清冊_匯入!$A$6:$A$1005,0)),""))</f>
        <v/>
      </c>
      <c r="H189" s="12">
        <f>IF($A189="","",IFERROR(INDEX(土地清冊_匯入!$T$6:$T$1005,MATCH($A189,土地清冊_匯入!$A$6:$A$1005,0)),""))</f>
        <v/>
      </c>
      <c r="I189" s="12">
        <f>IF($A189="","",IFERROR(INDEX(土地清冊_匯入!$V$6:$V$1005,MATCH($A189,土地清冊_匯入!$A$6:$A$1005,0)),""))</f>
        <v/>
      </c>
      <c r="J189" s="14" t="n"/>
      <c r="K189" s="7" t="n"/>
      <c r="L189" s="7" t="n"/>
      <c r="M189" s="7" t="n"/>
      <c r="N189" s="7" t="n"/>
      <c r="O189" s="7" t="n"/>
      <c r="P189" s="7" t="n"/>
      <c r="Q189" s="14" t="n"/>
      <c r="R189" s="7" t="n"/>
      <c r="S189" s="7" t="n"/>
      <c r="T189" s="7" t="n"/>
      <c r="U189" s="12">
        <f>IF(A189="","",IF(OR(J189="",L189=""),"建議補聯絡紀錄","") )</f>
        <v/>
      </c>
    </row>
    <row r="190" ht="24" customHeight="1">
      <c r="A190" s="7" t="n"/>
      <c r="B190" s="7" t="n"/>
      <c r="C190" s="12">
        <f>IF($A190="","",IFERROR(INDEX(土地清冊_匯入!$B$6:$B$1005,MATCH($A190,土地清冊_匯入!$A$6:$A$1005,0)),"查無資料"))</f>
        <v/>
      </c>
      <c r="D190" s="12">
        <f>IF($A190="","",IFERROR(INDEX(土地清冊_匯入!$P$6:$P$1005,MATCH($A190,土地清冊_匯入!$A$6:$A$1005,0)),""))</f>
        <v/>
      </c>
      <c r="E190" s="12">
        <f>IF($A190="","",IFERROR(INDEX(土地清冊_匯入!$Q$6:$Q$1005,MATCH($A190,土地清冊_匯入!$A$6:$A$1005,0)),""))</f>
        <v/>
      </c>
      <c r="F190" s="12">
        <f>IF($A190="","",IFERROR(INDEX(土地清冊_匯入!$R$6:$R$1005,MATCH($A190,土地清冊_匯入!$A$6:$A$1005,0)),""))</f>
        <v/>
      </c>
      <c r="G190" s="12">
        <f>IF($A190="","",IFERROR(INDEX(土地清冊_匯入!$S$6:$S$1005,MATCH($A190,土地清冊_匯入!$A$6:$A$1005,0)),""))</f>
        <v/>
      </c>
      <c r="H190" s="12">
        <f>IF($A190="","",IFERROR(INDEX(土地清冊_匯入!$T$6:$T$1005,MATCH($A190,土地清冊_匯入!$A$6:$A$1005,0)),""))</f>
        <v/>
      </c>
      <c r="I190" s="12">
        <f>IF($A190="","",IFERROR(INDEX(土地清冊_匯入!$V$6:$V$1005,MATCH($A190,土地清冊_匯入!$A$6:$A$1005,0)),""))</f>
        <v/>
      </c>
      <c r="J190" s="14" t="n"/>
      <c r="K190" s="7" t="n"/>
      <c r="L190" s="7" t="n"/>
      <c r="M190" s="7" t="n"/>
      <c r="N190" s="7" t="n"/>
      <c r="O190" s="7" t="n"/>
      <c r="P190" s="7" t="n"/>
      <c r="Q190" s="14" t="n"/>
      <c r="R190" s="7" t="n"/>
      <c r="S190" s="7" t="n"/>
      <c r="T190" s="7" t="n"/>
      <c r="U190" s="12">
        <f>IF(A190="","",IF(OR(J190="",L190=""),"建議補聯絡紀錄","") )</f>
        <v/>
      </c>
    </row>
    <row r="191" ht="24" customHeight="1">
      <c r="A191" s="7" t="n"/>
      <c r="B191" s="7" t="n"/>
      <c r="C191" s="12">
        <f>IF($A191="","",IFERROR(INDEX(土地清冊_匯入!$B$6:$B$1005,MATCH($A191,土地清冊_匯入!$A$6:$A$1005,0)),"查無資料"))</f>
        <v/>
      </c>
      <c r="D191" s="12">
        <f>IF($A191="","",IFERROR(INDEX(土地清冊_匯入!$P$6:$P$1005,MATCH($A191,土地清冊_匯入!$A$6:$A$1005,0)),""))</f>
        <v/>
      </c>
      <c r="E191" s="12">
        <f>IF($A191="","",IFERROR(INDEX(土地清冊_匯入!$Q$6:$Q$1005,MATCH($A191,土地清冊_匯入!$A$6:$A$1005,0)),""))</f>
        <v/>
      </c>
      <c r="F191" s="12">
        <f>IF($A191="","",IFERROR(INDEX(土地清冊_匯入!$R$6:$R$1005,MATCH($A191,土地清冊_匯入!$A$6:$A$1005,0)),""))</f>
        <v/>
      </c>
      <c r="G191" s="12">
        <f>IF($A191="","",IFERROR(INDEX(土地清冊_匯入!$S$6:$S$1005,MATCH($A191,土地清冊_匯入!$A$6:$A$1005,0)),""))</f>
        <v/>
      </c>
      <c r="H191" s="12">
        <f>IF($A191="","",IFERROR(INDEX(土地清冊_匯入!$T$6:$T$1005,MATCH($A191,土地清冊_匯入!$A$6:$A$1005,0)),""))</f>
        <v/>
      </c>
      <c r="I191" s="12">
        <f>IF($A191="","",IFERROR(INDEX(土地清冊_匯入!$V$6:$V$1005,MATCH($A191,土地清冊_匯入!$A$6:$A$1005,0)),""))</f>
        <v/>
      </c>
      <c r="J191" s="14" t="n"/>
      <c r="K191" s="7" t="n"/>
      <c r="L191" s="7" t="n"/>
      <c r="M191" s="7" t="n"/>
      <c r="N191" s="7" t="n"/>
      <c r="O191" s="7" t="n"/>
      <c r="P191" s="7" t="n"/>
      <c r="Q191" s="14" t="n"/>
      <c r="R191" s="7" t="n"/>
      <c r="S191" s="7" t="n"/>
      <c r="T191" s="7" t="n"/>
      <c r="U191" s="12">
        <f>IF(A191="","",IF(OR(J191="",L191=""),"建議補聯絡紀錄","") )</f>
        <v/>
      </c>
    </row>
    <row r="192" ht="24" customHeight="1">
      <c r="A192" s="7" t="n"/>
      <c r="B192" s="7" t="n"/>
      <c r="C192" s="12">
        <f>IF($A192="","",IFERROR(INDEX(土地清冊_匯入!$B$6:$B$1005,MATCH($A192,土地清冊_匯入!$A$6:$A$1005,0)),"查無資料"))</f>
        <v/>
      </c>
      <c r="D192" s="12">
        <f>IF($A192="","",IFERROR(INDEX(土地清冊_匯入!$P$6:$P$1005,MATCH($A192,土地清冊_匯入!$A$6:$A$1005,0)),""))</f>
        <v/>
      </c>
      <c r="E192" s="12">
        <f>IF($A192="","",IFERROR(INDEX(土地清冊_匯入!$Q$6:$Q$1005,MATCH($A192,土地清冊_匯入!$A$6:$A$1005,0)),""))</f>
        <v/>
      </c>
      <c r="F192" s="12">
        <f>IF($A192="","",IFERROR(INDEX(土地清冊_匯入!$R$6:$R$1005,MATCH($A192,土地清冊_匯入!$A$6:$A$1005,0)),""))</f>
        <v/>
      </c>
      <c r="G192" s="12">
        <f>IF($A192="","",IFERROR(INDEX(土地清冊_匯入!$S$6:$S$1005,MATCH($A192,土地清冊_匯入!$A$6:$A$1005,0)),""))</f>
        <v/>
      </c>
      <c r="H192" s="12">
        <f>IF($A192="","",IFERROR(INDEX(土地清冊_匯入!$T$6:$T$1005,MATCH($A192,土地清冊_匯入!$A$6:$A$1005,0)),""))</f>
        <v/>
      </c>
      <c r="I192" s="12">
        <f>IF($A192="","",IFERROR(INDEX(土地清冊_匯入!$V$6:$V$1005,MATCH($A192,土地清冊_匯入!$A$6:$A$1005,0)),""))</f>
        <v/>
      </c>
      <c r="J192" s="14" t="n"/>
      <c r="K192" s="7" t="n"/>
      <c r="L192" s="7" t="n"/>
      <c r="M192" s="7" t="n"/>
      <c r="N192" s="7" t="n"/>
      <c r="O192" s="7" t="n"/>
      <c r="P192" s="7" t="n"/>
      <c r="Q192" s="14" t="n"/>
      <c r="R192" s="7" t="n"/>
      <c r="S192" s="7" t="n"/>
      <c r="T192" s="7" t="n"/>
      <c r="U192" s="12">
        <f>IF(A192="","",IF(OR(J192="",L192=""),"建議補聯絡紀錄","") )</f>
        <v/>
      </c>
    </row>
    <row r="193" ht="24" customHeight="1">
      <c r="A193" s="7" t="n"/>
      <c r="B193" s="7" t="n"/>
      <c r="C193" s="12">
        <f>IF($A193="","",IFERROR(INDEX(土地清冊_匯入!$B$6:$B$1005,MATCH($A193,土地清冊_匯入!$A$6:$A$1005,0)),"查無資料"))</f>
        <v/>
      </c>
      <c r="D193" s="12">
        <f>IF($A193="","",IFERROR(INDEX(土地清冊_匯入!$P$6:$P$1005,MATCH($A193,土地清冊_匯入!$A$6:$A$1005,0)),""))</f>
        <v/>
      </c>
      <c r="E193" s="12">
        <f>IF($A193="","",IFERROR(INDEX(土地清冊_匯入!$Q$6:$Q$1005,MATCH($A193,土地清冊_匯入!$A$6:$A$1005,0)),""))</f>
        <v/>
      </c>
      <c r="F193" s="12">
        <f>IF($A193="","",IFERROR(INDEX(土地清冊_匯入!$R$6:$R$1005,MATCH($A193,土地清冊_匯入!$A$6:$A$1005,0)),""))</f>
        <v/>
      </c>
      <c r="G193" s="12">
        <f>IF($A193="","",IFERROR(INDEX(土地清冊_匯入!$S$6:$S$1005,MATCH($A193,土地清冊_匯入!$A$6:$A$1005,0)),""))</f>
        <v/>
      </c>
      <c r="H193" s="12">
        <f>IF($A193="","",IFERROR(INDEX(土地清冊_匯入!$T$6:$T$1005,MATCH($A193,土地清冊_匯入!$A$6:$A$1005,0)),""))</f>
        <v/>
      </c>
      <c r="I193" s="12">
        <f>IF($A193="","",IFERROR(INDEX(土地清冊_匯入!$V$6:$V$1005,MATCH($A193,土地清冊_匯入!$A$6:$A$1005,0)),""))</f>
        <v/>
      </c>
      <c r="J193" s="14" t="n"/>
      <c r="K193" s="7" t="n"/>
      <c r="L193" s="7" t="n"/>
      <c r="M193" s="7" t="n"/>
      <c r="N193" s="7" t="n"/>
      <c r="O193" s="7" t="n"/>
      <c r="P193" s="7" t="n"/>
      <c r="Q193" s="14" t="n"/>
      <c r="R193" s="7" t="n"/>
      <c r="S193" s="7" t="n"/>
      <c r="T193" s="7" t="n"/>
      <c r="U193" s="12">
        <f>IF(A193="","",IF(OR(J193="",L193=""),"建議補聯絡紀錄","") )</f>
        <v/>
      </c>
    </row>
    <row r="194" ht="24" customHeight="1">
      <c r="A194" s="7" t="n"/>
      <c r="B194" s="7" t="n"/>
      <c r="C194" s="12">
        <f>IF($A194="","",IFERROR(INDEX(土地清冊_匯入!$B$6:$B$1005,MATCH($A194,土地清冊_匯入!$A$6:$A$1005,0)),"查無資料"))</f>
        <v/>
      </c>
      <c r="D194" s="12">
        <f>IF($A194="","",IFERROR(INDEX(土地清冊_匯入!$P$6:$P$1005,MATCH($A194,土地清冊_匯入!$A$6:$A$1005,0)),""))</f>
        <v/>
      </c>
      <c r="E194" s="12">
        <f>IF($A194="","",IFERROR(INDEX(土地清冊_匯入!$Q$6:$Q$1005,MATCH($A194,土地清冊_匯入!$A$6:$A$1005,0)),""))</f>
        <v/>
      </c>
      <c r="F194" s="12">
        <f>IF($A194="","",IFERROR(INDEX(土地清冊_匯入!$R$6:$R$1005,MATCH($A194,土地清冊_匯入!$A$6:$A$1005,0)),""))</f>
        <v/>
      </c>
      <c r="G194" s="12">
        <f>IF($A194="","",IFERROR(INDEX(土地清冊_匯入!$S$6:$S$1005,MATCH($A194,土地清冊_匯入!$A$6:$A$1005,0)),""))</f>
        <v/>
      </c>
      <c r="H194" s="12">
        <f>IF($A194="","",IFERROR(INDEX(土地清冊_匯入!$T$6:$T$1005,MATCH($A194,土地清冊_匯入!$A$6:$A$1005,0)),""))</f>
        <v/>
      </c>
      <c r="I194" s="12">
        <f>IF($A194="","",IFERROR(INDEX(土地清冊_匯入!$V$6:$V$1005,MATCH($A194,土地清冊_匯入!$A$6:$A$1005,0)),""))</f>
        <v/>
      </c>
      <c r="J194" s="14" t="n"/>
      <c r="K194" s="7" t="n"/>
      <c r="L194" s="7" t="n"/>
      <c r="M194" s="7" t="n"/>
      <c r="N194" s="7" t="n"/>
      <c r="O194" s="7" t="n"/>
      <c r="P194" s="7" t="n"/>
      <c r="Q194" s="14" t="n"/>
      <c r="R194" s="7" t="n"/>
      <c r="S194" s="7" t="n"/>
      <c r="T194" s="7" t="n"/>
      <c r="U194" s="12">
        <f>IF(A194="","",IF(OR(J194="",L194=""),"建議補聯絡紀錄","") )</f>
        <v/>
      </c>
    </row>
    <row r="195" ht="24" customHeight="1">
      <c r="A195" s="7" t="n"/>
      <c r="B195" s="7" t="n"/>
      <c r="C195" s="12">
        <f>IF($A195="","",IFERROR(INDEX(土地清冊_匯入!$B$6:$B$1005,MATCH($A195,土地清冊_匯入!$A$6:$A$1005,0)),"查無資料"))</f>
        <v/>
      </c>
      <c r="D195" s="12">
        <f>IF($A195="","",IFERROR(INDEX(土地清冊_匯入!$P$6:$P$1005,MATCH($A195,土地清冊_匯入!$A$6:$A$1005,0)),""))</f>
        <v/>
      </c>
      <c r="E195" s="12">
        <f>IF($A195="","",IFERROR(INDEX(土地清冊_匯入!$Q$6:$Q$1005,MATCH($A195,土地清冊_匯入!$A$6:$A$1005,0)),""))</f>
        <v/>
      </c>
      <c r="F195" s="12">
        <f>IF($A195="","",IFERROR(INDEX(土地清冊_匯入!$R$6:$R$1005,MATCH($A195,土地清冊_匯入!$A$6:$A$1005,0)),""))</f>
        <v/>
      </c>
      <c r="G195" s="12">
        <f>IF($A195="","",IFERROR(INDEX(土地清冊_匯入!$S$6:$S$1005,MATCH($A195,土地清冊_匯入!$A$6:$A$1005,0)),""))</f>
        <v/>
      </c>
      <c r="H195" s="12">
        <f>IF($A195="","",IFERROR(INDEX(土地清冊_匯入!$T$6:$T$1005,MATCH($A195,土地清冊_匯入!$A$6:$A$1005,0)),""))</f>
        <v/>
      </c>
      <c r="I195" s="12">
        <f>IF($A195="","",IFERROR(INDEX(土地清冊_匯入!$V$6:$V$1005,MATCH($A195,土地清冊_匯入!$A$6:$A$1005,0)),""))</f>
        <v/>
      </c>
      <c r="J195" s="14" t="n"/>
      <c r="K195" s="7" t="n"/>
      <c r="L195" s="7" t="n"/>
      <c r="M195" s="7" t="n"/>
      <c r="N195" s="7" t="n"/>
      <c r="O195" s="7" t="n"/>
      <c r="P195" s="7" t="n"/>
      <c r="Q195" s="14" t="n"/>
      <c r="R195" s="7" t="n"/>
      <c r="S195" s="7" t="n"/>
      <c r="T195" s="7" t="n"/>
      <c r="U195" s="12">
        <f>IF(A195="","",IF(OR(J195="",L195=""),"建議補聯絡紀錄","") )</f>
        <v/>
      </c>
    </row>
    <row r="196" ht="24" customHeight="1">
      <c r="A196" s="7" t="n"/>
      <c r="B196" s="7" t="n"/>
      <c r="C196" s="12">
        <f>IF($A196="","",IFERROR(INDEX(土地清冊_匯入!$B$6:$B$1005,MATCH($A196,土地清冊_匯入!$A$6:$A$1005,0)),"查無資料"))</f>
        <v/>
      </c>
      <c r="D196" s="12">
        <f>IF($A196="","",IFERROR(INDEX(土地清冊_匯入!$P$6:$P$1005,MATCH($A196,土地清冊_匯入!$A$6:$A$1005,0)),""))</f>
        <v/>
      </c>
      <c r="E196" s="12">
        <f>IF($A196="","",IFERROR(INDEX(土地清冊_匯入!$Q$6:$Q$1005,MATCH($A196,土地清冊_匯入!$A$6:$A$1005,0)),""))</f>
        <v/>
      </c>
      <c r="F196" s="12">
        <f>IF($A196="","",IFERROR(INDEX(土地清冊_匯入!$R$6:$R$1005,MATCH($A196,土地清冊_匯入!$A$6:$A$1005,0)),""))</f>
        <v/>
      </c>
      <c r="G196" s="12">
        <f>IF($A196="","",IFERROR(INDEX(土地清冊_匯入!$S$6:$S$1005,MATCH($A196,土地清冊_匯入!$A$6:$A$1005,0)),""))</f>
        <v/>
      </c>
      <c r="H196" s="12">
        <f>IF($A196="","",IFERROR(INDEX(土地清冊_匯入!$T$6:$T$1005,MATCH($A196,土地清冊_匯入!$A$6:$A$1005,0)),""))</f>
        <v/>
      </c>
      <c r="I196" s="12">
        <f>IF($A196="","",IFERROR(INDEX(土地清冊_匯入!$V$6:$V$1005,MATCH($A196,土地清冊_匯入!$A$6:$A$1005,0)),""))</f>
        <v/>
      </c>
      <c r="J196" s="14" t="n"/>
      <c r="K196" s="7" t="n"/>
      <c r="L196" s="7" t="n"/>
      <c r="M196" s="7" t="n"/>
      <c r="N196" s="7" t="n"/>
      <c r="O196" s="7" t="n"/>
      <c r="P196" s="7" t="n"/>
      <c r="Q196" s="14" t="n"/>
      <c r="R196" s="7" t="n"/>
      <c r="S196" s="7" t="n"/>
      <c r="T196" s="7" t="n"/>
      <c r="U196" s="12">
        <f>IF(A196="","",IF(OR(J196="",L196=""),"建議補聯絡紀錄","") )</f>
        <v/>
      </c>
    </row>
    <row r="197" ht="24" customHeight="1">
      <c r="A197" s="7" t="n"/>
      <c r="B197" s="7" t="n"/>
      <c r="C197" s="12">
        <f>IF($A197="","",IFERROR(INDEX(土地清冊_匯入!$B$6:$B$1005,MATCH($A197,土地清冊_匯入!$A$6:$A$1005,0)),"查無資料"))</f>
        <v/>
      </c>
      <c r="D197" s="12">
        <f>IF($A197="","",IFERROR(INDEX(土地清冊_匯入!$P$6:$P$1005,MATCH($A197,土地清冊_匯入!$A$6:$A$1005,0)),""))</f>
        <v/>
      </c>
      <c r="E197" s="12">
        <f>IF($A197="","",IFERROR(INDEX(土地清冊_匯入!$Q$6:$Q$1005,MATCH($A197,土地清冊_匯入!$A$6:$A$1005,0)),""))</f>
        <v/>
      </c>
      <c r="F197" s="12">
        <f>IF($A197="","",IFERROR(INDEX(土地清冊_匯入!$R$6:$R$1005,MATCH($A197,土地清冊_匯入!$A$6:$A$1005,0)),""))</f>
        <v/>
      </c>
      <c r="G197" s="12">
        <f>IF($A197="","",IFERROR(INDEX(土地清冊_匯入!$S$6:$S$1005,MATCH($A197,土地清冊_匯入!$A$6:$A$1005,0)),""))</f>
        <v/>
      </c>
      <c r="H197" s="12">
        <f>IF($A197="","",IFERROR(INDEX(土地清冊_匯入!$T$6:$T$1005,MATCH($A197,土地清冊_匯入!$A$6:$A$1005,0)),""))</f>
        <v/>
      </c>
      <c r="I197" s="12">
        <f>IF($A197="","",IFERROR(INDEX(土地清冊_匯入!$V$6:$V$1005,MATCH($A197,土地清冊_匯入!$A$6:$A$1005,0)),""))</f>
        <v/>
      </c>
      <c r="J197" s="14" t="n"/>
      <c r="K197" s="7" t="n"/>
      <c r="L197" s="7" t="n"/>
      <c r="M197" s="7" t="n"/>
      <c r="N197" s="7" t="n"/>
      <c r="O197" s="7" t="n"/>
      <c r="P197" s="7" t="n"/>
      <c r="Q197" s="14" t="n"/>
      <c r="R197" s="7" t="n"/>
      <c r="S197" s="7" t="n"/>
      <c r="T197" s="7" t="n"/>
      <c r="U197" s="12">
        <f>IF(A197="","",IF(OR(J197="",L197=""),"建議補聯絡紀錄","") )</f>
        <v/>
      </c>
    </row>
    <row r="198" ht="24" customHeight="1">
      <c r="A198" s="7" t="n"/>
      <c r="B198" s="7" t="n"/>
      <c r="C198" s="12">
        <f>IF($A198="","",IFERROR(INDEX(土地清冊_匯入!$B$6:$B$1005,MATCH($A198,土地清冊_匯入!$A$6:$A$1005,0)),"查無資料"))</f>
        <v/>
      </c>
      <c r="D198" s="12">
        <f>IF($A198="","",IFERROR(INDEX(土地清冊_匯入!$P$6:$P$1005,MATCH($A198,土地清冊_匯入!$A$6:$A$1005,0)),""))</f>
        <v/>
      </c>
      <c r="E198" s="12">
        <f>IF($A198="","",IFERROR(INDEX(土地清冊_匯入!$Q$6:$Q$1005,MATCH($A198,土地清冊_匯入!$A$6:$A$1005,0)),""))</f>
        <v/>
      </c>
      <c r="F198" s="12">
        <f>IF($A198="","",IFERROR(INDEX(土地清冊_匯入!$R$6:$R$1005,MATCH($A198,土地清冊_匯入!$A$6:$A$1005,0)),""))</f>
        <v/>
      </c>
      <c r="G198" s="12">
        <f>IF($A198="","",IFERROR(INDEX(土地清冊_匯入!$S$6:$S$1005,MATCH($A198,土地清冊_匯入!$A$6:$A$1005,0)),""))</f>
        <v/>
      </c>
      <c r="H198" s="12">
        <f>IF($A198="","",IFERROR(INDEX(土地清冊_匯入!$T$6:$T$1005,MATCH($A198,土地清冊_匯入!$A$6:$A$1005,0)),""))</f>
        <v/>
      </c>
      <c r="I198" s="12">
        <f>IF($A198="","",IFERROR(INDEX(土地清冊_匯入!$V$6:$V$1005,MATCH($A198,土地清冊_匯入!$A$6:$A$1005,0)),""))</f>
        <v/>
      </c>
      <c r="J198" s="14" t="n"/>
      <c r="K198" s="7" t="n"/>
      <c r="L198" s="7" t="n"/>
      <c r="M198" s="7" t="n"/>
      <c r="N198" s="7" t="n"/>
      <c r="O198" s="7" t="n"/>
      <c r="P198" s="7" t="n"/>
      <c r="Q198" s="14" t="n"/>
      <c r="R198" s="7" t="n"/>
      <c r="S198" s="7" t="n"/>
      <c r="T198" s="7" t="n"/>
      <c r="U198" s="12">
        <f>IF(A198="","",IF(OR(J198="",L198=""),"建議補聯絡紀錄","") )</f>
        <v/>
      </c>
    </row>
    <row r="199" ht="24" customHeight="1">
      <c r="A199" s="7" t="n"/>
      <c r="B199" s="7" t="n"/>
      <c r="C199" s="12">
        <f>IF($A199="","",IFERROR(INDEX(土地清冊_匯入!$B$6:$B$1005,MATCH($A199,土地清冊_匯入!$A$6:$A$1005,0)),"查無資料"))</f>
        <v/>
      </c>
      <c r="D199" s="12">
        <f>IF($A199="","",IFERROR(INDEX(土地清冊_匯入!$P$6:$P$1005,MATCH($A199,土地清冊_匯入!$A$6:$A$1005,0)),""))</f>
        <v/>
      </c>
      <c r="E199" s="12">
        <f>IF($A199="","",IFERROR(INDEX(土地清冊_匯入!$Q$6:$Q$1005,MATCH($A199,土地清冊_匯入!$A$6:$A$1005,0)),""))</f>
        <v/>
      </c>
      <c r="F199" s="12">
        <f>IF($A199="","",IFERROR(INDEX(土地清冊_匯入!$R$6:$R$1005,MATCH($A199,土地清冊_匯入!$A$6:$A$1005,0)),""))</f>
        <v/>
      </c>
      <c r="G199" s="12">
        <f>IF($A199="","",IFERROR(INDEX(土地清冊_匯入!$S$6:$S$1005,MATCH($A199,土地清冊_匯入!$A$6:$A$1005,0)),""))</f>
        <v/>
      </c>
      <c r="H199" s="12">
        <f>IF($A199="","",IFERROR(INDEX(土地清冊_匯入!$T$6:$T$1005,MATCH($A199,土地清冊_匯入!$A$6:$A$1005,0)),""))</f>
        <v/>
      </c>
      <c r="I199" s="12">
        <f>IF($A199="","",IFERROR(INDEX(土地清冊_匯入!$V$6:$V$1005,MATCH($A199,土地清冊_匯入!$A$6:$A$1005,0)),""))</f>
        <v/>
      </c>
      <c r="J199" s="14" t="n"/>
      <c r="K199" s="7" t="n"/>
      <c r="L199" s="7" t="n"/>
      <c r="M199" s="7" t="n"/>
      <c r="N199" s="7" t="n"/>
      <c r="O199" s="7" t="n"/>
      <c r="P199" s="7" t="n"/>
      <c r="Q199" s="14" t="n"/>
      <c r="R199" s="7" t="n"/>
      <c r="S199" s="7" t="n"/>
      <c r="T199" s="7" t="n"/>
      <c r="U199" s="12">
        <f>IF(A199="","",IF(OR(J199="",L199=""),"建議補聯絡紀錄","") )</f>
        <v/>
      </c>
    </row>
    <row r="200" ht="24" customHeight="1">
      <c r="A200" s="7" t="n"/>
      <c r="B200" s="7" t="n"/>
      <c r="C200" s="12">
        <f>IF($A200="","",IFERROR(INDEX(土地清冊_匯入!$B$6:$B$1005,MATCH($A200,土地清冊_匯入!$A$6:$A$1005,0)),"查無資料"))</f>
        <v/>
      </c>
      <c r="D200" s="12">
        <f>IF($A200="","",IFERROR(INDEX(土地清冊_匯入!$P$6:$P$1005,MATCH($A200,土地清冊_匯入!$A$6:$A$1005,0)),""))</f>
        <v/>
      </c>
      <c r="E200" s="12">
        <f>IF($A200="","",IFERROR(INDEX(土地清冊_匯入!$Q$6:$Q$1005,MATCH($A200,土地清冊_匯入!$A$6:$A$1005,0)),""))</f>
        <v/>
      </c>
      <c r="F200" s="12">
        <f>IF($A200="","",IFERROR(INDEX(土地清冊_匯入!$R$6:$R$1005,MATCH($A200,土地清冊_匯入!$A$6:$A$1005,0)),""))</f>
        <v/>
      </c>
      <c r="G200" s="12">
        <f>IF($A200="","",IFERROR(INDEX(土地清冊_匯入!$S$6:$S$1005,MATCH($A200,土地清冊_匯入!$A$6:$A$1005,0)),""))</f>
        <v/>
      </c>
      <c r="H200" s="12">
        <f>IF($A200="","",IFERROR(INDEX(土地清冊_匯入!$T$6:$T$1005,MATCH($A200,土地清冊_匯入!$A$6:$A$1005,0)),""))</f>
        <v/>
      </c>
      <c r="I200" s="12">
        <f>IF($A200="","",IFERROR(INDEX(土地清冊_匯入!$V$6:$V$1005,MATCH($A200,土地清冊_匯入!$A$6:$A$1005,0)),""))</f>
        <v/>
      </c>
      <c r="J200" s="14" t="n"/>
      <c r="K200" s="7" t="n"/>
      <c r="L200" s="7" t="n"/>
      <c r="M200" s="7" t="n"/>
      <c r="N200" s="7" t="n"/>
      <c r="O200" s="7" t="n"/>
      <c r="P200" s="7" t="n"/>
      <c r="Q200" s="14" t="n"/>
      <c r="R200" s="7" t="n"/>
      <c r="S200" s="7" t="n"/>
      <c r="T200" s="7" t="n"/>
      <c r="U200" s="12">
        <f>IF(A200="","",IF(OR(J200="",L200=""),"建議補聯絡紀錄","") )</f>
        <v/>
      </c>
    </row>
    <row r="201" ht="24" customHeight="1">
      <c r="A201" s="7" t="n"/>
      <c r="B201" s="7" t="n"/>
      <c r="C201" s="12">
        <f>IF($A201="","",IFERROR(INDEX(土地清冊_匯入!$B$6:$B$1005,MATCH($A201,土地清冊_匯入!$A$6:$A$1005,0)),"查無資料"))</f>
        <v/>
      </c>
      <c r="D201" s="12">
        <f>IF($A201="","",IFERROR(INDEX(土地清冊_匯入!$P$6:$P$1005,MATCH($A201,土地清冊_匯入!$A$6:$A$1005,0)),""))</f>
        <v/>
      </c>
      <c r="E201" s="12">
        <f>IF($A201="","",IFERROR(INDEX(土地清冊_匯入!$Q$6:$Q$1005,MATCH($A201,土地清冊_匯入!$A$6:$A$1005,0)),""))</f>
        <v/>
      </c>
      <c r="F201" s="12">
        <f>IF($A201="","",IFERROR(INDEX(土地清冊_匯入!$R$6:$R$1005,MATCH($A201,土地清冊_匯入!$A$6:$A$1005,0)),""))</f>
        <v/>
      </c>
      <c r="G201" s="12">
        <f>IF($A201="","",IFERROR(INDEX(土地清冊_匯入!$S$6:$S$1005,MATCH($A201,土地清冊_匯入!$A$6:$A$1005,0)),""))</f>
        <v/>
      </c>
      <c r="H201" s="12">
        <f>IF($A201="","",IFERROR(INDEX(土地清冊_匯入!$T$6:$T$1005,MATCH($A201,土地清冊_匯入!$A$6:$A$1005,0)),""))</f>
        <v/>
      </c>
      <c r="I201" s="12">
        <f>IF($A201="","",IFERROR(INDEX(土地清冊_匯入!$V$6:$V$1005,MATCH($A201,土地清冊_匯入!$A$6:$A$1005,0)),""))</f>
        <v/>
      </c>
      <c r="J201" s="14" t="n"/>
      <c r="K201" s="7" t="n"/>
      <c r="L201" s="7" t="n"/>
      <c r="M201" s="7" t="n"/>
      <c r="N201" s="7" t="n"/>
      <c r="O201" s="7" t="n"/>
      <c r="P201" s="7" t="n"/>
      <c r="Q201" s="14" t="n"/>
      <c r="R201" s="7" t="n"/>
      <c r="S201" s="7" t="n"/>
      <c r="T201" s="7" t="n"/>
      <c r="U201" s="12">
        <f>IF(A201="","",IF(OR(J201="",L201=""),"建議補聯絡紀錄","") )</f>
        <v/>
      </c>
    </row>
    <row r="202" ht="24" customHeight="1">
      <c r="A202" s="7" t="n"/>
      <c r="B202" s="7" t="n"/>
      <c r="C202" s="12">
        <f>IF($A202="","",IFERROR(INDEX(土地清冊_匯入!$B$6:$B$1005,MATCH($A202,土地清冊_匯入!$A$6:$A$1005,0)),"查無資料"))</f>
        <v/>
      </c>
      <c r="D202" s="12">
        <f>IF($A202="","",IFERROR(INDEX(土地清冊_匯入!$P$6:$P$1005,MATCH($A202,土地清冊_匯入!$A$6:$A$1005,0)),""))</f>
        <v/>
      </c>
      <c r="E202" s="12">
        <f>IF($A202="","",IFERROR(INDEX(土地清冊_匯入!$Q$6:$Q$1005,MATCH($A202,土地清冊_匯入!$A$6:$A$1005,0)),""))</f>
        <v/>
      </c>
      <c r="F202" s="12">
        <f>IF($A202="","",IFERROR(INDEX(土地清冊_匯入!$R$6:$R$1005,MATCH($A202,土地清冊_匯入!$A$6:$A$1005,0)),""))</f>
        <v/>
      </c>
      <c r="G202" s="12">
        <f>IF($A202="","",IFERROR(INDEX(土地清冊_匯入!$S$6:$S$1005,MATCH($A202,土地清冊_匯入!$A$6:$A$1005,0)),""))</f>
        <v/>
      </c>
      <c r="H202" s="12">
        <f>IF($A202="","",IFERROR(INDEX(土地清冊_匯入!$T$6:$T$1005,MATCH($A202,土地清冊_匯入!$A$6:$A$1005,0)),""))</f>
        <v/>
      </c>
      <c r="I202" s="12">
        <f>IF($A202="","",IFERROR(INDEX(土地清冊_匯入!$V$6:$V$1005,MATCH($A202,土地清冊_匯入!$A$6:$A$1005,0)),""))</f>
        <v/>
      </c>
      <c r="J202" s="14" t="n"/>
      <c r="K202" s="7" t="n"/>
      <c r="L202" s="7" t="n"/>
      <c r="M202" s="7" t="n"/>
      <c r="N202" s="7" t="n"/>
      <c r="O202" s="7" t="n"/>
      <c r="P202" s="7" t="n"/>
      <c r="Q202" s="14" t="n"/>
      <c r="R202" s="7" t="n"/>
      <c r="S202" s="7" t="n"/>
      <c r="T202" s="7" t="n"/>
      <c r="U202" s="12">
        <f>IF(A202="","",IF(OR(J202="",L202=""),"建議補聯絡紀錄","") )</f>
        <v/>
      </c>
    </row>
    <row r="203" ht="24" customHeight="1">
      <c r="A203" s="7" t="n"/>
      <c r="B203" s="7" t="n"/>
      <c r="C203" s="12">
        <f>IF($A203="","",IFERROR(INDEX(土地清冊_匯入!$B$6:$B$1005,MATCH($A203,土地清冊_匯入!$A$6:$A$1005,0)),"查無資料"))</f>
        <v/>
      </c>
      <c r="D203" s="12">
        <f>IF($A203="","",IFERROR(INDEX(土地清冊_匯入!$P$6:$P$1005,MATCH($A203,土地清冊_匯入!$A$6:$A$1005,0)),""))</f>
        <v/>
      </c>
      <c r="E203" s="12">
        <f>IF($A203="","",IFERROR(INDEX(土地清冊_匯入!$Q$6:$Q$1005,MATCH($A203,土地清冊_匯入!$A$6:$A$1005,0)),""))</f>
        <v/>
      </c>
      <c r="F203" s="12">
        <f>IF($A203="","",IFERROR(INDEX(土地清冊_匯入!$R$6:$R$1005,MATCH($A203,土地清冊_匯入!$A$6:$A$1005,0)),""))</f>
        <v/>
      </c>
      <c r="G203" s="12">
        <f>IF($A203="","",IFERROR(INDEX(土地清冊_匯入!$S$6:$S$1005,MATCH($A203,土地清冊_匯入!$A$6:$A$1005,0)),""))</f>
        <v/>
      </c>
      <c r="H203" s="12">
        <f>IF($A203="","",IFERROR(INDEX(土地清冊_匯入!$T$6:$T$1005,MATCH($A203,土地清冊_匯入!$A$6:$A$1005,0)),""))</f>
        <v/>
      </c>
      <c r="I203" s="12">
        <f>IF($A203="","",IFERROR(INDEX(土地清冊_匯入!$V$6:$V$1005,MATCH($A203,土地清冊_匯入!$A$6:$A$1005,0)),""))</f>
        <v/>
      </c>
      <c r="J203" s="14" t="n"/>
      <c r="K203" s="7" t="n"/>
      <c r="L203" s="7" t="n"/>
      <c r="M203" s="7" t="n"/>
      <c r="N203" s="7" t="n"/>
      <c r="O203" s="7" t="n"/>
      <c r="P203" s="7" t="n"/>
      <c r="Q203" s="14" t="n"/>
      <c r="R203" s="7" t="n"/>
      <c r="S203" s="7" t="n"/>
      <c r="T203" s="7" t="n"/>
      <c r="U203" s="12">
        <f>IF(A203="","",IF(OR(J203="",L203=""),"建議補聯絡紀錄","") )</f>
        <v/>
      </c>
    </row>
    <row r="204" ht="24" customHeight="1">
      <c r="A204" s="7" t="n"/>
      <c r="B204" s="7" t="n"/>
      <c r="C204" s="12">
        <f>IF($A204="","",IFERROR(INDEX(土地清冊_匯入!$B$6:$B$1005,MATCH($A204,土地清冊_匯入!$A$6:$A$1005,0)),"查無資料"))</f>
        <v/>
      </c>
      <c r="D204" s="12">
        <f>IF($A204="","",IFERROR(INDEX(土地清冊_匯入!$P$6:$P$1005,MATCH($A204,土地清冊_匯入!$A$6:$A$1005,0)),""))</f>
        <v/>
      </c>
      <c r="E204" s="12">
        <f>IF($A204="","",IFERROR(INDEX(土地清冊_匯入!$Q$6:$Q$1005,MATCH($A204,土地清冊_匯入!$A$6:$A$1005,0)),""))</f>
        <v/>
      </c>
      <c r="F204" s="12">
        <f>IF($A204="","",IFERROR(INDEX(土地清冊_匯入!$R$6:$R$1005,MATCH($A204,土地清冊_匯入!$A$6:$A$1005,0)),""))</f>
        <v/>
      </c>
      <c r="G204" s="12">
        <f>IF($A204="","",IFERROR(INDEX(土地清冊_匯入!$S$6:$S$1005,MATCH($A204,土地清冊_匯入!$A$6:$A$1005,0)),""))</f>
        <v/>
      </c>
      <c r="H204" s="12">
        <f>IF($A204="","",IFERROR(INDEX(土地清冊_匯入!$T$6:$T$1005,MATCH($A204,土地清冊_匯入!$A$6:$A$1005,0)),""))</f>
        <v/>
      </c>
      <c r="I204" s="12">
        <f>IF($A204="","",IFERROR(INDEX(土地清冊_匯入!$V$6:$V$1005,MATCH($A204,土地清冊_匯入!$A$6:$A$1005,0)),""))</f>
        <v/>
      </c>
      <c r="J204" s="14" t="n"/>
      <c r="K204" s="7" t="n"/>
      <c r="L204" s="7" t="n"/>
      <c r="M204" s="7" t="n"/>
      <c r="N204" s="7" t="n"/>
      <c r="O204" s="7" t="n"/>
      <c r="P204" s="7" t="n"/>
      <c r="Q204" s="14" t="n"/>
      <c r="R204" s="7" t="n"/>
      <c r="S204" s="7" t="n"/>
      <c r="T204" s="7" t="n"/>
      <c r="U204" s="12">
        <f>IF(A204="","",IF(OR(J204="",L204=""),"建議補聯絡紀錄","") )</f>
        <v/>
      </c>
    </row>
    <row r="205" ht="24" customHeight="1">
      <c r="A205" s="7" t="n"/>
      <c r="B205" s="7" t="n"/>
      <c r="C205" s="12">
        <f>IF($A205="","",IFERROR(INDEX(土地清冊_匯入!$B$6:$B$1005,MATCH($A205,土地清冊_匯入!$A$6:$A$1005,0)),"查無資料"))</f>
        <v/>
      </c>
      <c r="D205" s="12">
        <f>IF($A205="","",IFERROR(INDEX(土地清冊_匯入!$P$6:$P$1005,MATCH($A205,土地清冊_匯入!$A$6:$A$1005,0)),""))</f>
        <v/>
      </c>
      <c r="E205" s="12">
        <f>IF($A205="","",IFERROR(INDEX(土地清冊_匯入!$Q$6:$Q$1005,MATCH($A205,土地清冊_匯入!$A$6:$A$1005,0)),""))</f>
        <v/>
      </c>
      <c r="F205" s="12">
        <f>IF($A205="","",IFERROR(INDEX(土地清冊_匯入!$R$6:$R$1005,MATCH($A205,土地清冊_匯入!$A$6:$A$1005,0)),""))</f>
        <v/>
      </c>
      <c r="G205" s="12">
        <f>IF($A205="","",IFERROR(INDEX(土地清冊_匯入!$S$6:$S$1005,MATCH($A205,土地清冊_匯入!$A$6:$A$1005,0)),""))</f>
        <v/>
      </c>
      <c r="H205" s="12">
        <f>IF($A205="","",IFERROR(INDEX(土地清冊_匯入!$T$6:$T$1005,MATCH($A205,土地清冊_匯入!$A$6:$A$1005,0)),""))</f>
        <v/>
      </c>
      <c r="I205" s="12">
        <f>IF($A205="","",IFERROR(INDEX(土地清冊_匯入!$V$6:$V$1005,MATCH($A205,土地清冊_匯入!$A$6:$A$1005,0)),""))</f>
        <v/>
      </c>
      <c r="J205" s="14" t="n"/>
      <c r="K205" s="7" t="n"/>
      <c r="L205" s="7" t="n"/>
      <c r="M205" s="7" t="n"/>
      <c r="N205" s="7" t="n"/>
      <c r="O205" s="7" t="n"/>
      <c r="P205" s="7" t="n"/>
      <c r="Q205" s="14" t="n"/>
      <c r="R205" s="7" t="n"/>
      <c r="S205" s="7" t="n"/>
      <c r="T205" s="7" t="n"/>
      <c r="U205" s="12">
        <f>IF(A205="","",IF(OR(J205="",L205=""),"建議補聯絡紀錄","") )</f>
        <v/>
      </c>
    </row>
    <row r="206" ht="24" customHeight="1">
      <c r="A206" s="7" t="n"/>
      <c r="B206" s="7" t="n"/>
      <c r="C206" s="12">
        <f>IF($A206="","",IFERROR(INDEX(土地清冊_匯入!$B$6:$B$1005,MATCH($A206,土地清冊_匯入!$A$6:$A$1005,0)),"查無資料"))</f>
        <v/>
      </c>
      <c r="D206" s="12">
        <f>IF($A206="","",IFERROR(INDEX(土地清冊_匯入!$P$6:$P$1005,MATCH($A206,土地清冊_匯入!$A$6:$A$1005,0)),""))</f>
        <v/>
      </c>
      <c r="E206" s="12">
        <f>IF($A206="","",IFERROR(INDEX(土地清冊_匯入!$Q$6:$Q$1005,MATCH($A206,土地清冊_匯入!$A$6:$A$1005,0)),""))</f>
        <v/>
      </c>
      <c r="F206" s="12">
        <f>IF($A206="","",IFERROR(INDEX(土地清冊_匯入!$R$6:$R$1005,MATCH($A206,土地清冊_匯入!$A$6:$A$1005,0)),""))</f>
        <v/>
      </c>
      <c r="G206" s="12">
        <f>IF($A206="","",IFERROR(INDEX(土地清冊_匯入!$S$6:$S$1005,MATCH($A206,土地清冊_匯入!$A$6:$A$1005,0)),""))</f>
        <v/>
      </c>
      <c r="H206" s="12">
        <f>IF($A206="","",IFERROR(INDEX(土地清冊_匯入!$T$6:$T$1005,MATCH($A206,土地清冊_匯入!$A$6:$A$1005,0)),""))</f>
        <v/>
      </c>
      <c r="I206" s="12">
        <f>IF($A206="","",IFERROR(INDEX(土地清冊_匯入!$V$6:$V$1005,MATCH($A206,土地清冊_匯入!$A$6:$A$1005,0)),""))</f>
        <v/>
      </c>
      <c r="J206" s="14" t="n"/>
      <c r="K206" s="7" t="n"/>
      <c r="L206" s="7" t="n"/>
      <c r="M206" s="7" t="n"/>
      <c r="N206" s="7" t="n"/>
      <c r="O206" s="7" t="n"/>
      <c r="P206" s="7" t="n"/>
      <c r="Q206" s="14" t="n"/>
      <c r="R206" s="7" t="n"/>
      <c r="S206" s="7" t="n"/>
      <c r="T206" s="7" t="n"/>
      <c r="U206" s="12">
        <f>IF(A206="","",IF(OR(J206="",L206=""),"建議補聯絡紀錄","") )</f>
        <v/>
      </c>
    </row>
    <row r="207" ht="24" customHeight="1">
      <c r="A207" s="7" t="n"/>
      <c r="B207" s="7" t="n"/>
      <c r="C207" s="12">
        <f>IF($A207="","",IFERROR(INDEX(土地清冊_匯入!$B$6:$B$1005,MATCH($A207,土地清冊_匯入!$A$6:$A$1005,0)),"查無資料"))</f>
        <v/>
      </c>
      <c r="D207" s="12">
        <f>IF($A207="","",IFERROR(INDEX(土地清冊_匯入!$P$6:$P$1005,MATCH($A207,土地清冊_匯入!$A$6:$A$1005,0)),""))</f>
        <v/>
      </c>
      <c r="E207" s="12">
        <f>IF($A207="","",IFERROR(INDEX(土地清冊_匯入!$Q$6:$Q$1005,MATCH($A207,土地清冊_匯入!$A$6:$A$1005,0)),""))</f>
        <v/>
      </c>
      <c r="F207" s="12">
        <f>IF($A207="","",IFERROR(INDEX(土地清冊_匯入!$R$6:$R$1005,MATCH($A207,土地清冊_匯入!$A$6:$A$1005,0)),""))</f>
        <v/>
      </c>
      <c r="G207" s="12">
        <f>IF($A207="","",IFERROR(INDEX(土地清冊_匯入!$S$6:$S$1005,MATCH($A207,土地清冊_匯入!$A$6:$A$1005,0)),""))</f>
        <v/>
      </c>
      <c r="H207" s="12">
        <f>IF($A207="","",IFERROR(INDEX(土地清冊_匯入!$T$6:$T$1005,MATCH($A207,土地清冊_匯入!$A$6:$A$1005,0)),""))</f>
        <v/>
      </c>
      <c r="I207" s="12">
        <f>IF($A207="","",IFERROR(INDEX(土地清冊_匯入!$V$6:$V$1005,MATCH($A207,土地清冊_匯入!$A$6:$A$1005,0)),""))</f>
        <v/>
      </c>
      <c r="J207" s="14" t="n"/>
      <c r="K207" s="7" t="n"/>
      <c r="L207" s="7" t="n"/>
      <c r="M207" s="7" t="n"/>
      <c r="N207" s="7" t="n"/>
      <c r="O207" s="7" t="n"/>
      <c r="P207" s="7" t="n"/>
      <c r="Q207" s="14" t="n"/>
      <c r="R207" s="7" t="n"/>
      <c r="S207" s="7" t="n"/>
      <c r="T207" s="7" t="n"/>
      <c r="U207" s="12">
        <f>IF(A207="","",IF(OR(J207="",L207=""),"建議補聯絡紀錄","") )</f>
        <v/>
      </c>
    </row>
    <row r="208" ht="24" customHeight="1">
      <c r="A208" s="7" t="n"/>
      <c r="B208" s="7" t="n"/>
      <c r="C208" s="12">
        <f>IF($A208="","",IFERROR(INDEX(土地清冊_匯入!$B$6:$B$1005,MATCH($A208,土地清冊_匯入!$A$6:$A$1005,0)),"查無資料"))</f>
        <v/>
      </c>
      <c r="D208" s="12">
        <f>IF($A208="","",IFERROR(INDEX(土地清冊_匯入!$P$6:$P$1005,MATCH($A208,土地清冊_匯入!$A$6:$A$1005,0)),""))</f>
        <v/>
      </c>
      <c r="E208" s="12">
        <f>IF($A208="","",IFERROR(INDEX(土地清冊_匯入!$Q$6:$Q$1005,MATCH($A208,土地清冊_匯入!$A$6:$A$1005,0)),""))</f>
        <v/>
      </c>
      <c r="F208" s="12">
        <f>IF($A208="","",IFERROR(INDEX(土地清冊_匯入!$R$6:$R$1005,MATCH($A208,土地清冊_匯入!$A$6:$A$1005,0)),""))</f>
        <v/>
      </c>
      <c r="G208" s="12">
        <f>IF($A208="","",IFERROR(INDEX(土地清冊_匯入!$S$6:$S$1005,MATCH($A208,土地清冊_匯入!$A$6:$A$1005,0)),""))</f>
        <v/>
      </c>
      <c r="H208" s="12">
        <f>IF($A208="","",IFERROR(INDEX(土地清冊_匯入!$T$6:$T$1005,MATCH($A208,土地清冊_匯入!$A$6:$A$1005,0)),""))</f>
        <v/>
      </c>
      <c r="I208" s="12">
        <f>IF($A208="","",IFERROR(INDEX(土地清冊_匯入!$V$6:$V$1005,MATCH($A208,土地清冊_匯入!$A$6:$A$1005,0)),""))</f>
        <v/>
      </c>
      <c r="J208" s="14" t="n"/>
      <c r="K208" s="7" t="n"/>
      <c r="L208" s="7" t="n"/>
      <c r="M208" s="7" t="n"/>
      <c r="N208" s="7" t="n"/>
      <c r="O208" s="7" t="n"/>
      <c r="P208" s="7" t="n"/>
      <c r="Q208" s="14" t="n"/>
      <c r="R208" s="7" t="n"/>
      <c r="S208" s="7" t="n"/>
      <c r="T208" s="7" t="n"/>
      <c r="U208" s="12">
        <f>IF(A208="","",IF(OR(J208="",L208=""),"建議補聯絡紀錄","") )</f>
        <v/>
      </c>
    </row>
    <row r="209" ht="24" customHeight="1">
      <c r="A209" s="7" t="n"/>
      <c r="B209" s="7" t="n"/>
      <c r="C209" s="12">
        <f>IF($A209="","",IFERROR(INDEX(土地清冊_匯入!$B$6:$B$1005,MATCH($A209,土地清冊_匯入!$A$6:$A$1005,0)),"查無資料"))</f>
        <v/>
      </c>
      <c r="D209" s="12">
        <f>IF($A209="","",IFERROR(INDEX(土地清冊_匯入!$P$6:$P$1005,MATCH($A209,土地清冊_匯入!$A$6:$A$1005,0)),""))</f>
        <v/>
      </c>
      <c r="E209" s="12">
        <f>IF($A209="","",IFERROR(INDEX(土地清冊_匯入!$Q$6:$Q$1005,MATCH($A209,土地清冊_匯入!$A$6:$A$1005,0)),""))</f>
        <v/>
      </c>
      <c r="F209" s="12">
        <f>IF($A209="","",IFERROR(INDEX(土地清冊_匯入!$R$6:$R$1005,MATCH($A209,土地清冊_匯入!$A$6:$A$1005,0)),""))</f>
        <v/>
      </c>
      <c r="G209" s="12">
        <f>IF($A209="","",IFERROR(INDEX(土地清冊_匯入!$S$6:$S$1005,MATCH($A209,土地清冊_匯入!$A$6:$A$1005,0)),""))</f>
        <v/>
      </c>
      <c r="H209" s="12">
        <f>IF($A209="","",IFERROR(INDEX(土地清冊_匯入!$T$6:$T$1005,MATCH($A209,土地清冊_匯入!$A$6:$A$1005,0)),""))</f>
        <v/>
      </c>
      <c r="I209" s="12">
        <f>IF($A209="","",IFERROR(INDEX(土地清冊_匯入!$V$6:$V$1005,MATCH($A209,土地清冊_匯入!$A$6:$A$1005,0)),""))</f>
        <v/>
      </c>
      <c r="J209" s="14" t="n"/>
      <c r="K209" s="7" t="n"/>
      <c r="L209" s="7" t="n"/>
      <c r="M209" s="7" t="n"/>
      <c r="N209" s="7" t="n"/>
      <c r="O209" s="7" t="n"/>
      <c r="P209" s="7" t="n"/>
      <c r="Q209" s="14" t="n"/>
      <c r="R209" s="7" t="n"/>
      <c r="S209" s="7" t="n"/>
      <c r="T209" s="7" t="n"/>
      <c r="U209" s="12">
        <f>IF(A209="","",IF(OR(J209="",L209=""),"建議補聯絡紀錄","") )</f>
        <v/>
      </c>
    </row>
    <row r="210" ht="24" customHeight="1">
      <c r="A210" s="7" t="n"/>
      <c r="B210" s="7" t="n"/>
      <c r="C210" s="12">
        <f>IF($A210="","",IFERROR(INDEX(土地清冊_匯入!$B$6:$B$1005,MATCH($A210,土地清冊_匯入!$A$6:$A$1005,0)),"查無資料"))</f>
        <v/>
      </c>
      <c r="D210" s="12">
        <f>IF($A210="","",IFERROR(INDEX(土地清冊_匯入!$P$6:$P$1005,MATCH($A210,土地清冊_匯入!$A$6:$A$1005,0)),""))</f>
        <v/>
      </c>
      <c r="E210" s="12">
        <f>IF($A210="","",IFERROR(INDEX(土地清冊_匯入!$Q$6:$Q$1005,MATCH($A210,土地清冊_匯入!$A$6:$A$1005,0)),""))</f>
        <v/>
      </c>
      <c r="F210" s="12">
        <f>IF($A210="","",IFERROR(INDEX(土地清冊_匯入!$R$6:$R$1005,MATCH($A210,土地清冊_匯入!$A$6:$A$1005,0)),""))</f>
        <v/>
      </c>
      <c r="G210" s="12">
        <f>IF($A210="","",IFERROR(INDEX(土地清冊_匯入!$S$6:$S$1005,MATCH($A210,土地清冊_匯入!$A$6:$A$1005,0)),""))</f>
        <v/>
      </c>
      <c r="H210" s="12">
        <f>IF($A210="","",IFERROR(INDEX(土地清冊_匯入!$T$6:$T$1005,MATCH($A210,土地清冊_匯入!$A$6:$A$1005,0)),""))</f>
        <v/>
      </c>
      <c r="I210" s="12">
        <f>IF($A210="","",IFERROR(INDEX(土地清冊_匯入!$V$6:$V$1005,MATCH($A210,土地清冊_匯入!$A$6:$A$1005,0)),""))</f>
        <v/>
      </c>
      <c r="J210" s="14" t="n"/>
      <c r="K210" s="7" t="n"/>
      <c r="L210" s="7" t="n"/>
      <c r="M210" s="7" t="n"/>
      <c r="N210" s="7" t="n"/>
      <c r="O210" s="7" t="n"/>
      <c r="P210" s="7" t="n"/>
      <c r="Q210" s="14" t="n"/>
      <c r="R210" s="7" t="n"/>
      <c r="S210" s="7" t="n"/>
      <c r="T210" s="7" t="n"/>
      <c r="U210" s="12">
        <f>IF(A210="","",IF(OR(J210="",L210=""),"建議補聯絡紀錄","") )</f>
        <v/>
      </c>
    </row>
    <row r="211" ht="24" customHeight="1">
      <c r="A211" s="7" t="n"/>
      <c r="B211" s="7" t="n"/>
      <c r="C211" s="12">
        <f>IF($A211="","",IFERROR(INDEX(土地清冊_匯入!$B$6:$B$1005,MATCH($A211,土地清冊_匯入!$A$6:$A$1005,0)),"查無資料"))</f>
        <v/>
      </c>
      <c r="D211" s="12">
        <f>IF($A211="","",IFERROR(INDEX(土地清冊_匯入!$P$6:$P$1005,MATCH($A211,土地清冊_匯入!$A$6:$A$1005,0)),""))</f>
        <v/>
      </c>
      <c r="E211" s="12">
        <f>IF($A211="","",IFERROR(INDEX(土地清冊_匯入!$Q$6:$Q$1005,MATCH($A211,土地清冊_匯入!$A$6:$A$1005,0)),""))</f>
        <v/>
      </c>
      <c r="F211" s="12">
        <f>IF($A211="","",IFERROR(INDEX(土地清冊_匯入!$R$6:$R$1005,MATCH($A211,土地清冊_匯入!$A$6:$A$1005,0)),""))</f>
        <v/>
      </c>
      <c r="G211" s="12">
        <f>IF($A211="","",IFERROR(INDEX(土地清冊_匯入!$S$6:$S$1005,MATCH($A211,土地清冊_匯入!$A$6:$A$1005,0)),""))</f>
        <v/>
      </c>
      <c r="H211" s="12">
        <f>IF($A211="","",IFERROR(INDEX(土地清冊_匯入!$T$6:$T$1005,MATCH($A211,土地清冊_匯入!$A$6:$A$1005,0)),""))</f>
        <v/>
      </c>
      <c r="I211" s="12">
        <f>IF($A211="","",IFERROR(INDEX(土地清冊_匯入!$V$6:$V$1005,MATCH($A211,土地清冊_匯入!$A$6:$A$1005,0)),""))</f>
        <v/>
      </c>
      <c r="J211" s="14" t="n"/>
      <c r="K211" s="7" t="n"/>
      <c r="L211" s="7" t="n"/>
      <c r="M211" s="7" t="n"/>
      <c r="N211" s="7" t="n"/>
      <c r="O211" s="7" t="n"/>
      <c r="P211" s="7" t="n"/>
      <c r="Q211" s="14" t="n"/>
      <c r="R211" s="7" t="n"/>
      <c r="S211" s="7" t="n"/>
      <c r="T211" s="7" t="n"/>
      <c r="U211" s="12">
        <f>IF(A211="","",IF(OR(J211="",L211=""),"建議補聯絡紀錄","") )</f>
        <v/>
      </c>
    </row>
    <row r="212" ht="24" customHeight="1">
      <c r="A212" s="7" t="n"/>
      <c r="B212" s="7" t="n"/>
      <c r="C212" s="12">
        <f>IF($A212="","",IFERROR(INDEX(土地清冊_匯入!$B$6:$B$1005,MATCH($A212,土地清冊_匯入!$A$6:$A$1005,0)),"查無資料"))</f>
        <v/>
      </c>
      <c r="D212" s="12">
        <f>IF($A212="","",IFERROR(INDEX(土地清冊_匯入!$P$6:$P$1005,MATCH($A212,土地清冊_匯入!$A$6:$A$1005,0)),""))</f>
        <v/>
      </c>
      <c r="E212" s="12">
        <f>IF($A212="","",IFERROR(INDEX(土地清冊_匯入!$Q$6:$Q$1005,MATCH($A212,土地清冊_匯入!$A$6:$A$1005,0)),""))</f>
        <v/>
      </c>
      <c r="F212" s="12">
        <f>IF($A212="","",IFERROR(INDEX(土地清冊_匯入!$R$6:$R$1005,MATCH($A212,土地清冊_匯入!$A$6:$A$1005,0)),""))</f>
        <v/>
      </c>
      <c r="G212" s="12">
        <f>IF($A212="","",IFERROR(INDEX(土地清冊_匯入!$S$6:$S$1005,MATCH($A212,土地清冊_匯入!$A$6:$A$1005,0)),""))</f>
        <v/>
      </c>
      <c r="H212" s="12">
        <f>IF($A212="","",IFERROR(INDEX(土地清冊_匯入!$T$6:$T$1005,MATCH($A212,土地清冊_匯入!$A$6:$A$1005,0)),""))</f>
        <v/>
      </c>
      <c r="I212" s="12">
        <f>IF($A212="","",IFERROR(INDEX(土地清冊_匯入!$V$6:$V$1005,MATCH($A212,土地清冊_匯入!$A$6:$A$1005,0)),""))</f>
        <v/>
      </c>
      <c r="J212" s="14" t="n"/>
      <c r="K212" s="7" t="n"/>
      <c r="L212" s="7" t="n"/>
      <c r="M212" s="7" t="n"/>
      <c r="N212" s="7" t="n"/>
      <c r="O212" s="7" t="n"/>
      <c r="P212" s="7" t="n"/>
      <c r="Q212" s="14" t="n"/>
      <c r="R212" s="7" t="n"/>
      <c r="S212" s="7" t="n"/>
      <c r="T212" s="7" t="n"/>
      <c r="U212" s="12">
        <f>IF(A212="","",IF(OR(J212="",L212=""),"建議補聯絡紀錄","") )</f>
        <v/>
      </c>
    </row>
    <row r="213" ht="24" customHeight="1">
      <c r="A213" s="7" t="n"/>
      <c r="B213" s="7" t="n"/>
      <c r="C213" s="12">
        <f>IF($A213="","",IFERROR(INDEX(土地清冊_匯入!$B$6:$B$1005,MATCH($A213,土地清冊_匯入!$A$6:$A$1005,0)),"查無資料"))</f>
        <v/>
      </c>
      <c r="D213" s="12">
        <f>IF($A213="","",IFERROR(INDEX(土地清冊_匯入!$P$6:$P$1005,MATCH($A213,土地清冊_匯入!$A$6:$A$1005,0)),""))</f>
        <v/>
      </c>
      <c r="E213" s="12">
        <f>IF($A213="","",IFERROR(INDEX(土地清冊_匯入!$Q$6:$Q$1005,MATCH($A213,土地清冊_匯入!$A$6:$A$1005,0)),""))</f>
        <v/>
      </c>
      <c r="F213" s="12">
        <f>IF($A213="","",IFERROR(INDEX(土地清冊_匯入!$R$6:$R$1005,MATCH($A213,土地清冊_匯入!$A$6:$A$1005,0)),""))</f>
        <v/>
      </c>
      <c r="G213" s="12">
        <f>IF($A213="","",IFERROR(INDEX(土地清冊_匯入!$S$6:$S$1005,MATCH($A213,土地清冊_匯入!$A$6:$A$1005,0)),""))</f>
        <v/>
      </c>
      <c r="H213" s="12">
        <f>IF($A213="","",IFERROR(INDEX(土地清冊_匯入!$T$6:$T$1005,MATCH($A213,土地清冊_匯入!$A$6:$A$1005,0)),""))</f>
        <v/>
      </c>
      <c r="I213" s="12">
        <f>IF($A213="","",IFERROR(INDEX(土地清冊_匯入!$V$6:$V$1005,MATCH($A213,土地清冊_匯入!$A$6:$A$1005,0)),""))</f>
        <v/>
      </c>
      <c r="J213" s="14" t="n"/>
      <c r="K213" s="7" t="n"/>
      <c r="L213" s="7" t="n"/>
      <c r="M213" s="7" t="n"/>
      <c r="N213" s="7" t="n"/>
      <c r="O213" s="7" t="n"/>
      <c r="P213" s="7" t="n"/>
      <c r="Q213" s="14" t="n"/>
      <c r="R213" s="7" t="n"/>
      <c r="S213" s="7" t="n"/>
      <c r="T213" s="7" t="n"/>
      <c r="U213" s="12">
        <f>IF(A213="","",IF(OR(J213="",L213=""),"建議補聯絡紀錄","") )</f>
        <v/>
      </c>
    </row>
    <row r="214" ht="24" customHeight="1">
      <c r="A214" s="7" t="n"/>
      <c r="B214" s="7" t="n"/>
      <c r="C214" s="12">
        <f>IF($A214="","",IFERROR(INDEX(土地清冊_匯入!$B$6:$B$1005,MATCH($A214,土地清冊_匯入!$A$6:$A$1005,0)),"查無資料"))</f>
        <v/>
      </c>
      <c r="D214" s="12">
        <f>IF($A214="","",IFERROR(INDEX(土地清冊_匯入!$P$6:$P$1005,MATCH($A214,土地清冊_匯入!$A$6:$A$1005,0)),""))</f>
        <v/>
      </c>
      <c r="E214" s="12">
        <f>IF($A214="","",IFERROR(INDEX(土地清冊_匯入!$Q$6:$Q$1005,MATCH($A214,土地清冊_匯入!$A$6:$A$1005,0)),""))</f>
        <v/>
      </c>
      <c r="F214" s="12">
        <f>IF($A214="","",IFERROR(INDEX(土地清冊_匯入!$R$6:$R$1005,MATCH($A214,土地清冊_匯入!$A$6:$A$1005,0)),""))</f>
        <v/>
      </c>
      <c r="G214" s="12">
        <f>IF($A214="","",IFERROR(INDEX(土地清冊_匯入!$S$6:$S$1005,MATCH($A214,土地清冊_匯入!$A$6:$A$1005,0)),""))</f>
        <v/>
      </c>
      <c r="H214" s="12">
        <f>IF($A214="","",IFERROR(INDEX(土地清冊_匯入!$T$6:$T$1005,MATCH($A214,土地清冊_匯入!$A$6:$A$1005,0)),""))</f>
        <v/>
      </c>
      <c r="I214" s="12">
        <f>IF($A214="","",IFERROR(INDEX(土地清冊_匯入!$V$6:$V$1005,MATCH($A214,土地清冊_匯入!$A$6:$A$1005,0)),""))</f>
        <v/>
      </c>
      <c r="J214" s="14" t="n"/>
      <c r="K214" s="7" t="n"/>
      <c r="L214" s="7" t="n"/>
      <c r="M214" s="7" t="n"/>
      <c r="N214" s="7" t="n"/>
      <c r="O214" s="7" t="n"/>
      <c r="P214" s="7" t="n"/>
      <c r="Q214" s="14" t="n"/>
      <c r="R214" s="7" t="n"/>
      <c r="S214" s="7" t="n"/>
      <c r="T214" s="7" t="n"/>
      <c r="U214" s="12">
        <f>IF(A214="","",IF(OR(J214="",L214=""),"建議補聯絡紀錄","") )</f>
        <v/>
      </c>
    </row>
    <row r="215" ht="24" customHeight="1">
      <c r="A215" s="7" t="n"/>
      <c r="B215" s="7" t="n"/>
      <c r="C215" s="12">
        <f>IF($A215="","",IFERROR(INDEX(土地清冊_匯入!$B$6:$B$1005,MATCH($A215,土地清冊_匯入!$A$6:$A$1005,0)),"查無資料"))</f>
        <v/>
      </c>
      <c r="D215" s="12">
        <f>IF($A215="","",IFERROR(INDEX(土地清冊_匯入!$P$6:$P$1005,MATCH($A215,土地清冊_匯入!$A$6:$A$1005,0)),""))</f>
        <v/>
      </c>
      <c r="E215" s="12">
        <f>IF($A215="","",IFERROR(INDEX(土地清冊_匯入!$Q$6:$Q$1005,MATCH($A215,土地清冊_匯入!$A$6:$A$1005,0)),""))</f>
        <v/>
      </c>
      <c r="F215" s="12">
        <f>IF($A215="","",IFERROR(INDEX(土地清冊_匯入!$R$6:$R$1005,MATCH($A215,土地清冊_匯入!$A$6:$A$1005,0)),""))</f>
        <v/>
      </c>
      <c r="G215" s="12">
        <f>IF($A215="","",IFERROR(INDEX(土地清冊_匯入!$S$6:$S$1005,MATCH($A215,土地清冊_匯入!$A$6:$A$1005,0)),""))</f>
        <v/>
      </c>
      <c r="H215" s="12">
        <f>IF($A215="","",IFERROR(INDEX(土地清冊_匯入!$T$6:$T$1005,MATCH($A215,土地清冊_匯入!$A$6:$A$1005,0)),""))</f>
        <v/>
      </c>
      <c r="I215" s="12">
        <f>IF($A215="","",IFERROR(INDEX(土地清冊_匯入!$V$6:$V$1005,MATCH($A215,土地清冊_匯入!$A$6:$A$1005,0)),""))</f>
        <v/>
      </c>
      <c r="J215" s="14" t="n"/>
      <c r="K215" s="7" t="n"/>
      <c r="L215" s="7" t="n"/>
      <c r="M215" s="7" t="n"/>
      <c r="N215" s="7" t="n"/>
      <c r="O215" s="7" t="n"/>
      <c r="P215" s="7" t="n"/>
      <c r="Q215" s="14" t="n"/>
      <c r="R215" s="7" t="n"/>
      <c r="S215" s="7" t="n"/>
      <c r="T215" s="7" t="n"/>
      <c r="U215" s="12">
        <f>IF(A215="","",IF(OR(J215="",L215=""),"建議補聯絡紀錄","") )</f>
        <v/>
      </c>
    </row>
    <row r="216" ht="24" customHeight="1">
      <c r="A216" s="7" t="n"/>
      <c r="B216" s="7" t="n"/>
      <c r="C216" s="12">
        <f>IF($A216="","",IFERROR(INDEX(土地清冊_匯入!$B$6:$B$1005,MATCH($A216,土地清冊_匯入!$A$6:$A$1005,0)),"查無資料"))</f>
        <v/>
      </c>
      <c r="D216" s="12">
        <f>IF($A216="","",IFERROR(INDEX(土地清冊_匯入!$P$6:$P$1005,MATCH($A216,土地清冊_匯入!$A$6:$A$1005,0)),""))</f>
        <v/>
      </c>
      <c r="E216" s="12">
        <f>IF($A216="","",IFERROR(INDEX(土地清冊_匯入!$Q$6:$Q$1005,MATCH($A216,土地清冊_匯入!$A$6:$A$1005,0)),""))</f>
        <v/>
      </c>
      <c r="F216" s="12">
        <f>IF($A216="","",IFERROR(INDEX(土地清冊_匯入!$R$6:$R$1005,MATCH($A216,土地清冊_匯入!$A$6:$A$1005,0)),""))</f>
        <v/>
      </c>
      <c r="G216" s="12">
        <f>IF($A216="","",IFERROR(INDEX(土地清冊_匯入!$S$6:$S$1005,MATCH($A216,土地清冊_匯入!$A$6:$A$1005,0)),""))</f>
        <v/>
      </c>
      <c r="H216" s="12">
        <f>IF($A216="","",IFERROR(INDEX(土地清冊_匯入!$T$6:$T$1005,MATCH($A216,土地清冊_匯入!$A$6:$A$1005,0)),""))</f>
        <v/>
      </c>
      <c r="I216" s="12">
        <f>IF($A216="","",IFERROR(INDEX(土地清冊_匯入!$V$6:$V$1005,MATCH($A216,土地清冊_匯入!$A$6:$A$1005,0)),""))</f>
        <v/>
      </c>
      <c r="J216" s="14" t="n"/>
      <c r="K216" s="7" t="n"/>
      <c r="L216" s="7" t="n"/>
      <c r="M216" s="7" t="n"/>
      <c r="N216" s="7" t="n"/>
      <c r="O216" s="7" t="n"/>
      <c r="P216" s="7" t="n"/>
      <c r="Q216" s="14" t="n"/>
      <c r="R216" s="7" t="n"/>
      <c r="S216" s="7" t="n"/>
      <c r="T216" s="7" t="n"/>
      <c r="U216" s="12">
        <f>IF(A216="","",IF(OR(J216="",L216=""),"建議補聯絡紀錄","") )</f>
        <v/>
      </c>
    </row>
    <row r="217" ht="24" customHeight="1">
      <c r="A217" s="7" t="n"/>
      <c r="B217" s="7" t="n"/>
      <c r="C217" s="12">
        <f>IF($A217="","",IFERROR(INDEX(土地清冊_匯入!$B$6:$B$1005,MATCH($A217,土地清冊_匯入!$A$6:$A$1005,0)),"查無資料"))</f>
        <v/>
      </c>
      <c r="D217" s="12">
        <f>IF($A217="","",IFERROR(INDEX(土地清冊_匯入!$P$6:$P$1005,MATCH($A217,土地清冊_匯入!$A$6:$A$1005,0)),""))</f>
        <v/>
      </c>
      <c r="E217" s="12">
        <f>IF($A217="","",IFERROR(INDEX(土地清冊_匯入!$Q$6:$Q$1005,MATCH($A217,土地清冊_匯入!$A$6:$A$1005,0)),""))</f>
        <v/>
      </c>
      <c r="F217" s="12">
        <f>IF($A217="","",IFERROR(INDEX(土地清冊_匯入!$R$6:$R$1005,MATCH($A217,土地清冊_匯入!$A$6:$A$1005,0)),""))</f>
        <v/>
      </c>
      <c r="G217" s="12">
        <f>IF($A217="","",IFERROR(INDEX(土地清冊_匯入!$S$6:$S$1005,MATCH($A217,土地清冊_匯入!$A$6:$A$1005,0)),""))</f>
        <v/>
      </c>
      <c r="H217" s="12">
        <f>IF($A217="","",IFERROR(INDEX(土地清冊_匯入!$T$6:$T$1005,MATCH($A217,土地清冊_匯入!$A$6:$A$1005,0)),""))</f>
        <v/>
      </c>
      <c r="I217" s="12">
        <f>IF($A217="","",IFERROR(INDEX(土地清冊_匯入!$V$6:$V$1005,MATCH($A217,土地清冊_匯入!$A$6:$A$1005,0)),""))</f>
        <v/>
      </c>
      <c r="J217" s="14" t="n"/>
      <c r="K217" s="7" t="n"/>
      <c r="L217" s="7" t="n"/>
      <c r="M217" s="7" t="n"/>
      <c r="N217" s="7" t="n"/>
      <c r="O217" s="7" t="n"/>
      <c r="P217" s="7" t="n"/>
      <c r="Q217" s="14" t="n"/>
      <c r="R217" s="7" t="n"/>
      <c r="S217" s="7" t="n"/>
      <c r="T217" s="7" t="n"/>
      <c r="U217" s="12">
        <f>IF(A217="","",IF(OR(J217="",L217=""),"建議補聯絡紀錄","") )</f>
        <v/>
      </c>
    </row>
    <row r="218" ht="24" customHeight="1">
      <c r="A218" s="7" t="n"/>
      <c r="B218" s="7" t="n"/>
      <c r="C218" s="12">
        <f>IF($A218="","",IFERROR(INDEX(土地清冊_匯入!$B$6:$B$1005,MATCH($A218,土地清冊_匯入!$A$6:$A$1005,0)),"查無資料"))</f>
        <v/>
      </c>
      <c r="D218" s="12">
        <f>IF($A218="","",IFERROR(INDEX(土地清冊_匯入!$P$6:$P$1005,MATCH($A218,土地清冊_匯入!$A$6:$A$1005,0)),""))</f>
        <v/>
      </c>
      <c r="E218" s="12">
        <f>IF($A218="","",IFERROR(INDEX(土地清冊_匯入!$Q$6:$Q$1005,MATCH($A218,土地清冊_匯入!$A$6:$A$1005,0)),""))</f>
        <v/>
      </c>
      <c r="F218" s="12">
        <f>IF($A218="","",IFERROR(INDEX(土地清冊_匯入!$R$6:$R$1005,MATCH($A218,土地清冊_匯入!$A$6:$A$1005,0)),""))</f>
        <v/>
      </c>
      <c r="G218" s="12">
        <f>IF($A218="","",IFERROR(INDEX(土地清冊_匯入!$S$6:$S$1005,MATCH($A218,土地清冊_匯入!$A$6:$A$1005,0)),""))</f>
        <v/>
      </c>
      <c r="H218" s="12">
        <f>IF($A218="","",IFERROR(INDEX(土地清冊_匯入!$T$6:$T$1005,MATCH($A218,土地清冊_匯入!$A$6:$A$1005,0)),""))</f>
        <v/>
      </c>
      <c r="I218" s="12">
        <f>IF($A218="","",IFERROR(INDEX(土地清冊_匯入!$V$6:$V$1005,MATCH($A218,土地清冊_匯入!$A$6:$A$1005,0)),""))</f>
        <v/>
      </c>
      <c r="J218" s="14" t="n"/>
      <c r="K218" s="7" t="n"/>
      <c r="L218" s="7" t="n"/>
      <c r="M218" s="7" t="n"/>
      <c r="N218" s="7" t="n"/>
      <c r="O218" s="7" t="n"/>
      <c r="P218" s="7" t="n"/>
      <c r="Q218" s="14" t="n"/>
      <c r="R218" s="7" t="n"/>
      <c r="S218" s="7" t="n"/>
      <c r="T218" s="7" t="n"/>
      <c r="U218" s="12">
        <f>IF(A218="","",IF(OR(J218="",L218=""),"建議補聯絡紀錄","") )</f>
        <v/>
      </c>
    </row>
    <row r="219" ht="24" customHeight="1">
      <c r="A219" s="7" t="n"/>
      <c r="B219" s="7" t="n"/>
      <c r="C219" s="12">
        <f>IF($A219="","",IFERROR(INDEX(土地清冊_匯入!$B$6:$B$1005,MATCH($A219,土地清冊_匯入!$A$6:$A$1005,0)),"查無資料"))</f>
        <v/>
      </c>
      <c r="D219" s="12">
        <f>IF($A219="","",IFERROR(INDEX(土地清冊_匯入!$P$6:$P$1005,MATCH($A219,土地清冊_匯入!$A$6:$A$1005,0)),""))</f>
        <v/>
      </c>
      <c r="E219" s="12">
        <f>IF($A219="","",IFERROR(INDEX(土地清冊_匯入!$Q$6:$Q$1005,MATCH($A219,土地清冊_匯入!$A$6:$A$1005,0)),""))</f>
        <v/>
      </c>
      <c r="F219" s="12">
        <f>IF($A219="","",IFERROR(INDEX(土地清冊_匯入!$R$6:$R$1005,MATCH($A219,土地清冊_匯入!$A$6:$A$1005,0)),""))</f>
        <v/>
      </c>
      <c r="G219" s="12">
        <f>IF($A219="","",IFERROR(INDEX(土地清冊_匯入!$S$6:$S$1005,MATCH($A219,土地清冊_匯入!$A$6:$A$1005,0)),""))</f>
        <v/>
      </c>
      <c r="H219" s="12">
        <f>IF($A219="","",IFERROR(INDEX(土地清冊_匯入!$T$6:$T$1005,MATCH($A219,土地清冊_匯入!$A$6:$A$1005,0)),""))</f>
        <v/>
      </c>
      <c r="I219" s="12">
        <f>IF($A219="","",IFERROR(INDEX(土地清冊_匯入!$V$6:$V$1005,MATCH($A219,土地清冊_匯入!$A$6:$A$1005,0)),""))</f>
        <v/>
      </c>
      <c r="J219" s="14" t="n"/>
      <c r="K219" s="7" t="n"/>
      <c r="L219" s="7" t="n"/>
      <c r="M219" s="7" t="n"/>
      <c r="N219" s="7" t="n"/>
      <c r="O219" s="7" t="n"/>
      <c r="P219" s="7" t="n"/>
      <c r="Q219" s="14" t="n"/>
      <c r="R219" s="7" t="n"/>
      <c r="S219" s="7" t="n"/>
      <c r="T219" s="7" t="n"/>
      <c r="U219" s="12">
        <f>IF(A219="","",IF(OR(J219="",L219=""),"建議補聯絡紀錄","") )</f>
        <v/>
      </c>
    </row>
    <row r="220" ht="24" customHeight="1">
      <c r="A220" s="7" t="n"/>
      <c r="B220" s="7" t="n"/>
      <c r="C220" s="12">
        <f>IF($A220="","",IFERROR(INDEX(土地清冊_匯入!$B$6:$B$1005,MATCH($A220,土地清冊_匯入!$A$6:$A$1005,0)),"查無資料"))</f>
        <v/>
      </c>
      <c r="D220" s="12">
        <f>IF($A220="","",IFERROR(INDEX(土地清冊_匯入!$P$6:$P$1005,MATCH($A220,土地清冊_匯入!$A$6:$A$1005,0)),""))</f>
        <v/>
      </c>
      <c r="E220" s="12">
        <f>IF($A220="","",IFERROR(INDEX(土地清冊_匯入!$Q$6:$Q$1005,MATCH($A220,土地清冊_匯入!$A$6:$A$1005,0)),""))</f>
        <v/>
      </c>
      <c r="F220" s="12">
        <f>IF($A220="","",IFERROR(INDEX(土地清冊_匯入!$R$6:$R$1005,MATCH($A220,土地清冊_匯入!$A$6:$A$1005,0)),""))</f>
        <v/>
      </c>
      <c r="G220" s="12">
        <f>IF($A220="","",IFERROR(INDEX(土地清冊_匯入!$S$6:$S$1005,MATCH($A220,土地清冊_匯入!$A$6:$A$1005,0)),""))</f>
        <v/>
      </c>
      <c r="H220" s="12">
        <f>IF($A220="","",IFERROR(INDEX(土地清冊_匯入!$T$6:$T$1005,MATCH($A220,土地清冊_匯入!$A$6:$A$1005,0)),""))</f>
        <v/>
      </c>
      <c r="I220" s="12">
        <f>IF($A220="","",IFERROR(INDEX(土地清冊_匯入!$V$6:$V$1005,MATCH($A220,土地清冊_匯入!$A$6:$A$1005,0)),""))</f>
        <v/>
      </c>
      <c r="J220" s="14" t="n"/>
      <c r="K220" s="7" t="n"/>
      <c r="L220" s="7" t="n"/>
      <c r="M220" s="7" t="n"/>
      <c r="N220" s="7" t="n"/>
      <c r="O220" s="7" t="n"/>
      <c r="P220" s="7" t="n"/>
      <c r="Q220" s="14" t="n"/>
      <c r="R220" s="7" t="n"/>
      <c r="S220" s="7" t="n"/>
      <c r="T220" s="7" t="n"/>
      <c r="U220" s="12">
        <f>IF(A220="","",IF(OR(J220="",L220=""),"建議補聯絡紀錄","") )</f>
        <v/>
      </c>
    </row>
    <row r="221" ht="24" customHeight="1">
      <c r="A221" s="7" t="n"/>
      <c r="B221" s="7" t="n"/>
      <c r="C221" s="12">
        <f>IF($A221="","",IFERROR(INDEX(土地清冊_匯入!$B$6:$B$1005,MATCH($A221,土地清冊_匯入!$A$6:$A$1005,0)),"查無資料"))</f>
        <v/>
      </c>
      <c r="D221" s="12">
        <f>IF($A221="","",IFERROR(INDEX(土地清冊_匯入!$P$6:$P$1005,MATCH($A221,土地清冊_匯入!$A$6:$A$1005,0)),""))</f>
        <v/>
      </c>
      <c r="E221" s="12">
        <f>IF($A221="","",IFERROR(INDEX(土地清冊_匯入!$Q$6:$Q$1005,MATCH($A221,土地清冊_匯入!$A$6:$A$1005,0)),""))</f>
        <v/>
      </c>
      <c r="F221" s="12">
        <f>IF($A221="","",IFERROR(INDEX(土地清冊_匯入!$R$6:$R$1005,MATCH($A221,土地清冊_匯入!$A$6:$A$1005,0)),""))</f>
        <v/>
      </c>
      <c r="G221" s="12">
        <f>IF($A221="","",IFERROR(INDEX(土地清冊_匯入!$S$6:$S$1005,MATCH($A221,土地清冊_匯入!$A$6:$A$1005,0)),""))</f>
        <v/>
      </c>
      <c r="H221" s="12">
        <f>IF($A221="","",IFERROR(INDEX(土地清冊_匯入!$T$6:$T$1005,MATCH($A221,土地清冊_匯入!$A$6:$A$1005,0)),""))</f>
        <v/>
      </c>
      <c r="I221" s="12">
        <f>IF($A221="","",IFERROR(INDEX(土地清冊_匯入!$V$6:$V$1005,MATCH($A221,土地清冊_匯入!$A$6:$A$1005,0)),""))</f>
        <v/>
      </c>
      <c r="J221" s="14" t="n"/>
      <c r="K221" s="7" t="n"/>
      <c r="L221" s="7" t="n"/>
      <c r="M221" s="7" t="n"/>
      <c r="N221" s="7" t="n"/>
      <c r="O221" s="7" t="n"/>
      <c r="P221" s="7" t="n"/>
      <c r="Q221" s="14" t="n"/>
      <c r="R221" s="7" t="n"/>
      <c r="S221" s="7" t="n"/>
      <c r="T221" s="7" t="n"/>
      <c r="U221" s="12">
        <f>IF(A221="","",IF(OR(J221="",L221=""),"建議補聯絡紀錄","") )</f>
        <v/>
      </c>
    </row>
    <row r="222" ht="24" customHeight="1">
      <c r="A222" s="7" t="n"/>
      <c r="B222" s="7" t="n"/>
      <c r="C222" s="12">
        <f>IF($A222="","",IFERROR(INDEX(土地清冊_匯入!$B$6:$B$1005,MATCH($A222,土地清冊_匯入!$A$6:$A$1005,0)),"查無資料"))</f>
        <v/>
      </c>
      <c r="D222" s="12">
        <f>IF($A222="","",IFERROR(INDEX(土地清冊_匯入!$P$6:$P$1005,MATCH($A222,土地清冊_匯入!$A$6:$A$1005,0)),""))</f>
        <v/>
      </c>
      <c r="E222" s="12">
        <f>IF($A222="","",IFERROR(INDEX(土地清冊_匯入!$Q$6:$Q$1005,MATCH($A222,土地清冊_匯入!$A$6:$A$1005,0)),""))</f>
        <v/>
      </c>
      <c r="F222" s="12">
        <f>IF($A222="","",IFERROR(INDEX(土地清冊_匯入!$R$6:$R$1005,MATCH($A222,土地清冊_匯入!$A$6:$A$1005,0)),""))</f>
        <v/>
      </c>
      <c r="G222" s="12">
        <f>IF($A222="","",IFERROR(INDEX(土地清冊_匯入!$S$6:$S$1005,MATCH($A222,土地清冊_匯入!$A$6:$A$1005,0)),""))</f>
        <v/>
      </c>
      <c r="H222" s="12">
        <f>IF($A222="","",IFERROR(INDEX(土地清冊_匯入!$T$6:$T$1005,MATCH($A222,土地清冊_匯入!$A$6:$A$1005,0)),""))</f>
        <v/>
      </c>
      <c r="I222" s="12">
        <f>IF($A222="","",IFERROR(INDEX(土地清冊_匯入!$V$6:$V$1005,MATCH($A222,土地清冊_匯入!$A$6:$A$1005,0)),""))</f>
        <v/>
      </c>
      <c r="J222" s="14" t="n"/>
      <c r="K222" s="7" t="n"/>
      <c r="L222" s="7" t="n"/>
      <c r="M222" s="7" t="n"/>
      <c r="N222" s="7" t="n"/>
      <c r="O222" s="7" t="n"/>
      <c r="P222" s="7" t="n"/>
      <c r="Q222" s="14" t="n"/>
      <c r="R222" s="7" t="n"/>
      <c r="S222" s="7" t="n"/>
      <c r="T222" s="7" t="n"/>
      <c r="U222" s="12">
        <f>IF(A222="","",IF(OR(J222="",L222=""),"建議補聯絡紀錄","") )</f>
        <v/>
      </c>
    </row>
    <row r="223" ht="24" customHeight="1">
      <c r="A223" s="7" t="n"/>
      <c r="B223" s="7" t="n"/>
      <c r="C223" s="12">
        <f>IF($A223="","",IFERROR(INDEX(土地清冊_匯入!$B$6:$B$1005,MATCH($A223,土地清冊_匯入!$A$6:$A$1005,0)),"查無資料"))</f>
        <v/>
      </c>
      <c r="D223" s="12">
        <f>IF($A223="","",IFERROR(INDEX(土地清冊_匯入!$P$6:$P$1005,MATCH($A223,土地清冊_匯入!$A$6:$A$1005,0)),""))</f>
        <v/>
      </c>
      <c r="E223" s="12">
        <f>IF($A223="","",IFERROR(INDEX(土地清冊_匯入!$Q$6:$Q$1005,MATCH($A223,土地清冊_匯入!$A$6:$A$1005,0)),""))</f>
        <v/>
      </c>
      <c r="F223" s="12">
        <f>IF($A223="","",IFERROR(INDEX(土地清冊_匯入!$R$6:$R$1005,MATCH($A223,土地清冊_匯入!$A$6:$A$1005,0)),""))</f>
        <v/>
      </c>
      <c r="G223" s="12">
        <f>IF($A223="","",IFERROR(INDEX(土地清冊_匯入!$S$6:$S$1005,MATCH($A223,土地清冊_匯入!$A$6:$A$1005,0)),""))</f>
        <v/>
      </c>
      <c r="H223" s="12">
        <f>IF($A223="","",IFERROR(INDEX(土地清冊_匯入!$T$6:$T$1005,MATCH($A223,土地清冊_匯入!$A$6:$A$1005,0)),""))</f>
        <v/>
      </c>
      <c r="I223" s="12">
        <f>IF($A223="","",IFERROR(INDEX(土地清冊_匯入!$V$6:$V$1005,MATCH($A223,土地清冊_匯入!$A$6:$A$1005,0)),""))</f>
        <v/>
      </c>
      <c r="J223" s="14" t="n"/>
      <c r="K223" s="7" t="n"/>
      <c r="L223" s="7" t="n"/>
      <c r="M223" s="7" t="n"/>
      <c r="N223" s="7" t="n"/>
      <c r="O223" s="7" t="n"/>
      <c r="P223" s="7" t="n"/>
      <c r="Q223" s="14" t="n"/>
      <c r="R223" s="7" t="n"/>
      <c r="S223" s="7" t="n"/>
      <c r="T223" s="7" t="n"/>
      <c r="U223" s="12">
        <f>IF(A223="","",IF(OR(J223="",L223=""),"建議補聯絡紀錄","") )</f>
        <v/>
      </c>
    </row>
    <row r="224" ht="24" customHeight="1">
      <c r="A224" s="7" t="n"/>
      <c r="B224" s="7" t="n"/>
      <c r="C224" s="12">
        <f>IF($A224="","",IFERROR(INDEX(土地清冊_匯入!$B$6:$B$1005,MATCH($A224,土地清冊_匯入!$A$6:$A$1005,0)),"查無資料"))</f>
        <v/>
      </c>
      <c r="D224" s="12">
        <f>IF($A224="","",IFERROR(INDEX(土地清冊_匯入!$P$6:$P$1005,MATCH($A224,土地清冊_匯入!$A$6:$A$1005,0)),""))</f>
        <v/>
      </c>
      <c r="E224" s="12">
        <f>IF($A224="","",IFERROR(INDEX(土地清冊_匯入!$Q$6:$Q$1005,MATCH($A224,土地清冊_匯入!$A$6:$A$1005,0)),""))</f>
        <v/>
      </c>
      <c r="F224" s="12">
        <f>IF($A224="","",IFERROR(INDEX(土地清冊_匯入!$R$6:$R$1005,MATCH($A224,土地清冊_匯入!$A$6:$A$1005,0)),""))</f>
        <v/>
      </c>
      <c r="G224" s="12">
        <f>IF($A224="","",IFERROR(INDEX(土地清冊_匯入!$S$6:$S$1005,MATCH($A224,土地清冊_匯入!$A$6:$A$1005,0)),""))</f>
        <v/>
      </c>
      <c r="H224" s="12">
        <f>IF($A224="","",IFERROR(INDEX(土地清冊_匯入!$T$6:$T$1005,MATCH($A224,土地清冊_匯入!$A$6:$A$1005,0)),""))</f>
        <v/>
      </c>
      <c r="I224" s="12">
        <f>IF($A224="","",IFERROR(INDEX(土地清冊_匯入!$V$6:$V$1005,MATCH($A224,土地清冊_匯入!$A$6:$A$1005,0)),""))</f>
        <v/>
      </c>
      <c r="J224" s="14" t="n"/>
      <c r="K224" s="7" t="n"/>
      <c r="L224" s="7" t="n"/>
      <c r="M224" s="7" t="n"/>
      <c r="N224" s="7" t="n"/>
      <c r="O224" s="7" t="n"/>
      <c r="P224" s="7" t="n"/>
      <c r="Q224" s="14" t="n"/>
      <c r="R224" s="7" t="n"/>
      <c r="S224" s="7" t="n"/>
      <c r="T224" s="7" t="n"/>
      <c r="U224" s="12">
        <f>IF(A224="","",IF(OR(J224="",L224=""),"建議補聯絡紀錄","") )</f>
        <v/>
      </c>
    </row>
    <row r="225" ht="24" customHeight="1">
      <c r="A225" s="7" t="n"/>
      <c r="B225" s="7" t="n"/>
      <c r="C225" s="12">
        <f>IF($A225="","",IFERROR(INDEX(土地清冊_匯入!$B$6:$B$1005,MATCH($A225,土地清冊_匯入!$A$6:$A$1005,0)),"查無資料"))</f>
        <v/>
      </c>
      <c r="D225" s="12">
        <f>IF($A225="","",IFERROR(INDEX(土地清冊_匯入!$P$6:$P$1005,MATCH($A225,土地清冊_匯入!$A$6:$A$1005,0)),""))</f>
        <v/>
      </c>
      <c r="E225" s="12">
        <f>IF($A225="","",IFERROR(INDEX(土地清冊_匯入!$Q$6:$Q$1005,MATCH($A225,土地清冊_匯入!$A$6:$A$1005,0)),""))</f>
        <v/>
      </c>
      <c r="F225" s="12">
        <f>IF($A225="","",IFERROR(INDEX(土地清冊_匯入!$R$6:$R$1005,MATCH($A225,土地清冊_匯入!$A$6:$A$1005,0)),""))</f>
        <v/>
      </c>
      <c r="G225" s="12">
        <f>IF($A225="","",IFERROR(INDEX(土地清冊_匯入!$S$6:$S$1005,MATCH($A225,土地清冊_匯入!$A$6:$A$1005,0)),""))</f>
        <v/>
      </c>
      <c r="H225" s="12">
        <f>IF($A225="","",IFERROR(INDEX(土地清冊_匯入!$T$6:$T$1005,MATCH($A225,土地清冊_匯入!$A$6:$A$1005,0)),""))</f>
        <v/>
      </c>
      <c r="I225" s="12">
        <f>IF($A225="","",IFERROR(INDEX(土地清冊_匯入!$V$6:$V$1005,MATCH($A225,土地清冊_匯入!$A$6:$A$1005,0)),""))</f>
        <v/>
      </c>
      <c r="J225" s="14" t="n"/>
      <c r="K225" s="7" t="n"/>
      <c r="L225" s="7" t="n"/>
      <c r="M225" s="7" t="n"/>
      <c r="N225" s="7" t="n"/>
      <c r="O225" s="7" t="n"/>
      <c r="P225" s="7" t="n"/>
      <c r="Q225" s="14" t="n"/>
      <c r="R225" s="7" t="n"/>
      <c r="S225" s="7" t="n"/>
      <c r="T225" s="7" t="n"/>
      <c r="U225" s="12">
        <f>IF(A225="","",IF(OR(J225="",L225=""),"建議補聯絡紀錄","") )</f>
        <v/>
      </c>
    </row>
    <row r="226" ht="24" customHeight="1">
      <c r="A226" s="7" t="n"/>
      <c r="B226" s="7" t="n"/>
      <c r="C226" s="12">
        <f>IF($A226="","",IFERROR(INDEX(土地清冊_匯入!$B$6:$B$1005,MATCH($A226,土地清冊_匯入!$A$6:$A$1005,0)),"查無資料"))</f>
        <v/>
      </c>
      <c r="D226" s="12">
        <f>IF($A226="","",IFERROR(INDEX(土地清冊_匯入!$P$6:$P$1005,MATCH($A226,土地清冊_匯入!$A$6:$A$1005,0)),""))</f>
        <v/>
      </c>
      <c r="E226" s="12">
        <f>IF($A226="","",IFERROR(INDEX(土地清冊_匯入!$Q$6:$Q$1005,MATCH($A226,土地清冊_匯入!$A$6:$A$1005,0)),""))</f>
        <v/>
      </c>
      <c r="F226" s="12">
        <f>IF($A226="","",IFERROR(INDEX(土地清冊_匯入!$R$6:$R$1005,MATCH($A226,土地清冊_匯入!$A$6:$A$1005,0)),""))</f>
        <v/>
      </c>
      <c r="G226" s="12">
        <f>IF($A226="","",IFERROR(INDEX(土地清冊_匯入!$S$6:$S$1005,MATCH($A226,土地清冊_匯入!$A$6:$A$1005,0)),""))</f>
        <v/>
      </c>
      <c r="H226" s="12">
        <f>IF($A226="","",IFERROR(INDEX(土地清冊_匯入!$T$6:$T$1005,MATCH($A226,土地清冊_匯入!$A$6:$A$1005,0)),""))</f>
        <v/>
      </c>
      <c r="I226" s="12">
        <f>IF($A226="","",IFERROR(INDEX(土地清冊_匯入!$V$6:$V$1005,MATCH($A226,土地清冊_匯入!$A$6:$A$1005,0)),""))</f>
        <v/>
      </c>
      <c r="J226" s="14" t="n"/>
      <c r="K226" s="7" t="n"/>
      <c r="L226" s="7" t="n"/>
      <c r="M226" s="7" t="n"/>
      <c r="N226" s="7" t="n"/>
      <c r="O226" s="7" t="n"/>
      <c r="P226" s="7" t="n"/>
      <c r="Q226" s="14" t="n"/>
      <c r="R226" s="7" t="n"/>
      <c r="S226" s="7" t="n"/>
      <c r="T226" s="7" t="n"/>
      <c r="U226" s="12">
        <f>IF(A226="","",IF(OR(J226="",L226=""),"建議補聯絡紀錄","") )</f>
        <v/>
      </c>
    </row>
    <row r="227" ht="24" customHeight="1">
      <c r="A227" s="7" t="n"/>
      <c r="B227" s="7" t="n"/>
      <c r="C227" s="12">
        <f>IF($A227="","",IFERROR(INDEX(土地清冊_匯入!$B$6:$B$1005,MATCH($A227,土地清冊_匯入!$A$6:$A$1005,0)),"查無資料"))</f>
        <v/>
      </c>
      <c r="D227" s="12">
        <f>IF($A227="","",IFERROR(INDEX(土地清冊_匯入!$P$6:$P$1005,MATCH($A227,土地清冊_匯入!$A$6:$A$1005,0)),""))</f>
        <v/>
      </c>
      <c r="E227" s="12">
        <f>IF($A227="","",IFERROR(INDEX(土地清冊_匯入!$Q$6:$Q$1005,MATCH($A227,土地清冊_匯入!$A$6:$A$1005,0)),""))</f>
        <v/>
      </c>
      <c r="F227" s="12">
        <f>IF($A227="","",IFERROR(INDEX(土地清冊_匯入!$R$6:$R$1005,MATCH($A227,土地清冊_匯入!$A$6:$A$1005,0)),""))</f>
        <v/>
      </c>
      <c r="G227" s="12">
        <f>IF($A227="","",IFERROR(INDEX(土地清冊_匯入!$S$6:$S$1005,MATCH($A227,土地清冊_匯入!$A$6:$A$1005,0)),""))</f>
        <v/>
      </c>
      <c r="H227" s="12">
        <f>IF($A227="","",IFERROR(INDEX(土地清冊_匯入!$T$6:$T$1005,MATCH($A227,土地清冊_匯入!$A$6:$A$1005,0)),""))</f>
        <v/>
      </c>
      <c r="I227" s="12">
        <f>IF($A227="","",IFERROR(INDEX(土地清冊_匯入!$V$6:$V$1005,MATCH($A227,土地清冊_匯入!$A$6:$A$1005,0)),""))</f>
        <v/>
      </c>
      <c r="J227" s="14" t="n"/>
      <c r="K227" s="7" t="n"/>
      <c r="L227" s="7" t="n"/>
      <c r="M227" s="7" t="n"/>
      <c r="N227" s="7" t="n"/>
      <c r="O227" s="7" t="n"/>
      <c r="P227" s="7" t="n"/>
      <c r="Q227" s="14" t="n"/>
      <c r="R227" s="7" t="n"/>
      <c r="S227" s="7" t="n"/>
      <c r="T227" s="7" t="n"/>
      <c r="U227" s="12">
        <f>IF(A227="","",IF(OR(J227="",L227=""),"建議補聯絡紀錄","") )</f>
        <v/>
      </c>
    </row>
    <row r="228" ht="24" customHeight="1">
      <c r="A228" s="7" t="n"/>
      <c r="B228" s="7" t="n"/>
      <c r="C228" s="12">
        <f>IF($A228="","",IFERROR(INDEX(土地清冊_匯入!$B$6:$B$1005,MATCH($A228,土地清冊_匯入!$A$6:$A$1005,0)),"查無資料"))</f>
        <v/>
      </c>
      <c r="D228" s="12">
        <f>IF($A228="","",IFERROR(INDEX(土地清冊_匯入!$P$6:$P$1005,MATCH($A228,土地清冊_匯入!$A$6:$A$1005,0)),""))</f>
        <v/>
      </c>
      <c r="E228" s="12">
        <f>IF($A228="","",IFERROR(INDEX(土地清冊_匯入!$Q$6:$Q$1005,MATCH($A228,土地清冊_匯入!$A$6:$A$1005,0)),""))</f>
        <v/>
      </c>
      <c r="F228" s="12">
        <f>IF($A228="","",IFERROR(INDEX(土地清冊_匯入!$R$6:$R$1005,MATCH($A228,土地清冊_匯入!$A$6:$A$1005,0)),""))</f>
        <v/>
      </c>
      <c r="G228" s="12">
        <f>IF($A228="","",IFERROR(INDEX(土地清冊_匯入!$S$6:$S$1005,MATCH($A228,土地清冊_匯入!$A$6:$A$1005,0)),""))</f>
        <v/>
      </c>
      <c r="H228" s="12">
        <f>IF($A228="","",IFERROR(INDEX(土地清冊_匯入!$T$6:$T$1005,MATCH($A228,土地清冊_匯入!$A$6:$A$1005,0)),""))</f>
        <v/>
      </c>
      <c r="I228" s="12">
        <f>IF($A228="","",IFERROR(INDEX(土地清冊_匯入!$V$6:$V$1005,MATCH($A228,土地清冊_匯入!$A$6:$A$1005,0)),""))</f>
        <v/>
      </c>
      <c r="J228" s="14" t="n"/>
      <c r="K228" s="7" t="n"/>
      <c r="L228" s="7" t="n"/>
      <c r="M228" s="7" t="n"/>
      <c r="N228" s="7" t="n"/>
      <c r="O228" s="7" t="n"/>
      <c r="P228" s="7" t="n"/>
      <c r="Q228" s="14" t="n"/>
      <c r="R228" s="7" t="n"/>
      <c r="S228" s="7" t="n"/>
      <c r="T228" s="7" t="n"/>
      <c r="U228" s="12">
        <f>IF(A228="","",IF(OR(J228="",L228=""),"建議補聯絡紀錄","") )</f>
        <v/>
      </c>
    </row>
    <row r="229" ht="24" customHeight="1">
      <c r="A229" s="7" t="n"/>
      <c r="B229" s="7" t="n"/>
      <c r="C229" s="12">
        <f>IF($A229="","",IFERROR(INDEX(土地清冊_匯入!$B$6:$B$1005,MATCH($A229,土地清冊_匯入!$A$6:$A$1005,0)),"查無資料"))</f>
        <v/>
      </c>
      <c r="D229" s="12">
        <f>IF($A229="","",IFERROR(INDEX(土地清冊_匯入!$P$6:$P$1005,MATCH($A229,土地清冊_匯入!$A$6:$A$1005,0)),""))</f>
        <v/>
      </c>
      <c r="E229" s="12">
        <f>IF($A229="","",IFERROR(INDEX(土地清冊_匯入!$Q$6:$Q$1005,MATCH($A229,土地清冊_匯入!$A$6:$A$1005,0)),""))</f>
        <v/>
      </c>
      <c r="F229" s="12">
        <f>IF($A229="","",IFERROR(INDEX(土地清冊_匯入!$R$6:$R$1005,MATCH($A229,土地清冊_匯入!$A$6:$A$1005,0)),""))</f>
        <v/>
      </c>
      <c r="G229" s="12">
        <f>IF($A229="","",IFERROR(INDEX(土地清冊_匯入!$S$6:$S$1005,MATCH($A229,土地清冊_匯入!$A$6:$A$1005,0)),""))</f>
        <v/>
      </c>
      <c r="H229" s="12">
        <f>IF($A229="","",IFERROR(INDEX(土地清冊_匯入!$T$6:$T$1005,MATCH($A229,土地清冊_匯入!$A$6:$A$1005,0)),""))</f>
        <v/>
      </c>
      <c r="I229" s="12">
        <f>IF($A229="","",IFERROR(INDEX(土地清冊_匯入!$V$6:$V$1005,MATCH($A229,土地清冊_匯入!$A$6:$A$1005,0)),""))</f>
        <v/>
      </c>
      <c r="J229" s="14" t="n"/>
      <c r="K229" s="7" t="n"/>
      <c r="L229" s="7" t="n"/>
      <c r="M229" s="7" t="n"/>
      <c r="N229" s="7" t="n"/>
      <c r="O229" s="7" t="n"/>
      <c r="P229" s="7" t="n"/>
      <c r="Q229" s="14" t="n"/>
      <c r="R229" s="7" t="n"/>
      <c r="S229" s="7" t="n"/>
      <c r="T229" s="7" t="n"/>
      <c r="U229" s="12">
        <f>IF(A229="","",IF(OR(J229="",L229=""),"建議補聯絡紀錄","") )</f>
        <v/>
      </c>
    </row>
    <row r="230" ht="24" customHeight="1">
      <c r="A230" s="7" t="n"/>
      <c r="B230" s="7" t="n"/>
      <c r="C230" s="12">
        <f>IF($A230="","",IFERROR(INDEX(土地清冊_匯入!$B$6:$B$1005,MATCH($A230,土地清冊_匯入!$A$6:$A$1005,0)),"查無資料"))</f>
        <v/>
      </c>
      <c r="D230" s="12">
        <f>IF($A230="","",IFERROR(INDEX(土地清冊_匯入!$P$6:$P$1005,MATCH($A230,土地清冊_匯入!$A$6:$A$1005,0)),""))</f>
        <v/>
      </c>
      <c r="E230" s="12">
        <f>IF($A230="","",IFERROR(INDEX(土地清冊_匯入!$Q$6:$Q$1005,MATCH($A230,土地清冊_匯入!$A$6:$A$1005,0)),""))</f>
        <v/>
      </c>
      <c r="F230" s="12">
        <f>IF($A230="","",IFERROR(INDEX(土地清冊_匯入!$R$6:$R$1005,MATCH($A230,土地清冊_匯入!$A$6:$A$1005,0)),""))</f>
        <v/>
      </c>
      <c r="G230" s="12">
        <f>IF($A230="","",IFERROR(INDEX(土地清冊_匯入!$S$6:$S$1005,MATCH($A230,土地清冊_匯入!$A$6:$A$1005,0)),""))</f>
        <v/>
      </c>
      <c r="H230" s="12">
        <f>IF($A230="","",IFERROR(INDEX(土地清冊_匯入!$T$6:$T$1005,MATCH($A230,土地清冊_匯入!$A$6:$A$1005,0)),""))</f>
        <v/>
      </c>
      <c r="I230" s="12">
        <f>IF($A230="","",IFERROR(INDEX(土地清冊_匯入!$V$6:$V$1005,MATCH($A230,土地清冊_匯入!$A$6:$A$1005,0)),""))</f>
        <v/>
      </c>
      <c r="J230" s="14" t="n"/>
      <c r="K230" s="7" t="n"/>
      <c r="L230" s="7" t="n"/>
      <c r="M230" s="7" t="n"/>
      <c r="N230" s="7" t="n"/>
      <c r="O230" s="7" t="n"/>
      <c r="P230" s="7" t="n"/>
      <c r="Q230" s="14" t="n"/>
      <c r="R230" s="7" t="n"/>
      <c r="S230" s="7" t="n"/>
      <c r="T230" s="7" t="n"/>
      <c r="U230" s="12">
        <f>IF(A230="","",IF(OR(J230="",L230=""),"建議補聯絡紀錄","") )</f>
        <v/>
      </c>
    </row>
    <row r="231" ht="24" customHeight="1">
      <c r="A231" s="7" t="n"/>
      <c r="B231" s="7" t="n"/>
      <c r="C231" s="12">
        <f>IF($A231="","",IFERROR(INDEX(土地清冊_匯入!$B$6:$B$1005,MATCH($A231,土地清冊_匯入!$A$6:$A$1005,0)),"查無資料"))</f>
        <v/>
      </c>
      <c r="D231" s="12">
        <f>IF($A231="","",IFERROR(INDEX(土地清冊_匯入!$P$6:$P$1005,MATCH($A231,土地清冊_匯入!$A$6:$A$1005,0)),""))</f>
        <v/>
      </c>
      <c r="E231" s="12">
        <f>IF($A231="","",IFERROR(INDEX(土地清冊_匯入!$Q$6:$Q$1005,MATCH($A231,土地清冊_匯入!$A$6:$A$1005,0)),""))</f>
        <v/>
      </c>
      <c r="F231" s="12">
        <f>IF($A231="","",IFERROR(INDEX(土地清冊_匯入!$R$6:$R$1005,MATCH($A231,土地清冊_匯入!$A$6:$A$1005,0)),""))</f>
        <v/>
      </c>
      <c r="G231" s="12">
        <f>IF($A231="","",IFERROR(INDEX(土地清冊_匯入!$S$6:$S$1005,MATCH($A231,土地清冊_匯入!$A$6:$A$1005,0)),""))</f>
        <v/>
      </c>
      <c r="H231" s="12">
        <f>IF($A231="","",IFERROR(INDEX(土地清冊_匯入!$T$6:$T$1005,MATCH($A231,土地清冊_匯入!$A$6:$A$1005,0)),""))</f>
        <v/>
      </c>
      <c r="I231" s="12">
        <f>IF($A231="","",IFERROR(INDEX(土地清冊_匯入!$V$6:$V$1005,MATCH($A231,土地清冊_匯入!$A$6:$A$1005,0)),""))</f>
        <v/>
      </c>
      <c r="J231" s="14" t="n"/>
      <c r="K231" s="7" t="n"/>
      <c r="L231" s="7" t="n"/>
      <c r="M231" s="7" t="n"/>
      <c r="N231" s="7" t="n"/>
      <c r="O231" s="7" t="n"/>
      <c r="P231" s="7" t="n"/>
      <c r="Q231" s="14" t="n"/>
      <c r="R231" s="7" t="n"/>
      <c r="S231" s="7" t="n"/>
      <c r="T231" s="7" t="n"/>
      <c r="U231" s="12">
        <f>IF(A231="","",IF(OR(J231="",L231=""),"建議補聯絡紀錄","") )</f>
        <v/>
      </c>
    </row>
    <row r="232" ht="24" customHeight="1">
      <c r="A232" s="7" t="n"/>
      <c r="B232" s="7" t="n"/>
      <c r="C232" s="12">
        <f>IF($A232="","",IFERROR(INDEX(土地清冊_匯入!$B$6:$B$1005,MATCH($A232,土地清冊_匯入!$A$6:$A$1005,0)),"查無資料"))</f>
        <v/>
      </c>
      <c r="D232" s="12">
        <f>IF($A232="","",IFERROR(INDEX(土地清冊_匯入!$P$6:$P$1005,MATCH($A232,土地清冊_匯入!$A$6:$A$1005,0)),""))</f>
        <v/>
      </c>
      <c r="E232" s="12">
        <f>IF($A232="","",IFERROR(INDEX(土地清冊_匯入!$Q$6:$Q$1005,MATCH($A232,土地清冊_匯入!$A$6:$A$1005,0)),""))</f>
        <v/>
      </c>
      <c r="F232" s="12">
        <f>IF($A232="","",IFERROR(INDEX(土地清冊_匯入!$R$6:$R$1005,MATCH($A232,土地清冊_匯入!$A$6:$A$1005,0)),""))</f>
        <v/>
      </c>
      <c r="G232" s="12">
        <f>IF($A232="","",IFERROR(INDEX(土地清冊_匯入!$S$6:$S$1005,MATCH($A232,土地清冊_匯入!$A$6:$A$1005,0)),""))</f>
        <v/>
      </c>
      <c r="H232" s="12">
        <f>IF($A232="","",IFERROR(INDEX(土地清冊_匯入!$T$6:$T$1005,MATCH($A232,土地清冊_匯入!$A$6:$A$1005,0)),""))</f>
        <v/>
      </c>
      <c r="I232" s="12">
        <f>IF($A232="","",IFERROR(INDEX(土地清冊_匯入!$V$6:$V$1005,MATCH($A232,土地清冊_匯入!$A$6:$A$1005,0)),""))</f>
        <v/>
      </c>
      <c r="J232" s="14" t="n"/>
      <c r="K232" s="7" t="n"/>
      <c r="L232" s="7" t="n"/>
      <c r="M232" s="7" t="n"/>
      <c r="N232" s="7" t="n"/>
      <c r="O232" s="7" t="n"/>
      <c r="P232" s="7" t="n"/>
      <c r="Q232" s="14" t="n"/>
      <c r="R232" s="7" t="n"/>
      <c r="S232" s="7" t="n"/>
      <c r="T232" s="7" t="n"/>
      <c r="U232" s="12">
        <f>IF(A232="","",IF(OR(J232="",L232=""),"建議補聯絡紀錄","") )</f>
        <v/>
      </c>
    </row>
    <row r="233" ht="24" customHeight="1">
      <c r="A233" s="7" t="n"/>
      <c r="B233" s="7" t="n"/>
      <c r="C233" s="12">
        <f>IF($A233="","",IFERROR(INDEX(土地清冊_匯入!$B$6:$B$1005,MATCH($A233,土地清冊_匯入!$A$6:$A$1005,0)),"查無資料"))</f>
        <v/>
      </c>
      <c r="D233" s="12">
        <f>IF($A233="","",IFERROR(INDEX(土地清冊_匯入!$P$6:$P$1005,MATCH($A233,土地清冊_匯入!$A$6:$A$1005,0)),""))</f>
        <v/>
      </c>
      <c r="E233" s="12">
        <f>IF($A233="","",IFERROR(INDEX(土地清冊_匯入!$Q$6:$Q$1005,MATCH($A233,土地清冊_匯入!$A$6:$A$1005,0)),""))</f>
        <v/>
      </c>
      <c r="F233" s="12">
        <f>IF($A233="","",IFERROR(INDEX(土地清冊_匯入!$R$6:$R$1005,MATCH($A233,土地清冊_匯入!$A$6:$A$1005,0)),""))</f>
        <v/>
      </c>
      <c r="G233" s="12">
        <f>IF($A233="","",IFERROR(INDEX(土地清冊_匯入!$S$6:$S$1005,MATCH($A233,土地清冊_匯入!$A$6:$A$1005,0)),""))</f>
        <v/>
      </c>
      <c r="H233" s="12">
        <f>IF($A233="","",IFERROR(INDEX(土地清冊_匯入!$T$6:$T$1005,MATCH($A233,土地清冊_匯入!$A$6:$A$1005,0)),""))</f>
        <v/>
      </c>
      <c r="I233" s="12">
        <f>IF($A233="","",IFERROR(INDEX(土地清冊_匯入!$V$6:$V$1005,MATCH($A233,土地清冊_匯入!$A$6:$A$1005,0)),""))</f>
        <v/>
      </c>
      <c r="J233" s="14" t="n"/>
      <c r="K233" s="7" t="n"/>
      <c r="L233" s="7" t="n"/>
      <c r="M233" s="7" t="n"/>
      <c r="N233" s="7" t="n"/>
      <c r="O233" s="7" t="n"/>
      <c r="P233" s="7" t="n"/>
      <c r="Q233" s="14" t="n"/>
      <c r="R233" s="7" t="n"/>
      <c r="S233" s="7" t="n"/>
      <c r="T233" s="7" t="n"/>
      <c r="U233" s="12">
        <f>IF(A233="","",IF(OR(J233="",L233=""),"建議補聯絡紀錄","") )</f>
        <v/>
      </c>
    </row>
    <row r="234" ht="24" customHeight="1">
      <c r="A234" s="7" t="n"/>
      <c r="B234" s="7" t="n"/>
      <c r="C234" s="12">
        <f>IF($A234="","",IFERROR(INDEX(土地清冊_匯入!$B$6:$B$1005,MATCH($A234,土地清冊_匯入!$A$6:$A$1005,0)),"查無資料"))</f>
        <v/>
      </c>
      <c r="D234" s="12">
        <f>IF($A234="","",IFERROR(INDEX(土地清冊_匯入!$P$6:$P$1005,MATCH($A234,土地清冊_匯入!$A$6:$A$1005,0)),""))</f>
        <v/>
      </c>
      <c r="E234" s="12">
        <f>IF($A234="","",IFERROR(INDEX(土地清冊_匯入!$Q$6:$Q$1005,MATCH($A234,土地清冊_匯入!$A$6:$A$1005,0)),""))</f>
        <v/>
      </c>
      <c r="F234" s="12">
        <f>IF($A234="","",IFERROR(INDEX(土地清冊_匯入!$R$6:$R$1005,MATCH($A234,土地清冊_匯入!$A$6:$A$1005,0)),""))</f>
        <v/>
      </c>
      <c r="G234" s="12">
        <f>IF($A234="","",IFERROR(INDEX(土地清冊_匯入!$S$6:$S$1005,MATCH($A234,土地清冊_匯入!$A$6:$A$1005,0)),""))</f>
        <v/>
      </c>
      <c r="H234" s="12">
        <f>IF($A234="","",IFERROR(INDEX(土地清冊_匯入!$T$6:$T$1005,MATCH($A234,土地清冊_匯入!$A$6:$A$1005,0)),""))</f>
        <v/>
      </c>
      <c r="I234" s="12">
        <f>IF($A234="","",IFERROR(INDEX(土地清冊_匯入!$V$6:$V$1005,MATCH($A234,土地清冊_匯入!$A$6:$A$1005,0)),""))</f>
        <v/>
      </c>
      <c r="J234" s="14" t="n"/>
      <c r="K234" s="7" t="n"/>
      <c r="L234" s="7" t="n"/>
      <c r="M234" s="7" t="n"/>
      <c r="N234" s="7" t="n"/>
      <c r="O234" s="7" t="n"/>
      <c r="P234" s="7" t="n"/>
      <c r="Q234" s="14" t="n"/>
      <c r="R234" s="7" t="n"/>
      <c r="S234" s="7" t="n"/>
      <c r="T234" s="7" t="n"/>
      <c r="U234" s="12">
        <f>IF(A234="","",IF(OR(J234="",L234=""),"建議補聯絡紀錄","") )</f>
        <v/>
      </c>
    </row>
    <row r="235" ht="24" customHeight="1">
      <c r="A235" s="7" t="n"/>
      <c r="B235" s="7" t="n"/>
      <c r="C235" s="12">
        <f>IF($A235="","",IFERROR(INDEX(土地清冊_匯入!$B$6:$B$1005,MATCH($A235,土地清冊_匯入!$A$6:$A$1005,0)),"查無資料"))</f>
        <v/>
      </c>
      <c r="D235" s="12">
        <f>IF($A235="","",IFERROR(INDEX(土地清冊_匯入!$P$6:$P$1005,MATCH($A235,土地清冊_匯入!$A$6:$A$1005,0)),""))</f>
        <v/>
      </c>
      <c r="E235" s="12">
        <f>IF($A235="","",IFERROR(INDEX(土地清冊_匯入!$Q$6:$Q$1005,MATCH($A235,土地清冊_匯入!$A$6:$A$1005,0)),""))</f>
        <v/>
      </c>
      <c r="F235" s="12">
        <f>IF($A235="","",IFERROR(INDEX(土地清冊_匯入!$R$6:$R$1005,MATCH($A235,土地清冊_匯入!$A$6:$A$1005,0)),""))</f>
        <v/>
      </c>
      <c r="G235" s="12">
        <f>IF($A235="","",IFERROR(INDEX(土地清冊_匯入!$S$6:$S$1005,MATCH($A235,土地清冊_匯入!$A$6:$A$1005,0)),""))</f>
        <v/>
      </c>
      <c r="H235" s="12">
        <f>IF($A235="","",IFERROR(INDEX(土地清冊_匯入!$T$6:$T$1005,MATCH($A235,土地清冊_匯入!$A$6:$A$1005,0)),""))</f>
        <v/>
      </c>
      <c r="I235" s="12">
        <f>IF($A235="","",IFERROR(INDEX(土地清冊_匯入!$V$6:$V$1005,MATCH($A235,土地清冊_匯入!$A$6:$A$1005,0)),""))</f>
        <v/>
      </c>
      <c r="J235" s="14" t="n"/>
      <c r="K235" s="7" t="n"/>
      <c r="L235" s="7" t="n"/>
      <c r="M235" s="7" t="n"/>
      <c r="N235" s="7" t="n"/>
      <c r="O235" s="7" t="n"/>
      <c r="P235" s="7" t="n"/>
      <c r="Q235" s="14" t="n"/>
      <c r="R235" s="7" t="n"/>
      <c r="S235" s="7" t="n"/>
      <c r="T235" s="7" t="n"/>
      <c r="U235" s="12">
        <f>IF(A235="","",IF(OR(J235="",L235=""),"建議補聯絡紀錄","") )</f>
        <v/>
      </c>
    </row>
    <row r="236" ht="24" customHeight="1">
      <c r="A236" s="7" t="n"/>
      <c r="B236" s="7" t="n"/>
      <c r="C236" s="12">
        <f>IF($A236="","",IFERROR(INDEX(土地清冊_匯入!$B$6:$B$1005,MATCH($A236,土地清冊_匯入!$A$6:$A$1005,0)),"查無資料"))</f>
        <v/>
      </c>
      <c r="D236" s="12">
        <f>IF($A236="","",IFERROR(INDEX(土地清冊_匯入!$P$6:$P$1005,MATCH($A236,土地清冊_匯入!$A$6:$A$1005,0)),""))</f>
        <v/>
      </c>
      <c r="E236" s="12">
        <f>IF($A236="","",IFERROR(INDEX(土地清冊_匯入!$Q$6:$Q$1005,MATCH($A236,土地清冊_匯入!$A$6:$A$1005,0)),""))</f>
        <v/>
      </c>
      <c r="F236" s="12">
        <f>IF($A236="","",IFERROR(INDEX(土地清冊_匯入!$R$6:$R$1005,MATCH($A236,土地清冊_匯入!$A$6:$A$1005,0)),""))</f>
        <v/>
      </c>
      <c r="G236" s="12">
        <f>IF($A236="","",IFERROR(INDEX(土地清冊_匯入!$S$6:$S$1005,MATCH($A236,土地清冊_匯入!$A$6:$A$1005,0)),""))</f>
        <v/>
      </c>
      <c r="H236" s="12">
        <f>IF($A236="","",IFERROR(INDEX(土地清冊_匯入!$T$6:$T$1005,MATCH($A236,土地清冊_匯入!$A$6:$A$1005,0)),""))</f>
        <v/>
      </c>
      <c r="I236" s="12">
        <f>IF($A236="","",IFERROR(INDEX(土地清冊_匯入!$V$6:$V$1005,MATCH($A236,土地清冊_匯入!$A$6:$A$1005,0)),""))</f>
        <v/>
      </c>
      <c r="J236" s="14" t="n"/>
      <c r="K236" s="7" t="n"/>
      <c r="L236" s="7" t="n"/>
      <c r="M236" s="7" t="n"/>
      <c r="N236" s="7" t="n"/>
      <c r="O236" s="7" t="n"/>
      <c r="P236" s="7" t="n"/>
      <c r="Q236" s="14" t="n"/>
      <c r="R236" s="7" t="n"/>
      <c r="S236" s="7" t="n"/>
      <c r="T236" s="7" t="n"/>
      <c r="U236" s="12">
        <f>IF(A236="","",IF(OR(J236="",L236=""),"建議補聯絡紀錄","") )</f>
        <v/>
      </c>
    </row>
    <row r="237" ht="24" customHeight="1">
      <c r="A237" s="7" t="n"/>
      <c r="B237" s="7" t="n"/>
      <c r="C237" s="12">
        <f>IF($A237="","",IFERROR(INDEX(土地清冊_匯入!$B$6:$B$1005,MATCH($A237,土地清冊_匯入!$A$6:$A$1005,0)),"查無資料"))</f>
        <v/>
      </c>
      <c r="D237" s="12">
        <f>IF($A237="","",IFERROR(INDEX(土地清冊_匯入!$P$6:$P$1005,MATCH($A237,土地清冊_匯入!$A$6:$A$1005,0)),""))</f>
        <v/>
      </c>
      <c r="E237" s="12">
        <f>IF($A237="","",IFERROR(INDEX(土地清冊_匯入!$Q$6:$Q$1005,MATCH($A237,土地清冊_匯入!$A$6:$A$1005,0)),""))</f>
        <v/>
      </c>
      <c r="F237" s="12">
        <f>IF($A237="","",IFERROR(INDEX(土地清冊_匯入!$R$6:$R$1005,MATCH($A237,土地清冊_匯入!$A$6:$A$1005,0)),""))</f>
        <v/>
      </c>
      <c r="G237" s="12">
        <f>IF($A237="","",IFERROR(INDEX(土地清冊_匯入!$S$6:$S$1005,MATCH($A237,土地清冊_匯入!$A$6:$A$1005,0)),""))</f>
        <v/>
      </c>
      <c r="H237" s="12">
        <f>IF($A237="","",IFERROR(INDEX(土地清冊_匯入!$T$6:$T$1005,MATCH($A237,土地清冊_匯入!$A$6:$A$1005,0)),""))</f>
        <v/>
      </c>
      <c r="I237" s="12">
        <f>IF($A237="","",IFERROR(INDEX(土地清冊_匯入!$V$6:$V$1005,MATCH($A237,土地清冊_匯入!$A$6:$A$1005,0)),""))</f>
        <v/>
      </c>
      <c r="J237" s="14" t="n"/>
      <c r="K237" s="7" t="n"/>
      <c r="L237" s="7" t="n"/>
      <c r="M237" s="7" t="n"/>
      <c r="N237" s="7" t="n"/>
      <c r="O237" s="7" t="n"/>
      <c r="P237" s="7" t="n"/>
      <c r="Q237" s="14" t="n"/>
      <c r="R237" s="7" t="n"/>
      <c r="S237" s="7" t="n"/>
      <c r="T237" s="7" t="n"/>
      <c r="U237" s="12">
        <f>IF(A237="","",IF(OR(J237="",L237=""),"建議補聯絡紀錄","") )</f>
        <v/>
      </c>
    </row>
    <row r="238" ht="24" customHeight="1">
      <c r="A238" s="7" t="n"/>
      <c r="B238" s="7" t="n"/>
      <c r="C238" s="12">
        <f>IF($A238="","",IFERROR(INDEX(土地清冊_匯入!$B$6:$B$1005,MATCH($A238,土地清冊_匯入!$A$6:$A$1005,0)),"查無資料"))</f>
        <v/>
      </c>
      <c r="D238" s="12">
        <f>IF($A238="","",IFERROR(INDEX(土地清冊_匯入!$P$6:$P$1005,MATCH($A238,土地清冊_匯入!$A$6:$A$1005,0)),""))</f>
        <v/>
      </c>
      <c r="E238" s="12">
        <f>IF($A238="","",IFERROR(INDEX(土地清冊_匯入!$Q$6:$Q$1005,MATCH($A238,土地清冊_匯入!$A$6:$A$1005,0)),""))</f>
        <v/>
      </c>
      <c r="F238" s="12">
        <f>IF($A238="","",IFERROR(INDEX(土地清冊_匯入!$R$6:$R$1005,MATCH($A238,土地清冊_匯入!$A$6:$A$1005,0)),""))</f>
        <v/>
      </c>
      <c r="G238" s="12">
        <f>IF($A238="","",IFERROR(INDEX(土地清冊_匯入!$S$6:$S$1005,MATCH($A238,土地清冊_匯入!$A$6:$A$1005,0)),""))</f>
        <v/>
      </c>
      <c r="H238" s="12">
        <f>IF($A238="","",IFERROR(INDEX(土地清冊_匯入!$T$6:$T$1005,MATCH($A238,土地清冊_匯入!$A$6:$A$1005,0)),""))</f>
        <v/>
      </c>
      <c r="I238" s="12">
        <f>IF($A238="","",IFERROR(INDEX(土地清冊_匯入!$V$6:$V$1005,MATCH($A238,土地清冊_匯入!$A$6:$A$1005,0)),""))</f>
        <v/>
      </c>
      <c r="J238" s="14" t="n"/>
      <c r="K238" s="7" t="n"/>
      <c r="L238" s="7" t="n"/>
      <c r="M238" s="7" t="n"/>
      <c r="N238" s="7" t="n"/>
      <c r="O238" s="7" t="n"/>
      <c r="P238" s="7" t="n"/>
      <c r="Q238" s="14" t="n"/>
      <c r="R238" s="7" t="n"/>
      <c r="S238" s="7" t="n"/>
      <c r="T238" s="7" t="n"/>
      <c r="U238" s="12">
        <f>IF(A238="","",IF(OR(J238="",L238=""),"建議補聯絡紀錄","") )</f>
        <v/>
      </c>
    </row>
    <row r="239" ht="24" customHeight="1">
      <c r="A239" s="7" t="n"/>
      <c r="B239" s="7" t="n"/>
      <c r="C239" s="12">
        <f>IF($A239="","",IFERROR(INDEX(土地清冊_匯入!$B$6:$B$1005,MATCH($A239,土地清冊_匯入!$A$6:$A$1005,0)),"查無資料"))</f>
        <v/>
      </c>
      <c r="D239" s="12">
        <f>IF($A239="","",IFERROR(INDEX(土地清冊_匯入!$P$6:$P$1005,MATCH($A239,土地清冊_匯入!$A$6:$A$1005,0)),""))</f>
        <v/>
      </c>
      <c r="E239" s="12">
        <f>IF($A239="","",IFERROR(INDEX(土地清冊_匯入!$Q$6:$Q$1005,MATCH($A239,土地清冊_匯入!$A$6:$A$1005,0)),""))</f>
        <v/>
      </c>
      <c r="F239" s="12">
        <f>IF($A239="","",IFERROR(INDEX(土地清冊_匯入!$R$6:$R$1005,MATCH($A239,土地清冊_匯入!$A$6:$A$1005,0)),""))</f>
        <v/>
      </c>
      <c r="G239" s="12">
        <f>IF($A239="","",IFERROR(INDEX(土地清冊_匯入!$S$6:$S$1005,MATCH($A239,土地清冊_匯入!$A$6:$A$1005,0)),""))</f>
        <v/>
      </c>
      <c r="H239" s="12">
        <f>IF($A239="","",IFERROR(INDEX(土地清冊_匯入!$T$6:$T$1005,MATCH($A239,土地清冊_匯入!$A$6:$A$1005,0)),""))</f>
        <v/>
      </c>
      <c r="I239" s="12">
        <f>IF($A239="","",IFERROR(INDEX(土地清冊_匯入!$V$6:$V$1005,MATCH($A239,土地清冊_匯入!$A$6:$A$1005,0)),""))</f>
        <v/>
      </c>
      <c r="J239" s="14" t="n"/>
      <c r="K239" s="7" t="n"/>
      <c r="L239" s="7" t="n"/>
      <c r="M239" s="7" t="n"/>
      <c r="N239" s="7" t="n"/>
      <c r="O239" s="7" t="n"/>
      <c r="P239" s="7" t="n"/>
      <c r="Q239" s="14" t="n"/>
      <c r="R239" s="7" t="n"/>
      <c r="S239" s="7" t="n"/>
      <c r="T239" s="7" t="n"/>
      <c r="U239" s="12">
        <f>IF(A239="","",IF(OR(J239="",L239=""),"建議補聯絡紀錄","") )</f>
        <v/>
      </c>
    </row>
    <row r="240" ht="24" customHeight="1">
      <c r="A240" s="7" t="n"/>
      <c r="B240" s="7" t="n"/>
      <c r="C240" s="12">
        <f>IF($A240="","",IFERROR(INDEX(土地清冊_匯入!$B$6:$B$1005,MATCH($A240,土地清冊_匯入!$A$6:$A$1005,0)),"查無資料"))</f>
        <v/>
      </c>
      <c r="D240" s="12">
        <f>IF($A240="","",IFERROR(INDEX(土地清冊_匯入!$P$6:$P$1005,MATCH($A240,土地清冊_匯入!$A$6:$A$1005,0)),""))</f>
        <v/>
      </c>
      <c r="E240" s="12">
        <f>IF($A240="","",IFERROR(INDEX(土地清冊_匯入!$Q$6:$Q$1005,MATCH($A240,土地清冊_匯入!$A$6:$A$1005,0)),""))</f>
        <v/>
      </c>
      <c r="F240" s="12">
        <f>IF($A240="","",IFERROR(INDEX(土地清冊_匯入!$R$6:$R$1005,MATCH($A240,土地清冊_匯入!$A$6:$A$1005,0)),""))</f>
        <v/>
      </c>
      <c r="G240" s="12">
        <f>IF($A240="","",IFERROR(INDEX(土地清冊_匯入!$S$6:$S$1005,MATCH($A240,土地清冊_匯入!$A$6:$A$1005,0)),""))</f>
        <v/>
      </c>
      <c r="H240" s="12">
        <f>IF($A240="","",IFERROR(INDEX(土地清冊_匯入!$T$6:$T$1005,MATCH($A240,土地清冊_匯入!$A$6:$A$1005,0)),""))</f>
        <v/>
      </c>
      <c r="I240" s="12">
        <f>IF($A240="","",IFERROR(INDEX(土地清冊_匯入!$V$6:$V$1005,MATCH($A240,土地清冊_匯入!$A$6:$A$1005,0)),""))</f>
        <v/>
      </c>
      <c r="J240" s="14" t="n"/>
      <c r="K240" s="7" t="n"/>
      <c r="L240" s="7" t="n"/>
      <c r="M240" s="7" t="n"/>
      <c r="N240" s="7" t="n"/>
      <c r="O240" s="7" t="n"/>
      <c r="P240" s="7" t="n"/>
      <c r="Q240" s="14" t="n"/>
      <c r="R240" s="7" t="n"/>
      <c r="S240" s="7" t="n"/>
      <c r="T240" s="7" t="n"/>
      <c r="U240" s="12">
        <f>IF(A240="","",IF(OR(J240="",L240=""),"建議補聯絡紀錄","") )</f>
        <v/>
      </c>
    </row>
    <row r="241" ht="24" customHeight="1">
      <c r="A241" s="7" t="n"/>
      <c r="B241" s="7" t="n"/>
      <c r="C241" s="12">
        <f>IF($A241="","",IFERROR(INDEX(土地清冊_匯入!$B$6:$B$1005,MATCH($A241,土地清冊_匯入!$A$6:$A$1005,0)),"查無資料"))</f>
        <v/>
      </c>
      <c r="D241" s="12">
        <f>IF($A241="","",IFERROR(INDEX(土地清冊_匯入!$P$6:$P$1005,MATCH($A241,土地清冊_匯入!$A$6:$A$1005,0)),""))</f>
        <v/>
      </c>
      <c r="E241" s="12">
        <f>IF($A241="","",IFERROR(INDEX(土地清冊_匯入!$Q$6:$Q$1005,MATCH($A241,土地清冊_匯入!$A$6:$A$1005,0)),""))</f>
        <v/>
      </c>
      <c r="F241" s="12">
        <f>IF($A241="","",IFERROR(INDEX(土地清冊_匯入!$R$6:$R$1005,MATCH($A241,土地清冊_匯入!$A$6:$A$1005,0)),""))</f>
        <v/>
      </c>
      <c r="G241" s="12">
        <f>IF($A241="","",IFERROR(INDEX(土地清冊_匯入!$S$6:$S$1005,MATCH($A241,土地清冊_匯入!$A$6:$A$1005,0)),""))</f>
        <v/>
      </c>
      <c r="H241" s="12">
        <f>IF($A241="","",IFERROR(INDEX(土地清冊_匯入!$T$6:$T$1005,MATCH($A241,土地清冊_匯入!$A$6:$A$1005,0)),""))</f>
        <v/>
      </c>
      <c r="I241" s="12">
        <f>IF($A241="","",IFERROR(INDEX(土地清冊_匯入!$V$6:$V$1005,MATCH($A241,土地清冊_匯入!$A$6:$A$1005,0)),""))</f>
        <v/>
      </c>
      <c r="J241" s="14" t="n"/>
      <c r="K241" s="7" t="n"/>
      <c r="L241" s="7" t="n"/>
      <c r="M241" s="7" t="n"/>
      <c r="N241" s="7" t="n"/>
      <c r="O241" s="7" t="n"/>
      <c r="P241" s="7" t="n"/>
      <c r="Q241" s="14" t="n"/>
      <c r="R241" s="7" t="n"/>
      <c r="S241" s="7" t="n"/>
      <c r="T241" s="7" t="n"/>
      <c r="U241" s="12">
        <f>IF(A241="","",IF(OR(J241="",L241=""),"建議補聯絡紀錄","") )</f>
        <v/>
      </c>
    </row>
    <row r="242" ht="24" customHeight="1">
      <c r="A242" s="7" t="n"/>
      <c r="B242" s="7" t="n"/>
      <c r="C242" s="12">
        <f>IF($A242="","",IFERROR(INDEX(土地清冊_匯入!$B$6:$B$1005,MATCH($A242,土地清冊_匯入!$A$6:$A$1005,0)),"查無資料"))</f>
        <v/>
      </c>
      <c r="D242" s="12">
        <f>IF($A242="","",IFERROR(INDEX(土地清冊_匯入!$P$6:$P$1005,MATCH($A242,土地清冊_匯入!$A$6:$A$1005,0)),""))</f>
        <v/>
      </c>
      <c r="E242" s="12">
        <f>IF($A242="","",IFERROR(INDEX(土地清冊_匯入!$Q$6:$Q$1005,MATCH($A242,土地清冊_匯入!$A$6:$A$1005,0)),""))</f>
        <v/>
      </c>
      <c r="F242" s="12">
        <f>IF($A242="","",IFERROR(INDEX(土地清冊_匯入!$R$6:$R$1005,MATCH($A242,土地清冊_匯入!$A$6:$A$1005,0)),""))</f>
        <v/>
      </c>
      <c r="G242" s="12">
        <f>IF($A242="","",IFERROR(INDEX(土地清冊_匯入!$S$6:$S$1005,MATCH($A242,土地清冊_匯入!$A$6:$A$1005,0)),""))</f>
        <v/>
      </c>
      <c r="H242" s="12">
        <f>IF($A242="","",IFERROR(INDEX(土地清冊_匯入!$T$6:$T$1005,MATCH($A242,土地清冊_匯入!$A$6:$A$1005,0)),""))</f>
        <v/>
      </c>
      <c r="I242" s="12">
        <f>IF($A242="","",IFERROR(INDEX(土地清冊_匯入!$V$6:$V$1005,MATCH($A242,土地清冊_匯入!$A$6:$A$1005,0)),""))</f>
        <v/>
      </c>
      <c r="J242" s="14" t="n"/>
      <c r="K242" s="7" t="n"/>
      <c r="L242" s="7" t="n"/>
      <c r="M242" s="7" t="n"/>
      <c r="N242" s="7" t="n"/>
      <c r="O242" s="7" t="n"/>
      <c r="P242" s="7" t="n"/>
      <c r="Q242" s="14" t="n"/>
      <c r="R242" s="7" t="n"/>
      <c r="S242" s="7" t="n"/>
      <c r="T242" s="7" t="n"/>
      <c r="U242" s="12">
        <f>IF(A242="","",IF(OR(J242="",L242=""),"建議補聯絡紀錄","") )</f>
        <v/>
      </c>
    </row>
    <row r="243" ht="24" customHeight="1">
      <c r="A243" s="7" t="n"/>
      <c r="B243" s="7" t="n"/>
      <c r="C243" s="12">
        <f>IF($A243="","",IFERROR(INDEX(土地清冊_匯入!$B$6:$B$1005,MATCH($A243,土地清冊_匯入!$A$6:$A$1005,0)),"查無資料"))</f>
        <v/>
      </c>
      <c r="D243" s="12">
        <f>IF($A243="","",IFERROR(INDEX(土地清冊_匯入!$P$6:$P$1005,MATCH($A243,土地清冊_匯入!$A$6:$A$1005,0)),""))</f>
        <v/>
      </c>
      <c r="E243" s="12">
        <f>IF($A243="","",IFERROR(INDEX(土地清冊_匯入!$Q$6:$Q$1005,MATCH($A243,土地清冊_匯入!$A$6:$A$1005,0)),""))</f>
        <v/>
      </c>
      <c r="F243" s="12">
        <f>IF($A243="","",IFERROR(INDEX(土地清冊_匯入!$R$6:$R$1005,MATCH($A243,土地清冊_匯入!$A$6:$A$1005,0)),""))</f>
        <v/>
      </c>
      <c r="G243" s="12">
        <f>IF($A243="","",IFERROR(INDEX(土地清冊_匯入!$S$6:$S$1005,MATCH($A243,土地清冊_匯入!$A$6:$A$1005,0)),""))</f>
        <v/>
      </c>
      <c r="H243" s="12">
        <f>IF($A243="","",IFERROR(INDEX(土地清冊_匯入!$T$6:$T$1005,MATCH($A243,土地清冊_匯入!$A$6:$A$1005,0)),""))</f>
        <v/>
      </c>
      <c r="I243" s="12">
        <f>IF($A243="","",IFERROR(INDEX(土地清冊_匯入!$V$6:$V$1005,MATCH($A243,土地清冊_匯入!$A$6:$A$1005,0)),""))</f>
        <v/>
      </c>
      <c r="J243" s="14" t="n"/>
      <c r="K243" s="7" t="n"/>
      <c r="L243" s="7" t="n"/>
      <c r="M243" s="7" t="n"/>
      <c r="N243" s="7" t="n"/>
      <c r="O243" s="7" t="n"/>
      <c r="P243" s="7" t="n"/>
      <c r="Q243" s="14" t="n"/>
      <c r="R243" s="7" t="n"/>
      <c r="S243" s="7" t="n"/>
      <c r="T243" s="7" t="n"/>
      <c r="U243" s="12">
        <f>IF(A243="","",IF(OR(J243="",L243=""),"建議補聯絡紀錄","") )</f>
        <v/>
      </c>
    </row>
    <row r="244" ht="24" customHeight="1">
      <c r="A244" s="7" t="n"/>
      <c r="B244" s="7" t="n"/>
      <c r="C244" s="12">
        <f>IF($A244="","",IFERROR(INDEX(土地清冊_匯入!$B$6:$B$1005,MATCH($A244,土地清冊_匯入!$A$6:$A$1005,0)),"查無資料"))</f>
        <v/>
      </c>
      <c r="D244" s="12">
        <f>IF($A244="","",IFERROR(INDEX(土地清冊_匯入!$P$6:$P$1005,MATCH($A244,土地清冊_匯入!$A$6:$A$1005,0)),""))</f>
        <v/>
      </c>
      <c r="E244" s="12">
        <f>IF($A244="","",IFERROR(INDEX(土地清冊_匯入!$Q$6:$Q$1005,MATCH($A244,土地清冊_匯入!$A$6:$A$1005,0)),""))</f>
        <v/>
      </c>
      <c r="F244" s="12">
        <f>IF($A244="","",IFERROR(INDEX(土地清冊_匯入!$R$6:$R$1005,MATCH($A244,土地清冊_匯入!$A$6:$A$1005,0)),""))</f>
        <v/>
      </c>
      <c r="G244" s="12">
        <f>IF($A244="","",IFERROR(INDEX(土地清冊_匯入!$S$6:$S$1005,MATCH($A244,土地清冊_匯入!$A$6:$A$1005,0)),""))</f>
        <v/>
      </c>
      <c r="H244" s="12">
        <f>IF($A244="","",IFERROR(INDEX(土地清冊_匯入!$T$6:$T$1005,MATCH($A244,土地清冊_匯入!$A$6:$A$1005,0)),""))</f>
        <v/>
      </c>
      <c r="I244" s="12">
        <f>IF($A244="","",IFERROR(INDEX(土地清冊_匯入!$V$6:$V$1005,MATCH($A244,土地清冊_匯入!$A$6:$A$1005,0)),""))</f>
        <v/>
      </c>
      <c r="J244" s="14" t="n"/>
      <c r="K244" s="7" t="n"/>
      <c r="L244" s="7" t="n"/>
      <c r="M244" s="7" t="n"/>
      <c r="N244" s="7" t="n"/>
      <c r="O244" s="7" t="n"/>
      <c r="P244" s="7" t="n"/>
      <c r="Q244" s="14" t="n"/>
      <c r="R244" s="7" t="n"/>
      <c r="S244" s="7" t="n"/>
      <c r="T244" s="7" t="n"/>
      <c r="U244" s="12">
        <f>IF(A244="","",IF(OR(J244="",L244=""),"建議補聯絡紀錄","") )</f>
        <v/>
      </c>
    </row>
    <row r="245" ht="24" customHeight="1">
      <c r="A245" s="7" t="n"/>
      <c r="B245" s="7" t="n"/>
      <c r="C245" s="12">
        <f>IF($A245="","",IFERROR(INDEX(土地清冊_匯入!$B$6:$B$1005,MATCH($A245,土地清冊_匯入!$A$6:$A$1005,0)),"查無資料"))</f>
        <v/>
      </c>
      <c r="D245" s="12">
        <f>IF($A245="","",IFERROR(INDEX(土地清冊_匯入!$P$6:$P$1005,MATCH($A245,土地清冊_匯入!$A$6:$A$1005,0)),""))</f>
        <v/>
      </c>
      <c r="E245" s="12">
        <f>IF($A245="","",IFERROR(INDEX(土地清冊_匯入!$Q$6:$Q$1005,MATCH($A245,土地清冊_匯入!$A$6:$A$1005,0)),""))</f>
        <v/>
      </c>
      <c r="F245" s="12">
        <f>IF($A245="","",IFERROR(INDEX(土地清冊_匯入!$R$6:$R$1005,MATCH($A245,土地清冊_匯入!$A$6:$A$1005,0)),""))</f>
        <v/>
      </c>
      <c r="G245" s="12">
        <f>IF($A245="","",IFERROR(INDEX(土地清冊_匯入!$S$6:$S$1005,MATCH($A245,土地清冊_匯入!$A$6:$A$1005,0)),""))</f>
        <v/>
      </c>
      <c r="H245" s="12">
        <f>IF($A245="","",IFERROR(INDEX(土地清冊_匯入!$T$6:$T$1005,MATCH($A245,土地清冊_匯入!$A$6:$A$1005,0)),""))</f>
        <v/>
      </c>
      <c r="I245" s="12">
        <f>IF($A245="","",IFERROR(INDEX(土地清冊_匯入!$V$6:$V$1005,MATCH($A245,土地清冊_匯入!$A$6:$A$1005,0)),""))</f>
        <v/>
      </c>
      <c r="J245" s="14" t="n"/>
      <c r="K245" s="7" t="n"/>
      <c r="L245" s="7" t="n"/>
      <c r="M245" s="7" t="n"/>
      <c r="N245" s="7" t="n"/>
      <c r="O245" s="7" t="n"/>
      <c r="P245" s="7" t="n"/>
      <c r="Q245" s="14" t="n"/>
      <c r="R245" s="7" t="n"/>
      <c r="S245" s="7" t="n"/>
      <c r="T245" s="7" t="n"/>
      <c r="U245" s="12">
        <f>IF(A245="","",IF(OR(J245="",L245=""),"建議補聯絡紀錄","") )</f>
        <v/>
      </c>
    </row>
    <row r="246" ht="24" customHeight="1">
      <c r="A246" s="7" t="n"/>
      <c r="B246" s="7" t="n"/>
      <c r="C246" s="12">
        <f>IF($A246="","",IFERROR(INDEX(土地清冊_匯入!$B$6:$B$1005,MATCH($A246,土地清冊_匯入!$A$6:$A$1005,0)),"查無資料"))</f>
        <v/>
      </c>
      <c r="D246" s="12">
        <f>IF($A246="","",IFERROR(INDEX(土地清冊_匯入!$P$6:$P$1005,MATCH($A246,土地清冊_匯入!$A$6:$A$1005,0)),""))</f>
        <v/>
      </c>
      <c r="E246" s="12">
        <f>IF($A246="","",IFERROR(INDEX(土地清冊_匯入!$Q$6:$Q$1005,MATCH($A246,土地清冊_匯入!$A$6:$A$1005,0)),""))</f>
        <v/>
      </c>
      <c r="F246" s="12">
        <f>IF($A246="","",IFERROR(INDEX(土地清冊_匯入!$R$6:$R$1005,MATCH($A246,土地清冊_匯入!$A$6:$A$1005,0)),""))</f>
        <v/>
      </c>
      <c r="G246" s="12">
        <f>IF($A246="","",IFERROR(INDEX(土地清冊_匯入!$S$6:$S$1005,MATCH($A246,土地清冊_匯入!$A$6:$A$1005,0)),""))</f>
        <v/>
      </c>
      <c r="H246" s="12">
        <f>IF($A246="","",IFERROR(INDEX(土地清冊_匯入!$T$6:$T$1005,MATCH($A246,土地清冊_匯入!$A$6:$A$1005,0)),""))</f>
        <v/>
      </c>
      <c r="I246" s="12">
        <f>IF($A246="","",IFERROR(INDEX(土地清冊_匯入!$V$6:$V$1005,MATCH($A246,土地清冊_匯入!$A$6:$A$1005,0)),""))</f>
        <v/>
      </c>
      <c r="J246" s="14" t="n"/>
      <c r="K246" s="7" t="n"/>
      <c r="L246" s="7" t="n"/>
      <c r="M246" s="7" t="n"/>
      <c r="N246" s="7" t="n"/>
      <c r="O246" s="7" t="n"/>
      <c r="P246" s="7" t="n"/>
      <c r="Q246" s="14" t="n"/>
      <c r="R246" s="7" t="n"/>
      <c r="S246" s="7" t="n"/>
      <c r="T246" s="7" t="n"/>
      <c r="U246" s="12">
        <f>IF(A246="","",IF(OR(J246="",L246=""),"建議補聯絡紀錄","") )</f>
        <v/>
      </c>
    </row>
    <row r="247" ht="24" customHeight="1">
      <c r="A247" s="7" t="n"/>
      <c r="B247" s="7" t="n"/>
      <c r="C247" s="12">
        <f>IF($A247="","",IFERROR(INDEX(土地清冊_匯入!$B$6:$B$1005,MATCH($A247,土地清冊_匯入!$A$6:$A$1005,0)),"查無資料"))</f>
        <v/>
      </c>
      <c r="D247" s="12">
        <f>IF($A247="","",IFERROR(INDEX(土地清冊_匯入!$P$6:$P$1005,MATCH($A247,土地清冊_匯入!$A$6:$A$1005,0)),""))</f>
        <v/>
      </c>
      <c r="E247" s="12">
        <f>IF($A247="","",IFERROR(INDEX(土地清冊_匯入!$Q$6:$Q$1005,MATCH($A247,土地清冊_匯入!$A$6:$A$1005,0)),""))</f>
        <v/>
      </c>
      <c r="F247" s="12">
        <f>IF($A247="","",IFERROR(INDEX(土地清冊_匯入!$R$6:$R$1005,MATCH($A247,土地清冊_匯入!$A$6:$A$1005,0)),""))</f>
        <v/>
      </c>
      <c r="G247" s="12">
        <f>IF($A247="","",IFERROR(INDEX(土地清冊_匯入!$S$6:$S$1005,MATCH($A247,土地清冊_匯入!$A$6:$A$1005,0)),""))</f>
        <v/>
      </c>
      <c r="H247" s="12">
        <f>IF($A247="","",IFERROR(INDEX(土地清冊_匯入!$T$6:$T$1005,MATCH($A247,土地清冊_匯入!$A$6:$A$1005,0)),""))</f>
        <v/>
      </c>
      <c r="I247" s="12">
        <f>IF($A247="","",IFERROR(INDEX(土地清冊_匯入!$V$6:$V$1005,MATCH($A247,土地清冊_匯入!$A$6:$A$1005,0)),""))</f>
        <v/>
      </c>
      <c r="J247" s="14" t="n"/>
      <c r="K247" s="7" t="n"/>
      <c r="L247" s="7" t="n"/>
      <c r="M247" s="7" t="n"/>
      <c r="N247" s="7" t="n"/>
      <c r="O247" s="7" t="n"/>
      <c r="P247" s="7" t="n"/>
      <c r="Q247" s="14" t="n"/>
      <c r="R247" s="7" t="n"/>
      <c r="S247" s="7" t="n"/>
      <c r="T247" s="7" t="n"/>
      <c r="U247" s="12">
        <f>IF(A247="","",IF(OR(J247="",L247=""),"建議補聯絡紀錄","") )</f>
        <v/>
      </c>
    </row>
    <row r="248" ht="24" customHeight="1">
      <c r="A248" s="7" t="n"/>
      <c r="B248" s="7" t="n"/>
      <c r="C248" s="12">
        <f>IF($A248="","",IFERROR(INDEX(土地清冊_匯入!$B$6:$B$1005,MATCH($A248,土地清冊_匯入!$A$6:$A$1005,0)),"查無資料"))</f>
        <v/>
      </c>
      <c r="D248" s="12">
        <f>IF($A248="","",IFERROR(INDEX(土地清冊_匯入!$P$6:$P$1005,MATCH($A248,土地清冊_匯入!$A$6:$A$1005,0)),""))</f>
        <v/>
      </c>
      <c r="E248" s="12">
        <f>IF($A248="","",IFERROR(INDEX(土地清冊_匯入!$Q$6:$Q$1005,MATCH($A248,土地清冊_匯入!$A$6:$A$1005,0)),""))</f>
        <v/>
      </c>
      <c r="F248" s="12">
        <f>IF($A248="","",IFERROR(INDEX(土地清冊_匯入!$R$6:$R$1005,MATCH($A248,土地清冊_匯入!$A$6:$A$1005,0)),""))</f>
        <v/>
      </c>
      <c r="G248" s="12">
        <f>IF($A248="","",IFERROR(INDEX(土地清冊_匯入!$S$6:$S$1005,MATCH($A248,土地清冊_匯入!$A$6:$A$1005,0)),""))</f>
        <v/>
      </c>
      <c r="H248" s="12">
        <f>IF($A248="","",IFERROR(INDEX(土地清冊_匯入!$T$6:$T$1005,MATCH($A248,土地清冊_匯入!$A$6:$A$1005,0)),""))</f>
        <v/>
      </c>
      <c r="I248" s="12">
        <f>IF($A248="","",IFERROR(INDEX(土地清冊_匯入!$V$6:$V$1005,MATCH($A248,土地清冊_匯入!$A$6:$A$1005,0)),""))</f>
        <v/>
      </c>
      <c r="J248" s="14" t="n"/>
      <c r="K248" s="7" t="n"/>
      <c r="L248" s="7" t="n"/>
      <c r="M248" s="7" t="n"/>
      <c r="N248" s="7" t="n"/>
      <c r="O248" s="7" t="n"/>
      <c r="P248" s="7" t="n"/>
      <c r="Q248" s="14" t="n"/>
      <c r="R248" s="7" t="n"/>
      <c r="S248" s="7" t="n"/>
      <c r="T248" s="7" t="n"/>
      <c r="U248" s="12">
        <f>IF(A248="","",IF(OR(J248="",L248=""),"建議補聯絡紀錄","") )</f>
        <v/>
      </c>
    </row>
    <row r="249" ht="24" customHeight="1">
      <c r="A249" s="7" t="n"/>
      <c r="B249" s="7" t="n"/>
      <c r="C249" s="12">
        <f>IF($A249="","",IFERROR(INDEX(土地清冊_匯入!$B$6:$B$1005,MATCH($A249,土地清冊_匯入!$A$6:$A$1005,0)),"查無資料"))</f>
        <v/>
      </c>
      <c r="D249" s="12">
        <f>IF($A249="","",IFERROR(INDEX(土地清冊_匯入!$P$6:$P$1005,MATCH($A249,土地清冊_匯入!$A$6:$A$1005,0)),""))</f>
        <v/>
      </c>
      <c r="E249" s="12">
        <f>IF($A249="","",IFERROR(INDEX(土地清冊_匯入!$Q$6:$Q$1005,MATCH($A249,土地清冊_匯入!$A$6:$A$1005,0)),""))</f>
        <v/>
      </c>
      <c r="F249" s="12">
        <f>IF($A249="","",IFERROR(INDEX(土地清冊_匯入!$R$6:$R$1005,MATCH($A249,土地清冊_匯入!$A$6:$A$1005,0)),""))</f>
        <v/>
      </c>
      <c r="G249" s="12">
        <f>IF($A249="","",IFERROR(INDEX(土地清冊_匯入!$S$6:$S$1005,MATCH($A249,土地清冊_匯入!$A$6:$A$1005,0)),""))</f>
        <v/>
      </c>
      <c r="H249" s="12">
        <f>IF($A249="","",IFERROR(INDEX(土地清冊_匯入!$T$6:$T$1005,MATCH($A249,土地清冊_匯入!$A$6:$A$1005,0)),""))</f>
        <v/>
      </c>
      <c r="I249" s="12">
        <f>IF($A249="","",IFERROR(INDEX(土地清冊_匯入!$V$6:$V$1005,MATCH($A249,土地清冊_匯入!$A$6:$A$1005,0)),""))</f>
        <v/>
      </c>
      <c r="J249" s="14" t="n"/>
      <c r="K249" s="7" t="n"/>
      <c r="L249" s="7" t="n"/>
      <c r="M249" s="7" t="n"/>
      <c r="N249" s="7" t="n"/>
      <c r="O249" s="7" t="n"/>
      <c r="P249" s="7" t="n"/>
      <c r="Q249" s="14" t="n"/>
      <c r="R249" s="7" t="n"/>
      <c r="S249" s="7" t="n"/>
      <c r="T249" s="7" t="n"/>
      <c r="U249" s="12">
        <f>IF(A249="","",IF(OR(J249="",L249=""),"建議補聯絡紀錄","") )</f>
        <v/>
      </c>
    </row>
    <row r="250" ht="24" customHeight="1">
      <c r="A250" s="7" t="n"/>
      <c r="B250" s="7" t="n"/>
      <c r="C250" s="12">
        <f>IF($A250="","",IFERROR(INDEX(土地清冊_匯入!$B$6:$B$1005,MATCH($A250,土地清冊_匯入!$A$6:$A$1005,0)),"查無資料"))</f>
        <v/>
      </c>
      <c r="D250" s="12">
        <f>IF($A250="","",IFERROR(INDEX(土地清冊_匯入!$P$6:$P$1005,MATCH($A250,土地清冊_匯入!$A$6:$A$1005,0)),""))</f>
        <v/>
      </c>
      <c r="E250" s="12">
        <f>IF($A250="","",IFERROR(INDEX(土地清冊_匯入!$Q$6:$Q$1005,MATCH($A250,土地清冊_匯入!$A$6:$A$1005,0)),""))</f>
        <v/>
      </c>
      <c r="F250" s="12">
        <f>IF($A250="","",IFERROR(INDEX(土地清冊_匯入!$R$6:$R$1005,MATCH($A250,土地清冊_匯入!$A$6:$A$1005,0)),""))</f>
        <v/>
      </c>
      <c r="G250" s="12">
        <f>IF($A250="","",IFERROR(INDEX(土地清冊_匯入!$S$6:$S$1005,MATCH($A250,土地清冊_匯入!$A$6:$A$1005,0)),""))</f>
        <v/>
      </c>
      <c r="H250" s="12">
        <f>IF($A250="","",IFERROR(INDEX(土地清冊_匯入!$T$6:$T$1005,MATCH($A250,土地清冊_匯入!$A$6:$A$1005,0)),""))</f>
        <v/>
      </c>
      <c r="I250" s="12">
        <f>IF($A250="","",IFERROR(INDEX(土地清冊_匯入!$V$6:$V$1005,MATCH($A250,土地清冊_匯入!$A$6:$A$1005,0)),""))</f>
        <v/>
      </c>
      <c r="J250" s="14" t="n"/>
      <c r="K250" s="7" t="n"/>
      <c r="L250" s="7" t="n"/>
      <c r="M250" s="7" t="n"/>
      <c r="N250" s="7" t="n"/>
      <c r="O250" s="7" t="n"/>
      <c r="P250" s="7" t="n"/>
      <c r="Q250" s="14" t="n"/>
      <c r="R250" s="7" t="n"/>
      <c r="S250" s="7" t="n"/>
      <c r="T250" s="7" t="n"/>
      <c r="U250" s="12">
        <f>IF(A250="","",IF(OR(J250="",L250=""),"建議補聯絡紀錄","") )</f>
        <v/>
      </c>
    </row>
    <row r="251" ht="24" customHeight="1">
      <c r="A251" s="7" t="n"/>
      <c r="B251" s="7" t="n"/>
      <c r="C251" s="12">
        <f>IF($A251="","",IFERROR(INDEX(土地清冊_匯入!$B$6:$B$1005,MATCH($A251,土地清冊_匯入!$A$6:$A$1005,0)),"查無資料"))</f>
        <v/>
      </c>
      <c r="D251" s="12">
        <f>IF($A251="","",IFERROR(INDEX(土地清冊_匯入!$P$6:$P$1005,MATCH($A251,土地清冊_匯入!$A$6:$A$1005,0)),""))</f>
        <v/>
      </c>
      <c r="E251" s="12">
        <f>IF($A251="","",IFERROR(INDEX(土地清冊_匯入!$Q$6:$Q$1005,MATCH($A251,土地清冊_匯入!$A$6:$A$1005,0)),""))</f>
        <v/>
      </c>
      <c r="F251" s="12">
        <f>IF($A251="","",IFERROR(INDEX(土地清冊_匯入!$R$6:$R$1005,MATCH($A251,土地清冊_匯入!$A$6:$A$1005,0)),""))</f>
        <v/>
      </c>
      <c r="G251" s="12">
        <f>IF($A251="","",IFERROR(INDEX(土地清冊_匯入!$S$6:$S$1005,MATCH($A251,土地清冊_匯入!$A$6:$A$1005,0)),""))</f>
        <v/>
      </c>
      <c r="H251" s="12">
        <f>IF($A251="","",IFERROR(INDEX(土地清冊_匯入!$T$6:$T$1005,MATCH($A251,土地清冊_匯入!$A$6:$A$1005,0)),""))</f>
        <v/>
      </c>
      <c r="I251" s="12">
        <f>IF($A251="","",IFERROR(INDEX(土地清冊_匯入!$V$6:$V$1005,MATCH($A251,土地清冊_匯入!$A$6:$A$1005,0)),""))</f>
        <v/>
      </c>
      <c r="J251" s="14" t="n"/>
      <c r="K251" s="7" t="n"/>
      <c r="L251" s="7" t="n"/>
      <c r="M251" s="7" t="n"/>
      <c r="N251" s="7" t="n"/>
      <c r="O251" s="7" t="n"/>
      <c r="P251" s="7" t="n"/>
      <c r="Q251" s="14" t="n"/>
      <c r="R251" s="7" t="n"/>
      <c r="S251" s="7" t="n"/>
      <c r="T251" s="7" t="n"/>
      <c r="U251" s="12">
        <f>IF(A251="","",IF(OR(J251="",L251=""),"建議補聯絡紀錄","") )</f>
        <v/>
      </c>
    </row>
    <row r="252" ht="24" customHeight="1">
      <c r="A252" s="7" t="n"/>
      <c r="B252" s="7" t="n"/>
      <c r="C252" s="12">
        <f>IF($A252="","",IFERROR(INDEX(土地清冊_匯入!$B$6:$B$1005,MATCH($A252,土地清冊_匯入!$A$6:$A$1005,0)),"查無資料"))</f>
        <v/>
      </c>
      <c r="D252" s="12">
        <f>IF($A252="","",IFERROR(INDEX(土地清冊_匯入!$P$6:$P$1005,MATCH($A252,土地清冊_匯入!$A$6:$A$1005,0)),""))</f>
        <v/>
      </c>
      <c r="E252" s="12">
        <f>IF($A252="","",IFERROR(INDEX(土地清冊_匯入!$Q$6:$Q$1005,MATCH($A252,土地清冊_匯入!$A$6:$A$1005,0)),""))</f>
        <v/>
      </c>
      <c r="F252" s="12">
        <f>IF($A252="","",IFERROR(INDEX(土地清冊_匯入!$R$6:$R$1005,MATCH($A252,土地清冊_匯入!$A$6:$A$1005,0)),""))</f>
        <v/>
      </c>
      <c r="G252" s="12">
        <f>IF($A252="","",IFERROR(INDEX(土地清冊_匯入!$S$6:$S$1005,MATCH($A252,土地清冊_匯入!$A$6:$A$1005,0)),""))</f>
        <v/>
      </c>
      <c r="H252" s="12">
        <f>IF($A252="","",IFERROR(INDEX(土地清冊_匯入!$T$6:$T$1005,MATCH($A252,土地清冊_匯入!$A$6:$A$1005,0)),""))</f>
        <v/>
      </c>
      <c r="I252" s="12">
        <f>IF($A252="","",IFERROR(INDEX(土地清冊_匯入!$V$6:$V$1005,MATCH($A252,土地清冊_匯入!$A$6:$A$1005,0)),""))</f>
        <v/>
      </c>
      <c r="J252" s="14" t="n"/>
      <c r="K252" s="7" t="n"/>
      <c r="L252" s="7" t="n"/>
      <c r="M252" s="7" t="n"/>
      <c r="N252" s="7" t="n"/>
      <c r="O252" s="7" t="n"/>
      <c r="P252" s="7" t="n"/>
      <c r="Q252" s="14" t="n"/>
      <c r="R252" s="7" t="n"/>
      <c r="S252" s="7" t="n"/>
      <c r="T252" s="7" t="n"/>
      <c r="U252" s="12">
        <f>IF(A252="","",IF(OR(J252="",L252=""),"建議補聯絡紀錄","") )</f>
        <v/>
      </c>
    </row>
    <row r="253" ht="24" customHeight="1">
      <c r="A253" s="7" t="n"/>
      <c r="B253" s="7" t="n"/>
      <c r="C253" s="12">
        <f>IF($A253="","",IFERROR(INDEX(土地清冊_匯入!$B$6:$B$1005,MATCH($A253,土地清冊_匯入!$A$6:$A$1005,0)),"查無資料"))</f>
        <v/>
      </c>
      <c r="D253" s="12">
        <f>IF($A253="","",IFERROR(INDEX(土地清冊_匯入!$P$6:$P$1005,MATCH($A253,土地清冊_匯入!$A$6:$A$1005,0)),""))</f>
        <v/>
      </c>
      <c r="E253" s="12">
        <f>IF($A253="","",IFERROR(INDEX(土地清冊_匯入!$Q$6:$Q$1005,MATCH($A253,土地清冊_匯入!$A$6:$A$1005,0)),""))</f>
        <v/>
      </c>
      <c r="F253" s="12">
        <f>IF($A253="","",IFERROR(INDEX(土地清冊_匯入!$R$6:$R$1005,MATCH($A253,土地清冊_匯入!$A$6:$A$1005,0)),""))</f>
        <v/>
      </c>
      <c r="G253" s="12">
        <f>IF($A253="","",IFERROR(INDEX(土地清冊_匯入!$S$6:$S$1005,MATCH($A253,土地清冊_匯入!$A$6:$A$1005,0)),""))</f>
        <v/>
      </c>
      <c r="H253" s="12">
        <f>IF($A253="","",IFERROR(INDEX(土地清冊_匯入!$T$6:$T$1005,MATCH($A253,土地清冊_匯入!$A$6:$A$1005,0)),""))</f>
        <v/>
      </c>
      <c r="I253" s="12">
        <f>IF($A253="","",IFERROR(INDEX(土地清冊_匯入!$V$6:$V$1005,MATCH($A253,土地清冊_匯入!$A$6:$A$1005,0)),""))</f>
        <v/>
      </c>
      <c r="J253" s="14" t="n"/>
      <c r="K253" s="7" t="n"/>
      <c r="L253" s="7" t="n"/>
      <c r="M253" s="7" t="n"/>
      <c r="N253" s="7" t="n"/>
      <c r="O253" s="7" t="n"/>
      <c r="P253" s="7" t="n"/>
      <c r="Q253" s="14" t="n"/>
      <c r="R253" s="7" t="n"/>
      <c r="S253" s="7" t="n"/>
      <c r="T253" s="7" t="n"/>
      <c r="U253" s="12">
        <f>IF(A253="","",IF(OR(J253="",L253=""),"建議補聯絡紀錄","") )</f>
        <v/>
      </c>
    </row>
    <row r="254" ht="24" customHeight="1">
      <c r="A254" s="7" t="n"/>
      <c r="B254" s="7" t="n"/>
      <c r="C254" s="12">
        <f>IF($A254="","",IFERROR(INDEX(土地清冊_匯入!$B$6:$B$1005,MATCH($A254,土地清冊_匯入!$A$6:$A$1005,0)),"查無資料"))</f>
        <v/>
      </c>
      <c r="D254" s="12">
        <f>IF($A254="","",IFERROR(INDEX(土地清冊_匯入!$P$6:$P$1005,MATCH($A254,土地清冊_匯入!$A$6:$A$1005,0)),""))</f>
        <v/>
      </c>
      <c r="E254" s="12">
        <f>IF($A254="","",IFERROR(INDEX(土地清冊_匯入!$Q$6:$Q$1005,MATCH($A254,土地清冊_匯入!$A$6:$A$1005,0)),""))</f>
        <v/>
      </c>
      <c r="F254" s="12">
        <f>IF($A254="","",IFERROR(INDEX(土地清冊_匯入!$R$6:$R$1005,MATCH($A254,土地清冊_匯入!$A$6:$A$1005,0)),""))</f>
        <v/>
      </c>
      <c r="G254" s="12">
        <f>IF($A254="","",IFERROR(INDEX(土地清冊_匯入!$S$6:$S$1005,MATCH($A254,土地清冊_匯入!$A$6:$A$1005,0)),""))</f>
        <v/>
      </c>
      <c r="H254" s="12">
        <f>IF($A254="","",IFERROR(INDEX(土地清冊_匯入!$T$6:$T$1005,MATCH($A254,土地清冊_匯入!$A$6:$A$1005,0)),""))</f>
        <v/>
      </c>
      <c r="I254" s="12">
        <f>IF($A254="","",IFERROR(INDEX(土地清冊_匯入!$V$6:$V$1005,MATCH($A254,土地清冊_匯入!$A$6:$A$1005,0)),""))</f>
        <v/>
      </c>
      <c r="J254" s="14" t="n"/>
      <c r="K254" s="7" t="n"/>
      <c r="L254" s="7" t="n"/>
      <c r="M254" s="7" t="n"/>
      <c r="N254" s="7" t="n"/>
      <c r="O254" s="7" t="n"/>
      <c r="P254" s="7" t="n"/>
      <c r="Q254" s="14" t="n"/>
      <c r="R254" s="7" t="n"/>
      <c r="S254" s="7" t="n"/>
      <c r="T254" s="7" t="n"/>
      <c r="U254" s="12">
        <f>IF(A254="","",IF(OR(J254="",L254=""),"建議補聯絡紀錄","") )</f>
        <v/>
      </c>
    </row>
    <row r="255" ht="24" customHeight="1">
      <c r="A255" s="7" t="n"/>
      <c r="B255" s="7" t="n"/>
      <c r="C255" s="12">
        <f>IF($A255="","",IFERROR(INDEX(土地清冊_匯入!$B$6:$B$1005,MATCH($A255,土地清冊_匯入!$A$6:$A$1005,0)),"查無資料"))</f>
        <v/>
      </c>
      <c r="D255" s="12">
        <f>IF($A255="","",IFERROR(INDEX(土地清冊_匯入!$P$6:$P$1005,MATCH($A255,土地清冊_匯入!$A$6:$A$1005,0)),""))</f>
        <v/>
      </c>
      <c r="E255" s="12">
        <f>IF($A255="","",IFERROR(INDEX(土地清冊_匯入!$Q$6:$Q$1005,MATCH($A255,土地清冊_匯入!$A$6:$A$1005,0)),""))</f>
        <v/>
      </c>
      <c r="F255" s="12">
        <f>IF($A255="","",IFERROR(INDEX(土地清冊_匯入!$R$6:$R$1005,MATCH($A255,土地清冊_匯入!$A$6:$A$1005,0)),""))</f>
        <v/>
      </c>
      <c r="G255" s="12">
        <f>IF($A255="","",IFERROR(INDEX(土地清冊_匯入!$S$6:$S$1005,MATCH($A255,土地清冊_匯入!$A$6:$A$1005,0)),""))</f>
        <v/>
      </c>
      <c r="H255" s="12">
        <f>IF($A255="","",IFERROR(INDEX(土地清冊_匯入!$T$6:$T$1005,MATCH($A255,土地清冊_匯入!$A$6:$A$1005,0)),""))</f>
        <v/>
      </c>
      <c r="I255" s="12">
        <f>IF($A255="","",IFERROR(INDEX(土地清冊_匯入!$V$6:$V$1005,MATCH($A255,土地清冊_匯入!$A$6:$A$1005,0)),""))</f>
        <v/>
      </c>
      <c r="J255" s="14" t="n"/>
      <c r="K255" s="7" t="n"/>
      <c r="L255" s="7" t="n"/>
      <c r="M255" s="7" t="n"/>
      <c r="N255" s="7" t="n"/>
      <c r="O255" s="7" t="n"/>
      <c r="P255" s="7" t="n"/>
      <c r="Q255" s="14" t="n"/>
      <c r="R255" s="7" t="n"/>
      <c r="S255" s="7" t="n"/>
      <c r="T255" s="7" t="n"/>
      <c r="U255" s="12">
        <f>IF(A255="","",IF(OR(J255="",L255=""),"建議補聯絡紀錄","") )</f>
        <v/>
      </c>
    </row>
    <row r="256" ht="24" customHeight="1">
      <c r="A256" s="7" t="n"/>
      <c r="B256" s="7" t="n"/>
      <c r="C256" s="12">
        <f>IF($A256="","",IFERROR(INDEX(土地清冊_匯入!$B$6:$B$1005,MATCH($A256,土地清冊_匯入!$A$6:$A$1005,0)),"查無資料"))</f>
        <v/>
      </c>
      <c r="D256" s="12">
        <f>IF($A256="","",IFERROR(INDEX(土地清冊_匯入!$P$6:$P$1005,MATCH($A256,土地清冊_匯入!$A$6:$A$1005,0)),""))</f>
        <v/>
      </c>
      <c r="E256" s="12">
        <f>IF($A256="","",IFERROR(INDEX(土地清冊_匯入!$Q$6:$Q$1005,MATCH($A256,土地清冊_匯入!$A$6:$A$1005,0)),""))</f>
        <v/>
      </c>
      <c r="F256" s="12">
        <f>IF($A256="","",IFERROR(INDEX(土地清冊_匯入!$R$6:$R$1005,MATCH($A256,土地清冊_匯入!$A$6:$A$1005,0)),""))</f>
        <v/>
      </c>
      <c r="G256" s="12">
        <f>IF($A256="","",IFERROR(INDEX(土地清冊_匯入!$S$6:$S$1005,MATCH($A256,土地清冊_匯入!$A$6:$A$1005,0)),""))</f>
        <v/>
      </c>
      <c r="H256" s="12">
        <f>IF($A256="","",IFERROR(INDEX(土地清冊_匯入!$T$6:$T$1005,MATCH($A256,土地清冊_匯入!$A$6:$A$1005,0)),""))</f>
        <v/>
      </c>
      <c r="I256" s="12">
        <f>IF($A256="","",IFERROR(INDEX(土地清冊_匯入!$V$6:$V$1005,MATCH($A256,土地清冊_匯入!$A$6:$A$1005,0)),""))</f>
        <v/>
      </c>
      <c r="J256" s="14" t="n"/>
      <c r="K256" s="7" t="n"/>
      <c r="L256" s="7" t="n"/>
      <c r="M256" s="7" t="n"/>
      <c r="N256" s="7" t="n"/>
      <c r="O256" s="7" t="n"/>
      <c r="P256" s="7" t="n"/>
      <c r="Q256" s="14" t="n"/>
      <c r="R256" s="7" t="n"/>
      <c r="S256" s="7" t="n"/>
      <c r="T256" s="7" t="n"/>
      <c r="U256" s="12">
        <f>IF(A256="","",IF(OR(J256="",L256=""),"建議補聯絡紀錄","") )</f>
        <v/>
      </c>
    </row>
    <row r="257" ht="24" customHeight="1">
      <c r="A257" s="7" t="n"/>
      <c r="B257" s="7" t="n"/>
      <c r="C257" s="12">
        <f>IF($A257="","",IFERROR(INDEX(土地清冊_匯入!$B$6:$B$1005,MATCH($A257,土地清冊_匯入!$A$6:$A$1005,0)),"查無資料"))</f>
        <v/>
      </c>
      <c r="D257" s="12">
        <f>IF($A257="","",IFERROR(INDEX(土地清冊_匯入!$P$6:$P$1005,MATCH($A257,土地清冊_匯入!$A$6:$A$1005,0)),""))</f>
        <v/>
      </c>
      <c r="E257" s="12">
        <f>IF($A257="","",IFERROR(INDEX(土地清冊_匯入!$Q$6:$Q$1005,MATCH($A257,土地清冊_匯入!$A$6:$A$1005,0)),""))</f>
        <v/>
      </c>
      <c r="F257" s="12">
        <f>IF($A257="","",IFERROR(INDEX(土地清冊_匯入!$R$6:$R$1005,MATCH($A257,土地清冊_匯入!$A$6:$A$1005,0)),""))</f>
        <v/>
      </c>
      <c r="G257" s="12">
        <f>IF($A257="","",IFERROR(INDEX(土地清冊_匯入!$S$6:$S$1005,MATCH($A257,土地清冊_匯入!$A$6:$A$1005,0)),""))</f>
        <v/>
      </c>
      <c r="H257" s="12">
        <f>IF($A257="","",IFERROR(INDEX(土地清冊_匯入!$T$6:$T$1005,MATCH($A257,土地清冊_匯入!$A$6:$A$1005,0)),""))</f>
        <v/>
      </c>
      <c r="I257" s="12">
        <f>IF($A257="","",IFERROR(INDEX(土地清冊_匯入!$V$6:$V$1005,MATCH($A257,土地清冊_匯入!$A$6:$A$1005,0)),""))</f>
        <v/>
      </c>
      <c r="J257" s="14" t="n"/>
      <c r="K257" s="7" t="n"/>
      <c r="L257" s="7" t="n"/>
      <c r="M257" s="7" t="n"/>
      <c r="N257" s="7" t="n"/>
      <c r="O257" s="7" t="n"/>
      <c r="P257" s="7" t="n"/>
      <c r="Q257" s="14" t="n"/>
      <c r="R257" s="7" t="n"/>
      <c r="S257" s="7" t="n"/>
      <c r="T257" s="7" t="n"/>
      <c r="U257" s="12">
        <f>IF(A257="","",IF(OR(J257="",L257=""),"建議補聯絡紀錄","") )</f>
        <v/>
      </c>
    </row>
    <row r="258" ht="24" customHeight="1">
      <c r="A258" s="7" t="n"/>
      <c r="B258" s="7" t="n"/>
      <c r="C258" s="12">
        <f>IF($A258="","",IFERROR(INDEX(土地清冊_匯入!$B$6:$B$1005,MATCH($A258,土地清冊_匯入!$A$6:$A$1005,0)),"查無資料"))</f>
        <v/>
      </c>
      <c r="D258" s="12">
        <f>IF($A258="","",IFERROR(INDEX(土地清冊_匯入!$P$6:$P$1005,MATCH($A258,土地清冊_匯入!$A$6:$A$1005,0)),""))</f>
        <v/>
      </c>
      <c r="E258" s="12">
        <f>IF($A258="","",IFERROR(INDEX(土地清冊_匯入!$Q$6:$Q$1005,MATCH($A258,土地清冊_匯入!$A$6:$A$1005,0)),""))</f>
        <v/>
      </c>
      <c r="F258" s="12">
        <f>IF($A258="","",IFERROR(INDEX(土地清冊_匯入!$R$6:$R$1005,MATCH($A258,土地清冊_匯入!$A$6:$A$1005,0)),""))</f>
        <v/>
      </c>
      <c r="G258" s="12">
        <f>IF($A258="","",IFERROR(INDEX(土地清冊_匯入!$S$6:$S$1005,MATCH($A258,土地清冊_匯入!$A$6:$A$1005,0)),""))</f>
        <v/>
      </c>
      <c r="H258" s="12">
        <f>IF($A258="","",IFERROR(INDEX(土地清冊_匯入!$T$6:$T$1005,MATCH($A258,土地清冊_匯入!$A$6:$A$1005,0)),""))</f>
        <v/>
      </c>
      <c r="I258" s="12">
        <f>IF($A258="","",IFERROR(INDEX(土地清冊_匯入!$V$6:$V$1005,MATCH($A258,土地清冊_匯入!$A$6:$A$1005,0)),""))</f>
        <v/>
      </c>
      <c r="J258" s="14" t="n"/>
      <c r="K258" s="7" t="n"/>
      <c r="L258" s="7" t="n"/>
      <c r="M258" s="7" t="n"/>
      <c r="N258" s="7" t="n"/>
      <c r="O258" s="7" t="n"/>
      <c r="P258" s="7" t="n"/>
      <c r="Q258" s="14" t="n"/>
      <c r="R258" s="7" t="n"/>
      <c r="S258" s="7" t="n"/>
      <c r="T258" s="7" t="n"/>
      <c r="U258" s="12">
        <f>IF(A258="","",IF(OR(J258="",L258=""),"建議補聯絡紀錄","") )</f>
        <v/>
      </c>
    </row>
    <row r="259" ht="24" customHeight="1">
      <c r="A259" s="7" t="n"/>
      <c r="B259" s="7" t="n"/>
      <c r="C259" s="12">
        <f>IF($A259="","",IFERROR(INDEX(土地清冊_匯入!$B$6:$B$1005,MATCH($A259,土地清冊_匯入!$A$6:$A$1005,0)),"查無資料"))</f>
        <v/>
      </c>
      <c r="D259" s="12">
        <f>IF($A259="","",IFERROR(INDEX(土地清冊_匯入!$P$6:$P$1005,MATCH($A259,土地清冊_匯入!$A$6:$A$1005,0)),""))</f>
        <v/>
      </c>
      <c r="E259" s="12">
        <f>IF($A259="","",IFERROR(INDEX(土地清冊_匯入!$Q$6:$Q$1005,MATCH($A259,土地清冊_匯入!$A$6:$A$1005,0)),""))</f>
        <v/>
      </c>
      <c r="F259" s="12">
        <f>IF($A259="","",IFERROR(INDEX(土地清冊_匯入!$R$6:$R$1005,MATCH($A259,土地清冊_匯入!$A$6:$A$1005,0)),""))</f>
        <v/>
      </c>
      <c r="G259" s="12">
        <f>IF($A259="","",IFERROR(INDEX(土地清冊_匯入!$S$6:$S$1005,MATCH($A259,土地清冊_匯入!$A$6:$A$1005,0)),""))</f>
        <v/>
      </c>
      <c r="H259" s="12">
        <f>IF($A259="","",IFERROR(INDEX(土地清冊_匯入!$T$6:$T$1005,MATCH($A259,土地清冊_匯入!$A$6:$A$1005,0)),""))</f>
        <v/>
      </c>
      <c r="I259" s="12">
        <f>IF($A259="","",IFERROR(INDEX(土地清冊_匯入!$V$6:$V$1005,MATCH($A259,土地清冊_匯入!$A$6:$A$1005,0)),""))</f>
        <v/>
      </c>
      <c r="J259" s="14" t="n"/>
      <c r="K259" s="7" t="n"/>
      <c r="L259" s="7" t="n"/>
      <c r="M259" s="7" t="n"/>
      <c r="N259" s="7" t="n"/>
      <c r="O259" s="7" t="n"/>
      <c r="P259" s="7" t="n"/>
      <c r="Q259" s="14" t="n"/>
      <c r="R259" s="7" t="n"/>
      <c r="S259" s="7" t="n"/>
      <c r="T259" s="7" t="n"/>
      <c r="U259" s="12">
        <f>IF(A259="","",IF(OR(J259="",L259=""),"建議補聯絡紀錄","") )</f>
        <v/>
      </c>
    </row>
    <row r="260" ht="24" customHeight="1">
      <c r="A260" s="7" t="n"/>
      <c r="B260" s="7" t="n"/>
      <c r="C260" s="12">
        <f>IF($A260="","",IFERROR(INDEX(土地清冊_匯入!$B$6:$B$1005,MATCH($A260,土地清冊_匯入!$A$6:$A$1005,0)),"查無資料"))</f>
        <v/>
      </c>
      <c r="D260" s="12">
        <f>IF($A260="","",IFERROR(INDEX(土地清冊_匯入!$P$6:$P$1005,MATCH($A260,土地清冊_匯入!$A$6:$A$1005,0)),""))</f>
        <v/>
      </c>
      <c r="E260" s="12">
        <f>IF($A260="","",IFERROR(INDEX(土地清冊_匯入!$Q$6:$Q$1005,MATCH($A260,土地清冊_匯入!$A$6:$A$1005,0)),""))</f>
        <v/>
      </c>
      <c r="F260" s="12">
        <f>IF($A260="","",IFERROR(INDEX(土地清冊_匯入!$R$6:$R$1005,MATCH($A260,土地清冊_匯入!$A$6:$A$1005,0)),""))</f>
        <v/>
      </c>
      <c r="G260" s="12">
        <f>IF($A260="","",IFERROR(INDEX(土地清冊_匯入!$S$6:$S$1005,MATCH($A260,土地清冊_匯入!$A$6:$A$1005,0)),""))</f>
        <v/>
      </c>
      <c r="H260" s="12">
        <f>IF($A260="","",IFERROR(INDEX(土地清冊_匯入!$T$6:$T$1005,MATCH($A260,土地清冊_匯入!$A$6:$A$1005,0)),""))</f>
        <v/>
      </c>
      <c r="I260" s="12">
        <f>IF($A260="","",IFERROR(INDEX(土地清冊_匯入!$V$6:$V$1005,MATCH($A260,土地清冊_匯入!$A$6:$A$1005,0)),""))</f>
        <v/>
      </c>
      <c r="J260" s="14" t="n"/>
      <c r="K260" s="7" t="n"/>
      <c r="L260" s="7" t="n"/>
      <c r="M260" s="7" t="n"/>
      <c r="N260" s="7" t="n"/>
      <c r="O260" s="7" t="n"/>
      <c r="P260" s="7" t="n"/>
      <c r="Q260" s="14" t="n"/>
      <c r="R260" s="7" t="n"/>
      <c r="S260" s="7" t="n"/>
      <c r="T260" s="7" t="n"/>
      <c r="U260" s="12">
        <f>IF(A260="","",IF(OR(J260="",L260=""),"建議補聯絡紀錄","") )</f>
        <v/>
      </c>
    </row>
    <row r="261" ht="24" customHeight="1">
      <c r="A261" s="7" t="n"/>
      <c r="B261" s="7" t="n"/>
      <c r="C261" s="12">
        <f>IF($A261="","",IFERROR(INDEX(土地清冊_匯入!$B$6:$B$1005,MATCH($A261,土地清冊_匯入!$A$6:$A$1005,0)),"查無資料"))</f>
        <v/>
      </c>
      <c r="D261" s="12">
        <f>IF($A261="","",IFERROR(INDEX(土地清冊_匯入!$P$6:$P$1005,MATCH($A261,土地清冊_匯入!$A$6:$A$1005,0)),""))</f>
        <v/>
      </c>
      <c r="E261" s="12">
        <f>IF($A261="","",IFERROR(INDEX(土地清冊_匯入!$Q$6:$Q$1005,MATCH($A261,土地清冊_匯入!$A$6:$A$1005,0)),""))</f>
        <v/>
      </c>
      <c r="F261" s="12">
        <f>IF($A261="","",IFERROR(INDEX(土地清冊_匯入!$R$6:$R$1005,MATCH($A261,土地清冊_匯入!$A$6:$A$1005,0)),""))</f>
        <v/>
      </c>
      <c r="G261" s="12">
        <f>IF($A261="","",IFERROR(INDEX(土地清冊_匯入!$S$6:$S$1005,MATCH($A261,土地清冊_匯入!$A$6:$A$1005,0)),""))</f>
        <v/>
      </c>
      <c r="H261" s="12">
        <f>IF($A261="","",IFERROR(INDEX(土地清冊_匯入!$T$6:$T$1005,MATCH($A261,土地清冊_匯入!$A$6:$A$1005,0)),""))</f>
        <v/>
      </c>
      <c r="I261" s="12">
        <f>IF($A261="","",IFERROR(INDEX(土地清冊_匯入!$V$6:$V$1005,MATCH($A261,土地清冊_匯入!$A$6:$A$1005,0)),""))</f>
        <v/>
      </c>
      <c r="J261" s="14" t="n"/>
      <c r="K261" s="7" t="n"/>
      <c r="L261" s="7" t="n"/>
      <c r="M261" s="7" t="n"/>
      <c r="N261" s="7" t="n"/>
      <c r="O261" s="7" t="n"/>
      <c r="P261" s="7" t="n"/>
      <c r="Q261" s="14" t="n"/>
      <c r="R261" s="7" t="n"/>
      <c r="S261" s="7" t="n"/>
      <c r="T261" s="7" t="n"/>
      <c r="U261" s="12">
        <f>IF(A261="","",IF(OR(J261="",L261=""),"建議補聯絡紀錄","") )</f>
        <v/>
      </c>
    </row>
    <row r="262" ht="24" customHeight="1">
      <c r="A262" s="7" t="n"/>
      <c r="B262" s="7" t="n"/>
      <c r="C262" s="12">
        <f>IF($A262="","",IFERROR(INDEX(土地清冊_匯入!$B$6:$B$1005,MATCH($A262,土地清冊_匯入!$A$6:$A$1005,0)),"查無資料"))</f>
        <v/>
      </c>
      <c r="D262" s="12">
        <f>IF($A262="","",IFERROR(INDEX(土地清冊_匯入!$P$6:$P$1005,MATCH($A262,土地清冊_匯入!$A$6:$A$1005,0)),""))</f>
        <v/>
      </c>
      <c r="E262" s="12">
        <f>IF($A262="","",IFERROR(INDEX(土地清冊_匯入!$Q$6:$Q$1005,MATCH($A262,土地清冊_匯入!$A$6:$A$1005,0)),""))</f>
        <v/>
      </c>
      <c r="F262" s="12">
        <f>IF($A262="","",IFERROR(INDEX(土地清冊_匯入!$R$6:$R$1005,MATCH($A262,土地清冊_匯入!$A$6:$A$1005,0)),""))</f>
        <v/>
      </c>
      <c r="G262" s="12">
        <f>IF($A262="","",IFERROR(INDEX(土地清冊_匯入!$S$6:$S$1005,MATCH($A262,土地清冊_匯入!$A$6:$A$1005,0)),""))</f>
        <v/>
      </c>
      <c r="H262" s="12">
        <f>IF($A262="","",IFERROR(INDEX(土地清冊_匯入!$T$6:$T$1005,MATCH($A262,土地清冊_匯入!$A$6:$A$1005,0)),""))</f>
        <v/>
      </c>
      <c r="I262" s="12">
        <f>IF($A262="","",IFERROR(INDEX(土地清冊_匯入!$V$6:$V$1005,MATCH($A262,土地清冊_匯入!$A$6:$A$1005,0)),""))</f>
        <v/>
      </c>
      <c r="J262" s="14" t="n"/>
      <c r="K262" s="7" t="n"/>
      <c r="L262" s="7" t="n"/>
      <c r="M262" s="7" t="n"/>
      <c r="N262" s="7" t="n"/>
      <c r="O262" s="7" t="n"/>
      <c r="P262" s="7" t="n"/>
      <c r="Q262" s="14" t="n"/>
      <c r="R262" s="7" t="n"/>
      <c r="S262" s="7" t="n"/>
      <c r="T262" s="7" t="n"/>
      <c r="U262" s="12">
        <f>IF(A262="","",IF(OR(J262="",L262=""),"建議補聯絡紀錄","") )</f>
        <v/>
      </c>
    </row>
    <row r="263" ht="24" customHeight="1">
      <c r="A263" s="7" t="n"/>
      <c r="B263" s="7" t="n"/>
      <c r="C263" s="12">
        <f>IF($A263="","",IFERROR(INDEX(土地清冊_匯入!$B$6:$B$1005,MATCH($A263,土地清冊_匯入!$A$6:$A$1005,0)),"查無資料"))</f>
        <v/>
      </c>
      <c r="D263" s="12">
        <f>IF($A263="","",IFERROR(INDEX(土地清冊_匯入!$P$6:$P$1005,MATCH($A263,土地清冊_匯入!$A$6:$A$1005,0)),""))</f>
        <v/>
      </c>
      <c r="E263" s="12">
        <f>IF($A263="","",IFERROR(INDEX(土地清冊_匯入!$Q$6:$Q$1005,MATCH($A263,土地清冊_匯入!$A$6:$A$1005,0)),""))</f>
        <v/>
      </c>
      <c r="F263" s="12">
        <f>IF($A263="","",IFERROR(INDEX(土地清冊_匯入!$R$6:$R$1005,MATCH($A263,土地清冊_匯入!$A$6:$A$1005,0)),""))</f>
        <v/>
      </c>
      <c r="G263" s="12">
        <f>IF($A263="","",IFERROR(INDEX(土地清冊_匯入!$S$6:$S$1005,MATCH($A263,土地清冊_匯入!$A$6:$A$1005,0)),""))</f>
        <v/>
      </c>
      <c r="H263" s="12">
        <f>IF($A263="","",IFERROR(INDEX(土地清冊_匯入!$T$6:$T$1005,MATCH($A263,土地清冊_匯入!$A$6:$A$1005,0)),""))</f>
        <v/>
      </c>
      <c r="I263" s="12">
        <f>IF($A263="","",IFERROR(INDEX(土地清冊_匯入!$V$6:$V$1005,MATCH($A263,土地清冊_匯入!$A$6:$A$1005,0)),""))</f>
        <v/>
      </c>
      <c r="J263" s="14" t="n"/>
      <c r="K263" s="7" t="n"/>
      <c r="L263" s="7" t="n"/>
      <c r="M263" s="7" t="n"/>
      <c r="N263" s="7" t="n"/>
      <c r="O263" s="7" t="n"/>
      <c r="P263" s="7" t="n"/>
      <c r="Q263" s="14" t="n"/>
      <c r="R263" s="7" t="n"/>
      <c r="S263" s="7" t="n"/>
      <c r="T263" s="7" t="n"/>
      <c r="U263" s="12">
        <f>IF(A263="","",IF(OR(J263="",L263=""),"建議補聯絡紀錄","") )</f>
        <v/>
      </c>
    </row>
    <row r="264" ht="24" customHeight="1">
      <c r="A264" s="7" t="n"/>
      <c r="B264" s="7" t="n"/>
      <c r="C264" s="12">
        <f>IF($A264="","",IFERROR(INDEX(土地清冊_匯入!$B$6:$B$1005,MATCH($A264,土地清冊_匯入!$A$6:$A$1005,0)),"查無資料"))</f>
        <v/>
      </c>
      <c r="D264" s="12">
        <f>IF($A264="","",IFERROR(INDEX(土地清冊_匯入!$P$6:$P$1005,MATCH($A264,土地清冊_匯入!$A$6:$A$1005,0)),""))</f>
        <v/>
      </c>
      <c r="E264" s="12">
        <f>IF($A264="","",IFERROR(INDEX(土地清冊_匯入!$Q$6:$Q$1005,MATCH($A264,土地清冊_匯入!$A$6:$A$1005,0)),""))</f>
        <v/>
      </c>
      <c r="F264" s="12">
        <f>IF($A264="","",IFERROR(INDEX(土地清冊_匯入!$R$6:$R$1005,MATCH($A264,土地清冊_匯入!$A$6:$A$1005,0)),""))</f>
        <v/>
      </c>
      <c r="G264" s="12">
        <f>IF($A264="","",IFERROR(INDEX(土地清冊_匯入!$S$6:$S$1005,MATCH($A264,土地清冊_匯入!$A$6:$A$1005,0)),""))</f>
        <v/>
      </c>
      <c r="H264" s="12">
        <f>IF($A264="","",IFERROR(INDEX(土地清冊_匯入!$T$6:$T$1005,MATCH($A264,土地清冊_匯入!$A$6:$A$1005,0)),""))</f>
        <v/>
      </c>
      <c r="I264" s="12">
        <f>IF($A264="","",IFERROR(INDEX(土地清冊_匯入!$V$6:$V$1005,MATCH($A264,土地清冊_匯入!$A$6:$A$1005,0)),""))</f>
        <v/>
      </c>
      <c r="J264" s="14" t="n"/>
      <c r="K264" s="7" t="n"/>
      <c r="L264" s="7" t="n"/>
      <c r="M264" s="7" t="n"/>
      <c r="N264" s="7" t="n"/>
      <c r="O264" s="7" t="n"/>
      <c r="P264" s="7" t="n"/>
      <c r="Q264" s="14" t="n"/>
      <c r="R264" s="7" t="n"/>
      <c r="S264" s="7" t="n"/>
      <c r="T264" s="7" t="n"/>
      <c r="U264" s="12">
        <f>IF(A264="","",IF(OR(J264="",L264=""),"建議補聯絡紀錄","") )</f>
        <v/>
      </c>
    </row>
    <row r="265" ht="24" customHeight="1">
      <c r="A265" s="7" t="n"/>
      <c r="B265" s="7" t="n"/>
      <c r="C265" s="12">
        <f>IF($A265="","",IFERROR(INDEX(土地清冊_匯入!$B$6:$B$1005,MATCH($A265,土地清冊_匯入!$A$6:$A$1005,0)),"查無資料"))</f>
        <v/>
      </c>
      <c r="D265" s="12">
        <f>IF($A265="","",IFERROR(INDEX(土地清冊_匯入!$P$6:$P$1005,MATCH($A265,土地清冊_匯入!$A$6:$A$1005,0)),""))</f>
        <v/>
      </c>
      <c r="E265" s="12">
        <f>IF($A265="","",IFERROR(INDEX(土地清冊_匯入!$Q$6:$Q$1005,MATCH($A265,土地清冊_匯入!$A$6:$A$1005,0)),""))</f>
        <v/>
      </c>
      <c r="F265" s="12">
        <f>IF($A265="","",IFERROR(INDEX(土地清冊_匯入!$R$6:$R$1005,MATCH($A265,土地清冊_匯入!$A$6:$A$1005,0)),""))</f>
        <v/>
      </c>
      <c r="G265" s="12">
        <f>IF($A265="","",IFERROR(INDEX(土地清冊_匯入!$S$6:$S$1005,MATCH($A265,土地清冊_匯入!$A$6:$A$1005,0)),""))</f>
        <v/>
      </c>
      <c r="H265" s="12">
        <f>IF($A265="","",IFERROR(INDEX(土地清冊_匯入!$T$6:$T$1005,MATCH($A265,土地清冊_匯入!$A$6:$A$1005,0)),""))</f>
        <v/>
      </c>
      <c r="I265" s="12">
        <f>IF($A265="","",IFERROR(INDEX(土地清冊_匯入!$V$6:$V$1005,MATCH($A265,土地清冊_匯入!$A$6:$A$1005,0)),""))</f>
        <v/>
      </c>
      <c r="J265" s="14" t="n"/>
      <c r="K265" s="7" t="n"/>
      <c r="L265" s="7" t="n"/>
      <c r="M265" s="7" t="n"/>
      <c r="N265" s="7" t="n"/>
      <c r="O265" s="7" t="n"/>
      <c r="P265" s="7" t="n"/>
      <c r="Q265" s="14" t="n"/>
      <c r="R265" s="7" t="n"/>
      <c r="S265" s="7" t="n"/>
      <c r="T265" s="7" t="n"/>
      <c r="U265" s="12">
        <f>IF(A265="","",IF(OR(J265="",L265=""),"建議補聯絡紀錄","") )</f>
        <v/>
      </c>
    </row>
    <row r="266" ht="24" customHeight="1">
      <c r="A266" s="7" t="n"/>
      <c r="B266" s="7" t="n"/>
      <c r="C266" s="12">
        <f>IF($A266="","",IFERROR(INDEX(土地清冊_匯入!$B$6:$B$1005,MATCH($A266,土地清冊_匯入!$A$6:$A$1005,0)),"查無資料"))</f>
        <v/>
      </c>
      <c r="D266" s="12">
        <f>IF($A266="","",IFERROR(INDEX(土地清冊_匯入!$P$6:$P$1005,MATCH($A266,土地清冊_匯入!$A$6:$A$1005,0)),""))</f>
        <v/>
      </c>
      <c r="E266" s="12">
        <f>IF($A266="","",IFERROR(INDEX(土地清冊_匯入!$Q$6:$Q$1005,MATCH($A266,土地清冊_匯入!$A$6:$A$1005,0)),""))</f>
        <v/>
      </c>
      <c r="F266" s="12">
        <f>IF($A266="","",IFERROR(INDEX(土地清冊_匯入!$R$6:$R$1005,MATCH($A266,土地清冊_匯入!$A$6:$A$1005,0)),""))</f>
        <v/>
      </c>
      <c r="G266" s="12">
        <f>IF($A266="","",IFERROR(INDEX(土地清冊_匯入!$S$6:$S$1005,MATCH($A266,土地清冊_匯入!$A$6:$A$1005,0)),""))</f>
        <v/>
      </c>
      <c r="H266" s="12">
        <f>IF($A266="","",IFERROR(INDEX(土地清冊_匯入!$T$6:$T$1005,MATCH($A266,土地清冊_匯入!$A$6:$A$1005,0)),""))</f>
        <v/>
      </c>
      <c r="I266" s="12">
        <f>IF($A266="","",IFERROR(INDEX(土地清冊_匯入!$V$6:$V$1005,MATCH($A266,土地清冊_匯入!$A$6:$A$1005,0)),""))</f>
        <v/>
      </c>
      <c r="J266" s="14" t="n"/>
      <c r="K266" s="7" t="n"/>
      <c r="L266" s="7" t="n"/>
      <c r="M266" s="7" t="n"/>
      <c r="N266" s="7" t="n"/>
      <c r="O266" s="7" t="n"/>
      <c r="P266" s="7" t="n"/>
      <c r="Q266" s="14" t="n"/>
      <c r="R266" s="7" t="n"/>
      <c r="S266" s="7" t="n"/>
      <c r="T266" s="7" t="n"/>
      <c r="U266" s="12">
        <f>IF(A266="","",IF(OR(J266="",L266=""),"建議補聯絡紀錄","") )</f>
        <v/>
      </c>
    </row>
    <row r="267" ht="24" customHeight="1">
      <c r="A267" s="7" t="n"/>
      <c r="B267" s="7" t="n"/>
      <c r="C267" s="12">
        <f>IF($A267="","",IFERROR(INDEX(土地清冊_匯入!$B$6:$B$1005,MATCH($A267,土地清冊_匯入!$A$6:$A$1005,0)),"查無資料"))</f>
        <v/>
      </c>
      <c r="D267" s="12">
        <f>IF($A267="","",IFERROR(INDEX(土地清冊_匯入!$P$6:$P$1005,MATCH($A267,土地清冊_匯入!$A$6:$A$1005,0)),""))</f>
        <v/>
      </c>
      <c r="E267" s="12">
        <f>IF($A267="","",IFERROR(INDEX(土地清冊_匯入!$Q$6:$Q$1005,MATCH($A267,土地清冊_匯入!$A$6:$A$1005,0)),""))</f>
        <v/>
      </c>
      <c r="F267" s="12">
        <f>IF($A267="","",IFERROR(INDEX(土地清冊_匯入!$R$6:$R$1005,MATCH($A267,土地清冊_匯入!$A$6:$A$1005,0)),""))</f>
        <v/>
      </c>
      <c r="G267" s="12">
        <f>IF($A267="","",IFERROR(INDEX(土地清冊_匯入!$S$6:$S$1005,MATCH($A267,土地清冊_匯入!$A$6:$A$1005,0)),""))</f>
        <v/>
      </c>
      <c r="H267" s="12">
        <f>IF($A267="","",IFERROR(INDEX(土地清冊_匯入!$T$6:$T$1005,MATCH($A267,土地清冊_匯入!$A$6:$A$1005,0)),""))</f>
        <v/>
      </c>
      <c r="I267" s="12">
        <f>IF($A267="","",IFERROR(INDEX(土地清冊_匯入!$V$6:$V$1005,MATCH($A267,土地清冊_匯入!$A$6:$A$1005,0)),""))</f>
        <v/>
      </c>
      <c r="J267" s="14" t="n"/>
      <c r="K267" s="7" t="n"/>
      <c r="L267" s="7" t="n"/>
      <c r="M267" s="7" t="n"/>
      <c r="N267" s="7" t="n"/>
      <c r="O267" s="7" t="n"/>
      <c r="P267" s="7" t="n"/>
      <c r="Q267" s="14" t="n"/>
      <c r="R267" s="7" t="n"/>
      <c r="S267" s="7" t="n"/>
      <c r="T267" s="7" t="n"/>
      <c r="U267" s="12">
        <f>IF(A267="","",IF(OR(J267="",L267=""),"建議補聯絡紀錄","") )</f>
        <v/>
      </c>
    </row>
    <row r="268" ht="24" customHeight="1">
      <c r="A268" s="7" t="n"/>
      <c r="B268" s="7" t="n"/>
      <c r="C268" s="12">
        <f>IF($A268="","",IFERROR(INDEX(土地清冊_匯入!$B$6:$B$1005,MATCH($A268,土地清冊_匯入!$A$6:$A$1005,0)),"查無資料"))</f>
        <v/>
      </c>
      <c r="D268" s="12">
        <f>IF($A268="","",IFERROR(INDEX(土地清冊_匯入!$P$6:$P$1005,MATCH($A268,土地清冊_匯入!$A$6:$A$1005,0)),""))</f>
        <v/>
      </c>
      <c r="E268" s="12">
        <f>IF($A268="","",IFERROR(INDEX(土地清冊_匯入!$Q$6:$Q$1005,MATCH($A268,土地清冊_匯入!$A$6:$A$1005,0)),""))</f>
        <v/>
      </c>
      <c r="F268" s="12">
        <f>IF($A268="","",IFERROR(INDEX(土地清冊_匯入!$R$6:$R$1005,MATCH($A268,土地清冊_匯入!$A$6:$A$1005,0)),""))</f>
        <v/>
      </c>
      <c r="G268" s="12">
        <f>IF($A268="","",IFERROR(INDEX(土地清冊_匯入!$S$6:$S$1005,MATCH($A268,土地清冊_匯入!$A$6:$A$1005,0)),""))</f>
        <v/>
      </c>
      <c r="H268" s="12">
        <f>IF($A268="","",IFERROR(INDEX(土地清冊_匯入!$T$6:$T$1005,MATCH($A268,土地清冊_匯入!$A$6:$A$1005,0)),""))</f>
        <v/>
      </c>
      <c r="I268" s="12">
        <f>IF($A268="","",IFERROR(INDEX(土地清冊_匯入!$V$6:$V$1005,MATCH($A268,土地清冊_匯入!$A$6:$A$1005,0)),""))</f>
        <v/>
      </c>
      <c r="J268" s="14" t="n"/>
      <c r="K268" s="7" t="n"/>
      <c r="L268" s="7" t="n"/>
      <c r="M268" s="7" t="n"/>
      <c r="N268" s="7" t="n"/>
      <c r="O268" s="7" t="n"/>
      <c r="P268" s="7" t="n"/>
      <c r="Q268" s="14" t="n"/>
      <c r="R268" s="7" t="n"/>
      <c r="S268" s="7" t="n"/>
      <c r="T268" s="7" t="n"/>
      <c r="U268" s="12">
        <f>IF(A268="","",IF(OR(J268="",L268=""),"建議補聯絡紀錄","") )</f>
        <v/>
      </c>
    </row>
    <row r="269" ht="24" customHeight="1">
      <c r="A269" s="7" t="n"/>
      <c r="B269" s="7" t="n"/>
      <c r="C269" s="12">
        <f>IF($A269="","",IFERROR(INDEX(土地清冊_匯入!$B$6:$B$1005,MATCH($A269,土地清冊_匯入!$A$6:$A$1005,0)),"查無資料"))</f>
        <v/>
      </c>
      <c r="D269" s="12">
        <f>IF($A269="","",IFERROR(INDEX(土地清冊_匯入!$P$6:$P$1005,MATCH($A269,土地清冊_匯入!$A$6:$A$1005,0)),""))</f>
        <v/>
      </c>
      <c r="E269" s="12">
        <f>IF($A269="","",IFERROR(INDEX(土地清冊_匯入!$Q$6:$Q$1005,MATCH($A269,土地清冊_匯入!$A$6:$A$1005,0)),""))</f>
        <v/>
      </c>
      <c r="F269" s="12">
        <f>IF($A269="","",IFERROR(INDEX(土地清冊_匯入!$R$6:$R$1005,MATCH($A269,土地清冊_匯入!$A$6:$A$1005,0)),""))</f>
        <v/>
      </c>
      <c r="G269" s="12">
        <f>IF($A269="","",IFERROR(INDEX(土地清冊_匯入!$S$6:$S$1005,MATCH($A269,土地清冊_匯入!$A$6:$A$1005,0)),""))</f>
        <v/>
      </c>
      <c r="H269" s="12">
        <f>IF($A269="","",IFERROR(INDEX(土地清冊_匯入!$T$6:$T$1005,MATCH($A269,土地清冊_匯入!$A$6:$A$1005,0)),""))</f>
        <v/>
      </c>
      <c r="I269" s="12">
        <f>IF($A269="","",IFERROR(INDEX(土地清冊_匯入!$V$6:$V$1005,MATCH($A269,土地清冊_匯入!$A$6:$A$1005,0)),""))</f>
        <v/>
      </c>
      <c r="J269" s="14" t="n"/>
      <c r="K269" s="7" t="n"/>
      <c r="L269" s="7" t="n"/>
      <c r="M269" s="7" t="n"/>
      <c r="N269" s="7" t="n"/>
      <c r="O269" s="7" t="n"/>
      <c r="P269" s="7" t="n"/>
      <c r="Q269" s="14" t="n"/>
      <c r="R269" s="7" t="n"/>
      <c r="S269" s="7" t="n"/>
      <c r="T269" s="7" t="n"/>
      <c r="U269" s="12">
        <f>IF(A269="","",IF(OR(J269="",L269=""),"建議補聯絡紀錄","") )</f>
        <v/>
      </c>
    </row>
    <row r="270" ht="24" customHeight="1">
      <c r="A270" s="7" t="n"/>
      <c r="B270" s="7" t="n"/>
      <c r="C270" s="12">
        <f>IF($A270="","",IFERROR(INDEX(土地清冊_匯入!$B$6:$B$1005,MATCH($A270,土地清冊_匯入!$A$6:$A$1005,0)),"查無資料"))</f>
        <v/>
      </c>
      <c r="D270" s="12">
        <f>IF($A270="","",IFERROR(INDEX(土地清冊_匯入!$P$6:$P$1005,MATCH($A270,土地清冊_匯入!$A$6:$A$1005,0)),""))</f>
        <v/>
      </c>
      <c r="E270" s="12">
        <f>IF($A270="","",IFERROR(INDEX(土地清冊_匯入!$Q$6:$Q$1005,MATCH($A270,土地清冊_匯入!$A$6:$A$1005,0)),""))</f>
        <v/>
      </c>
      <c r="F270" s="12">
        <f>IF($A270="","",IFERROR(INDEX(土地清冊_匯入!$R$6:$R$1005,MATCH($A270,土地清冊_匯入!$A$6:$A$1005,0)),""))</f>
        <v/>
      </c>
      <c r="G270" s="12">
        <f>IF($A270="","",IFERROR(INDEX(土地清冊_匯入!$S$6:$S$1005,MATCH($A270,土地清冊_匯入!$A$6:$A$1005,0)),""))</f>
        <v/>
      </c>
      <c r="H270" s="12">
        <f>IF($A270="","",IFERROR(INDEX(土地清冊_匯入!$T$6:$T$1005,MATCH($A270,土地清冊_匯入!$A$6:$A$1005,0)),""))</f>
        <v/>
      </c>
      <c r="I270" s="12">
        <f>IF($A270="","",IFERROR(INDEX(土地清冊_匯入!$V$6:$V$1005,MATCH($A270,土地清冊_匯入!$A$6:$A$1005,0)),""))</f>
        <v/>
      </c>
      <c r="J270" s="14" t="n"/>
      <c r="K270" s="7" t="n"/>
      <c r="L270" s="7" t="n"/>
      <c r="M270" s="7" t="n"/>
      <c r="N270" s="7" t="n"/>
      <c r="O270" s="7" t="n"/>
      <c r="P270" s="7" t="n"/>
      <c r="Q270" s="14" t="n"/>
      <c r="R270" s="7" t="n"/>
      <c r="S270" s="7" t="n"/>
      <c r="T270" s="7" t="n"/>
      <c r="U270" s="12">
        <f>IF(A270="","",IF(OR(J270="",L270=""),"建議補聯絡紀錄","") )</f>
        <v/>
      </c>
    </row>
    <row r="271" ht="24" customHeight="1">
      <c r="A271" s="7" t="n"/>
      <c r="B271" s="7" t="n"/>
      <c r="C271" s="12">
        <f>IF($A271="","",IFERROR(INDEX(土地清冊_匯入!$B$6:$B$1005,MATCH($A271,土地清冊_匯入!$A$6:$A$1005,0)),"查無資料"))</f>
        <v/>
      </c>
      <c r="D271" s="12">
        <f>IF($A271="","",IFERROR(INDEX(土地清冊_匯入!$P$6:$P$1005,MATCH($A271,土地清冊_匯入!$A$6:$A$1005,0)),""))</f>
        <v/>
      </c>
      <c r="E271" s="12">
        <f>IF($A271="","",IFERROR(INDEX(土地清冊_匯入!$Q$6:$Q$1005,MATCH($A271,土地清冊_匯入!$A$6:$A$1005,0)),""))</f>
        <v/>
      </c>
      <c r="F271" s="12">
        <f>IF($A271="","",IFERROR(INDEX(土地清冊_匯入!$R$6:$R$1005,MATCH($A271,土地清冊_匯入!$A$6:$A$1005,0)),""))</f>
        <v/>
      </c>
      <c r="G271" s="12">
        <f>IF($A271="","",IFERROR(INDEX(土地清冊_匯入!$S$6:$S$1005,MATCH($A271,土地清冊_匯入!$A$6:$A$1005,0)),""))</f>
        <v/>
      </c>
      <c r="H271" s="12">
        <f>IF($A271="","",IFERROR(INDEX(土地清冊_匯入!$T$6:$T$1005,MATCH($A271,土地清冊_匯入!$A$6:$A$1005,0)),""))</f>
        <v/>
      </c>
      <c r="I271" s="12">
        <f>IF($A271="","",IFERROR(INDEX(土地清冊_匯入!$V$6:$V$1005,MATCH($A271,土地清冊_匯入!$A$6:$A$1005,0)),""))</f>
        <v/>
      </c>
      <c r="J271" s="14" t="n"/>
      <c r="K271" s="7" t="n"/>
      <c r="L271" s="7" t="n"/>
      <c r="M271" s="7" t="n"/>
      <c r="N271" s="7" t="n"/>
      <c r="O271" s="7" t="n"/>
      <c r="P271" s="7" t="n"/>
      <c r="Q271" s="14" t="n"/>
      <c r="R271" s="7" t="n"/>
      <c r="S271" s="7" t="n"/>
      <c r="T271" s="7" t="n"/>
      <c r="U271" s="12">
        <f>IF(A271="","",IF(OR(J271="",L271=""),"建議補聯絡紀錄","") )</f>
        <v/>
      </c>
    </row>
    <row r="272" ht="24" customHeight="1">
      <c r="A272" s="7" t="n"/>
      <c r="B272" s="7" t="n"/>
      <c r="C272" s="12">
        <f>IF($A272="","",IFERROR(INDEX(土地清冊_匯入!$B$6:$B$1005,MATCH($A272,土地清冊_匯入!$A$6:$A$1005,0)),"查無資料"))</f>
        <v/>
      </c>
      <c r="D272" s="12">
        <f>IF($A272="","",IFERROR(INDEX(土地清冊_匯入!$P$6:$P$1005,MATCH($A272,土地清冊_匯入!$A$6:$A$1005,0)),""))</f>
        <v/>
      </c>
      <c r="E272" s="12">
        <f>IF($A272="","",IFERROR(INDEX(土地清冊_匯入!$Q$6:$Q$1005,MATCH($A272,土地清冊_匯入!$A$6:$A$1005,0)),""))</f>
        <v/>
      </c>
      <c r="F272" s="12">
        <f>IF($A272="","",IFERROR(INDEX(土地清冊_匯入!$R$6:$R$1005,MATCH($A272,土地清冊_匯入!$A$6:$A$1005,0)),""))</f>
        <v/>
      </c>
      <c r="G272" s="12">
        <f>IF($A272="","",IFERROR(INDEX(土地清冊_匯入!$S$6:$S$1005,MATCH($A272,土地清冊_匯入!$A$6:$A$1005,0)),""))</f>
        <v/>
      </c>
      <c r="H272" s="12">
        <f>IF($A272="","",IFERROR(INDEX(土地清冊_匯入!$T$6:$T$1005,MATCH($A272,土地清冊_匯入!$A$6:$A$1005,0)),""))</f>
        <v/>
      </c>
      <c r="I272" s="12">
        <f>IF($A272="","",IFERROR(INDEX(土地清冊_匯入!$V$6:$V$1005,MATCH($A272,土地清冊_匯入!$A$6:$A$1005,0)),""))</f>
        <v/>
      </c>
      <c r="J272" s="14" t="n"/>
      <c r="K272" s="7" t="n"/>
      <c r="L272" s="7" t="n"/>
      <c r="M272" s="7" t="n"/>
      <c r="N272" s="7" t="n"/>
      <c r="O272" s="7" t="n"/>
      <c r="P272" s="7" t="n"/>
      <c r="Q272" s="14" t="n"/>
      <c r="R272" s="7" t="n"/>
      <c r="S272" s="7" t="n"/>
      <c r="T272" s="7" t="n"/>
      <c r="U272" s="12">
        <f>IF(A272="","",IF(OR(J272="",L272=""),"建議補聯絡紀錄","") )</f>
        <v/>
      </c>
    </row>
    <row r="273" ht="24" customHeight="1">
      <c r="A273" s="7" t="n"/>
      <c r="B273" s="7" t="n"/>
      <c r="C273" s="12">
        <f>IF($A273="","",IFERROR(INDEX(土地清冊_匯入!$B$6:$B$1005,MATCH($A273,土地清冊_匯入!$A$6:$A$1005,0)),"查無資料"))</f>
        <v/>
      </c>
      <c r="D273" s="12">
        <f>IF($A273="","",IFERROR(INDEX(土地清冊_匯入!$P$6:$P$1005,MATCH($A273,土地清冊_匯入!$A$6:$A$1005,0)),""))</f>
        <v/>
      </c>
      <c r="E273" s="12">
        <f>IF($A273="","",IFERROR(INDEX(土地清冊_匯入!$Q$6:$Q$1005,MATCH($A273,土地清冊_匯入!$A$6:$A$1005,0)),""))</f>
        <v/>
      </c>
      <c r="F273" s="12">
        <f>IF($A273="","",IFERROR(INDEX(土地清冊_匯入!$R$6:$R$1005,MATCH($A273,土地清冊_匯入!$A$6:$A$1005,0)),""))</f>
        <v/>
      </c>
      <c r="G273" s="12">
        <f>IF($A273="","",IFERROR(INDEX(土地清冊_匯入!$S$6:$S$1005,MATCH($A273,土地清冊_匯入!$A$6:$A$1005,0)),""))</f>
        <v/>
      </c>
      <c r="H273" s="12">
        <f>IF($A273="","",IFERROR(INDEX(土地清冊_匯入!$T$6:$T$1005,MATCH($A273,土地清冊_匯入!$A$6:$A$1005,0)),""))</f>
        <v/>
      </c>
      <c r="I273" s="12">
        <f>IF($A273="","",IFERROR(INDEX(土地清冊_匯入!$V$6:$V$1005,MATCH($A273,土地清冊_匯入!$A$6:$A$1005,0)),""))</f>
        <v/>
      </c>
      <c r="J273" s="14" t="n"/>
      <c r="K273" s="7" t="n"/>
      <c r="L273" s="7" t="n"/>
      <c r="M273" s="7" t="n"/>
      <c r="N273" s="7" t="n"/>
      <c r="O273" s="7" t="n"/>
      <c r="P273" s="7" t="n"/>
      <c r="Q273" s="14" t="n"/>
      <c r="R273" s="7" t="n"/>
      <c r="S273" s="7" t="n"/>
      <c r="T273" s="7" t="n"/>
      <c r="U273" s="12">
        <f>IF(A273="","",IF(OR(J273="",L273=""),"建議補聯絡紀錄","") )</f>
        <v/>
      </c>
    </row>
    <row r="274" ht="24" customHeight="1">
      <c r="A274" s="7" t="n"/>
      <c r="B274" s="7" t="n"/>
      <c r="C274" s="12">
        <f>IF($A274="","",IFERROR(INDEX(土地清冊_匯入!$B$6:$B$1005,MATCH($A274,土地清冊_匯入!$A$6:$A$1005,0)),"查無資料"))</f>
        <v/>
      </c>
      <c r="D274" s="12">
        <f>IF($A274="","",IFERROR(INDEX(土地清冊_匯入!$P$6:$P$1005,MATCH($A274,土地清冊_匯入!$A$6:$A$1005,0)),""))</f>
        <v/>
      </c>
      <c r="E274" s="12">
        <f>IF($A274="","",IFERROR(INDEX(土地清冊_匯入!$Q$6:$Q$1005,MATCH($A274,土地清冊_匯入!$A$6:$A$1005,0)),""))</f>
        <v/>
      </c>
      <c r="F274" s="12">
        <f>IF($A274="","",IFERROR(INDEX(土地清冊_匯入!$R$6:$R$1005,MATCH($A274,土地清冊_匯入!$A$6:$A$1005,0)),""))</f>
        <v/>
      </c>
      <c r="G274" s="12">
        <f>IF($A274="","",IFERROR(INDEX(土地清冊_匯入!$S$6:$S$1005,MATCH($A274,土地清冊_匯入!$A$6:$A$1005,0)),""))</f>
        <v/>
      </c>
      <c r="H274" s="12">
        <f>IF($A274="","",IFERROR(INDEX(土地清冊_匯入!$T$6:$T$1005,MATCH($A274,土地清冊_匯入!$A$6:$A$1005,0)),""))</f>
        <v/>
      </c>
      <c r="I274" s="12">
        <f>IF($A274="","",IFERROR(INDEX(土地清冊_匯入!$V$6:$V$1005,MATCH($A274,土地清冊_匯入!$A$6:$A$1005,0)),""))</f>
        <v/>
      </c>
      <c r="J274" s="14" t="n"/>
      <c r="K274" s="7" t="n"/>
      <c r="L274" s="7" t="n"/>
      <c r="M274" s="7" t="n"/>
      <c r="N274" s="7" t="n"/>
      <c r="O274" s="7" t="n"/>
      <c r="P274" s="7" t="n"/>
      <c r="Q274" s="14" t="n"/>
      <c r="R274" s="7" t="n"/>
      <c r="S274" s="7" t="n"/>
      <c r="T274" s="7" t="n"/>
      <c r="U274" s="12">
        <f>IF(A274="","",IF(OR(J274="",L274=""),"建議補聯絡紀錄","") )</f>
        <v/>
      </c>
    </row>
    <row r="275" ht="24" customHeight="1">
      <c r="A275" s="7" t="n"/>
      <c r="B275" s="7" t="n"/>
      <c r="C275" s="12">
        <f>IF($A275="","",IFERROR(INDEX(土地清冊_匯入!$B$6:$B$1005,MATCH($A275,土地清冊_匯入!$A$6:$A$1005,0)),"查無資料"))</f>
        <v/>
      </c>
      <c r="D275" s="12">
        <f>IF($A275="","",IFERROR(INDEX(土地清冊_匯入!$P$6:$P$1005,MATCH($A275,土地清冊_匯入!$A$6:$A$1005,0)),""))</f>
        <v/>
      </c>
      <c r="E275" s="12">
        <f>IF($A275="","",IFERROR(INDEX(土地清冊_匯入!$Q$6:$Q$1005,MATCH($A275,土地清冊_匯入!$A$6:$A$1005,0)),""))</f>
        <v/>
      </c>
      <c r="F275" s="12">
        <f>IF($A275="","",IFERROR(INDEX(土地清冊_匯入!$R$6:$R$1005,MATCH($A275,土地清冊_匯入!$A$6:$A$1005,0)),""))</f>
        <v/>
      </c>
      <c r="G275" s="12">
        <f>IF($A275="","",IFERROR(INDEX(土地清冊_匯入!$S$6:$S$1005,MATCH($A275,土地清冊_匯入!$A$6:$A$1005,0)),""))</f>
        <v/>
      </c>
      <c r="H275" s="12">
        <f>IF($A275="","",IFERROR(INDEX(土地清冊_匯入!$T$6:$T$1005,MATCH($A275,土地清冊_匯入!$A$6:$A$1005,0)),""))</f>
        <v/>
      </c>
      <c r="I275" s="12">
        <f>IF($A275="","",IFERROR(INDEX(土地清冊_匯入!$V$6:$V$1005,MATCH($A275,土地清冊_匯入!$A$6:$A$1005,0)),""))</f>
        <v/>
      </c>
      <c r="J275" s="14" t="n"/>
      <c r="K275" s="7" t="n"/>
      <c r="L275" s="7" t="n"/>
      <c r="M275" s="7" t="n"/>
      <c r="N275" s="7" t="n"/>
      <c r="O275" s="7" t="n"/>
      <c r="P275" s="7" t="n"/>
      <c r="Q275" s="14" t="n"/>
      <c r="R275" s="7" t="n"/>
      <c r="S275" s="7" t="n"/>
      <c r="T275" s="7" t="n"/>
      <c r="U275" s="12">
        <f>IF(A275="","",IF(OR(J275="",L275=""),"建議補聯絡紀錄","") )</f>
        <v/>
      </c>
    </row>
    <row r="276" ht="24" customHeight="1">
      <c r="A276" s="7" t="n"/>
      <c r="B276" s="7" t="n"/>
      <c r="C276" s="12">
        <f>IF($A276="","",IFERROR(INDEX(土地清冊_匯入!$B$6:$B$1005,MATCH($A276,土地清冊_匯入!$A$6:$A$1005,0)),"查無資料"))</f>
        <v/>
      </c>
      <c r="D276" s="12">
        <f>IF($A276="","",IFERROR(INDEX(土地清冊_匯入!$P$6:$P$1005,MATCH($A276,土地清冊_匯入!$A$6:$A$1005,0)),""))</f>
        <v/>
      </c>
      <c r="E276" s="12">
        <f>IF($A276="","",IFERROR(INDEX(土地清冊_匯入!$Q$6:$Q$1005,MATCH($A276,土地清冊_匯入!$A$6:$A$1005,0)),""))</f>
        <v/>
      </c>
      <c r="F276" s="12">
        <f>IF($A276="","",IFERROR(INDEX(土地清冊_匯入!$R$6:$R$1005,MATCH($A276,土地清冊_匯入!$A$6:$A$1005,0)),""))</f>
        <v/>
      </c>
      <c r="G276" s="12">
        <f>IF($A276="","",IFERROR(INDEX(土地清冊_匯入!$S$6:$S$1005,MATCH($A276,土地清冊_匯入!$A$6:$A$1005,0)),""))</f>
        <v/>
      </c>
      <c r="H276" s="12">
        <f>IF($A276="","",IFERROR(INDEX(土地清冊_匯入!$T$6:$T$1005,MATCH($A276,土地清冊_匯入!$A$6:$A$1005,0)),""))</f>
        <v/>
      </c>
      <c r="I276" s="12">
        <f>IF($A276="","",IFERROR(INDEX(土地清冊_匯入!$V$6:$V$1005,MATCH($A276,土地清冊_匯入!$A$6:$A$1005,0)),""))</f>
        <v/>
      </c>
      <c r="J276" s="14" t="n"/>
      <c r="K276" s="7" t="n"/>
      <c r="L276" s="7" t="n"/>
      <c r="M276" s="7" t="n"/>
      <c r="N276" s="7" t="n"/>
      <c r="O276" s="7" t="n"/>
      <c r="P276" s="7" t="n"/>
      <c r="Q276" s="14" t="n"/>
      <c r="R276" s="7" t="n"/>
      <c r="S276" s="7" t="n"/>
      <c r="T276" s="7" t="n"/>
      <c r="U276" s="12">
        <f>IF(A276="","",IF(OR(J276="",L276=""),"建議補聯絡紀錄","") )</f>
        <v/>
      </c>
    </row>
    <row r="277" ht="24" customHeight="1">
      <c r="A277" s="7" t="n"/>
      <c r="B277" s="7" t="n"/>
      <c r="C277" s="12">
        <f>IF($A277="","",IFERROR(INDEX(土地清冊_匯入!$B$6:$B$1005,MATCH($A277,土地清冊_匯入!$A$6:$A$1005,0)),"查無資料"))</f>
        <v/>
      </c>
      <c r="D277" s="12">
        <f>IF($A277="","",IFERROR(INDEX(土地清冊_匯入!$P$6:$P$1005,MATCH($A277,土地清冊_匯入!$A$6:$A$1005,0)),""))</f>
        <v/>
      </c>
      <c r="E277" s="12">
        <f>IF($A277="","",IFERROR(INDEX(土地清冊_匯入!$Q$6:$Q$1005,MATCH($A277,土地清冊_匯入!$A$6:$A$1005,0)),""))</f>
        <v/>
      </c>
      <c r="F277" s="12">
        <f>IF($A277="","",IFERROR(INDEX(土地清冊_匯入!$R$6:$R$1005,MATCH($A277,土地清冊_匯入!$A$6:$A$1005,0)),""))</f>
        <v/>
      </c>
      <c r="G277" s="12">
        <f>IF($A277="","",IFERROR(INDEX(土地清冊_匯入!$S$6:$S$1005,MATCH($A277,土地清冊_匯入!$A$6:$A$1005,0)),""))</f>
        <v/>
      </c>
      <c r="H277" s="12">
        <f>IF($A277="","",IFERROR(INDEX(土地清冊_匯入!$T$6:$T$1005,MATCH($A277,土地清冊_匯入!$A$6:$A$1005,0)),""))</f>
        <v/>
      </c>
      <c r="I277" s="12">
        <f>IF($A277="","",IFERROR(INDEX(土地清冊_匯入!$V$6:$V$1005,MATCH($A277,土地清冊_匯入!$A$6:$A$1005,0)),""))</f>
        <v/>
      </c>
      <c r="J277" s="14" t="n"/>
      <c r="K277" s="7" t="n"/>
      <c r="L277" s="7" t="n"/>
      <c r="M277" s="7" t="n"/>
      <c r="N277" s="7" t="n"/>
      <c r="O277" s="7" t="n"/>
      <c r="P277" s="7" t="n"/>
      <c r="Q277" s="14" t="n"/>
      <c r="R277" s="7" t="n"/>
      <c r="S277" s="7" t="n"/>
      <c r="T277" s="7" t="n"/>
      <c r="U277" s="12">
        <f>IF(A277="","",IF(OR(J277="",L277=""),"建議補聯絡紀錄","") )</f>
        <v/>
      </c>
    </row>
    <row r="278" ht="24" customHeight="1">
      <c r="A278" s="7" t="n"/>
      <c r="B278" s="7" t="n"/>
      <c r="C278" s="12">
        <f>IF($A278="","",IFERROR(INDEX(土地清冊_匯入!$B$6:$B$1005,MATCH($A278,土地清冊_匯入!$A$6:$A$1005,0)),"查無資料"))</f>
        <v/>
      </c>
      <c r="D278" s="12">
        <f>IF($A278="","",IFERROR(INDEX(土地清冊_匯入!$P$6:$P$1005,MATCH($A278,土地清冊_匯入!$A$6:$A$1005,0)),""))</f>
        <v/>
      </c>
      <c r="E278" s="12">
        <f>IF($A278="","",IFERROR(INDEX(土地清冊_匯入!$Q$6:$Q$1005,MATCH($A278,土地清冊_匯入!$A$6:$A$1005,0)),""))</f>
        <v/>
      </c>
      <c r="F278" s="12">
        <f>IF($A278="","",IFERROR(INDEX(土地清冊_匯入!$R$6:$R$1005,MATCH($A278,土地清冊_匯入!$A$6:$A$1005,0)),""))</f>
        <v/>
      </c>
      <c r="G278" s="12">
        <f>IF($A278="","",IFERROR(INDEX(土地清冊_匯入!$S$6:$S$1005,MATCH($A278,土地清冊_匯入!$A$6:$A$1005,0)),""))</f>
        <v/>
      </c>
      <c r="H278" s="12">
        <f>IF($A278="","",IFERROR(INDEX(土地清冊_匯入!$T$6:$T$1005,MATCH($A278,土地清冊_匯入!$A$6:$A$1005,0)),""))</f>
        <v/>
      </c>
      <c r="I278" s="12">
        <f>IF($A278="","",IFERROR(INDEX(土地清冊_匯入!$V$6:$V$1005,MATCH($A278,土地清冊_匯入!$A$6:$A$1005,0)),""))</f>
        <v/>
      </c>
      <c r="J278" s="14" t="n"/>
      <c r="K278" s="7" t="n"/>
      <c r="L278" s="7" t="n"/>
      <c r="M278" s="7" t="n"/>
      <c r="N278" s="7" t="n"/>
      <c r="O278" s="7" t="n"/>
      <c r="P278" s="7" t="n"/>
      <c r="Q278" s="14" t="n"/>
      <c r="R278" s="7" t="n"/>
      <c r="S278" s="7" t="n"/>
      <c r="T278" s="7" t="n"/>
      <c r="U278" s="12">
        <f>IF(A278="","",IF(OR(J278="",L278=""),"建議補聯絡紀錄","") )</f>
        <v/>
      </c>
    </row>
    <row r="279" ht="24" customHeight="1">
      <c r="A279" s="7" t="n"/>
      <c r="B279" s="7" t="n"/>
      <c r="C279" s="12">
        <f>IF($A279="","",IFERROR(INDEX(土地清冊_匯入!$B$6:$B$1005,MATCH($A279,土地清冊_匯入!$A$6:$A$1005,0)),"查無資料"))</f>
        <v/>
      </c>
      <c r="D279" s="12">
        <f>IF($A279="","",IFERROR(INDEX(土地清冊_匯入!$P$6:$P$1005,MATCH($A279,土地清冊_匯入!$A$6:$A$1005,0)),""))</f>
        <v/>
      </c>
      <c r="E279" s="12">
        <f>IF($A279="","",IFERROR(INDEX(土地清冊_匯入!$Q$6:$Q$1005,MATCH($A279,土地清冊_匯入!$A$6:$A$1005,0)),""))</f>
        <v/>
      </c>
      <c r="F279" s="12">
        <f>IF($A279="","",IFERROR(INDEX(土地清冊_匯入!$R$6:$R$1005,MATCH($A279,土地清冊_匯入!$A$6:$A$1005,0)),""))</f>
        <v/>
      </c>
      <c r="G279" s="12">
        <f>IF($A279="","",IFERROR(INDEX(土地清冊_匯入!$S$6:$S$1005,MATCH($A279,土地清冊_匯入!$A$6:$A$1005,0)),""))</f>
        <v/>
      </c>
      <c r="H279" s="12">
        <f>IF($A279="","",IFERROR(INDEX(土地清冊_匯入!$T$6:$T$1005,MATCH($A279,土地清冊_匯入!$A$6:$A$1005,0)),""))</f>
        <v/>
      </c>
      <c r="I279" s="12">
        <f>IF($A279="","",IFERROR(INDEX(土地清冊_匯入!$V$6:$V$1005,MATCH($A279,土地清冊_匯入!$A$6:$A$1005,0)),""))</f>
        <v/>
      </c>
      <c r="J279" s="14" t="n"/>
      <c r="K279" s="7" t="n"/>
      <c r="L279" s="7" t="n"/>
      <c r="M279" s="7" t="n"/>
      <c r="N279" s="7" t="n"/>
      <c r="O279" s="7" t="n"/>
      <c r="P279" s="7" t="n"/>
      <c r="Q279" s="14" t="n"/>
      <c r="R279" s="7" t="n"/>
      <c r="S279" s="7" t="n"/>
      <c r="T279" s="7" t="n"/>
      <c r="U279" s="12">
        <f>IF(A279="","",IF(OR(J279="",L279=""),"建議補聯絡紀錄","") )</f>
        <v/>
      </c>
    </row>
    <row r="280" ht="24" customHeight="1">
      <c r="A280" s="7" t="n"/>
      <c r="B280" s="7" t="n"/>
      <c r="C280" s="12">
        <f>IF($A280="","",IFERROR(INDEX(土地清冊_匯入!$B$6:$B$1005,MATCH($A280,土地清冊_匯入!$A$6:$A$1005,0)),"查無資料"))</f>
        <v/>
      </c>
      <c r="D280" s="12">
        <f>IF($A280="","",IFERROR(INDEX(土地清冊_匯入!$P$6:$P$1005,MATCH($A280,土地清冊_匯入!$A$6:$A$1005,0)),""))</f>
        <v/>
      </c>
      <c r="E280" s="12">
        <f>IF($A280="","",IFERROR(INDEX(土地清冊_匯入!$Q$6:$Q$1005,MATCH($A280,土地清冊_匯入!$A$6:$A$1005,0)),""))</f>
        <v/>
      </c>
      <c r="F280" s="12">
        <f>IF($A280="","",IFERROR(INDEX(土地清冊_匯入!$R$6:$R$1005,MATCH($A280,土地清冊_匯入!$A$6:$A$1005,0)),""))</f>
        <v/>
      </c>
      <c r="G280" s="12">
        <f>IF($A280="","",IFERROR(INDEX(土地清冊_匯入!$S$6:$S$1005,MATCH($A280,土地清冊_匯入!$A$6:$A$1005,0)),""))</f>
        <v/>
      </c>
      <c r="H280" s="12">
        <f>IF($A280="","",IFERROR(INDEX(土地清冊_匯入!$T$6:$T$1005,MATCH($A280,土地清冊_匯入!$A$6:$A$1005,0)),""))</f>
        <v/>
      </c>
      <c r="I280" s="12">
        <f>IF($A280="","",IFERROR(INDEX(土地清冊_匯入!$V$6:$V$1005,MATCH($A280,土地清冊_匯入!$A$6:$A$1005,0)),""))</f>
        <v/>
      </c>
      <c r="J280" s="14" t="n"/>
      <c r="K280" s="7" t="n"/>
      <c r="L280" s="7" t="n"/>
      <c r="M280" s="7" t="n"/>
      <c r="N280" s="7" t="n"/>
      <c r="O280" s="7" t="n"/>
      <c r="P280" s="7" t="n"/>
      <c r="Q280" s="14" t="n"/>
      <c r="R280" s="7" t="n"/>
      <c r="S280" s="7" t="n"/>
      <c r="T280" s="7" t="n"/>
      <c r="U280" s="12">
        <f>IF(A280="","",IF(OR(J280="",L280=""),"建議補聯絡紀錄","") )</f>
        <v/>
      </c>
    </row>
    <row r="281" ht="24" customHeight="1">
      <c r="A281" s="7" t="n"/>
      <c r="B281" s="7" t="n"/>
      <c r="C281" s="12">
        <f>IF($A281="","",IFERROR(INDEX(土地清冊_匯入!$B$6:$B$1005,MATCH($A281,土地清冊_匯入!$A$6:$A$1005,0)),"查無資料"))</f>
        <v/>
      </c>
      <c r="D281" s="12">
        <f>IF($A281="","",IFERROR(INDEX(土地清冊_匯入!$P$6:$P$1005,MATCH($A281,土地清冊_匯入!$A$6:$A$1005,0)),""))</f>
        <v/>
      </c>
      <c r="E281" s="12">
        <f>IF($A281="","",IFERROR(INDEX(土地清冊_匯入!$Q$6:$Q$1005,MATCH($A281,土地清冊_匯入!$A$6:$A$1005,0)),""))</f>
        <v/>
      </c>
      <c r="F281" s="12">
        <f>IF($A281="","",IFERROR(INDEX(土地清冊_匯入!$R$6:$R$1005,MATCH($A281,土地清冊_匯入!$A$6:$A$1005,0)),""))</f>
        <v/>
      </c>
      <c r="G281" s="12">
        <f>IF($A281="","",IFERROR(INDEX(土地清冊_匯入!$S$6:$S$1005,MATCH($A281,土地清冊_匯入!$A$6:$A$1005,0)),""))</f>
        <v/>
      </c>
      <c r="H281" s="12">
        <f>IF($A281="","",IFERROR(INDEX(土地清冊_匯入!$T$6:$T$1005,MATCH($A281,土地清冊_匯入!$A$6:$A$1005,0)),""))</f>
        <v/>
      </c>
      <c r="I281" s="12">
        <f>IF($A281="","",IFERROR(INDEX(土地清冊_匯入!$V$6:$V$1005,MATCH($A281,土地清冊_匯入!$A$6:$A$1005,0)),""))</f>
        <v/>
      </c>
      <c r="J281" s="14" t="n"/>
      <c r="K281" s="7" t="n"/>
      <c r="L281" s="7" t="n"/>
      <c r="M281" s="7" t="n"/>
      <c r="N281" s="7" t="n"/>
      <c r="O281" s="7" t="n"/>
      <c r="P281" s="7" t="n"/>
      <c r="Q281" s="14" t="n"/>
      <c r="R281" s="7" t="n"/>
      <c r="S281" s="7" t="n"/>
      <c r="T281" s="7" t="n"/>
      <c r="U281" s="12">
        <f>IF(A281="","",IF(OR(J281="",L281=""),"建議補聯絡紀錄","") )</f>
        <v/>
      </c>
    </row>
    <row r="282" ht="24" customHeight="1">
      <c r="A282" s="7" t="n"/>
      <c r="B282" s="7" t="n"/>
      <c r="C282" s="12">
        <f>IF($A282="","",IFERROR(INDEX(土地清冊_匯入!$B$6:$B$1005,MATCH($A282,土地清冊_匯入!$A$6:$A$1005,0)),"查無資料"))</f>
        <v/>
      </c>
      <c r="D282" s="12">
        <f>IF($A282="","",IFERROR(INDEX(土地清冊_匯入!$P$6:$P$1005,MATCH($A282,土地清冊_匯入!$A$6:$A$1005,0)),""))</f>
        <v/>
      </c>
      <c r="E282" s="12">
        <f>IF($A282="","",IFERROR(INDEX(土地清冊_匯入!$Q$6:$Q$1005,MATCH($A282,土地清冊_匯入!$A$6:$A$1005,0)),""))</f>
        <v/>
      </c>
      <c r="F282" s="12">
        <f>IF($A282="","",IFERROR(INDEX(土地清冊_匯入!$R$6:$R$1005,MATCH($A282,土地清冊_匯入!$A$6:$A$1005,0)),""))</f>
        <v/>
      </c>
      <c r="G282" s="12">
        <f>IF($A282="","",IFERROR(INDEX(土地清冊_匯入!$S$6:$S$1005,MATCH($A282,土地清冊_匯入!$A$6:$A$1005,0)),""))</f>
        <v/>
      </c>
      <c r="H282" s="12">
        <f>IF($A282="","",IFERROR(INDEX(土地清冊_匯入!$T$6:$T$1005,MATCH($A282,土地清冊_匯入!$A$6:$A$1005,0)),""))</f>
        <v/>
      </c>
      <c r="I282" s="12">
        <f>IF($A282="","",IFERROR(INDEX(土地清冊_匯入!$V$6:$V$1005,MATCH($A282,土地清冊_匯入!$A$6:$A$1005,0)),""))</f>
        <v/>
      </c>
      <c r="J282" s="14" t="n"/>
      <c r="K282" s="7" t="n"/>
      <c r="L282" s="7" t="n"/>
      <c r="M282" s="7" t="n"/>
      <c r="N282" s="7" t="n"/>
      <c r="O282" s="7" t="n"/>
      <c r="P282" s="7" t="n"/>
      <c r="Q282" s="14" t="n"/>
      <c r="R282" s="7" t="n"/>
      <c r="S282" s="7" t="n"/>
      <c r="T282" s="7" t="n"/>
      <c r="U282" s="12">
        <f>IF(A282="","",IF(OR(J282="",L282=""),"建議補聯絡紀錄","") )</f>
        <v/>
      </c>
    </row>
    <row r="283" ht="24" customHeight="1">
      <c r="A283" s="7" t="n"/>
      <c r="B283" s="7" t="n"/>
      <c r="C283" s="12">
        <f>IF($A283="","",IFERROR(INDEX(土地清冊_匯入!$B$6:$B$1005,MATCH($A283,土地清冊_匯入!$A$6:$A$1005,0)),"查無資料"))</f>
        <v/>
      </c>
      <c r="D283" s="12">
        <f>IF($A283="","",IFERROR(INDEX(土地清冊_匯入!$P$6:$P$1005,MATCH($A283,土地清冊_匯入!$A$6:$A$1005,0)),""))</f>
        <v/>
      </c>
      <c r="E283" s="12">
        <f>IF($A283="","",IFERROR(INDEX(土地清冊_匯入!$Q$6:$Q$1005,MATCH($A283,土地清冊_匯入!$A$6:$A$1005,0)),""))</f>
        <v/>
      </c>
      <c r="F283" s="12">
        <f>IF($A283="","",IFERROR(INDEX(土地清冊_匯入!$R$6:$R$1005,MATCH($A283,土地清冊_匯入!$A$6:$A$1005,0)),""))</f>
        <v/>
      </c>
      <c r="G283" s="12">
        <f>IF($A283="","",IFERROR(INDEX(土地清冊_匯入!$S$6:$S$1005,MATCH($A283,土地清冊_匯入!$A$6:$A$1005,0)),""))</f>
        <v/>
      </c>
      <c r="H283" s="12">
        <f>IF($A283="","",IFERROR(INDEX(土地清冊_匯入!$T$6:$T$1005,MATCH($A283,土地清冊_匯入!$A$6:$A$1005,0)),""))</f>
        <v/>
      </c>
      <c r="I283" s="12">
        <f>IF($A283="","",IFERROR(INDEX(土地清冊_匯入!$V$6:$V$1005,MATCH($A283,土地清冊_匯入!$A$6:$A$1005,0)),""))</f>
        <v/>
      </c>
      <c r="J283" s="14" t="n"/>
      <c r="K283" s="7" t="n"/>
      <c r="L283" s="7" t="n"/>
      <c r="M283" s="7" t="n"/>
      <c r="N283" s="7" t="n"/>
      <c r="O283" s="7" t="n"/>
      <c r="P283" s="7" t="n"/>
      <c r="Q283" s="14" t="n"/>
      <c r="R283" s="7" t="n"/>
      <c r="S283" s="7" t="n"/>
      <c r="T283" s="7" t="n"/>
      <c r="U283" s="12">
        <f>IF(A283="","",IF(OR(J283="",L283=""),"建議補聯絡紀錄","") )</f>
        <v/>
      </c>
    </row>
    <row r="284" ht="24" customHeight="1">
      <c r="A284" s="7" t="n"/>
      <c r="B284" s="7" t="n"/>
      <c r="C284" s="12">
        <f>IF($A284="","",IFERROR(INDEX(土地清冊_匯入!$B$6:$B$1005,MATCH($A284,土地清冊_匯入!$A$6:$A$1005,0)),"查無資料"))</f>
        <v/>
      </c>
      <c r="D284" s="12">
        <f>IF($A284="","",IFERROR(INDEX(土地清冊_匯入!$P$6:$P$1005,MATCH($A284,土地清冊_匯入!$A$6:$A$1005,0)),""))</f>
        <v/>
      </c>
      <c r="E284" s="12">
        <f>IF($A284="","",IFERROR(INDEX(土地清冊_匯入!$Q$6:$Q$1005,MATCH($A284,土地清冊_匯入!$A$6:$A$1005,0)),""))</f>
        <v/>
      </c>
      <c r="F284" s="12">
        <f>IF($A284="","",IFERROR(INDEX(土地清冊_匯入!$R$6:$R$1005,MATCH($A284,土地清冊_匯入!$A$6:$A$1005,0)),""))</f>
        <v/>
      </c>
      <c r="G284" s="12">
        <f>IF($A284="","",IFERROR(INDEX(土地清冊_匯入!$S$6:$S$1005,MATCH($A284,土地清冊_匯入!$A$6:$A$1005,0)),""))</f>
        <v/>
      </c>
      <c r="H284" s="12">
        <f>IF($A284="","",IFERROR(INDEX(土地清冊_匯入!$T$6:$T$1005,MATCH($A284,土地清冊_匯入!$A$6:$A$1005,0)),""))</f>
        <v/>
      </c>
      <c r="I284" s="12">
        <f>IF($A284="","",IFERROR(INDEX(土地清冊_匯入!$V$6:$V$1005,MATCH($A284,土地清冊_匯入!$A$6:$A$1005,0)),""))</f>
        <v/>
      </c>
      <c r="J284" s="14" t="n"/>
      <c r="K284" s="7" t="n"/>
      <c r="L284" s="7" t="n"/>
      <c r="M284" s="7" t="n"/>
      <c r="N284" s="7" t="n"/>
      <c r="O284" s="7" t="n"/>
      <c r="P284" s="7" t="n"/>
      <c r="Q284" s="14" t="n"/>
      <c r="R284" s="7" t="n"/>
      <c r="S284" s="7" t="n"/>
      <c r="T284" s="7" t="n"/>
      <c r="U284" s="12">
        <f>IF(A284="","",IF(OR(J284="",L284=""),"建議補聯絡紀錄","") )</f>
        <v/>
      </c>
    </row>
    <row r="285" ht="24" customHeight="1">
      <c r="A285" s="7" t="n"/>
      <c r="B285" s="7" t="n"/>
      <c r="C285" s="12">
        <f>IF($A285="","",IFERROR(INDEX(土地清冊_匯入!$B$6:$B$1005,MATCH($A285,土地清冊_匯入!$A$6:$A$1005,0)),"查無資料"))</f>
        <v/>
      </c>
      <c r="D285" s="12">
        <f>IF($A285="","",IFERROR(INDEX(土地清冊_匯入!$P$6:$P$1005,MATCH($A285,土地清冊_匯入!$A$6:$A$1005,0)),""))</f>
        <v/>
      </c>
      <c r="E285" s="12">
        <f>IF($A285="","",IFERROR(INDEX(土地清冊_匯入!$Q$6:$Q$1005,MATCH($A285,土地清冊_匯入!$A$6:$A$1005,0)),""))</f>
        <v/>
      </c>
      <c r="F285" s="12">
        <f>IF($A285="","",IFERROR(INDEX(土地清冊_匯入!$R$6:$R$1005,MATCH($A285,土地清冊_匯入!$A$6:$A$1005,0)),""))</f>
        <v/>
      </c>
      <c r="G285" s="12">
        <f>IF($A285="","",IFERROR(INDEX(土地清冊_匯入!$S$6:$S$1005,MATCH($A285,土地清冊_匯入!$A$6:$A$1005,0)),""))</f>
        <v/>
      </c>
      <c r="H285" s="12">
        <f>IF($A285="","",IFERROR(INDEX(土地清冊_匯入!$T$6:$T$1005,MATCH($A285,土地清冊_匯入!$A$6:$A$1005,0)),""))</f>
        <v/>
      </c>
      <c r="I285" s="12">
        <f>IF($A285="","",IFERROR(INDEX(土地清冊_匯入!$V$6:$V$1005,MATCH($A285,土地清冊_匯入!$A$6:$A$1005,0)),""))</f>
        <v/>
      </c>
      <c r="J285" s="14" t="n"/>
      <c r="K285" s="7" t="n"/>
      <c r="L285" s="7" t="n"/>
      <c r="M285" s="7" t="n"/>
      <c r="N285" s="7" t="n"/>
      <c r="O285" s="7" t="n"/>
      <c r="P285" s="7" t="n"/>
      <c r="Q285" s="14" t="n"/>
      <c r="R285" s="7" t="n"/>
      <c r="S285" s="7" t="n"/>
      <c r="T285" s="7" t="n"/>
      <c r="U285" s="12">
        <f>IF(A285="","",IF(OR(J285="",L285=""),"建議補聯絡紀錄","") )</f>
        <v/>
      </c>
    </row>
    <row r="286" ht="24" customHeight="1">
      <c r="A286" s="7" t="n"/>
      <c r="B286" s="7" t="n"/>
      <c r="C286" s="12">
        <f>IF($A286="","",IFERROR(INDEX(土地清冊_匯入!$B$6:$B$1005,MATCH($A286,土地清冊_匯入!$A$6:$A$1005,0)),"查無資料"))</f>
        <v/>
      </c>
      <c r="D286" s="12">
        <f>IF($A286="","",IFERROR(INDEX(土地清冊_匯入!$P$6:$P$1005,MATCH($A286,土地清冊_匯入!$A$6:$A$1005,0)),""))</f>
        <v/>
      </c>
      <c r="E286" s="12">
        <f>IF($A286="","",IFERROR(INDEX(土地清冊_匯入!$Q$6:$Q$1005,MATCH($A286,土地清冊_匯入!$A$6:$A$1005,0)),""))</f>
        <v/>
      </c>
      <c r="F286" s="12">
        <f>IF($A286="","",IFERROR(INDEX(土地清冊_匯入!$R$6:$R$1005,MATCH($A286,土地清冊_匯入!$A$6:$A$1005,0)),""))</f>
        <v/>
      </c>
      <c r="G286" s="12">
        <f>IF($A286="","",IFERROR(INDEX(土地清冊_匯入!$S$6:$S$1005,MATCH($A286,土地清冊_匯入!$A$6:$A$1005,0)),""))</f>
        <v/>
      </c>
      <c r="H286" s="12">
        <f>IF($A286="","",IFERROR(INDEX(土地清冊_匯入!$T$6:$T$1005,MATCH($A286,土地清冊_匯入!$A$6:$A$1005,0)),""))</f>
        <v/>
      </c>
      <c r="I286" s="12">
        <f>IF($A286="","",IFERROR(INDEX(土地清冊_匯入!$V$6:$V$1005,MATCH($A286,土地清冊_匯入!$A$6:$A$1005,0)),""))</f>
        <v/>
      </c>
      <c r="J286" s="14" t="n"/>
      <c r="K286" s="7" t="n"/>
      <c r="L286" s="7" t="n"/>
      <c r="M286" s="7" t="n"/>
      <c r="N286" s="7" t="n"/>
      <c r="O286" s="7" t="n"/>
      <c r="P286" s="7" t="n"/>
      <c r="Q286" s="14" t="n"/>
      <c r="R286" s="7" t="n"/>
      <c r="S286" s="7" t="n"/>
      <c r="T286" s="7" t="n"/>
      <c r="U286" s="12">
        <f>IF(A286="","",IF(OR(J286="",L286=""),"建議補聯絡紀錄","") )</f>
        <v/>
      </c>
    </row>
    <row r="287" ht="24" customHeight="1">
      <c r="A287" s="7" t="n"/>
      <c r="B287" s="7" t="n"/>
      <c r="C287" s="12">
        <f>IF($A287="","",IFERROR(INDEX(土地清冊_匯入!$B$6:$B$1005,MATCH($A287,土地清冊_匯入!$A$6:$A$1005,0)),"查無資料"))</f>
        <v/>
      </c>
      <c r="D287" s="12">
        <f>IF($A287="","",IFERROR(INDEX(土地清冊_匯入!$P$6:$P$1005,MATCH($A287,土地清冊_匯入!$A$6:$A$1005,0)),""))</f>
        <v/>
      </c>
      <c r="E287" s="12">
        <f>IF($A287="","",IFERROR(INDEX(土地清冊_匯入!$Q$6:$Q$1005,MATCH($A287,土地清冊_匯入!$A$6:$A$1005,0)),""))</f>
        <v/>
      </c>
      <c r="F287" s="12">
        <f>IF($A287="","",IFERROR(INDEX(土地清冊_匯入!$R$6:$R$1005,MATCH($A287,土地清冊_匯入!$A$6:$A$1005,0)),""))</f>
        <v/>
      </c>
      <c r="G287" s="12">
        <f>IF($A287="","",IFERROR(INDEX(土地清冊_匯入!$S$6:$S$1005,MATCH($A287,土地清冊_匯入!$A$6:$A$1005,0)),""))</f>
        <v/>
      </c>
      <c r="H287" s="12">
        <f>IF($A287="","",IFERROR(INDEX(土地清冊_匯入!$T$6:$T$1005,MATCH($A287,土地清冊_匯入!$A$6:$A$1005,0)),""))</f>
        <v/>
      </c>
      <c r="I287" s="12">
        <f>IF($A287="","",IFERROR(INDEX(土地清冊_匯入!$V$6:$V$1005,MATCH($A287,土地清冊_匯入!$A$6:$A$1005,0)),""))</f>
        <v/>
      </c>
      <c r="J287" s="14" t="n"/>
      <c r="K287" s="7" t="n"/>
      <c r="L287" s="7" t="n"/>
      <c r="M287" s="7" t="n"/>
      <c r="N287" s="7" t="n"/>
      <c r="O287" s="7" t="n"/>
      <c r="P287" s="7" t="n"/>
      <c r="Q287" s="14" t="n"/>
      <c r="R287" s="7" t="n"/>
      <c r="S287" s="7" t="n"/>
      <c r="T287" s="7" t="n"/>
      <c r="U287" s="12">
        <f>IF(A287="","",IF(OR(J287="",L287=""),"建議補聯絡紀錄","") )</f>
        <v/>
      </c>
    </row>
    <row r="288" ht="24" customHeight="1">
      <c r="A288" s="7" t="n"/>
      <c r="B288" s="7" t="n"/>
      <c r="C288" s="12">
        <f>IF($A288="","",IFERROR(INDEX(土地清冊_匯入!$B$6:$B$1005,MATCH($A288,土地清冊_匯入!$A$6:$A$1005,0)),"查無資料"))</f>
        <v/>
      </c>
      <c r="D288" s="12">
        <f>IF($A288="","",IFERROR(INDEX(土地清冊_匯入!$P$6:$P$1005,MATCH($A288,土地清冊_匯入!$A$6:$A$1005,0)),""))</f>
        <v/>
      </c>
      <c r="E288" s="12">
        <f>IF($A288="","",IFERROR(INDEX(土地清冊_匯入!$Q$6:$Q$1005,MATCH($A288,土地清冊_匯入!$A$6:$A$1005,0)),""))</f>
        <v/>
      </c>
      <c r="F288" s="12">
        <f>IF($A288="","",IFERROR(INDEX(土地清冊_匯入!$R$6:$R$1005,MATCH($A288,土地清冊_匯入!$A$6:$A$1005,0)),""))</f>
        <v/>
      </c>
      <c r="G288" s="12">
        <f>IF($A288="","",IFERROR(INDEX(土地清冊_匯入!$S$6:$S$1005,MATCH($A288,土地清冊_匯入!$A$6:$A$1005,0)),""))</f>
        <v/>
      </c>
      <c r="H288" s="12">
        <f>IF($A288="","",IFERROR(INDEX(土地清冊_匯入!$T$6:$T$1005,MATCH($A288,土地清冊_匯入!$A$6:$A$1005,0)),""))</f>
        <v/>
      </c>
      <c r="I288" s="12">
        <f>IF($A288="","",IFERROR(INDEX(土地清冊_匯入!$V$6:$V$1005,MATCH($A288,土地清冊_匯入!$A$6:$A$1005,0)),""))</f>
        <v/>
      </c>
      <c r="J288" s="14" t="n"/>
      <c r="K288" s="7" t="n"/>
      <c r="L288" s="7" t="n"/>
      <c r="M288" s="7" t="n"/>
      <c r="N288" s="7" t="n"/>
      <c r="O288" s="7" t="n"/>
      <c r="P288" s="7" t="n"/>
      <c r="Q288" s="14" t="n"/>
      <c r="R288" s="7" t="n"/>
      <c r="S288" s="7" t="n"/>
      <c r="T288" s="7" t="n"/>
      <c r="U288" s="12">
        <f>IF(A288="","",IF(OR(J288="",L288=""),"建議補聯絡紀錄","") )</f>
        <v/>
      </c>
    </row>
    <row r="289" ht="24" customHeight="1">
      <c r="A289" s="7" t="n"/>
      <c r="B289" s="7" t="n"/>
      <c r="C289" s="12">
        <f>IF($A289="","",IFERROR(INDEX(土地清冊_匯入!$B$6:$B$1005,MATCH($A289,土地清冊_匯入!$A$6:$A$1005,0)),"查無資料"))</f>
        <v/>
      </c>
      <c r="D289" s="12">
        <f>IF($A289="","",IFERROR(INDEX(土地清冊_匯入!$P$6:$P$1005,MATCH($A289,土地清冊_匯入!$A$6:$A$1005,0)),""))</f>
        <v/>
      </c>
      <c r="E289" s="12">
        <f>IF($A289="","",IFERROR(INDEX(土地清冊_匯入!$Q$6:$Q$1005,MATCH($A289,土地清冊_匯入!$A$6:$A$1005,0)),""))</f>
        <v/>
      </c>
      <c r="F289" s="12">
        <f>IF($A289="","",IFERROR(INDEX(土地清冊_匯入!$R$6:$R$1005,MATCH($A289,土地清冊_匯入!$A$6:$A$1005,0)),""))</f>
        <v/>
      </c>
      <c r="G289" s="12">
        <f>IF($A289="","",IFERROR(INDEX(土地清冊_匯入!$S$6:$S$1005,MATCH($A289,土地清冊_匯入!$A$6:$A$1005,0)),""))</f>
        <v/>
      </c>
      <c r="H289" s="12">
        <f>IF($A289="","",IFERROR(INDEX(土地清冊_匯入!$T$6:$T$1005,MATCH($A289,土地清冊_匯入!$A$6:$A$1005,0)),""))</f>
        <v/>
      </c>
      <c r="I289" s="12">
        <f>IF($A289="","",IFERROR(INDEX(土地清冊_匯入!$V$6:$V$1005,MATCH($A289,土地清冊_匯入!$A$6:$A$1005,0)),""))</f>
        <v/>
      </c>
      <c r="J289" s="14" t="n"/>
      <c r="K289" s="7" t="n"/>
      <c r="L289" s="7" t="n"/>
      <c r="M289" s="7" t="n"/>
      <c r="N289" s="7" t="n"/>
      <c r="O289" s="7" t="n"/>
      <c r="P289" s="7" t="n"/>
      <c r="Q289" s="14" t="n"/>
      <c r="R289" s="7" t="n"/>
      <c r="S289" s="7" t="n"/>
      <c r="T289" s="7" t="n"/>
      <c r="U289" s="12">
        <f>IF(A289="","",IF(OR(J289="",L289=""),"建議補聯絡紀錄","") )</f>
        <v/>
      </c>
    </row>
    <row r="290" ht="24" customHeight="1">
      <c r="A290" s="7" t="n"/>
      <c r="B290" s="7" t="n"/>
      <c r="C290" s="12">
        <f>IF($A290="","",IFERROR(INDEX(土地清冊_匯入!$B$6:$B$1005,MATCH($A290,土地清冊_匯入!$A$6:$A$1005,0)),"查無資料"))</f>
        <v/>
      </c>
      <c r="D290" s="12">
        <f>IF($A290="","",IFERROR(INDEX(土地清冊_匯入!$P$6:$P$1005,MATCH($A290,土地清冊_匯入!$A$6:$A$1005,0)),""))</f>
        <v/>
      </c>
      <c r="E290" s="12">
        <f>IF($A290="","",IFERROR(INDEX(土地清冊_匯入!$Q$6:$Q$1005,MATCH($A290,土地清冊_匯入!$A$6:$A$1005,0)),""))</f>
        <v/>
      </c>
      <c r="F290" s="12">
        <f>IF($A290="","",IFERROR(INDEX(土地清冊_匯入!$R$6:$R$1005,MATCH($A290,土地清冊_匯入!$A$6:$A$1005,0)),""))</f>
        <v/>
      </c>
      <c r="G290" s="12">
        <f>IF($A290="","",IFERROR(INDEX(土地清冊_匯入!$S$6:$S$1005,MATCH($A290,土地清冊_匯入!$A$6:$A$1005,0)),""))</f>
        <v/>
      </c>
      <c r="H290" s="12">
        <f>IF($A290="","",IFERROR(INDEX(土地清冊_匯入!$T$6:$T$1005,MATCH($A290,土地清冊_匯入!$A$6:$A$1005,0)),""))</f>
        <v/>
      </c>
      <c r="I290" s="12">
        <f>IF($A290="","",IFERROR(INDEX(土地清冊_匯入!$V$6:$V$1005,MATCH($A290,土地清冊_匯入!$A$6:$A$1005,0)),""))</f>
        <v/>
      </c>
      <c r="J290" s="14" t="n"/>
      <c r="K290" s="7" t="n"/>
      <c r="L290" s="7" t="n"/>
      <c r="M290" s="7" t="n"/>
      <c r="N290" s="7" t="n"/>
      <c r="O290" s="7" t="n"/>
      <c r="P290" s="7" t="n"/>
      <c r="Q290" s="14" t="n"/>
      <c r="R290" s="7" t="n"/>
      <c r="S290" s="7" t="n"/>
      <c r="T290" s="7" t="n"/>
      <c r="U290" s="12">
        <f>IF(A290="","",IF(OR(J290="",L290=""),"建議補聯絡紀錄","") )</f>
        <v/>
      </c>
    </row>
    <row r="291" ht="24" customHeight="1">
      <c r="A291" s="7" t="n"/>
      <c r="B291" s="7" t="n"/>
      <c r="C291" s="12">
        <f>IF($A291="","",IFERROR(INDEX(土地清冊_匯入!$B$6:$B$1005,MATCH($A291,土地清冊_匯入!$A$6:$A$1005,0)),"查無資料"))</f>
        <v/>
      </c>
      <c r="D291" s="12">
        <f>IF($A291="","",IFERROR(INDEX(土地清冊_匯入!$P$6:$P$1005,MATCH($A291,土地清冊_匯入!$A$6:$A$1005,0)),""))</f>
        <v/>
      </c>
      <c r="E291" s="12">
        <f>IF($A291="","",IFERROR(INDEX(土地清冊_匯入!$Q$6:$Q$1005,MATCH($A291,土地清冊_匯入!$A$6:$A$1005,0)),""))</f>
        <v/>
      </c>
      <c r="F291" s="12">
        <f>IF($A291="","",IFERROR(INDEX(土地清冊_匯入!$R$6:$R$1005,MATCH($A291,土地清冊_匯入!$A$6:$A$1005,0)),""))</f>
        <v/>
      </c>
      <c r="G291" s="12">
        <f>IF($A291="","",IFERROR(INDEX(土地清冊_匯入!$S$6:$S$1005,MATCH($A291,土地清冊_匯入!$A$6:$A$1005,0)),""))</f>
        <v/>
      </c>
      <c r="H291" s="12">
        <f>IF($A291="","",IFERROR(INDEX(土地清冊_匯入!$T$6:$T$1005,MATCH($A291,土地清冊_匯入!$A$6:$A$1005,0)),""))</f>
        <v/>
      </c>
      <c r="I291" s="12">
        <f>IF($A291="","",IFERROR(INDEX(土地清冊_匯入!$V$6:$V$1005,MATCH($A291,土地清冊_匯入!$A$6:$A$1005,0)),""))</f>
        <v/>
      </c>
      <c r="J291" s="14" t="n"/>
      <c r="K291" s="7" t="n"/>
      <c r="L291" s="7" t="n"/>
      <c r="M291" s="7" t="n"/>
      <c r="N291" s="7" t="n"/>
      <c r="O291" s="7" t="n"/>
      <c r="P291" s="7" t="n"/>
      <c r="Q291" s="14" t="n"/>
      <c r="R291" s="7" t="n"/>
      <c r="S291" s="7" t="n"/>
      <c r="T291" s="7" t="n"/>
      <c r="U291" s="12">
        <f>IF(A291="","",IF(OR(J291="",L291=""),"建議補聯絡紀錄","") )</f>
        <v/>
      </c>
    </row>
    <row r="292" ht="24" customHeight="1">
      <c r="A292" s="7" t="n"/>
      <c r="B292" s="7" t="n"/>
      <c r="C292" s="12">
        <f>IF($A292="","",IFERROR(INDEX(土地清冊_匯入!$B$6:$B$1005,MATCH($A292,土地清冊_匯入!$A$6:$A$1005,0)),"查無資料"))</f>
        <v/>
      </c>
      <c r="D292" s="12">
        <f>IF($A292="","",IFERROR(INDEX(土地清冊_匯入!$P$6:$P$1005,MATCH($A292,土地清冊_匯入!$A$6:$A$1005,0)),""))</f>
        <v/>
      </c>
      <c r="E292" s="12">
        <f>IF($A292="","",IFERROR(INDEX(土地清冊_匯入!$Q$6:$Q$1005,MATCH($A292,土地清冊_匯入!$A$6:$A$1005,0)),""))</f>
        <v/>
      </c>
      <c r="F292" s="12">
        <f>IF($A292="","",IFERROR(INDEX(土地清冊_匯入!$R$6:$R$1005,MATCH($A292,土地清冊_匯入!$A$6:$A$1005,0)),""))</f>
        <v/>
      </c>
      <c r="G292" s="12">
        <f>IF($A292="","",IFERROR(INDEX(土地清冊_匯入!$S$6:$S$1005,MATCH($A292,土地清冊_匯入!$A$6:$A$1005,0)),""))</f>
        <v/>
      </c>
      <c r="H292" s="12">
        <f>IF($A292="","",IFERROR(INDEX(土地清冊_匯入!$T$6:$T$1005,MATCH($A292,土地清冊_匯入!$A$6:$A$1005,0)),""))</f>
        <v/>
      </c>
      <c r="I292" s="12">
        <f>IF($A292="","",IFERROR(INDEX(土地清冊_匯入!$V$6:$V$1005,MATCH($A292,土地清冊_匯入!$A$6:$A$1005,0)),""))</f>
        <v/>
      </c>
      <c r="J292" s="14" t="n"/>
      <c r="K292" s="7" t="n"/>
      <c r="L292" s="7" t="n"/>
      <c r="M292" s="7" t="n"/>
      <c r="N292" s="7" t="n"/>
      <c r="O292" s="7" t="n"/>
      <c r="P292" s="7" t="n"/>
      <c r="Q292" s="14" t="n"/>
      <c r="R292" s="7" t="n"/>
      <c r="S292" s="7" t="n"/>
      <c r="T292" s="7" t="n"/>
      <c r="U292" s="12">
        <f>IF(A292="","",IF(OR(J292="",L292=""),"建議補聯絡紀錄","") )</f>
        <v/>
      </c>
    </row>
    <row r="293" ht="24" customHeight="1">
      <c r="A293" s="7" t="n"/>
      <c r="B293" s="7" t="n"/>
      <c r="C293" s="12">
        <f>IF($A293="","",IFERROR(INDEX(土地清冊_匯入!$B$6:$B$1005,MATCH($A293,土地清冊_匯入!$A$6:$A$1005,0)),"查無資料"))</f>
        <v/>
      </c>
      <c r="D293" s="12">
        <f>IF($A293="","",IFERROR(INDEX(土地清冊_匯入!$P$6:$P$1005,MATCH($A293,土地清冊_匯入!$A$6:$A$1005,0)),""))</f>
        <v/>
      </c>
      <c r="E293" s="12">
        <f>IF($A293="","",IFERROR(INDEX(土地清冊_匯入!$Q$6:$Q$1005,MATCH($A293,土地清冊_匯入!$A$6:$A$1005,0)),""))</f>
        <v/>
      </c>
      <c r="F293" s="12">
        <f>IF($A293="","",IFERROR(INDEX(土地清冊_匯入!$R$6:$R$1005,MATCH($A293,土地清冊_匯入!$A$6:$A$1005,0)),""))</f>
        <v/>
      </c>
      <c r="G293" s="12">
        <f>IF($A293="","",IFERROR(INDEX(土地清冊_匯入!$S$6:$S$1005,MATCH($A293,土地清冊_匯入!$A$6:$A$1005,0)),""))</f>
        <v/>
      </c>
      <c r="H293" s="12">
        <f>IF($A293="","",IFERROR(INDEX(土地清冊_匯入!$T$6:$T$1005,MATCH($A293,土地清冊_匯入!$A$6:$A$1005,0)),""))</f>
        <v/>
      </c>
      <c r="I293" s="12">
        <f>IF($A293="","",IFERROR(INDEX(土地清冊_匯入!$V$6:$V$1005,MATCH($A293,土地清冊_匯入!$A$6:$A$1005,0)),""))</f>
        <v/>
      </c>
      <c r="J293" s="14" t="n"/>
      <c r="K293" s="7" t="n"/>
      <c r="L293" s="7" t="n"/>
      <c r="M293" s="7" t="n"/>
      <c r="N293" s="7" t="n"/>
      <c r="O293" s="7" t="n"/>
      <c r="P293" s="7" t="n"/>
      <c r="Q293" s="14" t="n"/>
      <c r="R293" s="7" t="n"/>
      <c r="S293" s="7" t="n"/>
      <c r="T293" s="7" t="n"/>
      <c r="U293" s="12">
        <f>IF(A293="","",IF(OR(J293="",L293=""),"建議補聯絡紀錄","") )</f>
        <v/>
      </c>
    </row>
    <row r="294" ht="24" customHeight="1">
      <c r="A294" s="7" t="n"/>
      <c r="B294" s="7" t="n"/>
      <c r="C294" s="12">
        <f>IF($A294="","",IFERROR(INDEX(土地清冊_匯入!$B$6:$B$1005,MATCH($A294,土地清冊_匯入!$A$6:$A$1005,0)),"查無資料"))</f>
        <v/>
      </c>
      <c r="D294" s="12">
        <f>IF($A294="","",IFERROR(INDEX(土地清冊_匯入!$P$6:$P$1005,MATCH($A294,土地清冊_匯入!$A$6:$A$1005,0)),""))</f>
        <v/>
      </c>
      <c r="E294" s="12">
        <f>IF($A294="","",IFERROR(INDEX(土地清冊_匯入!$Q$6:$Q$1005,MATCH($A294,土地清冊_匯入!$A$6:$A$1005,0)),""))</f>
        <v/>
      </c>
      <c r="F294" s="12">
        <f>IF($A294="","",IFERROR(INDEX(土地清冊_匯入!$R$6:$R$1005,MATCH($A294,土地清冊_匯入!$A$6:$A$1005,0)),""))</f>
        <v/>
      </c>
      <c r="G294" s="12">
        <f>IF($A294="","",IFERROR(INDEX(土地清冊_匯入!$S$6:$S$1005,MATCH($A294,土地清冊_匯入!$A$6:$A$1005,0)),""))</f>
        <v/>
      </c>
      <c r="H294" s="12">
        <f>IF($A294="","",IFERROR(INDEX(土地清冊_匯入!$T$6:$T$1005,MATCH($A294,土地清冊_匯入!$A$6:$A$1005,0)),""))</f>
        <v/>
      </c>
      <c r="I294" s="12">
        <f>IF($A294="","",IFERROR(INDEX(土地清冊_匯入!$V$6:$V$1005,MATCH($A294,土地清冊_匯入!$A$6:$A$1005,0)),""))</f>
        <v/>
      </c>
      <c r="J294" s="14" t="n"/>
      <c r="K294" s="7" t="n"/>
      <c r="L294" s="7" t="n"/>
      <c r="M294" s="7" t="n"/>
      <c r="N294" s="7" t="n"/>
      <c r="O294" s="7" t="n"/>
      <c r="P294" s="7" t="n"/>
      <c r="Q294" s="14" t="n"/>
      <c r="R294" s="7" t="n"/>
      <c r="S294" s="7" t="n"/>
      <c r="T294" s="7" t="n"/>
      <c r="U294" s="12">
        <f>IF(A294="","",IF(OR(J294="",L294=""),"建議補聯絡紀錄","") )</f>
        <v/>
      </c>
    </row>
    <row r="295" ht="24" customHeight="1">
      <c r="A295" s="7" t="n"/>
      <c r="B295" s="7" t="n"/>
      <c r="C295" s="12">
        <f>IF($A295="","",IFERROR(INDEX(土地清冊_匯入!$B$6:$B$1005,MATCH($A295,土地清冊_匯入!$A$6:$A$1005,0)),"查無資料"))</f>
        <v/>
      </c>
      <c r="D295" s="12">
        <f>IF($A295="","",IFERROR(INDEX(土地清冊_匯入!$P$6:$P$1005,MATCH($A295,土地清冊_匯入!$A$6:$A$1005,0)),""))</f>
        <v/>
      </c>
      <c r="E295" s="12">
        <f>IF($A295="","",IFERROR(INDEX(土地清冊_匯入!$Q$6:$Q$1005,MATCH($A295,土地清冊_匯入!$A$6:$A$1005,0)),""))</f>
        <v/>
      </c>
      <c r="F295" s="12">
        <f>IF($A295="","",IFERROR(INDEX(土地清冊_匯入!$R$6:$R$1005,MATCH($A295,土地清冊_匯入!$A$6:$A$1005,0)),""))</f>
        <v/>
      </c>
      <c r="G295" s="12">
        <f>IF($A295="","",IFERROR(INDEX(土地清冊_匯入!$S$6:$S$1005,MATCH($A295,土地清冊_匯入!$A$6:$A$1005,0)),""))</f>
        <v/>
      </c>
      <c r="H295" s="12">
        <f>IF($A295="","",IFERROR(INDEX(土地清冊_匯入!$T$6:$T$1005,MATCH($A295,土地清冊_匯入!$A$6:$A$1005,0)),""))</f>
        <v/>
      </c>
      <c r="I295" s="12">
        <f>IF($A295="","",IFERROR(INDEX(土地清冊_匯入!$V$6:$V$1005,MATCH($A295,土地清冊_匯入!$A$6:$A$1005,0)),""))</f>
        <v/>
      </c>
      <c r="J295" s="14" t="n"/>
      <c r="K295" s="7" t="n"/>
      <c r="L295" s="7" t="n"/>
      <c r="M295" s="7" t="n"/>
      <c r="N295" s="7" t="n"/>
      <c r="O295" s="7" t="n"/>
      <c r="P295" s="7" t="n"/>
      <c r="Q295" s="14" t="n"/>
      <c r="R295" s="7" t="n"/>
      <c r="S295" s="7" t="n"/>
      <c r="T295" s="7" t="n"/>
      <c r="U295" s="12">
        <f>IF(A295="","",IF(OR(J295="",L295=""),"建議補聯絡紀錄","") )</f>
        <v/>
      </c>
    </row>
    <row r="296" ht="24" customHeight="1">
      <c r="A296" s="7" t="n"/>
      <c r="B296" s="7" t="n"/>
      <c r="C296" s="12">
        <f>IF($A296="","",IFERROR(INDEX(土地清冊_匯入!$B$6:$B$1005,MATCH($A296,土地清冊_匯入!$A$6:$A$1005,0)),"查無資料"))</f>
        <v/>
      </c>
      <c r="D296" s="12">
        <f>IF($A296="","",IFERROR(INDEX(土地清冊_匯入!$P$6:$P$1005,MATCH($A296,土地清冊_匯入!$A$6:$A$1005,0)),""))</f>
        <v/>
      </c>
      <c r="E296" s="12">
        <f>IF($A296="","",IFERROR(INDEX(土地清冊_匯入!$Q$6:$Q$1005,MATCH($A296,土地清冊_匯入!$A$6:$A$1005,0)),""))</f>
        <v/>
      </c>
      <c r="F296" s="12">
        <f>IF($A296="","",IFERROR(INDEX(土地清冊_匯入!$R$6:$R$1005,MATCH($A296,土地清冊_匯入!$A$6:$A$1005,0)),""))</f>
        <v/>
      </c>
      <c r="G296" s="12">
        <f>IF($A296="","",IFERROR(INDEX(土地清冊_匯入!$S$6:$S$1005,MATCH($A296,土地清冊_匯入!$A$6:$A$1005,0)),""))</f>
        <v/>
      </c>
      <c r="H296" s="12">
        <f>IF($A296="","",IFERROR(INDEX(土地清冊_匯入!$T$6:$T$1005,MATCH($A296,土地清冊_匯入!$A$6:$A$1005,0)),""))</f>
        <v/>
      </c>
      <c r="I296" s="12">
        <f>IF($A296="","",IFERROR(INDEX(土地清冊_匯入!$V$6:$V$1005,MATCH($A296,土地清冊_匯入!$A$6:$A$1005,0)),""))</f>
        <v/>
      </c>
      <c r="J296" s="14" t="n"/>
      <c r="K296" s="7" t="n"/>
      <c r="L296" s="7" t="n"/>
      <c r="M296" s="7" t="n"/>
      <c r="N296" s="7" t="n"/>
      <c r="O296" s="7" t="n"/>
      <c r="P296" s="7" t="n"/>
      <c r="Q296" s="14" t="n"/>
      <c r="R296" s="7" t="n"/>
      <c r="S296" s="7" t="n"/>
      <c r="T296" s="7" t="n"/>
      <c r="U296" s="12">
        <f>IF(A296="","",IF(OR(J296="",L296=""),"建議補聯絡紀錄","") )</f>
        <v/>
      </c>
    </row>
    <row r="297" ht="24" customHeight="1">
      <c r="A297" s="7" t="n"/>
      <c r="B297" s="7" t="n"/>
      <c r="C297" s="12">
        <f>IF($A297="","",IFERROR(INDEX(土地清冊_匯入!$B$6:$B$1005,MATCH($A297,土地清冊_匯入!$A$6:$A$1005,0)),"查無資料"))</f>
        <v/>
      </c>
      <c r="D297" s="12">
        <f>IF($A297="","",IFERROR(INDEX(土地清冊_匯入!$P$6:$P$1005,MATCH($A297,土地清冊_匯入!$A$6:$A$1005,0)),""))</f>
        <v/>
      </c>
      <c r="E297" s="12">
        <f>IF($A297="","",IFERROR(INDEX(土地清冊_匯入!$Q$6:$Q$1005,MATCH($A297,土地清冊_匯入!$A$6:$A$1005,0)),""))</f>
        <v/>
      </c>
      <c r="F297" s="12">
        <f>IF($A297="","",IFERROR(INDEX(土地清冊_匯入!$R$6:$R$1005,MATCH($A297,土地清冊_匯入!$A$6:$A$1005,0)),""))</f>
        <v/>
      </c>
      <c r="G297" s="12">
        <f>IF($A297="","",IFERROR(INDEX(土地清冊_匯入!$S$6:$S$1005,MATCH($A297,土地清冊_匯入!$A$6:$A$1005,0)),""))</f>
        <v/>
      </c>
      <c r="H297" s="12">
        <f>IF($A297="","",IFERROR(INDEX(土地清冊_匯入!$T$6:$T$1005,MATCH($A297,土地清冊_匯入!$A$6:$A$1005,0)),""))</f>
        <v/>
      </c>
      <c r="I297" s="12">
        <f>IF($A297="","",IFERROR(INDEX(土地清冊_匯入!$V$6:$V$1005,MATCH($A297,土地清冊_匯入!$A$6:$A$1005,0)),""))</f>
        <v/>
      </c>
      <c r="J297" s="14" t="n"/>
      <c r="K297" s="7" t="n"/>
      <c r="L297" s="7" t="n"/>
      <c r="M297" s="7" t="n"/>
      <c r="N297" s="7" t="n"/>
      <c r="O297" s="7" t="n"/>
      <c r="P297" s="7" t="n"/>
      <c r="Q297" s="14" t="n"/>
      <c r="R297" s="7" t="n"/>
      <c r="S297" s="7" t="n"/>
      <c r="T297" s="7" t="n"/>
      <c r="U297" s="12">
        <f>IF(A297="","",IF(OR(J297="",L297=""),"建議補聯絡紀錄","") )</f>
        <v/>
      </c>
    </row>
    <row r="298" ht="24" customHeight="1">
      <c r="A298" s="7" t="n"/>
      <c r="B298" s="7" t="n"/>
      <c r="C298" s="12">
        <f>IF($A298="","",IFERROR(INDEX(土地清冊_匯入!$B$6:$B$1005,MATCH($A298,土地清冊_匯入!$A$6:$A$1005,0)),"查無資料"))</f>
        <v/>
      </c>
      <c r="D298" s="12">
        <f>IF($A298="","",IFERROR(INDEX(土地清冊_匯入!$P$6:$P$1005,MATCH($A298,土地清冊_匯入!$A$6:$A$1005,0)),""))</f>
        <v/>
      </c>
      <c r="E298" s="12">
        <f>IF($A298="","",IFERROR(INDEX(土地清冊_匯入!$Q$6:$Q$1005,MATCH($A298,土地清冊_匯入!$A$6:$A$1005,0)),""))</f>
        <v/>
      </c>
      <c r="F298" s="12">
        <f>IF($A298="","",IFERROR(INDEX(土地清冊_匯入!$R$6:$R$1005,MATCH($A298,土地清冊_匯入!$A$6:$A$1005,0)),""))</f>
        <v/>
      </c>
      <c r="G298" s="12">
        <f>IF($A298="","",IFERROR(INDEX(土地清冊_匯入!$S$6:$S$1005,MATCH($A298,土地清冊_匯入!$A$6:$A$1005,0)),""))</f>
        <v/>
      </c>
      <c r="H298" s="12">
        <f>IF($A298="","",IFERROR(INDEX(土地清冊_匯入!$T$6:$T$1005,MATCH($A298,土地清冊_匯入!$A$6:$A$1005,0)),""))</f>
        <v/>
      </c>
      <c r="I298" s="12">
        <f>IF($A298="","",IFERROR(INDEX(土地清冊_匯入!$V$6:$V$1005,MATCH($A298,土地清冊_匯入!$A$6:$A$1005,0)),""))</f>
        <v/>
      </c>
      <c r="J298" s="14" t="n"/>
      <c r="K298" s="7" t="n"/>
      <c r="L298" s="7" t="n"/>
      <c r="M298" s="7" t="n"/>
      <c r="N298" s="7" t="n"/>
      <c r="O298" s="7" t="n"/>
      <c r="P298" s="7" t="n"/>
      <c r="Q298" s="14" t="n"/>
      <c r="R298" s="7" t="n"/>
      <c r="S298" s="7" t="n"/>
      <c r="T298" s="7" t="n"/>
      <c r="U298" s="12">
        <f>IF(A298="","",IF(OR(J298="",L298=""),"建議補聯絡紀錄","") )</f>
        <v/>
      </c>
    </row>
    <row r="299" ht="24" customHeight="1">
      <c r="A299" s="7" t="n"/>
      <c r="B299" s="7" t="n"/>
      <c r="C299" s="12">
        <f>IF($A299="","",IFERROR(INDEX(土地清冊_匯入!$B$6:$B$1005,MATCH($A299,土地清冊_匯入!$A$6:$A$1005,0)),"查無資料"))</f>
        <v/>
      </c>
      <c r="D299" s="12">
        <f>IF($A299="","",IFERROR(INDEX(土地清冊_匯入!$P$6:$P$1005,MATCH($A299,土地清冊_匯入!$A$6:$A$1005,0)),""))</f>
        <v/>
      </c>
      <c r="E299" s="12">
        <f>IF($A299="","",IFERROR(INDEX(土地清冊_匯入!$Q$6:$Q$1005,MATCH($A299,土地清冊_匯入!$A$6:$A$1005,0)),""))</f>
        <v/>
      </c>
      <c r="F299" s="12">
        <f>IF($A299="","",IFERROR(INDEX(土地清冊_匯入!$R$6:$R$1005,MATCH($A299,土地清冊_匯入!$A$6:$A$1005,0)),""))</f>
        <v/>
      </c>
      <c r="G299" s="12">
        <f>IF($A299="","",IFERROR(INDEX(土地清冊_匯入!$S$6:$S$1005,MATCH($A299,土地清冊_匯入!$A$6:$A$1005,0)),""))</f>
        <v/>
      </c>
      <c r="H299" s="12">
        <f>IF($A299="","",IFERROR(INDEX(土地清冊_匯入!$T$6:$T$1005,MATCH($A299,土地清冊_匯入!$A$6:$A$1005,0)),""))</f>
        <v/>
      </c>
      <c r="I299" s="12">
        <f>IF($A299="","",IFERROR(INDEX(土地清冊_匯入!$V$6:$V$1005,MATCH($A299,土地清冊_匯入!$A$6:$A$1005,0)),""))</f>
        <v/>
      </c>
      <c r="J299" s="14" t="n"/>
      <c r="K299" s="7" t="n"/>
      <c r="L299" s="7" t="n"/>
      <c r="M299" s="7" t="n"/>
      <c r="N299" s="7" t="n"/>
      <c r="O299" s="7" t="n"/>
      <c r="P299" s="7" t="n"/>
      <c r="Q299" s="14" t="n"/>
      <c r="R299" s="7" t="n"/>
      <c r="S299" s="7" t="n"/>
      <c r="T299" s="7" t="n"/>
      <c r="U299" s="12">
        <f>IF(A299="","",IF(OR(J299="",L299=""),"建議補聯絡紀錄","") )</f>
        <v/>
      </c>
    </row>
    <row r="300" ht="24" customHeight="1">
      <c r="A300" s="7" t="n"/>
      <c r="B300" s="7" t="n"/>
      <c r="C300" s="12">
        <f>IF($A300="","",IFERROR(INDEX(土地清冊_匯入!$B$6:$B$1005,MATCH($A300,土地清冊_匯入!$A$6:$A$1005,0)),"查無資料"))</f>
        <v/>
      </c>
      <c r="D300" s="12">
        <f>IF($A300="","",IFERROR(INDEX(土地清冊_匯入!$P$6:$P$1005,MATCH($A300,土地清冊_匯入!$A$6:$A$1005,0)),""))</f>
        <v/>
      </c>
      <c r="E300" s="12">
        <f>IF($A300="","",IFERROR(INDEX(土地清冊_匯入!$Q$6:$Q$1005,MATCH($A300,土地清冊_匯入!$A$6:$A$1005,0)),""))</f>
        <v/>
      </c>
      <c r="F300" s="12">
        <f>IF($A300="","",IFERROR(INDEX(土地清冊_匯入!$R$6:$R$1005,MATCH($A300,土地清冊_匯入!$A$6:$A$1005,0)),""))</f>
        <v/>
      </c>
      <c r="G300" s="12">
        <f>IF($A300="","",IFERROR(INDEX(土地清冊_匯入!$S$6:$S$1005,MATCH($A300,土地清冊_匯入!$A$6:$A$1005,0)),""))</f>
        <v/>
      </c>
      <c r="H300" s="12">
        <f>IF($A300="","",IFERROR(INDEX(土地清冊_匯入!$T$6:$T$1005,MATCH($A300,土地清冊_匯入!$A$6:$A$1005,0)),""))</f>
        <v/>
      </c>
      <c r="I300" s="12">
        <f>IF($A300="","",IFERROR(INDEX(土地清冊_匯入!$V$6:$V$1005,MATCH($A300,土地清冊_匯入!$A$6:$A$1005,0)),""))</f>
        <v/>
      </c>
      <c r="J300" s="14" t="n"/>
      <c r="K300" s="7" t="n"/>
      <c r="L300" s="7" t="n"/>
      <c r="M300" s="7" t="n"/>
      <c r="N300" s="7" t="n"/>
      <c r="O300" s="7" t="n"/>
      <c r="P300" s="7" t="n"/>
      <c r="Q300" s="14" t="n"/>
      <c r="R300" s="7" t="n"/>
      <c r="S300" s="7" t="n"/>
      <c r="T300" s="7" t="n"/>
      <c r="U300" s="12">
        <f>IF(A300="","",IF(OR(J300="",L300=""),"建議補聯絡紀錄","") )</f>
        <v/>
      </c>
    </row>
    <row r="301" ht="24" customHeight="1">
      <c r="A301" s="7" t="n"/>
      <c r="B301" s="7" t="n"/>
      <c r="C301" s="12">
        <f>IF($A301="","",IFERROR(INDEX(土地清冊_匯入!$B$6:$B$1005,MATCH($A301,土地清冊_匯入!$A$6:$A$1005,0)),"查無資料"))</f>
        <v/>
      </c>
      <c r="D301" s="12">
        <f>IF($A301="","",IFERROR(INDEX(土地清冊_匯入!$P$6:$P$1005,MATCH($A301,土地清冊_匯入!$A$6:$A$1005,0)),""))</f>
        <v/>
      </c>
      <c r="E301" s="12">
        <f>IF($A301="","",IFERROR(INDEX(土地清冊_匯入!$Q$6:$Q$1005,MATCH($A301,土地清冊_匯入!$A$6:$A$1005,0)),""))</f>
        <v/>
      </c>
      <c r="F301" s="12">
        <f>IF($A301="","",IFERROR(INDEX(土地清冊_匯入!$R$6:$R$1005,MATCH($A301,土地清冊_匯入!$A$6:$A$1005,0)),""))</f>
        <v/>
      </c>
      <c r="G301" s="12">
        <f>IF($A301="","",IFERROR(INDEX(土地清冊_匯入!$S$6:$S$1005,MATCH($A301,土地清冊_匯入!$A$6:$A$1005,0)),""))</f>
        <v/>
      </c>
      <c r="H301" s="12">
        <f>IF($A301="","",IFERROR(INDEX(土地清冊_匯入!$T$6:$T$1005,MATCH($A301,土地清冊_匯入!$A$6:$A$1005,0)),""))</f>
        <v/>
      </c>
      <c r="I301" s="12">
        <f>IF($A301="","",IFERROR(INDEX(土地清冊_匯入!$V$6:$V$1005,MATCH($A301,土地清冊_匯入!$A$6:$A$1005,0)),""))</f>
        <v/>
      </c>
      <c r="J301" s="14" t="n"/>
      <c r="K301" s="7" t="n"/>
      <c r="L301" s="7" t="n"/>
      <c r="M301" s="7" t="n"/>
      <c r="N301" s="7" t="n"/>
      <c r="O301" s="7" t="n"/>
      <c r="P301" s="7" t="n"/>
      <c r="Q301" s="14" t="n"/>
      <c r="R301" s="7" t="n"/>
      <c r="S301" s="7" t="n"/>
      <c r="T301" s="7" t="n"/>
      <c r="U301" s="12">
        <f>IF(A301="","",IF(OR(J301="",L301=""),"建議補聯絡紀錄","") )</f>
        <v/>
      </c>
    </row>
    <row r="302" ht="24" customHeight="1">
      <c r="A302" s="7" t="n"/>
      <c r="B302" s="7" t="n"/>
      <c r="C302" s="12">
        <f>IF($A302="","",IFERROR(INDEX(土地清冊_匯入!$B$6:$B$1005,MATCH($A302,土地清冊_匯入!$A$6:$A$1005,0)),"查無資料"))</f>
        <v/>
      </c>
      <c r="D302" s="12">
        <f>IF($A302="","",IFERROR(INDEX(土地清冊_匯入!$P$6:$P$1005,MATCH($A302,土地清冊_匯入!$A$6:$A$1005,0)),""))</f>
        <v/>
      </c>
      <c r="E302" s="12">
        <f>IF($A302="","",IFERROR(INDEX(土地清冊_匯入!$Q$6:$Q$1005,MATCH($A302,土地清冊_匯入!$A$6:$A$1005,0)),""))</f>
        <v/>
      </c>
      <c r="F302" s="12">
        <f>IF($A302="","",IFERROR(INDEX(土地清冊_匯入!$R$6:$R$1005,MATCH($A302,土地清冊_匯入!$A$6:$A$1005,0)),""))</f>
        <v/>
      </c>
      <c r="G302" s="12">
        <f>IF($A302="","",IFERROR(INDEX(土地清冊_匯入!$S$6:$S$1005,MATCH($A302,土地清冊_匯入!$A$6:$A$1005,0)),""))</f>
        <v/>
      </c>
      <c r="H302" s="12">
        <f>IF($A302="","",IFERROR(INDEX(土地清冊_匯入!$T$6:$T$1005,MATCH($A302,土地清冊_匯入!$A$6:$A$1005,0)),""))</f>
        <v/>
      </c>
      <c r="I302" s="12">
        <f>IF($A302="","",IFERROR(INDEX(土地清冊_匯入!$V$6:$V$1005,MATCH($A302,土地清冊_匯入!$A$6:$A$1005,0)),""))</f>
        <v/>
      </c>
      <c r="J302" s="14" t="n"/>
      <c r="K302" s="7" t="n"/>
      <c r="L302" s="7" t="n"/>
      <c r="M302" s="7" t="n"/>
      <c r="N302" s="7" t="n"/>
      <c r="O302" s="7" t="n"/>
      <c r="P302" s="7" t="n"/>
      <c r="Q302" s="14" t="n"/>
      <c r="R302" s="7" t="n"/>
      <c r="S302" s="7" t="n"/>
      <c r="T302" s="7" t="n"/>
      <c r="U302" s="12">
        <f>IF(A302="","",IF(OR(J302="",L302=""),"建議補聯絡紀錄","") )</f>
        <v/>
      </c>
    </row>
    <row r="303" ht="24" customHeight="1">
      <c r="A303" s="7" t="n"/>
      <c r="B303" s="7" t="n"/>
      <c r="C303" s="12">
        <f>IF($A303="","",IFERROR(INDEX(土地清冊_匯入!$B$6:$B$1005,MATCH($A303,土地清冊_匯入!$A$6:$A$1005,0)),"查無資料"))</f>
        <v/>
      </c>
      <c r="D303" s="12">
        <f>IF($A303="","",IFERROR(INDEX(土地清冊_匯入!$P$6:$P$1005,MATCH($A303,土地清冊_匯入!$A$6:$A$1005,0)),""))</f>
        <v/>
      </c>
      <c r="E303" s="12">
        <f>IF($A303="","",IFERROR(INDEX(土地清冊_匯入!$Q$6:$Q$1005,MATCH($A303,土地清冊_匯入!$A$6:$A$1005,0)),""))</f>
        <v/>
      </c>
      <c r="F303" s="12">
        <f>IF($A303="","",IFERROR(INDEX(土地清冊_匯入!$R$6:$R$1005,MATCH($A303,土地清冊_匯入!$A$6:$A$1005,0)),""))</f>
        <v/>
      </c>
      <c r="G303" s="12">
        <f>IF($A303="","",IFERROR(INDEX(土地清冊_匯入!$S$6:$S$1005,MATCH($A303,土地清冊_匯入!$A$6:$A$1005,0)),""))</f>
        <v/>
      </c>
      <c r="H303" s="12">
        <f>IF($A303="","",IFERROR(INDEX(土地清冊_匯入!$T$6:$T$1005,MATCH($A303,土地清冊_匯入!$A$6:$A$1005,0)),""))</f>
        <v/>
      </c>
      <c r="I303" s="12">
        <f>IF($A303="","",IFERROR(INDEX(土地清冊_匯入!$V$6:$V$1005,MATCH($A303,土地清冊_匯入!$A$6:$A$1005,0)),""))</f>
        <v/>
      </c>
      <c r="J303" s="14" t="n"/>
      <c r="K303" s="7" t="n"/>
      <c r="L303" s="7" t="n"/>
      <c r="M303" s="7" t="n"/>
      <c r="N303" s="7" t="n"/>
      <c r="O303" s="7" t="n"/>
      <c r="P303" s="7" t="n"/>
      <c r="Q303" s="14" t="n"/>
      <c r="R303" s="7" t="n"/>
      <c r="S303" s="7" t="n"/>
      <c r="T303" s="7" t="n"/>
      <c r="U303" s="12">
        <f>IF(A303="","",IF(OR(J303="",L303=""),"建議補聯絡紀錄","") )</f>
        <v/>
      </c>
    </row>
    <row r="304" ht="24" customHeight="1">
      <c r="A304" s="7" t="n"/>
      <c r="B304" s="7" t="n"/>
      <c r="C304" s="12">
        <f>IF($A304="","",IFERROR(INDEX(土地清冊_匯入!$B$6:$B$1005,MATCH($A304,土地清冊_匯入!$A$6:$A$1005,0)),"查無資料"))</f>
        <v/>
      </c>
      <c r="D304" s="12">
        <f>IF($A304="","",IFERROR(INDEX(土地清冊_匯入!$P$6:$P$1005,MATCH($A304,土地清冊_匯入!$A$6:$A$1005,0)),""))</f>
        <v/>
      </c>
      <c r="E304" s="12">
        <f>IF($A304="","",IFERROR(INDEX(土地清冊_匯入!$Q$6:$Q$1005,MATCH($A304,土地清冊_匯入!$A$6:$A$1005,0)),""))</f>
        <v/>
      </c>
      <c r="F304" s="12">
        <f>IF($A304="","",IFERROR(INDEX(土地清冊_匯入!$R$6:$R$1005,MATCH($A304,土地清冊_匯入!$A$6:$A$1005,0)),""))</f>
        <v/>
      </c>
      <c r="G304" s="12">
        <f>IF($A304="","",IFERROR(INDEX(土地清冊_匯入!$S$6:$S$1005,MATCH($A304,土地清冊_匯入!$A$6:$A$1005,0)),""))</f>
        <v/>
      </c>
      <c r="H304" s="12">
        <f>IF($A304="","",IFERROR(INDEX(土地清冊_匯入!$T$6:$T$1005,MATCH($A304,土地清冊_匯入!$A$6:$A$1005,0)),""))</f>
        <v/>
      </c>
      <c r="I304" s="12">
        <f>IF($A304="","",IFERROR(INDEX(土地清冊_匯入!$V$6:$V$1005,MATCH($A304,土地清冊_匯入!$A$6:$A$1005,0)),""))</f>
        <v/>
      </c>
      <c r="J304" s="14" t="n"/>
      <c r="K304" s="7" t="n"/>
      <c r="L304" s="7" t="n"/>
      <c r="M304" s="7" t="n"/>
      <c r="N304" s="7" t="n"/>
      <c r="O304" s="7" t="n"/>
      <c r="P304" s="7" t="n"/>
      <c r="Q304" s="14" t="n"/>
      <c r="R304" s="7" t="n"/>
      <c r="S304" s="7" t="n"/>
      <c r="T304" s="7" t="n"/>
      <c r="U304" s="12">
        <f>IF(A304="","",IF(OR(J304="",L304=""),"建議補聯絡紀錄","") )</f>
        <v/>
      </c>
    </row>
    <row r="305" ht="24" customHeight="1">
      <c r="A305" s="7" t="n"/>
      <c r="B305" s="7" t="n"/>
      <c r="C305" s="12">
        <f>IF($A305="","",IFERROR(INDEX(土地清冊_匯入!$B$6:$B$1005,MATCH($A305,土地清冊_匯入!$A$6:$A$1005,0)),"查無資料"))</f>
        <v/>
      </c>
      <c r="D305" s="12">
        <f>IF($A305="","",IFERROR(INDEX(土地清冊_匯入!$P$6:$P$1005,MATCH($A305,土地清冊_匯入!$A$6:$A$1005,0)),""))</f>
        <v/>
      </c>
      <c r="E305" s="12">
        <f>IF($A305="","",IFERROR(INDEX(土地清冊_匯入!$Q$6:$Q$1005,MATCH($A305,土地清冊_匯入!$A$6:$A$1005,0)),""))</f>
        <v/>
      </c>
      <c r="F305" s="12">
        <f>IF($A305="","",IFERROR(INDEX(土地清冊_匯入!$R$6:$R$1005,MATCH($A305,土地清冊_匯入!$A$6:$A$1005,0)),""))</f>
        <v/>
      </c>
      <c r="G305" s="12">
        <f>IF($A305="","",IFERROR(INDEX(土地清冊_匯入!$S$6:$S$1005,MATCH($A305,土地清冊_匯入!$A$6:$A$1005,0)),""))</f>
        <v/>
      </c>
      <c r="H305" s="12">
        <f>IF($A305="","",IFERROR(INDEX(土地清冊_匯入!$T$6:$T$1005,MATCH($A305,土地清冊_匯入!$A$6:$A$1005,0)),""))</f>
        <v/>
      </c>
      <c r="I305" s="12">
        <f>IF($A305="","",IFERROR(INDEX(土地清冊_匯入!$V$6:$V$1005,MATCH($A305,土地清冊_匯入!$A$6:$A$1005,0)),""))</f>
        <v/>
      </c>
      <c r="J305" s="14" t="n"/>
      <c r="K305" s="7" t="n"/>
      <c r="L305" s="7" t="n"/>
      <c r="M305" s="7" t="n"/>
      <c r="N305" s="7" t="n"/>
      <c r="O305" s="7" t="n"/>
      <c r="P305" s="7" t="n"/>
      <c r="Q305" s="14" t="n"/>
      <c r="R305" s="7" t="n"/>
      <c r="S305" s="7" t="n"/>
      <c r="T305" s="7" t="n"/>
      <c r="U305" s="12">
        <f>IF(A305="","",IF(OR(J305="",L305=""),"建議補聯絡紀錄","") )</f>
        <v/>
      </c>
    </row>
    <row r="306" ht="24" customHeight="1">
      <c r="A306" s="7" t="n"/>
      <c r="B306" s="7" t="n"/>
      <c r="C306" s="12">
        <f>IF($A306="","",IFERROR(INDEX(土地清冊_匯入!$B$6:$B$1005,MATCH($A306,土地清冊_匯入!$A$6:$A$1005,0)),"查無資料"))</f>
        <v/>
      </c>
      <c r="D306" s="12">
        <f>IF($A306="","",IFERROR(INDEX(土地清冊_匯入!$P$6:$P$1005,MATCH($A306,土地清冊_匯入!$A$6:$A$1005,0)),""))</f>
        <v/>
      </c>
      <c r="E306" s="12">
        <f>IF($A306="","",IFERROR(INDEX(土地清冊_匯入!$Q$6:$Q$1005,MATCH($A306,土地清冊_匯入!$A$6:$A$1005,0)),""))</f>
        <v/>
      </c>
      <c r="F306" s="12">
        <f>IF($A306="","",IFERROR(INDEX(土地清冊_匯入!$R$6:$R$1005,MATCH($A306,土地清冊_匯入!$A$6:$A$1005,0)),""))</f>
        <v/>
      </c>
      <c r="G306" s="12">
        <f>IF($A306="","",IFERROR(INDEX(土地清冊_匯入!$S$6:$S$1005,MATCH($A306,土地清冊_匯入!$A$6:$A$1005,0)),""))</f>
        <v/>
      </c>
      <c r="H306" s="12">
        <f>IF($A306="","",IFERROR(INDEX(土地清冊_匯入!$T$6:$T$1005,MATCH($A306,土地清冊_匯入!$A$6:$A$1005,0)),""))</f>
        <v/>
      </c>
      <c r="I306" s="12">
        <f>IF($A306="","",IFERROR(INDEX(土地清冊_匯入!$V$6:$V$1005,MATCH($A306,土地清冊_匯入!$A$6:$A$1005,0)),""))</f>
        <v/>
      </c>
      <c r="J306" s="14" t="n"/>
      <c r="K306" s="7" t="n"/>
      <c r="L306" s="7" t="n"/>
      <c r="M306" s="7" t="n"/>
      <c r="N306" s="7" t="n"/>
      <c r="O306" s="7" t="n"/>
      <c r="P306" s="7" t="n"/>
      <c r="Q306" s="14" t="n"/>
      <c r="R306" s="7" t="n"/>
      <c r="S306" s="7" t="n"/>
      <c r="T306" s="7" t="n"/>
      <c r="U306" s="12">
        <f>IF(A306="","",IF(OR(J306="",L306=""),"建議補聯絡紀錄","") )</f>
        <v/>
      </c>
    </row>
    <row r="307" ht="24" customHeight="1">
      <c r="A307" s="7" t="n"/>
      <c r="B307" s="7" t="n"/>
      <c r="C307" s="12">
        <f>IF($A307="","",IFERROR(INDEX(土地清冊_匯入!$B$6:$B$1005,MATCH($A307,土地清冊_匯入!$A$6:$A$1005,0)),"查無資料"))</f>
        <v/>
      </c>
      <c r="D307" s="12">
        <f>IF($A307="","",IFERROR(INDEX(土地清冊_匯入!$P$6:$P$1005,MATCH($A307,土地清冊_匯入!$A$6:$A$1005,0)),""))</f>
        <v/>
      </c>
      <c r="E307" s="12">
        <f>IF($A307="","",IFERROR(INDEX(土地清冊_匯入!$Q$6:$Q$1005,MATCH($A307,土地清冊_匯入!$A$6:$A$1005,0)),""))</f>
        <v/>
      </c>
      <c r="F307" s="12">
        <f>IF($A307="","",IFERROR(INDEX(土地清冊_匯入!$R$6:$R$1005,MATCH($A307,土地清冊_匯入!$A$6:$A$1005,0)),""))</f>
        <v/>
      </c>
      <c r="G307" s="12">
        <f>IF($A307="","",IFERROR(INDEX(土地清冊_匯入!$S$6:$S$1005,MATCH($A307,土地清冊_匯入!$A$6:$A$1005,0)),""))</f>
        <v/>
      </c>
      <c r="H307" s="12">
        <f>IF($A307="","",IFERROR(INDEX(土地清冊_匯入!$T$6:$T$1005,MATCH($A307,土地清冊_匯入!$A$6:$A$1005,0)),""))</f>
        <v/>
      </c>
      <c r="I307" s="12">
        <f>IF($A307="","",IFERROR(INDEX(土地清冊_匯入!$V$6:$V$1005,MATCH($A307,土地清冊_匯入!$A$6:$A$1005,0)),""))</f>
        <v/>
      </c>
      <c r="J307" s="14" t="n"/>
      <c r="K307" s="7" t="n"/>
      <c r="L307" s="7" t="n"/>
      <c r="M307" s="7" t="n"/>
      <c r="N307" s="7" t="n"/>
      <c r="O307" s="7" t="n"/>
      <c r="P307" s="7" t="n"/>
      <c r="Q307" s="14" t="n"/>
      <c r="R307" s="7" t="n"/>
      <c r="S307" s="7" t="n"/>
      <c r="T307" s="7" t="n"/>
      <c r="U307" s="12">
        <f>IF(A307="","",IF(OR(J307="",L307=""),"建議補聯絡紀錄","") )</f>
        <v/>
      </c>
    </row>
    <row r="308" ht="24" customHeight="1">
      <c r="A308" s="7" t="n"/>
      <c r="B308" s="7" t="n"/>
      <c r="C308" s="12">
        <f>IF($A308="","",IFERROR(INDEX(土地清冊_匯入!$B$6:$B$1005,MATCH($A308,土地清冊_匯入!$A$6:$A$1005,0)),"查無資料"))</f>
        <v/>
      </c>
      <c r="D308" s="12">
        <f>IF($A308="","",IFERROR(INDEX(土地清冊_匯入!$P$6:$P$1005,MATCH($A308,土地清冊_匯入!$A$6:$A$1005,0)),""))</f>
        <v/>
      </c>
      <c r="E308" s="12">
        <f>IF($A308="","",IFERROR(INDEX(土地清冊_匯入!$Q$6:$Q$1005,MATCH($A308,土地清冊_匯入!$A$6:$A$1005,0)),""))</f>
        <v/>
      </c>
      <c r="F308" s="12">
        <f>IF($A308="","",IFERROR(INDEX(土地清冊_匯入!$R$6:$R$1005,MATCH($A308,土地清冊_匯入!$A$6:$A$1005,0)),""))</f>
        <v/>
      </c>
      <c r="G308" s="12">
        <f>IF($A308="","",IFERROR(INDEX(土地清冊_匯入!$S$6:$S$1005,MATCH($A308,土地清冊_匯入!$A$6:$A$1005,0)),""))</f>
        <v/>
      </c>
      <c r="H308" s="12">
        <f>IF($A308="","",IFERROR(INDEX(土地清冊_匯入!$T$6:$T$1005,MATCH($A308,土地清冊_匯入!$A$6:$A$1005,0)),""))</f>
        <v/>
      </c>
      <c r="I308" s="12">
        <f>IF($A308="","",IFERROR(INDEX(土地清冊_匯入!$V$6:$V$1005,MATCH($A308,土地清冊_匯入!$A$6:$A$1005,0)),""))</f>
        <v/>
      </c>
      <c r="J308" s="14" t="n"/>
      <c r="K308" s="7" t="n"/>
      <c r="L308" s="7" t="n"/>
      <c r="M308" s="7" t="n"/>
      <c r="N308" s="7" t="n"/>
      <c r="O308" s="7" t="n"/>
      <c r="P308" s="7" t="n"/>
      <c r="Q308" s="14" t="n"/>
      <c r="R308" s="7" t="n"/>
      <c r="S308" s="7" t="n"/>
      <c r="T308" s="7" t="n"/>
      <c r="U308" s="12">
        <f>IF(A308="","",IF(OR(J308="",L308=""),"建議補聯絡紀錄","") )</f>
        <v/>
      </c>
    </row>
    <row r="309" ht="24" customHeight="1">
      <c r="A309" s="7" t="n"/>
      <c r="B309" s="7" t="n"/>
      <c r="C309" s="12">
        <f>IF($A309="","",IFERROR(INDEX(土地清冊_匯入!$B$6:$B$1005,MATCH($A309,土地清冊_匯入!$A$6:$A$1005,0)),"查無資料"))</f>
        <v/>
      </c>
      <c r="D309" s="12">
        <f>IF($A309="","",IFERROR(INDEX(土地清冊_匯入!$P$6:$P$1005,MATCH($A309,土地清冊_匯入!$A$6:$A$1005,0)),""))</f>
        <v/>
      </c>
      <c r="E309" s="12">
        <f>IF($A309="","",IFERROR(INDEX(土地清冊_匯入!$Q$6:$Q$1005,MATCH($A309,土地清冊_匯入!$A$6:$A$1005,0)),""))</f>
        <v/>
      </c>
      <c r="F309" s="12">
        <f>IF($A309="","",IFERROR(INDEX(土地清冊_匯入!$R$6:$R$1005,MATCH($A309,土地清冊_匯入!$A$6:$A$1005,0)),""))</f>
        <v/>
      </c>
      <c r="G309" s="12">
        <f>IF($A309="","",IFERROR(INDEX(土地清冊_匯入!$S$6:$S$1005,MATCH($A309,土地清冊_匯入!$A$6:$A$1005,0)),""))</f>
        <v/>
      </c>
      <c r="H309" s="12">
        <f>IF($A309="","",IFERROR(INDEX(土地清冊_匯入!$T$6:$T$1005,MATCH($A309,土地清冊_匯入!$A$6:$A$1005,0)),""))</f>
        <v/>
      </c>
      <c r="I309" s="12">
        <f>IF($A309="","",IFERROR(INDEX(土地清冊_匯入!$V$6:$V$1005,MATCH($A309,土地清冊_匯入!$A$6:$A$1005,0)),""))</f>
        <v/>
      </c>
      <c r="J309" s="14" t="n"/>
      <c r="K309" s="7" t="n"/>
      <c r="L309" s="7" t="n"/>
      <c r="M309" s="7" t="n"/>
      <c r="N309" s="7" t="n"/>
      <c r="O309" s="7" t="n"/>
      <c r="P309" s="7" t="n"/>
      <c r="Q309" s="14" t="n"/>
      <c r="R309" s="7" t="n"/>
      <c r="S309" s="7" t="n"/>
      <c r="T309" s="7" t="n"/>
      <c r="U309" s="12">
        <f>IF(A309="","",IF(OR(J309="",L309=""),"建議補聯絡紀錄","") )</f>
        <v/>
      </c>
    </row>
    <row r="310" ht="24" customHeight="1">
      <c r="A310" s="7" t="n"/>
      <c r="B310" s="7" t="n"/>
      <c r="C310" s="12">
        <f>IF($A310="","",IFERROR(INDEX(土地清冊_匯入!$B$6:$B$1005,MATCH($A310,土地清冊_匯入!$A$6:$A$1005,0)),"查無資料"))</f>
        <v/>
      </c>
      <c r="D310" s="12">
        <f>IF($A310="","",IFERROR(INDEX(土地清冊_匯入!$P$6:$P$1005,MATCH($A310,土地清冊_匯入!$A$6:$A$1005,0)),""))</f>
        <v/>
      </c>
      <c r="E310" s="12">
        <f>IF($A310="","",IFERROR(INDEX(土地清冊_匯入!$Q$6:$Q$1005,MATCH($A310,土地清冊_匯入!$A$6:$A$1005,0)),""))</f>
        <v/>
      </c>
      <c r="F310" s="12">
        <f>IF($A310="","",IFERROR(INDEX(土地清冊_匯入!$R$6:$R$1005,MATCH($A310,土地清冊_匯入!$A$6:$A$1005,0)),""))</f>
        <v/>
      </c>
      <c r="G310" s="12">
        <f>IF($A310="","",IFERROR(INDEX(土地清冊_匯入!$S$6:$S$1005,MATCH($A310,土地清冊_匯入!$A$6:$A$1005,0)),""))</f>
        <v/>
      </c>
      <c r="H310" s="12">
        <f>IF($A310="","",IFERROR(INDEX(土地清冊_匯入!$T$6:$T$1005,MATCH($A310,土地清冊_匯入!$A$6:$A$1005,0)),""))</f>
        <v/>
      </c>
      <c r="I310" s="12">
        <f>IF($A310="","",IFERROR(INDEX(土地清冊_匯入!$V$6:$V$1005,MATCH($A310,土地清冊_匯入!$A$6:$A$1005,0)),""))</f>
        <v/>
      </c>
      <c r="J310" s="14" t="n"/>
      <c r="K310" s="7" t="n"/>
      <c r="L310" s="7" t="n"/>
      <c r="M310" s="7" t="n"/>
      <c r="N310" s="7" t="n"/>
      <c r="O310" s="7" t="n"/>
      <c r="P310" s="7" t="n"/>
      <c r="Q310" s="14" t="n"/>
      <c r="R310" s="7" t="n"/>
      <c r="S310" s="7" t="n"/>
      <c r="T310" s="7" t="n"/>
      <c r="U310" s="12">
        <f>IF(A310="","",IF(OR(J310="",L310=""),"建議補聯絡紀錄","") )</f>
        <v/>
      </c>
    </row>
    <row r="311" ht="24" customHeight="1">
      <c r="A311" s="7" t="n"/>
      <c r="B311" s="7" t="n"/>
      <c r="C311" s="12">
        <f>IF($A311="","",IFERROR(INDEX(土地清冊_匯入!$B$6:$B$1005,MATCH($A311,土地清冊_匯入!$A$6:$A$1005,0)),"查無資料"))</f>
        <v/>
      </c>
      <c r="D311" s="12">
        <f>IF($A311="","",IFERROR(INDEX(土地清冊_匯入!$P$6:$P$1005,MATCH($A311,土地清冊_匯入!$A$6:$A$1005,0)),""))</f>
        <v/>
      </c>
      <c r="E311" s="12">
        <f>IF($A311="","",IFERROR(INDEX(土地清冊_匯入!$Q$6:$Q$1005,MATCH($A311,土地清冊_匯入!$A$6:$A$1005,0)),""))</f>
        <v/>
      </c>
      <c r="F311" s="12">
        <f>IF($A311="","",IFERROR(INDEX(土地清冊_匯入!$R$6:$R$1005,MATCH($A311,土地清冊_匯入!$A$6:$A$1005,0)),""))</f>
        <v/>
      </c>
      <c r="G311" s="12">
        <f>IF($A311="","",IFERROR(INDEX(土地清冊_匯入!$S$6:$S$1005,MATCH($A311,土地清冊_匯入!$A$6:$A$1005,0)),""))</f>
        <v/>
      </c>
      <c r="H311" s="12">
        <f>IF($A311="","",IFERROR(INDEX(土地清冊_匯入!$T$6:$T$1005,MATCH($A311,土地清冊_匯入!$A$6:$A$1005,0)),""))</f>
        <v/>
      </c>
      <c r="I311" s="12">
        <f>IF($A311="","",IFERROR(INDEX(土地清冊_匯入!$V$6:$V$1005,MATCH($A311,土地清冊_匯入!$A$6:$A$1005,0)),""))</f>
        <v/>
      </c>
      <c r="J311" s="14" t="n"/>
      <c r="K311" s="7" t="n"/>
      <c r="L311" s="7" t="n"/>
      <c r="M311" s="7" t="n"/>
      <c r="N311" s="7" t="n"/>
      <c r="O311" s="7" t="n"/>
      <c r="P311" s="7" t="n"/>
      <c r="Q311" s="14" t="n"/>
      <c r="R311" s="7" t="n"/>
      <c r="S311" s="7" t="n"/>
      <c r="T311" s="7" t="n"/>
      <c r="U311" s="12">
        <f>IF(A311="","",IF(OR(J311="",L311=""),"建議補聯絡紀錄","") )</f>
        <v/>
      </c>
    </row>
    <row r="312" ht="24" customHeight="1">
      <c r="A312" s="7" t="n"/>
      <c r="B312" s="7" t="n"/>
      <c r="C312" s="12">
        <f>IF($A312="","",IFERROR(INDEX(土地清冊_匯入!$B$6:$B$1005,MATCH($A312,土地清冊_匯入!$A$6:$A$1005,0)),"查無資料"))</f>
        <v/>
      </c>
      <c r="D312" s="12">
        <f>IF($A312="","",IFERROR(INDEX(土地清冊_匯入!$P$6:$P$1005,MATCH($A312,土地清冊_匯入!$A$6:$A$1005,0)),""))</f>
        <v/>
      </c>
      <c r="E312" s="12">
        <f>IF($A312="","",IFERROR(INDEX(土地清冊_匯入!$Q$6:$Q$1005,MATCH($A312,土地清冊_匯入!$A$6:$A$1005,0)),""))</f>
        <v/>
      </c>
      <c r="F312" s="12">
        <f>IF($A312="","",IFERROR(INDEX(土地清冊_匯入!$R$6:$R$1005,MATCH($A312,土地清冊_匯入!$A$6:$A$1005,0)),""))</f>
        <v/>
      </c>
      <c r="G312" s="12">
        <f>IF($A312="","",IFERROR(INDEX(土地清冊_匯入!$S$6:$S$1005,MATCH($A312,土地清冊_匯入!$A$6:$A$1005,0)),""))</f>
        <v/>
      </c>
      <c r="H312" s="12">
        <f>IF($A312="","",IFERROR(INDEX(土地清冊_匯入!$T$6:$T$1005,MATCH($A312,土地清冊_匯入!$A$6:$A$1005,0)),""))</f>
        <v/>
      </c>
      <c r="I312" s="12">
        <f>IF($A312="","",IFERROR(INDEX(土地清冊_匯入!$V$6:$V$1005,MATCH($A312,土地清冊_匯入!$A$6:$A$1005,0)),""))</f>
        <v/>
      </c>
      <c r="J312" s="14" t="n"/>
      <c r="K312" s="7" t="n"/>
      <c r="L312" s="7" t="n"/>
      <c r="M312" s="7" t="n"/>
      <c r="N312" s="7" t="n"/>
      <c r="O312" s="7" t="n"/>
      <c r="P312" s="7" t="n"/>
      <c r="Q312" s="14" t="n"/>
      <c r="R312" s="7" t="n"/>
      <c r="S312" s="7" t="n"/>
      <c r="T312" s="7" t="n"/>
      <c r="U312" s="12">
        <f>IF(A312="","",IF(OR(J312="",L312=""),"建議補聯絡紀錄","") )</f>
        <v/>
      </c>
    </row>
    <row r="313" ht="24" customHeight="1">
      <c r="A313" s="7" t="n"/>
      <c r="B313" s="7" t="n"/>
      <c r="C313" s="12">
        <f>IF($A313="","",IFERROR(INDEX(土地清冊_匯入!$B$6:$B$1005,MATCH($A313,土地清冊_匯入!$A$6:$A$1005,0)),"查無資料"))</f>
        <v/>
      </c>
      <c r="D313" s="12">
        <f>IF($A313="","",IFERROR(INDEX(土地清冊_匯入!$P$6:$P$1005,MATCH($A313,土地清冊_匯入!$A$6:$A$1005,0)),""))</f>
        <v/>
      </c>
      <c r="E313" s="12">
        <f>IF($A313="","",IFERROR(INDEX(土地清冊_匯入!$Q$6:$Q$1005,MATCH($A313,土地清冊_匯入!$A$6:$A$1005,0)),""))</f>
        <v/>
      </c>
      <c r="F313" s="12">
        <f>IF($A313="","",IFERROR(INDEX(土地清冊_匯入!$R$6:$R$1005,MATCH($A313,土地清冊_匯入!$A$6:$A$1005,0)),""))</f>
        <v/>
      </c>
      <c r="G313" s="12">
        <f>IF($A313="","",IFERROR(INDEX(土地清冊_匯入!$S$6:$S$1005,MATCH($A313,土地清冊_匯入!$A$6:$A$1005,0)),""))</f>
        <v/>
      </c>
      <c r="H313" s="12">
        <f>IF($A313="","",IFERROR(INDEX(土地清冊_匯入!$T$6:$T$1005,MATCH($A313,土地清冊_匯入!$A$6:$A$1005,0)),""))</f>
        <v/>
      </c>
      <c r="I313" s="12">
        <f>IF($A313="","",IFERROR(INDEX(土地清冊_匯入!$V$6:$V$1005,MATCH($A313,土地清冊_匯入!$A$6:$A$1005,0)),""))</f>
        <v/>
      </c>
      <c r="J313" s="14" t="n"/>
      <c r="K313" s="7" t="n"/>
      <c r="L313" s="7" t="n"/>
      <c r="M313" s="7" t="n"/>
      <c r="N313" s="7" t="n"/>
      <c r="O313" s="7" t="n"/>
      <c r="P313" s="7" t="n"/>
      <c r="Q313" s="14" t="n"/>
      <c r="R313" s="7" t="n"/>
      <c r="S313" s="7" t="n"/>
      <c r="T313" s="7" t="n"/>
      <c r="U313" s="12">
        <f>IF(A313="","",IF(OR(J313="",L313=""),"建議補聯絡紀錄","") )</f>
        <v/>
      </c>
    </row>
    <row r="314" ht="24" customHeight="1">
      <c r="A314" s="7" t="n"/>
      <c r="B314" s="7" t="n"/>
      <c r="C314" s="12">
        <f>IF($A314="","",IFERROR(INDEX(土地清冊_匯入!$B$6:$B$1005,MATCH($A314,土地清冊_匯入!$A$6:$A$1005,0)),"查無資料"))</f>
        <v/>
      </c>
      <c r="D314" s="12">
        <f>IF($A314="","",IFERROR(INDEX(土地清冊_匯入!$P$6:$P$1005,MATCH($A314,土地清冊_匯入!$A$6:$A$1005,0)),""))</f>
        <v/>
      </c>
      <c r="E314" s="12">
        <f>IF($A314="","",IFERROR(INDEX(土地清冊_匯入!$Q$6:$Q$1005,MATCH($A314,土地清冊_匯入!$A$6:$A$1005,0)),""))</f>
        <v/>
      </c>
      <c r="F314" s="12">
        <f>IF($A314="","",IFERROR(INDEX(土地清冊_匯入!$R$6:$R$1005,MATCH($A314,土地清冊_匯入!$A$6:$A$1005,0)),""))</f>
        <v/>
      </c>
      <c r="G314" s="12">
        <f>IF($A314="","",IFERROR(INDEX(土地清冊_匯入!$S$6:$S$1005,MATCH($A314,土地清冊_匯入!$A$6:$A$1005,0)),""))</f>
        <v/>
      </c>
      <c r="H314" s="12">
        <f>IF($A314="","",IFERROR(INDEX(土地清冊_匯入!$T$6:$T$1005,MATCH($A314,土地清冊_匯入!$A$6:$A$1005,0)),""))</f>
        <v/>
      </c>
      <c r="I314" s="12">
        <f>IF($A314="","",IFERROR(INDEX(土地清冊_匯入!$V$6:$V$1005,MATCH($A314,土地清冊_匯入!$A$6:$A$1005,0)),""))</f>
        <v/>
      </c>
      <c r="J314" s="14" t="n"/>
      <c r="K314" s="7" t="n"/>
      <c r="L314" s="7" t="n"/>
      <c r="M314" s="7" t="n"/>
      <c r="N314" s="7" t="n"/>
      <c r="O314" s="7" t="n"/>
      <c r="P314" s="7" t="n"/>
      <c r="Q314" s="14" t="n"/>
      <c r="R314" s="7" t="n"/>
      <c r="S314" s="7" t="n"/>
      <c r="T314" s="7" t="n"/>
      <c r="U314" s="12">
        <f>IF(A314="","",IF(OR(J314="",L314=""),"建議補聯絡紀錄","") )</f>
        <v/>
      </c>
    </row>
    <row r="315" ht="24" customHeight="1">
      <c r="A315" s="7" t="n"/>
      <c r="B315" s="7" t="n"/>
      <c r="C315" s="12">
        <f>IF($A315="","",IFERROR(INDEX(土地清冊_匯入!$B$6:$B$1005,MATCH($A315,土地清冊_匯入!$A$6:$A$1005,0)),"查無資料"))</f>
        <v/>
      </c>
      <c r="D315" s="12">
        <f>IF($A315="","",IFERROR(INDEX(土地清冊_匯入!$P$6:$P$1005,MATCH($A315,土地清冊_匯入!$A$6:$A$1005,0)),""))</f>
        <v/>
      </c>
      <c r="E315" s="12">
        <f>IF($A315="","",IFERROR(INDEX(土地清冊_匯入!$Q$6:$Q$1005,MATCH($A315,土地清冊_匯入!$A$6:$A$1005,0)),""))</f>
        <v/>
      </c>
      <c r="F315" s="12">
        <f>IF($A315="","",IFERROR(INDEX(土地清冊_匯入!$R$6:$R$1005,MATCH($A315,土地清冊_匯入!$A$6:$A$1005,0)),""))</f>
        <v/>
      </c>
      <c r="G315" s="12">
        <f>IF($A315="","",IFERROR(INDEX(土地清冊_匯入!$S$6:$S$1005,MATCH($A315,土地清冊_匯入!$A$6:$A$1005,0)),""))</f>
        <v/>
      </c>
      <c r="H315" s="12">
        <f>IF($A315="","",IFERROR(INDEX(土地清冊_匯入!$T$6:$T$1005,MATCH($A315,土地清冊_匯入!$A$6:$A$1005,0)),""))</f>
        <v/>
      </c>
      <c r="I315" s="12">
        <f>IF($A315="","",IFERROR(INDEX(土地清冊_匯入!$V$6:$V$1005,MATCH($A315,土地清冊_匯入!$A$6:$A$1005,0)),""))</f>
        <v/>
      </c>
      <c r="J315" s="14" t="n"/>
      <c r="K315" s="7" t="n"/>
      <c r="L315" s="7" t="n"/>
      <c r="M315" s="7" t="n"/>
      <c r="N315" s="7" t="n"/>
      <c r="O315" s="7" t="n"/>
      <c r="P315" s="7" t="n"/>
      <c r="Q315" s="14" t="n"/>
      <c r="R315" s="7" t="n"/>
      <c r="S315" s="7" t="n"/>
      <c r="T315" s="7" t="n"/>
      <c r="U315" s="12">
        <f>IF(A315="","",IF(OR(J315="",L315=""),"建議補聯絡紀錄","") )</f>
        <v/>
      </c>
    </row>
    <row r="316" ht="24" customHeight="1">
      <c r="A316" s="7" t="n"/>
      <c r="B316" s="7" t="n"/>
      <c r="C316" s="12">
        <f>IF($A316="","",IFERROR(INDEX(土地清冊_匯入!$B$6:$B$1005,MATCH($A316,土地清冊_匯入!$A$6:$A$1005,0)),"查無資料"))</f>
        <v/>
      </c>
      <c r="D316" s="12">
        <f>IF($A316="","",IFERROR(INDEX(土地清冊_匯入!$P$6:$P$1005,MATCH($A316,土地清冊_匯入!$A$6:$A$1005,0)),""))</f>
        <v/>
      </c>
      <c r="E316" s="12">
        <f>IF($A316="","",IFERROR(INDEX(土地清冊_匯入!$Q$6:$Q$1005,MATCH($A316,土地清冊_匯入!$A$6:$A$1005,0)),""))</f>
        <v/>
      </c>
      <c r="F316" s="12">
        <f>IF($A316="","",IFERROR(INDEX(土地清冊_匯入!$R$6:$R$1005,MATCH($A316,土地清冊_匯入!$A$6:$A$1005,0)),""))</f>
        <v/>
      </c>
      <c r="G316" s="12">
        <f>IF($A316="","",IFERROR(INDEX(土地清冊_匯入!$S$6:$S$1005,MATCH($A316,土地清冊_匯入!$A$6:$A$1005,0)),""))</f>
        <v/>
      </c>
      <c r="H316" s="12">
        <f>IF($A316="","",IFERROR(INDEX(土地清冊_匯入!$T$6:$T$1005,MATCH($A316,土地清冊_匯入!$A$6:$A$1005,0)),""))</f>
        <v/>
      </c>
      <c r="I316" s="12">
        <f>IF($A316="","",IFERROR(INDEX(土地清冊_匯入!$V$6:$V$1005,MATCH($A316,土地清冊_匯入!$A$6:$A$1005,0)),""))</f>
        <v/>
      </c>
      <c r="J316" s="14" t="n"/>
      <c r="K316" s="7" t="n"/>
      <c r="L316" s="7" t="n"/>
      <c r="M316" s="7" t="n"/>
      <c r="N316" s="7" t="n"/>
      <c r="O316" s="7" t="n"/>
      <c r="P316" s="7" t="n"/>
      <c r="Q316" s="14" t="n"/>
      <c r="R316" s="7" t="n"/>
      <c r="S316" s="7" t="n"/>
      <c r="T316" s="7" t="n"/>
      <c r="U316" s="12">
        <f>IF(A316="","",IF(OR(J316="",L316=""),"建議補聯絡紀錄","") )</f>
        <v/>
      </c>
    </row>
    <row r="317" ht="24" customHeight="1">
      <c r="A317" s="7" t="n"/>
      <c r="B317" s="7" t="n"/>
      <c r="C317" s="12">
        <f>IF($A317="","",IFERROR(INDEX(土地清冊_匯入!$B$6:$B$1005,MATCH($A317,土地清冊_匯入!$A$6:$A$1005,0)),"查無資料"))</f>
        <v/>
      </c>
      <c r="D317" s="12">
        <f>IF($A317="","",IFERROR(INDEX(土地清冊_匯入!$P$6:$P$1005,MATCH($A317,土地清冊_匯入!$A$6:$A$1005,0)),""))</f>
        <v/>
      </c>
      <c r="E317" s="12">
        <f>IF($A317="","",IFERROR(INDEX(土地清冊_匯入!$Q$6:$Q$1005,MATCH($A317,土地清冊_匯入!$A$6:$A$1005,0)),""))</f>
        <v/>
      </c>
      <c r="F317" s="12">
        <f>IF($A317="","",IFERROR(INDEX(土地清冊_匯入!$R$6:$R$1005,MATCH($A317,土地清冊_匯入!$A$6:$A$1005,0)),""))</f>
        <v/>
      </c>
      <c r="G317" s="12">
        <f>IF($A317="","",IFERROR(INDEX(土地清冊_匯入!$S$6:$S$1005,MATCH($A317,土地清冊_匯入!$A$6:$A$1005,0)),""))</f>
        <v/>
      </c>
      <c r="H317" s="12">
        <f>IF($A317="","",IFERROR(INDEX(土地清冊_匯入!$T$6:$T$1005,MATCH($A317,土地清冊_匯入!$A$6:$A$1005,0)),""))</f>
        <v/>
      </c>
      <c r="I317" s="12">
        <f>IF($A317="","",IFERROR(INDEX(土地清冊_匯入!$V$6:$V$1005,MATCH($A317,土地清冊_匯入!$A$6:$A$1005,0)),""))</f>
        <v/>
      </c>
      <c r="J317" s="14" t="n"/>
      <c r="K317" s="7" t="n"/>
      <c r="L317" s="7" t="n"/>
      <c r="M317" s="7" t="n"/>
      <c r="N317" s="7" t="n"/>
      <c r="O317" s="7" t="n"/>
      <c r="P317" s="7" t="n"/>
      <c r="Q317" s="14" t="n"/>
      <c r="R317" s="7" t="n"/>
      <c r="S317" s="7" t="n"/>
      <c r="T317" s="7" t="n"/>
      <c r="U317" s="12">
        <f>IF(A317="","",IF(OR(J317="",L317=""),"建議補聯絡紀錄","") )</f>
        <v/>
      </c>
    </row>
    <row r="318" ht="24" customHeight="1">
      <c r="A318" s="7" t="n"/>
      <c r="B318" s="7" t="n"/>
      <c r="C318" s="12">
        <f>IF($A318="","",IFERROR(INDEX(土地清冊_匯入!$B$6:$B$1005,MATCH($A318,土地清冊_匯入!$A$6:$A$1005,0)),"查無資料"))</f>
        <v/>
      </c>
      <c r="D318" s="12">
        <f>IF($A318="","",IFERROR(INDEX(土地清冊_匯入!$P$6:$P$1005,MATCH($A318,土地清冊_匯入!$A$6:$A$1005,0)),""))</f>
        <v/>
      </c>
      <c r="E318" s="12">
        <f>IF($A318="","",IFERROR(INDEX(土地清冊_匯入!$Q$6:$Q$1005,MATCH($A318,土地清冊_匯入!$A$6:$A$1005,0)),""))</f>
        <v/>
      </c>
      <c r="F318" s="12">
        <f>IF($A318="","",IFERROR(INDEX(土地清冊_匯入!$R$6:$R$1005,MATCH($A318,土地清冊_匯入!$A$6:$A$1005,0)),""))</f>
        <v/>
      </c>
      <c r="G318" s="12">
        <f>IF($A318="","",IFERROR(INDEX(土地清冊_匯入!$S$6:$S$1005,MATCH($A318,土地清冊_匯入!$A$6:$A$1005,0)),""))</f>
        <v/>
      </c>
      <c r="H318" s="12">
        <f>IF($A318="","",IFERROR(INDEX(土地清冊_匯入!$T$6:$T$1005,MATCH($A318,土地清冊_匯入!$A$6:$A$1005,0)),""))</f>
        <v/>
      </c>
      <c r="I318" s="12">
        <f>IF($A318="","",IFERROR(INDEX(土地清冊_匯入!$V$6:$V$1005,MATCH($A318,土地清冊_匯入!$A$6:$A$1005,0)),""))</f>
        <v/>
      </c>
      <c r="J318" s="14" t="n"/>
      <c r="K318" s="7" t="n"/>
      <c r="L318" s="7" t="n"/>
      <c r="M318" s="7" t="n"/>
      <c r="N318" s="7" t="n"/>
      <c r="O318" s="7" t="n"/>
      <c r="P318" s="7" t="n"/>
      <c r="Q318" s="14" t="n"/>
      <c r="R318" s="7" t="n"/>
      <c r="S318" s="7" t="n"/>
      <c r="T318" s="7" t="n"/>
      <c r="U318" s="12">
        <f>IF(A318="","",IF(OR(J318="",L318=""),"建議補聯絡紀錄","") )</f>
        <v/>
      </c>
    </row>
    <row r="319" ht="24" customHeight="1">
      <c r="A319" s="7" t="n"/>
      <c r="B319" s="7" t="n"/>
      <c r="C319" s="12">
        <f>IF($A319="","",IFERROR(INDEX(土地清冊_匯入!$B$6:$B$1005,MATCH($A319,土地清冊_匯入!$A$6:$A$1005,0)),"查無資料"))</f>
        <v/>
      </c>
      <c r="D319" s="12">
        <f>IF($A319="","",IFERROR(INDEX(土地清冊_匯入!$P$6:$P$1005,MATCH($A319,土地清冊_匯入!$A$6:$A$1005,0)),""))</f>
        <v/>
      </c>
      <c r="E319" s="12">
        <f>IF($A319="","",IFERROR(INDEX(土地清冊_匯入!$Q$6:$Q$1005,MATCH($A319,土地清冊_匯入!$A$6:$A$1005,0)),""))</f>
        <v/>
      </c>
      <c r="F319" s="12">
        <f>IF($A319="","",IFERROR(INDEX(土地清冊_匯入!$R$6:$R$1005,MATCH($A319,土地清冊_匯入!$A$6:$A$1005,0)),""))</f>
        <v/>
      </c>
      <c r="G319" s="12">
        <f>IF($A319="","",IFERROR(INDEX(土地清冊_匯入!$S$6:$S$1005,MATCH($A319,土地清冊_匯入!$A$6:$A$1005,0)),""))</f>
        <v/>
      </c>
      <c r="H319" s="12">
        <f>IF($A319="","",IFERROR(INDEX(土地清冊_匯入!$T$6:$T$1005,MATCH($A319,土地清冊_匯入!$A$6:$A$1005,0)),""))</f>
        <v/>
      </c>
      <c r="I319" s="12">
        <f>IF($A319="","",IFERROR(INDEX(土地清冊_匯入!$V$6:$V$1005,MATCH($A319,土地清冊_匯入!$A$6:$A$1005,0)),""))</f>
        <v/>
      </c>
      <c r="J319" s="14" t="n"/>
      <c r="K319" s="7" t="n"/>
      <c r="L319" s="7" t="n"/>
      <c r="M319" s="7" t="n"/>
      <c r="N319" s="7" t="n"/>
      <c r="O319" s="7" t="n"/>
      <c r="P319" s="7" t="n"/>
      <c r="Q319" s="14" t="n"/>
      <c r="R319" s="7" t="n"/>
      <c r="S319" s="7" t="n"/>
      <c r="T319" s="7" t="n"/>
      <c r="U319" s="12">
        <f>IF(A319="","",IF(OR(J319="",L319=""),"建議補聯絡紀錄","") )</f>
        <v/>
      </c>
    </row>
    <row r="320" ht="24" customHeight="1">
      <c r="A320" s="7" t="n"/>
      <c r="B320" s="7" t="n"/>
      <c r="C320" s="12">
        <f>IF($A320="","",IFERROR(INDEX(土地清冊_匯入!$B$6:$B$1005,MATCH($A320,土地清冊_匯入!$A$6:$A$1005,0)),"查無資料"))</f>
        <v/>
      </c>
      <c r="D320" s="12">
        <f>IF($A320="","",IFERROR(INDEX(土地清冊_匯入!$P$6:$P$1005,MATCH($A320,土地清冊_匯入!$A$6:$A$1005,0)),""))</f>
        <v/>
      </c>
      <c r="E320" s="12">
        <f>IF($A320="","",IFERROR(INDEX(土地清冊_匯入!$Q$6:$Q$1005,MATCH($A320,土地清冊_匯入!$A$6:$A$1005,0)),""))</f>
        <v/>
      </c>
      <c r="F320" s="12">
        <f>IF($A320="","",IFERROR(INDEX(土地清冊_匯入!$R$6:$R$1005,MATCH($A320,土地清冊_匯入!$A$6:$A$1005,0)),""))</f>
        <v/>
      </c>
      <c r="G320" s="12">
        <f>IF($A320="","",IFERROR(INDEX(土地清冊_匯入!$S$6:$S$1005,MATCH($A320,土地清冊_匯入!$A$6:$A$1005,0)),""))</f>
        <v/>
      </c>
      <c r="H320" s="12">
        <f>IF($A320="","",IFERROR(INDEX(土地清冊_匯入!$T$6:$T$1005,MATCH($A320,土地清冊_匯入!$A$6:$A$1005,0)),""))</f>
        <v/>
      </c>
      <c r="I320" s="12">
        <f>IF($A320="","",IFERROR(INDEX(土地清冊_匯入!$V$6:$V$1005,MATCH($A320,土地清冊_匯入!$A$6:$A$1005,0)),""))</f>
        <v/>
      </c>
      <c r="J320" s="14" t="n"/>
      <c r="K320" s="7" t="n"/>
      <c r="L320" s="7" t="n"/>
      <c r="M320" s="7" t="n"/>
      <c r="N320" s="7" t="n"/>
      <c r="O320" s="7" t="n"/>
      <c r="P320" s="7" t="n"/>
      <c r="Q320" s="14" t="n"/>
      <c r="R320" s="7" t="n"/>
      <c r="S320" s="7" t="n"/>
      <c r="T320" s="7" t="n"/>
      <c r="U320" s="12">
        <f>IF(A320="","",IF(OR(J320="",L320=""),"建議補聯絡紀錄","") )</f>
        <v/>
      </c>
    </row>
    <row r="321" ht="24" customHeight="1">
      <c r="A321" s="7" t="n"/>
      <c r="B321" s="7" t="n"/>
      <c r="C321" s="12">
        <f>IF($A321="","",IFERROR(INDEX(土地清冊_匯入!$B$6:$B$1005,MATCH($A321,土地清冊_匯入!$A$6:$A$1005,0)),"查無資料"))</f>
        <v/>
      </c>
      <c r="D321" s="12">
        <f>IF($A321="","",IFERROR(INDEX(土地清冊_匯入!$P$6:$P$1005,MATCH($A321,土地清冊_匯入!$A$6:$A$1005,0)),""))</f>
        <v/>
      </c>
      <c r="E321" s="12">
        <f>IF($A321="","",IFERROR(INDEX(土地清冊_匯入!$Q$6:$Q$1005,MATCH($A321,土地清冊_匯入!$A$6:$A$1005,0)),""))</f>
        <v/>
      </c>
      <c r="F321" s="12">
        <f>IF($A321="","",IFERROR(INDEX(土地清冊_匯入!$R$6:$R$1005,MATCH($A321,土地清冊_匯入!$A$6:$A$1005,0)),""))</f>
        <v/>
      </c>
      <c r="G321" s="12">
        <f>IF($A321="","",IFERROR(INDEX(土地清冊_匯入!$S$6:$S$1005,MATCH($A321,土地清冊_匯入!$A$6:$A$1005,0)),""))</f>
        <v/>
      </c>
      <c r="H321" s="12">
        <f>IF($A321="","",IFERROR(INDEX(土地清冊_匯入!$T$6:$T$1005,MATCH($A321,土地清冊_匯入!$A$6:$A$1005,0)),""))</f>
        <v/>
      </c>
      <c r="I321" s="12">
        <f>IF($A321="","",IFERROR(INDEX(土地清冊_匯入!$V$6:$V$1005,MATCH($A321,土地清冊_匯入!$A$6:$A$1005,0)),""))</f>
        <v/>
      </c>
      <c r="J321" s="14" t="n"/>
      <c r="K321" s="7" t="n"/>
      <c r="L321" s="7" t="n"/>
      <c r="M321" s="7" t="n"/>
      <c r="N321" s="7" t="n"/>
      <c r="O321" s="7" t="n"/>
      <c r="P321" s="7" t="n"/>
      <c r="Q321" s="14" t="n"/>
      <c r="R321" s="7" t="n"/>
      <c r="S321" s="7" t="n"/>
      <c r="T321" s="7" t="n"/>
      <c r="U321" s="12">
        <f>IF(A321="","",IF(OR(J321="",L321=""),"建議補聯絡紀錄","") )</f>
        <v/>
      </c>
    </row>
    <row r="322" ht="24" customHeight="1">
      <c r="A322" s="7" t="n"/>
      <c r="B322" s="7" t="n"/>
      <c r="C322" s="12">
        <f>IF($A322="","",IFERROR(INDEX(土地清冊_匯入!$B$6:$B$1005,MATCH($A322,土地清冊_匯入!$A$6:$A$1005,0)),"查無資料"))</f>
        <v/>
      </c>
      <c r="D322" s="12">
        <f>IF($A322="","",IFERROR(INDEX(土地清冊_匯入!$P$6:$P$1005,MATCH($A322,土地清冊_匯入!$A$6:$A$1005,0)),""))</f>
        <v/>
      </c>
      <c r="E322" s="12">
        <f>IF($A322="","",IFERROR(INDEX(土地清冊_匯入!$Q$6:$Q$1005,MATCH($A322,土地清冊_匯入!$A$6:$A$1005,0)),""))</f>
        <v/>
      </c>
      <c r="F322" s="12">
        <f>IF($A322="","",IFERROR(INDEX(土地清冊_匯入!$R$6:$R$1005,MATCH($A322,土地清冊_匯入!$A$6:$A$1005,0)),""))</f>
        <v/>
      </c>
      <c r="G322" s="12">
        <f>IF($A322="","",IFERROR(INDEX(土地清冊_匯入!$S$6:$S$1005,MATCH($A322,土地清冊_匯入!$A$6:$A$1005,0)),""))</f>
        <v/>
      </c>
      <c r="H322" s="12">
        <f>IF($A322="","",IFERROR(INDEX(土地清冊_匯入!$T$6:$T$1005,MATCH($A322,土地清冊_匯入!$A$6:$A$1005,0)),""))</f>
        <v/>
      </c>
      <c r="I322" s="12">
        <f>IF($A322="","",IFERROR(INDEX(土地清冊_匯入!$V$6:$V$1005,MATCH($A322,土地清冊_匯入!$A$6:$A$1005,0)),""))</f>
        <v/>
      </c>
      <c r="J322" s="14" t="n"/>
      <c r="K322" s="7" t="n"/>
      <c r="L322" s="7" t="n"/>
      <c r="M322" s="7" t="n"/>
      <c r="N322" s="7" t="n"/>
      <c r="O322" s="7" t="n"/>
      <c r="P322" s="7" t="n"/>
      <c r="Q322" s="14" t="n"/>
      <c r="R322" s="7" t="n"/>
      <c r="S322" s="7" t="n"/>
      <c r="T322" s="7" t="n"/>
      <c r="U322" s="12">
        <f>IF(A322="","",IF(OR(J322="",L322=""),"建議補聯絡紀錄","") )</f>
        <v/>
      </c>
    </row>
    <row r="323" ht="24" customHeight="1">
      <c r="A323" s="7" t="n"/>
      <c r="B323" s="7" t="n"/>
      <c r="C323" s="12">
        <f>IF($A323="","",IFERROR(INDEX(土地清冊_匯入!$B$6:$B$1005,MATCH($A323,土地清冊_匯入!$A$6:$A$1005,0)),"查無資料"))</f>
        <v/>
      </c>
      <c r="D323" s="12">
        <f>IF($A323="","",IFERROR(INDEX(土地清冊_匯入!$P$6:$P$1005,MATCH($A323,土地清冊_匯入!$A$6:$A$1005,0)),""))</f>
        <v/>
      </c>
      <c r="E323" s="12">
        <f>IF($A323="","",IFERROR(INDEX(土地清冊_匯入!$Q$6:$Q$1005,MATCH($A323,土地清冊_匯入!$A$6:$A$1005,0)),""))</f>
        <v/>
      </c>
      <c r="F323" s="12">
        <f>IF($A323="","",IFERROR(INDEX(土地清冊_匯入!$R$6:$R$1005,MATCH($A323,土地清冊_匯入!$A$6:$A$1005,0)),""))</f>
        <v/>
      </c>
      <c r="G323" s="12">
        <f>IF($A323="","",IFERROR(INDEX(土地清冊_匯入!$S$6:$S$1005,MATCH($A323,土地清冊_匯入!$A$6:$A$1005,0)),""))</f>
        <v/>
      </c>
      <c r="H323" s="12">
        <f>IF($A323="","",IFERROR(INDEX(土地清冊_匯入!$T$6:$T$1005,MATCH($A323,土地清冊_匯入!$A$6:$A$1005,0)),""))</f>
        <v/>
      </c>
      <c r="I323" s="12">
        <f>IF($A323="","",IFERROR(INDEX(土地清冊_匯入!$V$6:$V$1005,MATCH($A323,土地清冊_匯入!$A$6:$A$1005,0)),""))</f>
        <v/>
      </c>
      <c r="J323" s="14" t="n"/>
      <c r="K323" s="7" t="n"/>
      <c r="L323" s="7" t="n"/>
      <c r="M323" s="7" t="n"/>
      <c r="N323" s="7" t="n"/>
      <c r="O323" s="7" t="n"/>
      <c r="P323" s="7" t="n"/>
      <c r="Q323" s="14" t="n"/>
      <c r="R323" s="7" t="n"/>
      <c r="S323" s="7" t="n"/>
      <c r="T323" s="7" t="n"/>
      <c r="U323" s="12">
        <f>IF(A323="","",IF(OR(J323="",L323=""),"建議補聯絡紀錄","") )</f>
        <v/>
      </c>
    </row>
    <row r="324" ht="24" customHeight="1">
      <c r="A324" s="7" t="n"/>
      <c r="B324" s="7" t="n"/>
      <c r="C324" s="12">
        <f>IF($A324="","",IFERROR(INDEX(土地清冊_匯入!$B$6:$B$1005,MATCH($A324,土地清冊_匯入!$A$6:$A$1005,0)),"查無資料"))</f>
        <v/>
      </c>
      <c r="D324" s="12">
        <f>IF($A324="","",IFERROR(INDEX(土地清冊_匯入!$P$6:$P$1005,MATCH($A324,土地清冊_匯入!$A$6:$A$1005,0)),""))</f>
        <v/>
      </c>
      <c r="E324" s="12">
        <f>IF($A324="","",IFERROR(INDEX(土地清冊_匯入!$Q$6:$Q$1005,MATCH($A324,土地清冊_匯入!$A$6:$A$1005,0)),""))</f>
        <v/>
      </c>
      <c r="F324" s="12">
        <f>IF($A324="","",IFERROR(INDEX(土地清冊_匯入!$R$6:$R$1005,MATCH($A324,土地清冊_匯入!$A$6:$A$1005,0)),""))</f>
        <v/>
      </c>
      <c r="G324" s="12">
        <f>IF($A324="","",IFERROR(INDEX(土地清冊_匯入!$S$6:$S$1005,MATCH($A324,土地清冊_匯入!$A$6:$A$1005,0)),""))</f>
        <v/>
      </c>
      <c r="H324" s="12">
        <f>IF($A324="","",IFERROR(INDEX(土地清冊_匯入!$T$6:$T$1005,MATCH($A324,土地清冊_匯入!$A$6:$A$1005,0)),""))</f>
        <v/>
      </c>
      <c r="I324" s="12">
        <f>IF($A324="","",IFERROR(INDEX(土地清冊_匯入!$V$6:$V$1005,MATCH($A324,土地清冊_匯入!$A$6:$A$1005,0)),""))</f>
        <v/>
      </c>
      <c r="J324" s="14" t="n"/>
      <c r="K324" s="7" t="n"/>
      <c r="L324" s="7" t="n"/>
      <c r="M324" s="7" t="n"/>
      <c r="N324" s="7" t="n"/>
      <c r="O324" s="7" t="n"/>
      <c r="P324" s="7" t="n"/>
      <c r="Q324" s="14" t="n"/>
      <c r="R324" s="7" t="n"/>
      <c r="S324" s="7" t="n"/>
      <c r="T324" s="7" t="n"/>
      <c r="U324" s="12">
        <f>IF(A324="","",IF(OR(J324="",L324=""),"建議補聯絡紀錄","") )</f>
        <v/>
      </c>
    </row>
    <row r="325" ht="24" customHeight="1">
      <c r="A325" s="7" t="n"/>
      <c r="B325" s="7" t="n"/>
      <c r="C325" s="12">
        <f>IF($A325="","",IFERROR(INDEX(土地清冊_匯入!$B$6:$B$1005,MATCH($A325,土地清冊_匯入!$A$6:$A$1005,0)),"查無資料"))</f>
        <v/>
      </c>
      <c r="D325" s="12">
        <f>IF($A325="","",IFERROR(INDEX(土地清冊_匯入!$P$6:$P$1005,MATCH($A325,土地清冊_匯入!$A$6:$A$1005,0)),""))</f>
        <v/>
      </c>
      <c r="E325" s="12">
        <f>IF($A325="","",IFERROR(INDEX(土地清冊_匯入!$Q$6:$Q$1005,MATCH($A325,土地清冊_匯入!$A$6:$A$1005,0)),""))</f>
        <v/>
      </c>
      <c r="F325" s="12">
        <f>IF($A325="","",IFERROR(INDEX(土地清冊_匯入!$R$6:$R$1005,MATCH($A325,土地清冊_匯入!$A$6:$A$1005,0)),""))</f>
        <v/>
      </c>
      <c r="G325" s="12">
        <f>IF($A325="","",IFERROR(INDEX(土地清冊_匯入!$S$6:$S$1005,MATCH($A325,土地清冊_匯入!$A$6:$A$1005,0)),""))</f>
        <v/>
      </c>
      <c r="H325" s="12">
        <f>IF($A325="","",IFERROR(INDEX(土地清冊_匯入!$T$6:$T$1005,MATCH($A325,土地清冊_匯入!$A$6:$A$1005,0)),""))</f>
        <v/>
      </c>
      <c r="I325" s="12">
        <f>IF($A325="","",IFERROR(INDEX(土地清冊_匯入!$V$6:$V$1005,MATCH($A325,土地清冊_匯入!$A$6:$A$1005,0)),""))</f>
        <v/>
      </c>
      <c r="J325" s="14" t="n"/>
      <c r="K325" s="7" t="n"/>
      <c r="L325" s="7" t="n"/>
      <c r="M325" s="7" t="n"/>
      <c r="N325" s="7" t="n"/>
      <c r="O325" s="7" t="n"/>
      <c r="P325" s="7" t="n"/>
      <c r="Q325" s="14" t="n"/>
      <c r="R325" s="7" t="n"/>
      <c r="S325" s="7" t="n"/>
      <c r="T325" s="7" t="n"/>
      <c r="U325" s="12">
        <f>IF(A325="","",IF(OR(J325="",L325=""),"建議補聯絡紀錄","") )</f>
        <v/>
      </c>
    </row>
    <row r="326" ht="24" customHeight="1">
      <c r="A326" s="7" t="n"/>
      <c r="B326" s="7" t="n"/>
      <c r="C326" s="12">
        <f>IF($A326="","",IFERROR(INDEX(土地清冊_匯入!$B$6:$B$1005,MATCH($A326,土地清冊_匯入!$A$6:$A$1005,0)),"查無資料"))</f>
        <v/>
      </c>
      <c r="D326" s="12">
        <f>IF($A326="","",IFERROR(INDEX(土地清冊_匯入!$P$6:$P$1005,MATCH($A326,土地清冊_匯入!$A$6:$A$1005,0)),""))</f>
        <v/>
      </c>
      <c r="E326" s="12">
        <f>IF($A326="","",IFERROR(INDEX(土地清冊_匯入!$Q$6:$Q$1005,MATCH($A326,土地清冊_匯入!$A$6:$A$1005,0)),""))</f>
        <v/>
      </c>
      <c r="F326" s="12">
        <f>IF($A326="","",IFERROR(INDEX(土地清冊_匯入!$R$6:$R$1005,MATCH($A326,土地清冊_匯入!$A$6:$A$1005,0)),""))</f>
        <v/>
      </c>
      <c r="G326" s="12">
        <f>IF($A326="","",IFERROR(INDEX(土地清冊_匯入!$S$6:$S$1005,MATCH($A326,土地清冊_匯入!$A$6:$A$1005,0)),""))</f>
        <v/>
      </c>
      <c r="H326" s="12">
        <f>IF($A326="","",IFERROR(INDEX(土地清冊_匯入!$T$6:$T$1005,MATCH($A326,土地清冊_匯入!$A$6:$A$1005,0)),""))</f>
        <v/>
      </c>
      <c r="I326" s="12">
        <f>IF($A326="","",IFERROR(INDEX(土地清冊_匯入!$V$6:$V$1005,MATCH($A326,土地清冊_匯入!$A$6:$A$1005,0)),""))</f>
        <v/>
      </c>
      <c r="J326" s="14" t="n"/>
      <c r="K326" s="7" t="n"/>
      <c r="L326" s="7" t="n"/>
      <c r="M326" s="7" t="n"/>
      <c r="N326" s="7" t="n"/>
      <c r="O326" s="7" t="n"/>
      <c r="P326" s="7" t="n"/>
      <c r="Q326" s="14" t="n"/>
      <c r="R326" s="7" t="n"/>
      <c r="S326" s="7" t="n"/>
      <c r="T326" s="7" t="n"/>
      <c r="U326" s="12">
        <f>IF(A326="","",IF(OR(J326="",L326=""),"建議補聯絡紀錄","") )</f>
        <v/>
      </c>
    </row>
    <row r="327" ht="24" customHeight="1">
      <c r="A327" s="7" t="n"/>
      <c r="B327" s="7" t="n"/>
      <c r="C327" s="12">
        <f>IF($A327="","",IFERROR(INDEX(土地清冊_匯入!$B$6:$B$1005,MATCH($A327,土地清冊_匯入!$A$6:$A$1005,0)),"查無資料"))</f>
        <v/>
      </c>
      <c r="D327" s="12">
        <f>IF($A327="","",IFERROR(INDEX(土地清冊_匯入!$P$6:$P$1005,MATCH($A327,土地清冊_匯入!$A$6:$A$1005,0)),""))</f>
        <v/>
      </c>
      <c r="E327" s="12">
        <f>IF($A327="","",IFERROR(INDEX(土地清冊_匯入!$Q$6:$Q$1005,MATCH($A327,土地清冊_匯入!$A$6:$A$1005,0)),""))</f>
        <v/>
      </c>
      <c r="F327" s="12">
        <f>IF($A327="","",IFERROR(INDEX(土地清冊_匯入!$R$6:$R$1005,MATCH($A327,土地清冊_匯入!$A$6:$A$1005,0)),""))</f>
        <v/>
      </c>
      <c r="G327" s="12">
        <f>IF($A327="","",IFERROR(INDEX(土地清冊_匯入!$S$6:$S$1005,MATCH($A327,土地清冊_匯入!$A$6:$A$1005,0)),""))</f>
        <v/>
      </c>
      <c r="H327" s="12">
        <f>IF($A327="","",IFERROR(INDEX(土地清冊_匯入!$T$6:$T$1005,MATCH($A327,土地清冊_匯入!$A$6:$A$1005,0)),""))</f>
        <v/>
      </c>
      <c r="I327" s="12">
        <f>IF($A327="","",IFERROR(INDEX(土地清冊_匯入!$V$6:$V$1005,MATCH($A327,土地清冊_匯入!$A$6:$A$1005,0)),""))</f>
        <v/>
      </c>
      <c r="J327" s="14" t="n"/>
      <c r="K327" s="7" t="n"/>
      <c r="L327" s="7" t="n"/>
      <c r="M327" s="7" t="n"/>
      <c r="N327" s="7" t="n"/>
      <c r="O327" s="7" t="n"/>
      <c r="P327" s="7" t="n"/>
      <c r="Q327" s="14" t="n"/>
      <c r="R327" s="7" t="n"/>
      <c r="S327" s="7" t="n"/>
      <c r="T327" s="7" t="n"/>
      <c r="U327" s="12">
        <f>IF(A327="","",IF(OR(J327="",L327=""),"建議補聯絡紀錄","") )</f>
        <v/>
      </c>
    </row>
    <row r="328" ht="24" customHeight="1">
      <c r="A328" s="7" t="n"/>
      <c r="B328" s="7" t="n"/>
      <c r="C328" s="12">
        <f>IF($A328="","",IFERROR(INDEX(土地清冊_匯入!$B$6:$B$1005,MATCH($A328,土地清冊_匯入!$A$6:$A$1005,0)),"查無資料"))</f>
        <v/>
      </c>
      <c r="D328" s="12">
        <f>IF($A328="","",IFERROR(INDEX(土地清冊_匯入!$P$6:$P$1005,MATCH($A328,土地清冊_匯入!$A$6:$A$1005,0)),""))</f>
        <v/>
      </c>
      <c r="E328" s="12">
        <f>IF($A328="","",IFERROR(INDEX(土地清冊_匯入!$Q$6:$Q$1005,MATCH($A328,土地清冊_匯入!$A$6:$A$1005,0)),""))</f>
        <v/>
      </c>
      <c r="F328" s="12">
        <f>IF($A328="","",IFERROR(INDEX(土地清冊_匯入!$R$6:$R$1005,MATCH($A328,土地清冊_匯入!$A$6:$A$1005,0)),""))</f>
        <v/>
      </c>
      <c r="G328" s="12">
        <f>IF($A328="","",IFERROR(INDEX(土地清冊_匯入!$S$6:$S$1005,MATCH($A328,土地清冊_匯入!$A$6:$A$1005,0)),""))</f>
        <v/>
      </c>
      <c r="H328" s="12">
        <f>IF($A328="","",IFERROR(INDEX(土地清冊_匯入!$T$6:$T$1005,MATCH($A328,土地清冊_匯入!$A$6:$A$1005,0)),""))</f>
        <v/>
      </c>
      <c r="I328" s="12">
        <f>IF($A328="","",IFERROR(INDEX(土地清冊_匯入!$V$6:$V$1005,MATCH($A328,土地清冊_匯入!$A$6:$A$1005,0)),""))</f>
        <v/>
      </c>
      <c r="J328" s="14" t="n"/>
      <c r="K328" s="7" t="n"/>
      <c r="L328" s="7" t="n"/>
      <c r="M328" s="7" t="n"/>
      <c r="N328" s="7" t="n"/>
      <c r="O328" s="7" t="n"/>
      <c r="P328" s="7" t="n"/>
      <c r="Q328" s="14" t="n"/>
      <c r="R328" s="7" t="n"/>
      <c r="S328" s="7" t="n"/>
      <c r="T328" s="7" t="n"/>
      <c r="U328" s="12">
        <f>IF(A328="","",IF(OR(J328="",L328=""),"建議補聯絡紀錄","") )</f>
        <v/>
      </c>
    </row>
    <row r="329" ht="24" customHeight="1">
      <c r="A329" s="7" t="n"/>
      <c r="B329" s="7" t="n"/>
      <c r="C329" s="12">
        <f>IF($A329="","",IFERROR(INDEX(土地清冊_匯入!$B$6:$B$1005,MATCH($A329,土地清冊_匯入!$A$6:$A$1005,0)),"查無資料"))</f>
        <v/>
      </c>
      <c r="D329" s="12">
        <f>IF($A329="","",IFERROR(INDEX(土地清冊_匯入!$P$6:$P$1005,MATCH($A329,土地清冊_匯入!$A$6:$A$1005,0)),""))</f>
        <v/>
      </c>
      <c r="E329" s="12">
        <f>IF($A329="","",IFERROR(INDEX(土地清冊_匯入!$Q$6:$Q$1005,MATCH($A329,土地清冊_匯入!$A$6:$A$1005,0)),""))</f>
        <v/>
      </c>
      <c r="F329" s="12">
        <f>IF($A329="","",IFERROR(INDEX(土地清冊_匯入!$R$6:$R$1005,MATCH($A329,土地清冊_匯入!$A$6:$A$1005,0)),""))</f>
        <v/>
      </c>
      <c r="G329" s="12">
        <f>IF($A329="","",IFERROR(INDEX(土地清冊_匯入!$S$6:$S$1005,MATCH($A329,土地清冊_匯入!$A$6:$A$1005,0)),""))</f>
        <v/>
      </c>
      <c r="H329" s="12">
        <f>IF($A329="","",IFERROR(INDEX(土地清冊_匯入!$T$6:$T$1005,MATCH($A329,土地清冊_匯入!$A$6:$A$1005,0)),""))</f>
        <v/>
      </c>
      <c r="I329" s="12">
        <f>IF($A329="","",IFERROR(INDEX(土地清冊_匯入!$V$6:$V$1005,MATCH($A329,土地清冊_匯入!$A$6:$A$1005,0)),""))</f>
        <v/>
      </c>
      <c r="J329" s="14" t="n"/>
      <c r="K329" s="7" t="n"/>
      <c r="L329" s="7" t="n"/>
      <c r="M329" s="7" t="n"/>
      <c r="N329" s="7" t="n"/>
      <c r="O329" s="7" t="n"/>
      <c r="P329" s="7" t="n"/>
      <c r="Q329" s="14" t="n"/>
      <c r="R329" s="7" t="n"/>
      <c r="S329" s="7" t="n"/>
      <c r="T329" s="7" t="n"/>
      <c r="U329" s="12">
        <f>IF(A329="","",IF(OR(J329="",L329=""),"建議補聯絡紀錄","") )</f>
        <v/>
      </c>
    </row>
    <row r="330" ht="24" customHeight="1">
      <c r="A330" s="7" t="n"/>
      <c r="B330" s="7" t="n"/>
      <c r="C330" s="12">
        <f>IF($A330="","",IFERROR(INDEX(土地清冊_匯入!$B$6:$B$1005,MATCH($A330,土地清冊_匯入!$A$6:$A$1005,0)),"查無資料"))</f>
        <v/>
      </c>
      <c r="D330" s="12">
        <f>IF($A330="","",IFERROR(INDEX(土地清冊_匯入!$P$6:$P$1005,MATCH($A330,土地清冊_匯入!$A$6:$A$1005,0)),""))</f>
        <v/>
      </c>
      <c r="E330" s="12">
        <f>IF($A330="","",IFERROR(INDEX(土地清冊_匯入!$Q$6:$Q$1005,MATCH($A330,土地清冊_匯入!$A$6:$A$1005,0)),""))</f>
        <v/>
      </c>
      <c r="F330" s="12">
        <f>IF($A330="","",IFERROR(INDEX(土地清冊_匯入!$R$6:$R$1005,MATCH($A330,土地清冊_匯入!$A$6:$A$1005,0)),""))</f>
        <v/>
      </c>
      <c r="G330" s="12">
        <f>IF($A330="","",IFERROR(INDEX(土地清冊_匯入!$S$6:$S$1005,MATCH($A330,土地清冊_匯入!$A$6:$A$1005,0)),""))</f>
        <v/>
      </c>
      <c r="H330" s="12">
        <f>IF($A330="","",IFERROR(INDEX(土地清冊_匯入!$T$6:$T$1005,MATCH($A330,土地清冊_匯入!$A$6:$A$1005,0)),""))</f>
        <v/>
      </c>
      <c r="I330" s="12">
        <f>IF($A330="","",IFERROR(INDEX(土地清冊_匯入!$V$6:$V$1005,MATCH($A330,土地清冊_匯入!$A$6:$A$1005,0)),""))</f>
        <v/>
      </c>
      <c r="J330" s="14" t="n"/>
      <c r="K330" s="7" t="n"/>
      <c r="L330" s="7" t="n"/>
      <c r="M330" s="7" t="n"/>
      <c r="N330" s="7" t="n"/>
      <c r="O330" s="7" t="n"/>
      <c r="P330" s="7" t="n"/>
      <c r="Q330" s="14" t="n"/>
      <c r="R330" s="7" t="n"/>
      <c r="S330" s="7" t="n"/>
      <c r="T330" s="7" t="n"/>
      <c r="U330" s="12">
        <f>IF(A330="","",IF(OR(J330="",L330=""),"建議補聯絡紀錄","") )</f>
        <v/>
      </c>
    </row>
    <row r="331" ht="24" customHeight="1">
      <c r="A331" s="7" t="n"/>
      <c r="B331" s="7" t="n"/>
      <c r="C331" s="12">
        <f>IF($A331="","",IFERROR(INDEX(土地清冊_匯入!$B$6:$B$1005,MATCH($A331,土地清冊_匯入!$A$6:$A$1005,0)),"查無資料"))</f>
        <v/>
      </c>
      <c r="D331" s="12">
        <f>IF($A331="","",IFERROR(INDEX(土地清冊_匯入!$P$6:$P$1005,MATCH($A331,土地清冊_匯入!$A$6:$A$1005,0)),""))</f>
        <v/>
      </c>
      <c r="E331" s="12">
        <f>IF($A331="","",IFERROR(INDEX(土地清冊_匯入!$Q$6:$Q$1005,MATCH($A331,土地清冊_匯入!$A$6:$A$1005,0)),""))</f>
        <v/>
      </c>
      <c r="F331" s="12">
        <f>IF($A331="","",IFERROR(INDEX(土地清冊_匯入!$R$6:$R$1005,MATCH($A331,土地清冊_匯入!$A$6:$A$1005,0)),""))</f>
        <v/>
      </c>
      <c r="G331" s="12">
        <f>IF($A331="","",IFERROR(INDEX(土地清冊_匯入!$S$6:$S$1005,MATCH($A331,土地清冊_匯入!$A$6:$A$1005,0)),""))</f>
        <v/>
      </c>
      <c r="H331" s="12">
        <f>IF($A331="","",IFERROR(INDEX(土地清冊_匯入!$T$6:$T$1005,MATCH($A331,土地清冊_匯入!$A$6:$A$1005,0)),""))</f>
        <v/>
      </c>
      <c r="I331" s="12">
        <f>IF($A331="","",IFERROR(INDEX(土地清冊_匯入!$V$6:$V$1005,MATCH($A331,土地清冊_匯入!$A$6:$A$1005,0)),""))</f>
        <v/>
      </c>
      <c r="J331" s="14" t="n"/>
      <c r="K331" s="7" t="n"/>
      <c r="L331" s="7" t="n"/>
      <c r="M331" s="7" t="n"/>
      <c r="N331" s="7" t="n"/>
      <c r="O331" s="7" t="n"/>
      <c r="P331" s="7" t="n"/>
      <c r="Q331" s="14" t="n"/>
      <c r="R331" s="7" t="n"/>
      <c r="S331" s="7" t="n"/>
      <c r="T331" s="7" t="n"/>
      <c r="U331" s="12">
        <f>IF(A331="","",IF(OR(J331="",L331=""),"建議補聯絡紀錄","") )</f>
        <v/>
      </c>
    </row>
    <row r="332" ht="24" customHeight="1">
      <c r="A332" s="7" t="n"/>
      <c r="B332" s="7" t="n"/>
      <c r="C332" s="12">
        <f>IF($A332="","",IFERROR(INDEX(土地清冊_匯入!$B$6:$B$1005,MATCH($A332,土地清冊_匯入!$A$6:$A$1005,0)),"查無資料"))</f>
        <v/>
      </c>
      <c r="D332" s="12">
        <f>IF($A332="","",IFERROR(INDEX(土地清冊_匯入!$P$6:$P$1005,MATCH($A332,土地清冊_匯入!$A$6:$A$1005,0)),""))</f>
        <v/>
      </c>
      <c r="E332" s="12">
        <f>IF($A332="","",IFERROR(INDEX(土地清冊_匯入!$Q$6:$Q$1005,MATCH($A332,土地清冊_匯入!$A$6:$A$1005,0)),""))</f>
        <v/>
      </c>
      <c r="F332" s="12">
        <f>IF($A332="","",IFERROR(INDEX(土地清冊_匯入!$R$6:$R$1005,MATCH($A332,土地清冊_匯入!$A$6:$A$1005,0)),""))</f>
        <v/>
      </c>
      <c r="G332" s="12">
        <f>IF($A332="","",IFERROR(INDEX(土地清冊_匯入!$S$6:$S$1005,MATCH($A332,土地清冊_匯入!$A$6:$A$1005,0)),""))</f>
        <v/>
      </c>
      <c r="H332" s="12">
        <f>IF($A332="","",IFERROR(INDEX(土地清冊_匯入!$T$6:$T$1005,MATCH($A332,土地清冊_匯入!$A$6:$A$1005,0)),""))</f>
        <v/>
      </c>
      <c r="I332" s="12">
        <f>IF($A332="","",IFERROR(INDEX(土地清冊_匯入!$V$6:$V$1005,MATCH($A332,土地清冊_匯入!$A$6:$A$1005,0)),""))</f>
        <v/>
      </c>
      <c r="J332" s="14" t="n"/>
      <c r="K332" s="7" t="n"/>
      <c r="L332" s="7" t="n"/>
      <c r="M332" s="7" t="n"/>
      <c r="N332" s="7" t="n"/>
      <c r="O332" s="7" t="n"/>
      <c r="P332" s="7" t="n"/>
      <c r="Q332" s="14" t="n"/>
      <c r="R332" s="7" t="n"/>
      <c r="S332" s="7" t="n"/>
      <c r="T332" s="7" t="n"/>
      <c r="U332" s="12">
        <f>IF(A332="","",IF(OR(J332="",L332=""),"建議補聯絡紀錄","") )</f>
        <v/>
      </c>
    </row>
    <row r="333" ht="24" customHeight="1">
      <c r="A333" s="7" t="n"/>
      <c r="B333" s="7" t="n"/>
      <c r="C333" s="12">
        <f>IF($A333="","",IFERROR(INDEX(土地清冊_匯入!$B$6:$B$1005,MATCH($A333,土地清冊_匯入!$A$6:$A$1005,0)),"查無資料"))</f>
        <v/>
      </c>
      <c r="D333" s="12">
        <f>IF($A333="","",IFERROR(INDEX(土地清冊_匯入!$P$6:$P$1005,MATCH($A333,土地清冊_匯入!$A$6:$A$1005,0)),""))</f>
        <v/>
      </c>
      <c r="E333" s="12">
        <f>IF($A333="","",IFERROR(INDEX(土地清冊_匯入!$Q$6:$Q$1005,MATCH($A333,土地清冊_匯入!$A$6:$A$1005,0)),""))</f>
        <v/>
      </c>
      <c r="F333" s="12">
        <f>IF($A333="","",IFERROR(INDEX(土地清冊_匯入!$R$6:$R$1005,MATCH($A333,土地清冊_匯入!$A$6:$A$1005,0)),""))</f>
        <v/>
      </c>
      <c r="G333" s="12">
        <f>IF($A333="","",IFERROR(INDEX(土地清冊_匯入!$S$6:$S$1005,MATCH($A333,土地清冊_匯入!$A$6:$A$1005,0)),""))</f>
        <v/>
      </c>
      <c r="H333" s="12">
        <f>IF($A333="","",IFERROR(INDEX(土地清冊_匯入!$T$6:$T$1005,MATCH($A333,土地清冊_匯入!$A$6:$A$1005,0)),""))</f>
        <v/>
      </c>
      <c r="I333" s="12">
        <f>IF($A333="","",IFERROR(INDEX(土地清冊_匯入!$V$6:$V$1005,MATCH($A333,土地清冊_匯入!$A$6:$A$1005,0)),""))</f>
        <v/>
      </c>
      <c r="J333" s="14" t="n"/>
      <c r="K333" s="7" t="n"/>
      <c r="L333" s="7" t="n"/>
      <c r="M333" s="7" t="n"/>
      <c r="N333" s="7" t="n"/>
      <c r="O333" s="7" t="n"/>
      <c r="P333" s="7" t="n"/>
      <c r="Q333" s="14" t="n"/>
      <c r="R333" s="7" t="n"/>
      <c r="S333" s="7" t="n"/>
      <c r="T333" s="7" t="n"/>
      <c r="U333" s="12">
        <f>IF(A333="","",IF(OR(J333="",L333=""),"建議補聯絡紀錄","") )</f>
        <v/>
      </c>
    </row>
    <row r="334" ht="24" customHeight="1">
      <c r="A334" s="7" t="n"/>
      <c r="B334" s="7" t="n"/>
      <c r="C334" s="12">
        <f>IF($A334="","",IFERROR(INDEX(土地清冊_匯入!$B$6:$B$1005,MATCH($A334,土地清冊_匯入!$A$6:$A$1005,0)),"查無資料"))</f>
        <v/>
      </c>
      <c r="D334" s="12">
        <f>IF($A334="","",IFERROR(INDEX(土地清冊_匯入!$P$6:$P$1005,MATCH($A334,土地清冊_匯入!$A$6:$A$1005,0)),""))</f>
        <v/>
      </c>
      <c r="E334" s="12">
        <f>IF($A334="","",IFERROR(INDEX(土地清冊_匯入!$Q$6:$Q$1005,MATCH($A334,土地清冊_匯入!$A$6:$A$1005,0)),""))</f>
        <v/>
      </c>
      <c r="F334" s="12">
        <f>IF($A334="","",IFERROR(INDEX(土地清冊_匯入!$R$6:$R$1005,MATCH($A334,土地清冊_匯入!$A$6:$A$1005,0)),""))</f>
        <v/>
      </c>
      <c r="G334" s="12">
        <f>IF($A334="","",IFERROR(INDEX(土地清冊_匯入!$S$6:$S$1005,MATCH($A334,土地清冊_匯入!$A$6:$A$1005,0)),""))</f>
        <v/>
      </c>
      <c r="H334" s="12">
        <f>IF($A334="","",IFERROR(INDEX(土地清冊_匯入!$T$6:$T$1005,MATCH($A334,土地清冊_匯入!$A$6:$A$1005,0)),""))</f>
        <v/>
      </c>
      <c r="I334" s="12">
        <f>IF($A334="","",IFERROR(INDEX(土地清冊_匯入!$V$6:$V$1005,MATCH($A334,土地清冊_匯入!$A$6:$A$1005,0)),""))</f>
        <v/>
      </c>
      <c r="J334" s="14" t="n"/>
      <c r="K334" s="7" t="n"/>
      <c r="L334" s="7" t="n"/>
      <c r="M334" s="7" t="n"/>
      <c r="N334" s="7" t="n"/>
      <c r="O334" s="7" t="n"/>
      <c r="P334" s="7" t="n"/>
      <c r="Q334" s="14" t="n"/>
      <c r="R334" s="7" t="n"/>
      <c r="S334" s="7" t="n"/>
      <c r="T334" s="7" t="n"/>
      <c r="U334" s="12">
        <f>IF(A334="","",IF(OR(J334="",L334=""),"建議補聯絡紀錄","") )</f>
        <v/>
      </c>
    </row>
    <row r="335" ht="24" customHeight="1">
      <c r="A335" s="7" t="n"/>
      <c r="B335" s="7" t="n"/>
      <c r="C335" s="12">
        <f>IF($A335="","",IFERROR(INDEX(土地清冊_匯入!$B$6:$B$1005,MATCH($A335,土地清冊_匯入!$A$6:$A$1005,0)),"查無資料"))</f>
        <v/>
      </c>
      <c r="D335" s="12">
        <f>IF($A335="","",IFERROR(INDEX(土地清冊_匯入!$P$6:$P$1005,MATCH($A335,土地清冊_匯入!$A$6:$A$1005,0)),""))</f>
        <v/>
      </c>
      <c r="E335" s="12">
        <f>IF($A335="","",IFERROR(INDEX(土地清冊_匯入!$Q$6:$Q$1005,MATCH($A335,土地清冊_匯入!$A$6:$A$1005,0)),""))</f>
        <v/>
      </c>
      <c r="F335" s="12">
        <f>IF($A335="","",IFERROR(INDEX(土地清冊_匯入!$R$6:$R$1005,MATCH($A335,土地清冊_匯入!$A$6:$A$1005,0)),""))</f>
        <v/>
      </c>
      <c r="G335" s="12">
        <f>IF($A335="","",IFERROR(INDEX(土地清冊_匯入!$S$6:$S$1005,MATCH($A335,土地清冊_匯入!$A$6:$A$1005,0)),""))</f>
        <v/>
      </c>
      <c r="H335" s="12">
        <f>IF($A335="","",IFERROR(INDEX(土地清冊_匯入!$T$6:$T$1005,MATCH($A335,土地清冊_匯入!$A$6:$A$1005,0)),""))</f>
        <v/>
      </c>
      <c r="I335" s="12">
        <f>IF($A335="","",IFERROR(INDEX(土地清冊_匯入!$V$6:$V$1005,MATCH($A335,土地清冊_匯入!$A$6:$A$1005,0)),""))</f>
        <v/>
      </c>
      <c r="J335" s="14" t="n"/>
      <c r="K335" s="7" t="n"/>
      <c r="L335" s="7" t="n"/>
      <c r="M335" s="7" t="n"/>
      <c r="N335" s="7" t="n"/>
      <c r="O335" s="7" t="n"/>
      <c r="P335" s="7" t="n"/>
      <c r="Q335" s="14" t="n"/>
      <c r="R335" s="7" t="n"/>
      <c r="S335" s="7" t="n"/>
      <c r="T335" s="7" t="n"/>
      <c r="U335" s="12">
        <f>IF(A335="","",IF(OR(J335="",L335=""),"建議補聯絡紀錄","") )</f>
        <v/>
      </c>
    </row>
    <row r="336" ht="24" customHeight="1">
      <c r="A336" s="7" t="n"/>
      <c r="B336" s="7" t="n"/>
      <c r="C336" s="12">
        <f>IF($A336="","",IFERROR(INDEX(土地清冊_匯入!$B$6:$B$1005,MATCH($A336,土地清冊_匯入!$A$6:$A$1005,0)),"查無資料"))</f>
        <v/>
      </c>
      <c r="D336" s="12">
        <f>IF($A336="","",IFERROR(INDEX(土地清冊_匯入!$P$6:$P$1005,MATCH($A336,土地清冊_匯入!$A$6:$A$1005,0)),""))</f>
        <v/>
      </c>
      <c r="E336" s="12">
        <f>IF($A336="","",IFERROR(INDEX(土地清冊_匯入!$Q$6:$Q$1005,MATCH($A336,土地清冊_匯入!$A$6:$A$1005,0)),""))</f>
        <v/>
      </c>
      <c r="F336" s="12">
        <f>IF($A336="","",IFERROR(INDEX(土地清冊_匯入!$R$6:$R$1005,MATCH($A336,土地清冊_匯入!$A$6:$A$1005,0)),""))</f>
        <v/>
      </c>
      <c r="G336" s="12">
        <f>IF($A336="","",IFERROR(INDEX(土地清冊_匯入!$S$6:$S$1005,MATCH($A336,土地清冊_匯入!$A$6:$A$1005,0)),""))</f>
        <v/>
      </c>
      <c r="H336" s="12">
        <f>IF($A336="","",IFERROR(INDEX(土地清冊_匯入!$T$6:$T$1005,MATCH($A336,土地清冊_匯入!$A$6:$A$1005,0)),""))</f>
        <v/>
      </c>
      <c r="I336" s="12">
        <f>IF($A336="","",IFERROR(INDEX(土地清冊_匯入!$V$6:$V$1005,MATCH($A336,土地清冊_匯入!$A$6:$A$1005,0)),""))</f>
        <v/>
      </c>
      <c r="J336" s="14" t="n"/>
      <c r="K336" s="7" t="n"/>
      <c r="L336" s="7" t="n"/>
      <c r="M336" s="7" t="n"/>
      <c r="N336" s="7" t="n"/>
      <c r="O336" s="7" t="n"/>
      <c r="P336" s="7" t="n"/>
      <c r="Q336" s="14" t="n"/>
      <c r="R336" s="7" t="n"/>
      <c r="S336" s="7" t="n"/>
      <c r="T336" s="7" t="n"/>
      <c r="U336" s="12">
        <f>IF(A336="","",IF(OR(J336="",L336=""),"建議補聯絡紀錄","") )</f>
        <v/>
      </c>
    </row>
    <row r="337" ht="24" customHeight="1">
      <c r="A337" s="7" t="n"/>
      <c r="B337" s="7" t="n"/>
      <c r="C337" s="12">
        <f>IF($A337="","",IFERROR(INDEX(土地清冊_匯入!$B$6:$B$1005,MATCH($A337,土地清冊_匯入!$A$6:$A$1005,0)),"查無資料"))</f>
        <v/>
      </c>
      <c r="D337" s="12">
        <f>IF($A337="","",IFERROR(INDEX(土地清冊_匯入!$P$6:$P$1005,MATCH($A337,土地清冊_匯入!$A$6:$A$1005,0)),""))</f>
        <v/>
      </c>
      <c r="E337" s="12">
        <f>IF($A337="","",IFERROR(INDEX(土地清冊_匯入!$Q$6:$Q$1005,MATCH($A337,土地清冊_匯入!$A$6:$A$1005,0)),""))</f>
        <v/>
      </c>
      <c r="F337" s="12">
        <f>IF($A337="","",IFERROR(INDEX(土地清冊_匯入!$R$6:$R$1005,MATCH($A337,土地清冊_匯入!$A$6:$A$1005,0)),""))</f>
        <v/>
      </c>
      <c r="G337" s="12">
        <f>IF($A337="","",IFERROR(INDEX(土地清冊_匯入!$S$6:$S$1005,MATCH($A337,土地清冊_匯入!$A$6:$A$1005,0)),""))</f>
        <v/>
      </c>
      <c r="H337" s="12">
        <f>IF($A337="","",IFERROR(INDEX(土地清冊_匯入!$T$6:$T$1005,MATCH($A337,土地清冊_匯入!$A$6:$A$1005,0)),""))</f>
        <v/>
      </c>
      <c r="I337" s="12">
        <f>IF($A337="","",IFERROR(INDEX(土地清冊_匯入!$V$6:$V$1005,MATCH($A337,土地清冊_匯入!$A$6:$A$1005,0)),""))</f>
        <v/>
      </c>
      <c r="J337" s="14" t="n"/>
      <c r="K337" s="7" t="n"/>
      <c r="L337" s="7" t="n"/>
      <c r="M337" s="7" t="n"/>
      <c r="N337" s="7" t="n"/>
      <c r="O337" s="7" t="n"/>
      <c r="P337" s="7" t="n"/>
      <c r="Q337" s="14" t="n"/>
      <c r="R337" s="7" t="n"/>
      <c r="S337" s="7" t="n"/>
      <c r="T337" s="7" t="n"/>
      <c r="U337" s="12">
        <f>IF(A337="","",IF(OR(J337="",L337=""),"建議補聯絡紀錄","") )</f>
        <v/>
      </c>
    </row>
    <row r="338" ht="24" customHeight="1">
      <c r="A338" s="7" t="n"/>
      <c r="B338" s="7" t="n"/>
      <c r="C338" s="12">
        <f>IF($A338="","",IFERROR(INDEX(土地清冊_匯入!$B$6:$B$1005,MATCH($A338,土地清冊_匯入!$A$6:$A$1005,0)),"查無資料"))</f>
        <v/>
      </c>
      <c r="D338" s="12">
        <f>IF($A338="","",IFERROR(INDEX(土地清冊_匯入!$P$6:$P$1005,MATCH($A338,土地清冊_匯入!$A$6:$A$1005,0)),""))</f>
        <v/>
      </c>
      <c r="E338" s="12">
        <f>IF($A338="","",IFERROR(INDEX(土地清冊_匯入!$Q$6:$Q$1005,MATCH($A338,土地清冊_匯入!$A$6:$A$1005,0)),""))</f>
        <v/>
      </c>
      <c r="F338" s="12">
        <f>IF($A338="","",IFERROR(INDEX(土地清冊_匯入!$R$6:$R$1005,MATCH($A338,土地清冊_匯入!$A$6:$A$1005,0)),""))</f>
        <v/>
      </c>
      <c r="G338" s="12">
        <f>IF($A338="","",IFERROR(INDEX(土地清冊_匯入!$S$6:$S$1005,MATCH($A338,土地清冊_匯入!$A$6:$A$1005,0)),""))</f>
        <v/>
      </c>
      <c r="H338" s="12">
        <f>IF($A338="","",IFERROR(INDEX(土地清冊_匯入!$T$6:$T$1005,MATCH($A338,土地清冊_匯入!$A$6:$A$1005,0)),""))</f>
        <v/>
      </c>
      <c r="I338" s="12">
        <f>IF($A338="","",IFERROR(INDEX(土地清冊_匯入!$V$6:$V$1005,MATCH($A338,土地清冊_匯入!$A$6:$A$1005,0)),""))</f>
        <v/>
      </c>
      <c r="J338" s="14" t="n"/>
      <c r="K338" s="7" t="n"/>
      <c r="L338" s="7" t="n"/>
      <c r="M338" s="7" t="n"/>
      <c r="N338" s="7" t="n"/>
      <c r="O338" s="7" t="n"/>
      <c r="P338" s="7" t="n"/>
      <c r="Q338" s="14" t="n"/>
      <c r="R338" s="7" t="n"/>
      <c r="S338" s="7" t="n"/>
      <c r="T338" s="7" t="n"/>
      <c r="U338" s="12">
        <f>IF(A338="","",IF(OR(J338="",L338=""),"建議補聯絡紀錄","") )</f>
        <v/>
      </c>
    </row>
    <row r="339" ht="24" customHeight="1">
      <c r="A339" s="7" t="n"/>
      <c r="B339" s="7" t="n"/>
      <c r="C339" s="12">
        <f>IF($A339="","",IFERROR(INDEX(土地清冊_匯入!$B$6:$B$1005,MATCH($A339,土地清冊_匯入!$A$6:$A$1005,0)),"查無資料"))</f>
        <v/>
      </c>
      <c r="D339" s="12">
        <f>IF($A339="","",IFERROR(INDEX(土地清冊_匯入!$P$6:$P$1005,MATCH($A339,土地清冊_匯入!$A$6:$A$1005,0)),""))</f>
        <v/>
      </c>
      <c r="E339" s="12">
        <f>IF($A339="","",IFERROR(INDEX(土地清冊_匯入!$Q$6:$Q$1005,MATCH($A339,土地清冊_匯入!$A$6:$A$1005,0)),""))</f>
        <v/>
      </c>
      <c r="F339" s="12">
        <f>IF($A339="","",IFERROR(INDEX(土地清冊_匯入!$R$6:$R$1005,MATCH($A339,土地清冊_匯入!$A$6:$A$1005,0)),""))</f>
        <v/>
      </c>
      <c r="G339" s="12">
        <f>IF($A339="","",IFERROR(INDEX(土地清冊_匯入!$S$6:$S$1005,MATCH($A339,土地清冊_匯入!$A$6:$A$1005,0)),""))</f>
        <v/>
      </c>
      <c r="H339" s="12">
        <f>IF($A339="","",IFERROR(INDEX(土地清冊_匯入!$T$6:$T$1005,MATCH($A339,土地清冊_匯入!$A$6:$A$1005,0)),""))</f>
        <v/>
      </c>
      <c r="I339" s="12">
        <f>IF($A339="","",IFERROR(INDEX(土地清冊_匯入!$V$6:$V$1005,MATCH($A339,土地清冊_匯入!$A$6:$A$1005,0)),""))</f>
        <v/>
      </c>
      <c r="J339" s="14" t="n"/>
      <c r="K339" s="7" t="n"/>
      <c r="L339" s="7" t="n"/>
      <c r="M339" s="7" t="n"/>
      <c r="N339" s="7" t="n"/>
      <c r="O339" s="7" t="n"/>
      <c r="P339" s="7" t="n"/>
      <c r="Q339" s="14" t="n"/>
      <c r="R339" s="7" t="n"/>
      <c r="S339" s="7" t="n"/>
      <c r="T339" s="7" t="n"/>
      <c r="U339" s="12">
        <f>IF(A339="","",IF(OR(J339="",L339=""),"建議補聯絡紀錄","") )</f>
        <v/>
      </c>
    </row>
    <row r="340" ht="24" customHeight="1">
      <c r="A340" s="7" t="n"/>
      <c r="B340" s="7" t="n"/>
      <c r="C340" s="12">
        <f>IF($A340="","",IFERROR(INDEX(土地清冊_匯入!$B$6:$B$1005,MATCH($A340,土地清冊_匯入!$A$6:$A$1005,0)),"查無資料"))</f>
        <v/>
      </c>
      <c r="D340" s="12">
        <f>IF($A340="","",IFERROR(INDEX(土地清冊_匯入!$P$6:$P$1005,MATCH($A340,土地清冊_匯入!$A$6:$A$1005,0)),""))</f>
        <v/>
      </c>
      <c r="E340" s="12">
        <f>IF($A340="","",IFERROR(INDEX(土地清冊_匯入!$Q$6:$Q$1005,MATCH($A340,土地清冊_匯入!$A$6:$A$1005,0)),""))</f>
        <v/>
      </c>
      <c r="F340" s="12">
        <f>IF($A340="","",IFERROR(INDEX(土地清冊_匯入!$R$6:$R$1005,MATCH($A340,土地清冊_匯入!$A$6:$A$1005,0)),""))</f>
        <v/>
      </c>
      <c r="G340" s="12">
        <f>IF($A340="","",IFERROR(INDEX(土地清冊_匯入!$S$6:$S$1005,MATCH($A340,土地清冊_匯入!$A$6:$A$1005,0)),""))</f>
        <v/>
      </c>
      <c r="H340" s="12">
        <f>IF($A340="","",IFERROR(INDEX(土地清冊_匯入!$T$6:$T$1005,MATCH($A340,土地清冊_匯入!$A$6:$A$1005,0)),""))</f>
        <v/>
      </c>
      <c r="I340" s="12">
        <f>IF($A340="","",IFERROR(INDEX(土地清冊_匯入!$V$6:$V$1005,MATCH($A340,土地清冊_匯入!$A$6:$A$1005,0)),""))</f>
        <v/>
      </c>
      <c r="J340" s="14" t="n"/>
      <c r="K340" s="7" t="n"/>
      <c r="L340" s="7" t="n"/>
      <c r="M340" s="7" t="n"/>
      <c r="N340" s="7" t="n"/>
      <c r="O340" s="7" t="n"/>
      <c r="P340" s="7" t="n"/>
      <c r="Q340" s="14" t="n"/>
      <c r="R340" s="7" t="n"/>
      <c r="S340" s="7" t="n"/>
      <c r="T340" s="7" t="n"/>
      <c r="U340" s="12">
        <f>IF(A340="","",IF(OR(J340="",L340=""),"建議補聯絡紀錄","") )</f>
        <v/>
      </c>
    </row>
    <row r="341" ht="24" customHeight="1">
      <c r="A341" s="7" t="n"/>
      <c r="B341" s="7" t="n"/>
      <c r="C341" s="12">
        <f>IF($A341="","",IFERROR(INDEX(土地清冊_匯入!$B$6:$B$1005,MATCH($A341,土地清冊_匯入!$A$6:$A$1005,0)),"查無資料"))</f>
        <v/>
      </c>
      <c r="D341" s="12">
        <f>IF($A341="","",IFERROR(INDEX(土地清冊_匯入!$P$6:$P$1005,MATCH($A341,土地清冊_匯入!$A$6:$A$1005,0)),""))</f>
        <v/>
      </c>
      <c r="E341" s="12">
        <f>IF($A341="","",IFERROR(INDEX(土地清冊_匯入!$Q$6:$Q$1005,MATCH($A341,土地清冊_匯入!$A$6:$A$1005,0)),""))</f>
        <v/>
      </c>
      <c r="F341" s="12">
        <f>IF($A341="","",IFERROR(INDEX(土地清冊_匯入!$R$6:$R$1005,MATCH($A341,土地清冊_匯入!$A$6:$A$1005,0)),""))</f>
        <v/>
      </c>
      <c r="G341" s="12">
        <f>IF($A341="","",IFERROR(INDEX(土地清冊_匯入!$S$6:$S$1005,MATCH($A341,土地清冊_匯入!$A$6:$A$1005,0)),""))</f>
        <v/>
      </c>
      <c r="H341" s="12">
        <f>IF($A341="","",IFERROR(INDEX(土地清冊_匯入!$T$6:$T$1005,MATCH($A341,土地清冊_匯入!$A$6:$A$1005,0)),""))</f>
        <v/>
      </c>
      <c r="I341" s="12">
        <f>IF($A341="","",IFERROR(INDEX(土地清冊_匯入!$V$6:$V$1005,MATCH($A341,土地清冊_匯入!$A$6:$A$1005,0)),""))</f>
        <v/>
      </c>
      <c r="J341" s="14" t="n"/>
      <c r="K341" s="7" t="n"/>
      <c r="L341" s="7" t="n"/>
      <c r="M341" s="7" t="n"/>
      <c r="N341" s="7" t="n"/>
      <c r="O341" s="7" t="n"/>
      <c r="P341" s="7" t="n"/>
      <c r="Q341" s="14" t="n"/>
      <c r="R341" s="7" t="n"/>
      <c r="S341" s="7" t="n"/>
      <c r="T341" s="7" t="n"/>
      <c r="U341" s="12">
        <f>IF(A341="","",IF(OR(J341="",L341=""),"建議補聯絡紀錄","") )</f>
        <v/>
      </c>
    </row>
    <row r="342" ht="24" customHeight="1">
      <c r="A342" s="7" t="n"/>
      <c r="B342" s="7" t="n"/>
      <c r="C342" s="12">
        <f>IF($A342="","",IFERROR(INDEX(土地清冊_匯入!$B$6:$B$1005,MATCH($A342,土地清冊_匯入!$A$6:$A$1005,0)),"查無資料"))</f>
        <v/>
      </c>
      <c r="D342" s="12">
        <f>IF($A342="","",IFERROR(INDEX(土地清冊_匯入!$P$6:$P$1005,MATCH($A342,土地清冊_匯入!$A$6:$A$1005,0)),""))</f>
        <v/>
      </c>
      <c r="E342" s="12">
        <f>IF($A342="","",IFERROR(INDEX(土地清冊_匯入!$Q$6:$Q$1005,MATCH($A342,土地清冊_匯入!$A$6:$A$1005,0)),""))</f>
        <v/>
      </c>
      <c r="F342" s="12">
        <f>IF($A342="","",IFERROR(INDEX(土地清冊_匯入!$R$6:$R$1005,MATCH($A342,土地清冊_匯入!$A$6:$A$1005,0)),""))</f>
        <v/>
      </c>
      <c r="G342" s="12">
        <f>IF($A342="","",IFERROR(INDEX(土地清冊_匯入!$S$6:$S$1005,MATCH($A342,土地清冊_匯入!$A$6:$A$1005,0)),""))</f>
        <v/>
      </c>
      <c r="H342" s="12">
        <f>IF($A342="","",IFERROR(INDEX(土地清冊_匯入!$T$6:$T$1005,MATCH($A342,土地清冊_匯入!$A$6:$A$1005,0)),""))</f>
        <v/>
      </c>
      <c r="I342" s="12">
        <f>IF($A342="","",IFERROR(INDEX(土地清冊_匯入!$V$6:$V$1005,MATCH($A342,土地清冊_匯入!$A$6:$A$1005,0)),""))</f>
        <v/>
      </c>
      <c r="J342" s="14" t="n"/>
      <c r="K342" s="7" t="n"/>
      <c r="L342" s="7" t="n"/>
      <c r="M342" s="7" t="n"/>
      <c r="N342" s="7" t="n"/>
      <c r="O342" s="7" t="n"/>
      <c r="P342" s="7" t="n"/>
      <c r="Q342" s="14" t="n"/>
      <c r="R342" s="7" t="n"/>
      <c r="S342" s="7" t="n"/>
      <c r="T342" s="7" t="n"/>
      <c r="U342" s="12">
        <f>IF(A342="","",IF(OR(J342="",L342=""),"建議補聯絡紀錄","") )</f>
        <v/>
      </c>
    </row>
    <row r="343" ht="24" customHeight="1">
      <c r="A343" s="7" t="n"/>
      <c r="B343" s="7" t="n"/>
      <c r="C343" s="12">
        <f>IF($A343="","",IFERROR(INDEX(土地清冊_匯入!$B$6:$B$1005,MATCH($A343,土地清冊_匯入!$A$6:$A$1005,0)),"查無資料"))</f>
        <v/>
      </c>
      <c r="D343" s="12">
        <f>IF($A343="","",IFERROR(INDEX(土地清冊_匯入!$P$6:$P$1005,MATCH($A343,土地清冊_匯入!$A$6:$A$1005,0)),""))</f>
        <v/>
      </c>
      <c r="E343" s="12">
        <f>IF($A343="","",IFERROR(INDEX(土地清冊_匯入!$Q$6:$Q$1005,MATCH($A343,土地清冊_匯入!$A$6:$A$1005,0)),""))</f>
        <v/>
      </c>
      <c r="F343" s="12">
        <f>IF($A343="","",IFERROR(INDEX(土地清冊_匯入!$R$6:$R$1005,MATCH($A343,土地清冊_匯入!$A$6:$A$1005,0)),""))</f>
        <v/>
      </c>
      <c r="G343" s="12">
        <f>IF($A343="","",IFERROR(INDEX(土地清冊_匯入!$S$6:$S$1005,MATCH($A343,土地清冊_匯入!$A$6:$A$1005,0)),""))</f>
        <v/>
      </c>
      <c r="H343" s="12">
        <f>IF($A343="","",IFERROR(INDEX(土地清冊_匯入!$T$6:$T$1005,MATCH($A343,土地清冊_匯入!$A$6:$A$1005,0)),""))</f>
        <v/>
      </c>
      <c r="I343" s="12">
        <f>IF($A343="","",IFERROR(INDEX(土地清冊_匯入!$V$6:$V$1005,MATCH($A343,土地清冊_匯入!$A$6:$A$1005,0)),""))</f>
        <v/>
      </c>
      <c r="J343" s="14" t="n"/>
      <c r="K343" s="7" t="n"/>
      <c r="L343" s="7" t="n"/>
      <c r="M343" s="7" t="n"/>
      <c r="N343" s="7" t="n"/>
      <c r="O343" s="7" t="n"/>
      <c r="P343" s="7" t="n"/>
      <c r="Q343" s="14" t="n"/>
      <c r="R343" s="7" t="n"/>
      <c r="S343" s="7" t="n"/>
      <c r="T343" s="7" t="n"/>
      <c r="U343" s="12">
        <f>IF(A343="","",IF(OR(J343="",L343=""),"建議補聯絡紀錄","") )</f>
        <v/>
      </c>
    </row>
    <row r="344" ht="24" customHeight="1">
      <c r="A344" s="7" t="n"/>
      <c r="B344" s="7" t="n"/>
      <c r="C344" s="12">
        <f>IF($A344="","",IFERROR(INDEX(土地清冊_匯入!$B$6:$B$1005,MATCH($A344,土地清冊_匯入!$A$6:$A$1005,0)),"查無資料"))</f>
        <v/>
      </c>
      <c r="D344" s="12">
        <f>IF($A344="","",IFERROR(INDEX(土地清冊_匯入!$P$6:$P$1005,MATCH($A344,土地清冊_匯入!$A$6:$A$1005,0)),""))</f>
        <v/>
      </c>
      <c r="E344" s="12">
        <f>IF($A344="","",IFERROR(INDEX(土地清冊_匯入!$Q$6:$Q$1005,MATCH($A344,土地清冊_匯入!$A$6:$A$1005,0)),""))</f>
        <v/>
      </c>
      <c r="F344" s="12">
        <f>IF($A344="","",IFERROR(INDEX(土地清冊_匯入!$R$6:$R$1005,MATCH($A344,土地清冊_匯入!$A$6:$A$1005,0)),""))</f>
        <v/>
      </c>
      <c r="G344" s="12">
        <f>IF($A344="","",IFERROR(INDEX(土地清冊_匯入!$S$6:$S$1005,MATCH($A344,土地清冊_匯入!$A$6:$A$1005,0)),""))</f>
        <v/>
      </c>
      <c r="H344" s="12">
        <f>IF($A344="","",IFERROR(INDEX(土地清冊_匯入!$T$6:$T$1005,MATCH($A344,土地清冊_匯入!$A$6:$A$1005,0)),""))</f>
        <v/>
      </c>
      <c r="I344" s="12">
        <f>IF($A344="","",IFERROR(INDEX(土地清冊_匯入!$V$6:$V$1005,MATCH($A344,土地清冊_匯入!$A$6:$A$1005,0)),""))</f>
        <v/>
      </c>
      <c r="J344" s="14" t="n"/>
      <c r="K344" s="7" t="n"/>
      <c r="L344" s="7" t="n"/>
      <c r="M344" s="7" t="n"/>
      <c r="N344" s="7" t="n"/>
      <c r="O344" s="7" t="n"/>
      <c r="P344" s="7" t="n"/>
      <c r="Q344" s="14" t="n"/>
      <c r="R344" s="7" t="n"/>
      <c r="S344" s="7" t="n"/>
      <c r="T344" s="7" t="n"/>
      <c r="U344" s="12">
        <f>IF(A344="","",IF(OR(J344="",L344=""),"建議補聯絡紀錄","") )</f>
        <v/>
      </c>
    </row>
    <row r="345" ht="24" customHeight="1">
      <c r="A345" s="7" t="n"/>
      <c r="B345" s="7" t="n"/>
      <c r="C345" s="12">
        <f>IF($A345="","",IFERROR(INDEX(土地清冊_匯入!$B$6:$B$1005,MATCH($A345,土地清冊_匯入!$A$6:$A$1005,0)),"查無資料"))</f>
        <v/>
      </c>
      <c r="D345" s="12">
        <f>IF($A345="","",IFERROR(INDEX(土地清冊_匯入!$P$6:$P$1005,MATCH($A345,土地清冊_匯入!$A$6:$A$1005,0)),""))</f>
        <v/>
      </c>
      <c r="E345" s="12">
        <f>IF($A345="","",IFERROR(INDEX(土地清冊_匯入!$Q$6:$Q$1005,MATCH($A345,土地清冊_匯入!$A$6:$A$1005,0)),""))</f>
        <v/>
      </c>
      <c r="F345" s="12">
        <f>IF($A345="","",IFERROR(INDEX(土地清冊_匯入!$R$6:$R$1005,MATCH($A345,土地清冊_匯入!$A$6:$A$1005,0)),""))</f>
        <v/>
      </c>
      <c r="G345" s="12">
        <f>IF($A345="","",IFERROR(INDEX(土地清冊_匯入!$S$6:$S$1005,MATCH($A345,土地清冊_匯入!$A$6:$A$1005,0)),""))</f>
        <v/>
      </c>
      <c r="H345" s="12">
        <f>IF($A345="","",IFERROR(INDEX(土地清冊_匯入!$T$6:$T$1005,MATCH($A345,土地清冊_匯入!$A$6:$A$1005,0)),""))</f>
        <v/>
      </c>
      <c r="I345" s="12">
        <f>IF($A345="","",IFERROR(INDEX(土地清冊_匯入!$V$6:$V$1005,MATCH($A345,土地清冊_匯入!$A$6:$A$1005,0)),""))</f>
        <v/>
      </c>
      <c r="J345" s="14" t="n"/>
      <c r="K345" s="7" t="n"/>
      <c r="L345" s="7" t="n"/>
      <c r="M345" s="7" t="n"/>
      <c r="N345" s="7" t="n"/>
      <c r="O345" s="7" t="n"/>
      <c r="P345" s="7" t="n"/>
      <c r="Q345" s="14" t="n"/>
      <c r="R345" s="7" t="n"/>
      <c r="S345" s="7" t="n"/>
      <c r="T345" s="7" t="n"/>
      <c r="U345" s="12">
        <f>IF(A345="","",IF(OR(J345="",L345=""),"建議補聯絡紀錄","") )</f>
        <v/>
      </c>
    </row>
    <row r="346" ht="24" customHeight="1">
      <c r="A346" s="7" t="n"/>
      <c r="B346" s="7" t="n"/>
      <c r="C346" s="12">
        <f>IF($A346="","",IFERROR(INDEX(土地清冊_匯入!$B$6:$B$1005,MATCH($A346,土地清冊_匯入!$A$6:$A$1005,0)),"查無資料"))</f>
        <v/>
      </c>
      <c r="D346" s="12">
        <f>IF($A346="","",IFERROR(INDEX(土地清冊_匯入!$P$6:$P$1005,MATCH($A346,土地清冊_匯入!$A$6:$A$1005,0)),""))</f>
        <v/>
      </c>
      <c r="E346" s="12">
        <f>IF($A346="","",IFERROR(INDEX(土地清冊_匯入!$Q$6:$Q$1005,MATCH($A346,土地清冊_匯入!$A$6:$A$1005,0)),""))</f>
        <v/>
      </c>
      <c r="F346" s="12">
        <f>IF($A346="","",IFERROR(INDEX(土地清冊_匯入!$R$6:$R$1005,MATCH($A346,土地清冊_匯入!$A$6:$A$1005,0)),""))</f>
        <v/>
      </c>
      <c r="G346" s="12">
        <f>IF($A346="","",IFERROR(INDEX(土地清冊_匯入!$S$6:$S$1005,MATCH($A346,土地清冊_匯入!$A$6:$A$1005,0)),""))</f>
        <v/>
      </c>
      <c r="H346" s="12">
        <f>IF($A346="","",IFERROR(INDEX(土地清冊_匯入!$T$6:$T$1005,MATCH($A346,土地清冊_匯入!$A$6:$A$1005,0)),""))</f>
        <v/>
      </c>
      <c r="I346" s="12">
        <f>IF($A346="","",IFERROR(INDEX(土地清冊_匯入!$V$6:$V$1005,MATCH($A346,土地清冊_匯入!$A$6:$A$1005,0)),""))</f>
        <v/>
      </c>
      <c r="J346" s="14" t="n"/>
      <c r="K346" s="7" t="n"/>
      <c r="L346" s="7" t="n"/>
      <c r="M346" s="7" t="n"/>
      <c r="N346" s="7" t="n"/>
      <c r="O346" s="7" t="n"/>
      <c r="P346" s="7" t="n"/>
      <c r="Q346" s="14" t="n"/>
      <c r="R346" s="7" t="n"/>
      <c r="S346" s="7" t="n"/>
      <c r="T346" s="7" t="n"/>
      <c r="U346" s="12">
        <f>IF(A346="","",IF(OR(J346="",L346=""),"建議補聯絡紀錄","") )</f>
        <v/>
      </c>
    </row>
    <row r="347" ht="24" customHeight="1">
      <c r="A347" s="7" t="n"/>
      <c r="B347" s="7" t="n"/>
      <c r="C347" s="12">
        <f>IF($A347="","",IFERROR(INDEX(土地清冊_匯入!$B$6:$B$1005,MATCH($A347,土地清冊_匯入!$A$6:$A$1005,0)),"查無資料"))</f>
        <v/>
      </c>
      <c r="D347" s="12">
        <f>IF($A347="","",IFERROR(INDEX(土地清冊_匯入!$P$6:$P$1005,MATCH($A347,土地清冊_匯入!$A$6:$A$1005,0)),""))</f>
        <v/>
      </c>
      <c r="E347" s="12">
        <f>IF($A347="","",IFERROR(INDEX(土地清冊_匯入!$Q$6:$Q$1005,MATCH($A347,土地清冊_匯入!$A$6:$A$1005,0)),""))</f>
        <v/>
      </c>
      <c r="F347" s="12">
        <f>IF($A347="","",IFERROR(INDEX(土地清冊_匯入!$R$6:$R$1005,MATCH($A347,土地清冊_匯入!$A$6:$A$1005,0)),""))</f>
        <v/>
      </c>
      <c r="G347" s="12">
        <f>IF($A347="","",IFERROR(INDEX(土地清冊_匯入!$S$6:$S$1005,MATCH($A347,土地清冊_匯入!$A$6:$A$1005,0)),""))</f>
        <v/>
      </c>
      <c r="H347" s="12">
        <f>IF($A347="","",IFERROR(INDEX(土地清冊_匯入!$T$6:$T$1005,MATCH($A347,土地清冊_匯入!$A$6:$A$1005,0)),""))</f>
        <v/>
      </c>
      <c r="I347" s="12">
        <f>IF($A347="","",IFERROR(INDEX(土地清冊_匯入!$V$6:$V$1005,MATCH($A347,土地清冊_匯入!$A$6:$A$1005,0)),""))</f>
        <v/>
      </c>
      <c r="J347" s="14" t="n"/>
      <c r="K347" s="7" t="n"/>
      <c r="L347" s="7" t="n"/>
      <c r="M347" s="7" t="n"/>
      <c r="N347" s="7" t="n"/>
      <c r="O347" s="7" t="n"/>
      <c r="P347" s="7" t="n"/>
      <c r="Q347" s="14" t="n"/>
      <c r="R347" s="7" t="n"/>
      <c r="S347" s="7" t="n"/>
      <c r="T347" s="7" t="n"/>
      <c r="U347" s="12">
        <f>IF(A347="","",IF(OR(J347="",L347=""),"建議補聯絡紀錄","") )</f>
        <v/>
      </c>
    </row>
    <row r="348" ht="24" customHeight="1">
      <c r="A348" s="7" t="n"/>
      <c r="B348" s="7" t="n"/>
      <c r="C348" s="12">
        <f>IF($A348="","",IFERROR(INDEX(土地清冊_匯入!$B$6:$B$1005,MATCH($A348,土地清冊_匯入!$A$6:$A$1005,0)),"查無資料"))</f>
        <v/>
      </c>
      <c r="D348" s="12">
        <f>IF($A348="","",IFERROR(INDEX(土地清冊_匯入!$P$6:$P$1005,MATCH($A348,土地清冊_匯入!$A$6:$A$1005,0)),""))</f>
        <v/>
      </c>
      <c r="E348" s="12">
        <f>IF($A348="","",IFERROR(INDEX(土地清冊_匯入!$Q$6:$Q$1005,MATCH($A348,土地清冊_匯入!$A$6:$A$1005,0)),""))</f>
        <v/>
      </c>
      <c r="F348" s="12">
        <f>IF($A348="","",IFERROR(INDEX(土地清冊_匯入!$R$6:$R$1005,MATCH($A348,土地清冊_匯入!$A$6:$A$1005,0)),""))</f>
        <v/>
      </c>
      <c r="G348" s="12">
        <f>IF($A348="","",IFERROR(INDEX(土地清冊_匯入!$S$6:$S$1005,MATCH($A348,土地清冊_匯入!$A$6:$A$1005,0)),""))</f>
        <v/>
      </c>
      <c r="H348" s="12">
        <f>IF($A348="","",IFERROR(INDEX(土地清冊_匯入!$T$6:$T$1005,MATCH($A348,土地清冊_匯入!$A$6:$A$1005,0)),""))</f>
        <v/>
      </c>
      <c r="I348" s="12">
        <f>IF($A348="","",IFERROR(INDEX(土地清冊_匯入!$V$6:$V$1005,MATCH($A348,土地清冊_匯入!$A$6:$A$1005,0)),""))</f>
        <v/>
      </c>
      <c r="J348" s="14" t="n"/>
      <c r="K348" s="7" t="n"/>
      <c r="L348" s="7" t="n"/>
      <c r="M348" s="7" t="n"/>
      <c r="N348" s="7" t="n"/>
      <c r="O348" s="7" t="n"/>
      <c r="P348" s="7" t="n"/>
      <c r="Q348" s="14" t="n"/>
      <c r="R348" s="7" t="n"/>
      <c r="S348" s="7" t="n"/>
      <c r="T348" s="7" t="n"/>
      <c r="U348" s="12">
        <f>IF(A348="","",IF(OR(J348="",L348=""),"建議補聯絡紀錄","") )</f>
        <v/>
      </c>
    </row>
    <row r="349" ht="24" customHeight="1">
      <c r="A349" s="7" t="n"/>
      <c r="B349" s="7" t="n"/>
      <c r="C349" s="12">
        <f>IF($A349="","",IFERROR(INDEX(土地清冊_匯入!$B$6:$B$1005,MATCH($A349,土地清冊_匯入!$A$6:$A$1005,0)),"查無資料"))</f>
        <v/>
      </c>
      <c r="D349" s="12">
        <f>IF($A349="","",IFERROR(INDEX(土地清冊_匯入!$P$6:$P$1005,MATCH($A349,土地清冊_匯入!$A$6:$A$1005,0)),""))</f>
        <v/>
      </c>
      <c r="E349" s="12">
        <f>IF($A349="","",IFERROR(INDEX(土地清冊_匯入!$Q$6:$Q$1005,MATCH($A349,土地清冊_匯入!$A$6:$A$1005,0)),""))</f>
        <v/>
      </c>
      <c r="F349" s="12">
        <f>IF($A349="","",IFERROR(INDEX(土地清冊_匯入!$R$6:$R$1005,MATCH($A349,土地清冊_匯入!$A$6:$A$1005,0)),""))</f>
        <v/>
      </c>
      <c r="G349" s="12">
        <f>IF($A349="","",IFERROR(INDEX(土地清冊_匯入!$S$6:$S$1005,MATCH($A349,土地清冊_匯入!$A$6:$A$1005,0)),""))</f>
        <v/>
      </c>
      <c r="H349" s="12">
        <f>IF($A349="","",IFERROR(INDEX(土地清冊_匯入!$T$6:$T$1005,MATCH($A349,土地清冊_匯入!$A$6:$A$1005,0)),""))</f>
        <v/>
      </c>
      <c r="I349" s="12">
        <f>IF($A349="","",IFERROR(INDEX(土地清冊_匯入!$V$6:$V$1005,MATCH($A349,土地清冊_匯入!$A$6:$A$1005,0)),""))</f>
        <v/>
      </c>
      <c r="J349" s="14" t="n"/>
      <c r="K349" s="7" t="n"/>
      <c r="L349" s="7" t="n"/>
      <c r="M349" s="7" t="n"/>
      <c r="N349" s="7" t="n"/>
      <c r="O349" s="7" t="n"/>
      <c r="P349" s="7" t="n"/>
      <c r="Q349" s="14" t="n"/>
      <c r="R349" s="7" t="n"/>
      <c r="S349" s="7" t="n"/>
      <c r="T349" s="7" t="n"/>
      <c r="U349" s="12">
        <f>IF(A349="","",IF(OR(J349="",L349=""),"建議補聯絡紀錄","") )</f>
        <v/>
      </c>
    </row>
    <row r="350" ht="24" customHeight="1">
      <c r="A350" s="7" t="n"/>
      <c r="B350" s="7" t="n"/>
      <c r="C350" s="12">
        <f>IF($A350="","",IFERROR(INDEX(土地清冊_匯入!$B$6:$B$1005,MATCH($A350,土地清冊_匯入!$A$6:$A$1005,0)),"查無資料"))</f>
        <v/>
      </c>
      <c r="D350" s="12">
        <f>IF($A350="","",IFERROR(INDEX(土地清冊_匯入!$P$6:$P$1005,MATCH($A350,土地清冊_匯入!$A$6:$A$1005,0)),""))</f>
        <v/>
      </c>
      <c r="E350" s="12">
        <f>IF($A350="","",IFERROR(INDEX(土地清冊_匯入!$Q$6:$Q$1005,MATCH($A350,土地清冊_匯入!$A$6:$A$1005,0)),""))</f>
        <v/>
      </c>
      <c r="F350" s="12">
        <f>IF($A350="","",IFERROR(INDEX(土地清冊_匯入!$R$6:$R$1005,MATCH($A350,土地清冊_匯入!$A$6:$A$1005,0)),""))</f>
        <v/>
      </c>
      <c r="G350" s="12">
        <f>IF($A350="","",IFERROR(INDEX(土地清冊_匯入!$S$6:$S$1005,MATCH($A350,土地清冊_匯入!$A$6:$A$1005,0)),""))</f>
        <v/>
      </c>
      <c r="H350" s="12">
        <f>IF($A350="","",IFERROR(INDEX(土地清冊_匯入!$T$6:$T$1005,MATCH($A350,土地清冊_匯入!$A$6:$A$1005,0)),""))</f>
        <v/>
      </c>
      <c r="I350" s="12">
        <f>IF($A350="","",IFERROR(INDEX(土地清冊_匯入!$V$6:$V$1005,MATCH($A350,土地清冊_匯入!$A$6:$A$1005,0)),""))</f>
        <v/>
      </c>
      <c r="J350" s="14" t="n"/>
      <c r="K350" s="7" t="n"/>
      <c r="L350" s="7" t="n"/>
      <c r="M350" s="7" t="n"/>
      <c r="N350" s="7" t="n"/>
      <c r="O350" s="7" t="n"/>
      <c r="P350" s="7" t="n"/>
      <c r="Q350" s="14" t="n"/>
      <c r="R350" s="7" t="n"/>
      <c r="S350" s="7" t="n"/>
      <c r="T350" s="7" t="n"/>
      <c r="U350" s="12">
        <f>IF(A350="","",IF(OR(J350="",L350=""),"建議補聯絡紀錄","") )</f>
        <v/>
      </c>
    </row>
    <row r="351" ht="24" customHeight="1">
      <c r="A351" s="7" t="n"/>
      <c r="B351" s="7" t="n"/>
      <c r="C351" s="12">
        <f>IF($A351="","",IFERROR(INDEX(土地清冊_匯入!$B$6:$B$1005,MATCH($A351,土地清冊_匯入!$A$6:$A$1005,0)),"查無資料"))</f>
        <v/>
      </c>
      <c r="D351" s="12">
        <f>IF($A351="","",IFERROR(INDEX(土地清冊_匯入!$P$6:$P$1005,MATCH($A351,土地清冊_匯入!$A$6:$A$1005,0)),""))</f>
        <v/>
      </c>
      <c r="E351" s="12">
        <f>IF($A351="","",IFERROR(INDEX(土地清冊_匯入!$Q$6:$Q$1005,MATCH($A351,土地清冊_匯入!$A$6:$A$1005,0)),""))</f>
        <v/>
      </c>
      <c r="F351" s="12">
        <f>IF($A351="","",IFERROR(INDEX(土地清冊_匯入!$R$6:$R$1005,MATCH($A351,土地清冊_匯入!$A$6:$A$1005,0)),""))</f>
        <v/>
      </c>
      <c r="G351" s="12">
        <f>IF($A351="","",IFERROR(INDEX(土地清冊_匯入!$S$6:$S$1005,MATCH($A351,土地清冊_匯入!$A$6:$A$1005,0)),""))</f>
        <v/>
      </c>
      <c r="H351" s="12">
        <f>IF($A351="","",IFERROR(INDEX(土地清冊_匯入!$T$6:$T$1005,MATCH($A351,土地清冊_匯入!$A$6:$A$1005,0)),""))</f>
        <v/>
      </c>
      <c r="I351" s="12">
        <f>IF($A351="","",IFERROR(INDEX(土地清冊_匯入!$V$6:$V$1005,MATCH($A351,土地清冊_匯入!$A$6:$A$1005,0)),""))</f>
        <v/>
      </c>
      <c r="J351" s="14" t="n"/>
      <c r="K351" s="7" t="n"/>
      <c r="L351" s="7" t="n"/>
      <c r="M351" s="7" t="n"/>
      <c r="N351" s="7" t="n"/>
      <c r="O351" s="7" t="n"/>
      <c r="P351" s="7" t="n"/>
      <c r="Q351" s="14" t="n"/>
      <c r="R351" s="7" t="n"/>
      <c r="S351" s="7" t="n"/>
      <c r="T351" s="7" t="n"/>
      <c r="U351" s="12">
        <f>IF(A351="","",IF(OR(J351="",L351=""),"建議補聯絡紀錄","") )</f>
        <v/>
      </c>
    </row>
    <row r="352" ht="24" customHeight="1">
      <c r="A352" s="7" t="n"/>
      <c r="B352" s="7" t="n"/>
      <c r="C352" s="12">
        <f>IF($A352="","",IFERROR(INDEX(土地清冊_匯入!$B$6:$B$1005,MATCH($A352,土地清冊_匯入!$A$6:$A$1005,0)),"查無資料"))</f>
        <v/>
      </c>
      <c r="D352" s="12">
        <f>IF($A352="","",IFERROR(INDEX(土地清冊_匯入!$P$6:$P$1005,MATCH($A352,土地清冊_匯入!$A$6:$A$1005,0)),""))</f>
        <v/>
      </c>
      <c r="E352" s="12">
        <f>IF($A352="","",IFERROR(INDEX(土地清冊_匯入!$Q$6:$Q$1005,MATCH($A352,土地清冊_匯入!$A$6:$A$1005,0)),""))</f>
        <v/>
      </c>
      <c r="F352" s="12">
        <f>IF($A352="","",IFERROR(INDEX(土地清冊_匯入!$R$6:$R$1005,MATCH($A352,土地清冊_匯入!$A$6:$A$1005,0)),""))</f>
        <v/>
      </c>
      <c r="G352" s="12">
        <f>IF($A352="","",IFERROR(INDEX(土地清冊_匯入!$S$6:$S$1005,MATCH($A352,土地清冊_匯入!$A$6:$A$1005,0)),""))</f>
        <v/>
      </c>
      <c r="H352" s="12">
        <f>IF($A352="","",IFERROR(INDEX(土地清冊_匯入!$T$6:$T$1005,MATCH($A352,土地清冊_匯入!$A$6:$A$1005,0)),""))</f>
        <v/>
      </c>
      <c r="I352" s="12">
        <f>IF($A352="","",IFERROR(INDEX(土地清冊_匯入!$V$6:$V$1005,MATCH($A352,土地清冊_匯入!$A$6:$A$1005,0)),""))</f>
        <v/>
      </c>
      <c r="J352" s="14" t="n"/>
      <c r="K352" s="7" t="n"/>
      <c r="L352" s="7" t="n"/>
      <c r="M352" s="7" t="n"/>
      <c r="N352" s="7" t="n"/>
      <c r="O352" s="7" t="n"/>
      <c r="P352" s="7" t="n"/>
      <c r="Q352" s="14" t="n"/>
      <c r="R352" s="7" t="n"/>
      <c r="S352" s="7" t="n"/>
      <c r="T352" s="7" t="n"/>
      <c r="U352" s="12">
        <f>IF(A352="","",IF(OR(J352="",L352=""),"建議補聯絡紀錄","") )</f>
        <v/>
      </c>
    </row>
    <row r="353" ht="24" customHeight="1">
      <c r="A353" s="7" t="n"/>
      <c r="B353" s="7" t="n"/>
      <c r="C353" s="12">
        <f>IF($A353="","",IFERROR(INDEX(土地清冊_匯入!$B$6:$B$1005,MATCH($A353,土地清冊_匯入!$A$6:$A$1005,0)),"查無資料"))</f>
        <v/>
      </c>
      <c r="D353" s="12">
        <f>IF($A353="","",IFERROR(INDEX(土地清冊_匯入!$P$6:$P$1005,MATCH($A353,土地清冊_匯入!$A$6:$A$1005,0)),""))</f>
        <v/>
      </c>
      <c r="E353" s="12">
        <f>IF($A353="","",IFERROR(INDEX(土地清冊_匯入!$Q$6:$Q$1005,MATCH($A353,土地清冊_匯入!$A$6:$A$1005,0)),""))</f>
        <v/>
      </c>
      <c r="F353" s="12">
        <f>IF($A353="","",IFERROR(INDEX(土地清冊_匯入!$R$6:$R$1005,MATCH($A353,土地清冊_匯入!$A$6:$A$1005,0)),""))</f>
        <v/>
      </c>
      <c r="G353" s="12">
        <f>IF($A353="","",IFERROR(INDEX(土地清冊_匯入!$S$6:$S$1005,MATCH($A353,土地清冊_匯入!$A$6:$A$1005,0)),""))</f>
        <v/>
      </c>
      <c r="H353" s="12">
        <f>IF($A353="","",IFERROR(INDEX(土地清冊_匯入!$T$6:$T$1005,MATCH($A353,土地清冊_匯入!$A$6:$A$1005,0)),""))</f>
        <v/>
      </c>
      <c r="I353" s="12">
        <f>IF($A353="","",IFERROR(INDEX(土地清冊_匯入!$V$6:$V$1005,MATCH($A353,土地清冊_匯入!$A$6:$A$1005,0)),""))</f>
        <v/>
      </c>
      <c r="J353" s="14" t="n"/>
      <c r="K353" s="7" t="n"/>
      <c r="L353" s="7" t="n"/>
      <c r="M353" s="7" t="n"/>
      <c r="N353" s="7" t="n"/>
      <c r="O353" s="7" t="n"/>
      <c r="P353" s="7" t="n"/>
      <c r="Q353" s="14" t="n"/>
      <c r="R353" s="7" t="n"/>
      <c r="S353" s="7" t="n"/>
      <c r="T353" s="7" t="n"/>
      <c r="U353" s="12">
        <f>IF(A353="","",IF(OR(J353="",L353=""),"建議補聯絡紀錄","") )</f>
        <v/>
      </c>
    </row>
    <row r="354" ht="24" customHeight="1">
      <c r="A354" s="7" t="n"/>
      <c r="B354" s="7" t="n"/>
      <c r="C354" s="12">
        <f>IF($A354="","",IFERROR(INDEX(土地清冊_匯入!$B$6:$B$1005,MATCH($A354,土地清冊_匯入!$A$6:$A$1005,0)),"查無資料"))</f>
        <v/>
      </c>
      <c r="D354" s="12">
        <f>IF($A354="","",IFERROR(INDEX(土地清冊_匯入!$P$6:$P$1005,MATCH($A354,土地清冊_匯入!$A$6:$A$1005,0)),""))</f>
        <v/>
      </c>
      <c r="E354" s="12">
        <f>IF($A354="","",IFERROR(INDEX(土地清冊_匯入!$Q$6:$Q$1005,MATCH($A354,土地清冊_匯入!$A$6:$A$1005,0)),""))</f>
        <v/>
      </c>
      <c r="F354" s="12">
        <f>IF($A354="","",IFERROR(INDEX(土地清冊_匯入!$R$6:$R$1005,MATCH($A354,土地清冊_匯入!$A$6:$A$1005,0)),""))</f>
        <v/>
      </c>
      <c r="G354" s="12">
        <f>IF($A354="","",IFERROR(INDEX(土地清冊_匯入!$S$6:$S$1005,MATCH($A354,土地清冊_匯入!$A$6:$A$1005,0)),""))</f>
        <v/>
      </c>
      <c r="H354" s="12">
        <f>IF($A354="","",IFERROR(INDEX(土地清冊_匯入!$T$6:$T$1005,MATCH($A354,土地清冊_匯入!$A$6:$A$1005,0)),""))</f>
        <v/>
      </c>
      <c r="I354" s="12">
        <f>IF($A354="","",IFERROR(INDEX(土地清冊_匯入!$V$6:$V$1005,MATCH($A354,土地清冊_匯入!$A$6:$A$1005,0)),""))</f>
        <v/>
      </c>
      <c r="J354" s="14" t="n"/>
      <c r="K354" s="7" t="n"/>
      <c r="L354" s="7" t="n"/>
      <c r="M354" s="7" t="n"/>
      <c r="N354" s="7" t="n"/>
      <c r="O354" s="7" t="n"/>
      <c r="P354" s="7" t="n"/>
      <c r="Q354" s="14" t="n"/>
      <c r="R354" s="7" t="n"/>
      <c r="S354" s="7" t="n"/>
      <c r="T354" s="7" t="n"/>
      <c r="U354" s="12">
        <f>IF(A354="","",IF(OR(J354="",L354=""),"建議補聯絡紀錄","") )</f>
        <v/>
      </c>
    </row>
    <row r="355" ht="24" customHeight="1">
      <c r="A355" s="7" t="n"/>
      <c r="B355" s="7" t="n"/>
      <c r="C355" s="12">
        <f>IF($A355="","",IFERROR(INDEX(土地清冊_匯入!$B$6:$B$1005,MATCH($A355,土地清冊_匯入!$A$6:$A$1005,0)),"查無資料"))</f>
        <v/>
      </c>
      <c r="D355" s="12">
        <f>IF($A355="","",IFERROR(INDEX(土地清冊_匯入!$P$6:$P$1005,MATCH($A355,土地清冊_匯入!$A$6:$A$1005,0)),""))</f>
        <v/>
      </c>
      <c r="E355" s="12">
        <f>IF($A355="","",IFERROR(INDEX(土地清冊_匯入!$Q$6:$Q$1005,MATCH($A355,土地清冊_匯入!$A$6:$A$1005,0)),""))</f>
        <v/>
      </c>
      <c r="F355" s="12">
        <f>IF($A355="","",IFERROR(INDEX(土地清冊_匯入!$R$6:$R$1005,MATCH($A355,土地清冊_匯入!$A$6:$A$1005,0)),""))</f>
        <v/>
      </c>
      <c r="G355" s="12">
        <f>IF($A355="","",IFERROR(INDEX(土地清冊_匯入!$S$6:$S$1005,MATCH($A355,土地清冊_匯入!$A$6:$A$1005,0)),""))</f>
        <v/>
      </c>
      <c r="H355" s="12">
        <f>IF($A355="","",IFERROR(INDEX(土地清冊_匯入!$T$6:$T$1005,MATCH($A355,土地清冊_匯入!$A$6:$A$1005,0)),""))</f>
        <v/>
      </c>
      <c r="I355" s="12">
        <f>IF($A355="","",IFERROR(INDEX(土地清冊_匯入!$V$6:$V$1005,MATCH($A355,土地清冊_匯入!$A$6:$A$1005,0)),""))</f>
        <v/>
      </c>
      <c r="J355" s="14" t="n"/>
      <c r="K355" s="7" t="n"/>
      <c r="L355" s="7" t="n"/>
      <c r="M355" s="7" t="n"/>
      <c r="N355" s="7" t="n"/>
      <c r="O355" s="7" t="n"/>
      <c r="P355" s="7" t="n"/>
      <c r="Q355" s="14" t="n"/>
      <c r="R355" s="7" t="n"/>
      <c r="S355" s="7" t="n"/>
      <c r="T355" s="7" t="n"/>
      <c r="U355" s="12">
        <f>IF(A355="","",IF(OR(J355="",L355=""),"建議補聯絡紀錄","") )</f>
        <v/>
      </c>
    </row>
    <row r="356" ht="24" customHeight="1">
      <c r="A356" s="7" t="n"/>
      <c r="B356" s="7" t="n"/>
      <c r="C356" s="12">
        <f>IF($A356="","",IFERROR(INDEX(土地清冊_匯入!$B$6:$B$1005,MATCH($A356,土地清冊_匯入!$A$6:$A$1005,0)),"查無資料"))</f>
        <v/>
      </c>
      <c r="D356" s="12">
        <f>IF($A356="","",IFERROR(INDEX(土地清冊_匯入!$P$6:$P$1005,MATCH($A356,土地清冊_匯入!$A$6:$A$1005,0)),""))</f>
        <v/>
      </c>
      <c r="E356" s="12">
        <f>IF($A356="","",IFERROR(INDEX(土地清冊_匯入!$Q$6:$Q$1005,MATCH($A356,土地清冊_匯入!$A$6:$A$1005,0)),""))</f>
        <v/>
      </c>
      <c r="F356" s="12">
        <f>IF($A356="","",IFERROR(INDEX(土地清冊_匯入!$R$6:$R$1005,MATCH($A356,土地清冊_匯入!$A$6:$A$1005,0)),""))</f>
        <v/>
      </c>
      <c r="G356" s="12">
        <f>IF($A356="","",IFERROR(INDEX(土地清冊_匯入!$S$6:$S$1005,MATCH($A356,土地清冊_匯入!$A$6:$A$1005,0)),""))</f>
        <v/>
      </c>
      <c r="H356" s="12">
        <f>IF($A356="","",IFERROR(INDEX(土地清冊_匯入!$T$6:$T$1005,MATCH($A356,土地清冊_匯入!$A$6:$A$1005,0)),""))</f>
        <v/>
      </c>
      <c r="I356" s="12">
        <f>IF($A356="","",IFERROR(INDEX(土地清冊_匯入!$V$6:$V$1005,MATCH($A356,土地清冊_匯入!$A$6:$A$1005,0)),""))</f>
        <v/>
      </c>
      <c r="J356" s="14" t="n"/>
      <c r="K356" s="7" t="n"/>
      <c r="L356" s="7" t="n"/>
      <c r="M356" s="7" t="n"/>
      <c r="N356" s="7" t="n"/>
      <c r="O356" s="7" t="n"/>
      <c r="P356" s="7" t="n"/>
      <c r="Q356" s="14" t="n"/>
      <c r="R356" s="7" t="n"/>
      <c r="S356" s="7" t="n"/>
      <c r="T356" s="7" t="n"/>
      <c r="U356" s="12">
        <f>IF(A356="","",IF(OR(J356="",L356=""),"建議補聯絡紀錄","") )</f>
        <v/>
      </c>
    </row>
    <row r="357" ht="24" customHeight="1">
      <c r="A357" s="7" t="n"/>
      <c r="B357" s="7" t="n"/>
      <c r="C357" s="12">
        <f>IF($A357="","",IFERROR(INDEX(土地清冊_匯入!$B$6:$B$1005,MATCH($A357,土地清冊_匯入!$A$6:$A$1005,0)),"查無資料"))</f>
        <v/>
      </c>
      <c r="D357" s="12">
        <f>IF($A357="","",IFERROR(INDEX(土地清冊_匯入!$P$6:$P$1005,MATCH($A357,土地清冊_匯入!$A$6:$A$1005,0)),""))</f>
        <v/>
      </c>
      <c r="E357" s="12">
        <f>IF($A357="","",IFERROR(INDEX(土地清冊_匯入!$Q$6:$Q$1005,MATCH($A357,土地清冊_匯入!$A$6:$A$1005,0)),""))</f>
        <v/>
      </c>
      <c r="F357" s="12">
        <f>IF($A357="","",IFERROR(INDEX(土地清冊_匯入!$R$6:$R$1005,MATCH($A357,土地清冊_匯入!$A$6:$A$1005,0)),""))</f>
        <v/>
      </c>
      <c r="G357" s="12">
        <f>IF($A357="","",IFERROR(INDEX(土地清冊_匯入!$S$6:$S$1005,MATCH($A357,土地清冊_匯入!$A$6:$A$1005,0)),""))</f>
        <v/>
      </c>
      <c r="H357" s="12">
        <f>IF($A357="","",IFERROR(INDEX(土地清冊_匯入!$T$6:$T$1005,MATCH($A357,土地清冊_匯入!$A$6:$A$1005,0)),""))</f>
        <v/>
      </c>
      <c r="I357" s="12">
        <f>IF($A357="","",IFERROR(INDEX(土地清冊_匯入!$V$6:$V$1005,MATCH($A357,土地清冊_匯入!$A$6:$A$1005,0)),""))</f>
        <v/>
      </c>
      <c r="J357" s="14" t="n"/>
      <c r="K357" s="7" t="n"/>
      <c r="L357" s="7" t="n"/>
      <c r="M357" s="7" t="n"/>
      <c r="N357" s="7" t="n"/>
      <c r="O357" s="7" t="n"/>
      <c r="P357" s="7" t="n"/>
      <c r="Q357" s="14" t="n"/>
      <c r="R357" s="7" t="n"/>
      <c r="S357" s="7" t="n"/>
      <c r="T357" s="7" t="n"/>
      <c r="U357" s="12">
        <f>IF(A357="","",IF(OR(J357="",L357=""),"建議補聯絡紀錄","") )</f>
        <v/>
      </c>
    </row>
    <row r="358" ht="24" customHeight="1">
      <c r="A358" s="7" t="n"/>
      <c r="B358" s="7" t="n"/>
      <c r="C358" s="12">
        <f>IF($A358="","",IFERROR(INDEX(土地清冊_匯入!$B$6:$B$1005,MATCH($A358,土地清冊_匯入!$A$6:$A$1005,0)),"查無資料"))</f>
        <v/>
      </c>
      <c r="D358" s="12">
        <f>IF($A358="","",IFERROR(INDEX(土地清冊_匯入!$P$6:$P$1005,MATCH($A358,土地清冊_匯入!$A$6:$A$1005,0)),""))</f>
        <v/>
      </c>
      <c r="E358" s="12">
        <f>IF($A358="","",IFERROR(INDEX(土地清冊_匯入!$Q$6:$Q$1005,MATCH($A358,土地清冊_匯入!$A$6:$A$1005,0)),""))</f>
        <v/>
      </c>
      <c r="F358" s="12">
        <f>IF($A358="","",IFERROR(INDEX(土地清冊_匯入!$R$6:$R$1005,MATCH($A358,土地清冊_匯入!$A$6:$A$1005,0)),""))</f>
        <v/>
      </c>
      <c r="G358" s="12">
        <f>IF($A358="","",IFERROR(INDEX(土地清冊_匯入!$S$6:$S$1005,MATCH($A358,土地清冊_匯入!$A$6:$A$1005,0)),""))</f>
        <v/>
      </c>
      <c r="H358" s="12">
        <f>IF($A358="","",IFERROR(INDEX(土地清冊_匯入!$T$6:$T$1005,MATCH($A358,土地清冊_匯入!$A$6:$A$1005,0)),""))</f>
        <v/>
      </c>
      <c r="I358" s="12">
        <f>IF($A358="","",IFERROR(INDEX(土地清冊_匯入!$V$6:$V$1005,MATCH($A358,土地清冊_匯入!$A$6:$A$1005,0)),""))</f>
        <v/>
      </c>
      <c r="J358" s="14" t="n"/>
      <c r="K358" s="7" t="n"/>
      <c r="L358" s="7" t="n"/>
      <c r="M358" s="7" t="n"/>
      <c r="N358" s="7" t="n"/>
      <c r="O358" s="7" t="n"/>
      <c r="P358" s="7" t="n"/>
      <c r="Q358" s="14" t="n"/>
      <c r="R358" s="7" t="n"/>
      <c r="S358" s="7" t="n"/>
      <c r="T358" s="7" t="n"/>
      <c r="U358" s="12">
        <f>IF(A358="","",IF(OR(J358="",L358=""),"建議補聯絡紀錄","") )</f>
        <v/>
      </c>
    </row>
    <row r="359" ht="24" customHeight="1">
      <c r="A359" s="7" t="n"/>
      <c r="B359" s="7" t="n"/>
      <c r="C359" s="12">
        <f>IF($A359="","",IFERROR(INDEX(土地清冊_匯入!$B$6:$B$1005,MATCH($A359,土地清冊_匯入!$A$6:$A$1005,0)),"查無資料"))</f>
        <v/>
      </c>
      <c r="D359" s="12">
        <f>IF($A359="","",IFERROR(INDEX(土地清冊_匯入!$P$6:$P$1005,MATCH($A359,土地清冊_匯入!$A$6:$A$1005,0)),""))</f>
        <v/>
      </c>
      <c r="E359" s="12">
        <f>IF($A359="","",IFERROR(INDEX(土地清冊_匯入!$Q$6:$Q$1005,MATCH($A359,土地清冊_匯入!$A$6:$A$1005,0)),""))</f>
        <v/>
      </c>
      <c r="F359" s="12">
        <f>IF($A359="","",IFERROR(INDEX(土地清冊_匯入!$R$6:$R$1005,MATCH($A359,土地清冊_匯入!$A$6:$A$1005,0)),""))</f>
        <v/>
      </c>
      <c r="G359" s="12">
        <f>IF($A359="","",IFERROR(INDEX(土地清冊_匯入!$S$6:$S$1005,MATCH($A359,土地清冊_匯入!$A$6:$A$1005,0)),""))</f>
        <v/>
      </c>
      <c r="H359" s="12">
        <f>IF($A359="","",IFERROR(INDEX(土地清冊_匯入!$T$6:$T$1005,MATCH($A359,土地清冊_匯入!$A$6:$A$1005,0)),""))</f>
        <v/>
      </c>
      <c r="I359" s="12">
        <f>IF($A359="","",IFERROR(INDEX(土地清冊_匯入!$V$6:$V$1005,MATCH($A359,土地清冊_匯入!$A$6:$A$1005,0)),""))</f>
        <v/>
      </c>
      <c r="J359" s="14" t="n"/>
      <c r="K359" s="7" t="n"/>
      <c r="L359" s="7" t="n"/>
      <c r="M359" s="7" t="n"/>
      <c r="N359" s="7" t="n"/>
      <c r="O359" s="7" t="n"/>
      <c r="P359" s="7" t="n"/>
      <c r="Q359" s="14" t="n"/>
      <c r="R359" s="7" t="n"/>
      <c r="S359" s="7" t="n"/>
      <c r="T359" s="7" t="n"/>
      <c r="U359" s="12">
        <f>IF(A359="","",IF(OR(J359="",L359=""),"建議補聯絡紀錄","") )</f>
        <v/>
      </c>
    </row>
    <row r="360" ht="24" customHeight="1">
      <c r="A360" s="7" t="n"/>
      <c r="B360" s="7" t="n"/>
      <c r="C360" s="12">
        <f>IF($A360="","",IFERROR(INDEX(土地清冊_匯入!$B$6:$B$1005,MATCH($A360,土地清冊_匯入!$A$6:$A$1005,0)),"查無資料"))</f>
        <v/>
      </c>
      <c r="D360" s="12">
        <f>IF($A360="","",IFERROR(INDEX(土地清冊_匯入!$P$6:$P$1005,MATCH($A360,土地清冊_匯入!$A$6:$A$1005,0)),""))</f>
        <v/>
      </c>
      <c r="E360" s="12">
        <f>IF($A360="","",IFERROR(INDEX(土地清冊_匯入!$Q$6:$Q$1005,MATCH($A360,土地清冊_匯入!$A$6:$A$1005,0)),""))</f>
        <v/>
      </c>
      <c r="F360" s="12">
        <f>IF($A360="","",IFERROR(INDEX(土地清冊_匯入!$R$6:$R$1005,MATCH($A360,土地清冊_匯入!$A$6:$A$1005,0)),""))</f>
        <v/>
      </c>
      <c r="G360" s="12">
        <f>IF($A360="","",IFERROR(INDEX(土地清冊_匯入!$S$6:$S$1005,MATCH($A360,土地清冊_匯入!$A$6:$A$1005,0)),""))</f>
        <v/>
      </c>
      <c r="H360" s="12">
        <f>IF($A360="","",IFERROR(INDEX(土地清冊_匯入!$T$6:$T$1005,MATCH($A360,土地清冊_匯入!$A$6:$A$1005,0)),""))</f>
        <v/>
      </c>
      <c r="I360" s="12">
        <f>IF($A360="","",IFERROR(INDEX(土地清冊_匯入!$V$6:$V$1005,MATCH($A360,土地清冊_匯入!$A$6:$A$1005,0)),""))</f>
        <v/>
      </c>
      <c r="J360" s="14" t="n"/>
      <c r="K360" s="7" t="n"/>
      <c r="L360" s="7" t="n"/>
      <c r="M360" s="7" t="n"/>
      <c r="N360" s="7" t="n"/>
      <c r="O360" s="7" t="n"/>
      <c r="P360" s="7" t="n"/>
      <c r="Q360" s="14" t="n"/>
      <c r="R360" s="7" t="n"/>
      <c r="S360" s="7" t="n"/>
      <c r="T360" s="7" t="n"/>
      <c r="U360" s="12">
        <f>IF(A360="","",IF(OR(J360="",L360=""),"建議補聯絡紀錄","") )</f>
        <v/>
      </c>
    </row>
    <row r="361" ht="24" customHeight="1">
      <c r="A361" s="7" t="n"/>
      <c r="B361" s="7" t="n"/>
      <c r="C361" s="12">
        <f>IF($A361="","",IFERROR(INDEX(土地清冊_匯入!$B$6:$B$1005,MATCH($A361,土地清冊_匯入!$A$6:$A$1005,0)),"查無資料"))</f>
        <v/>
      </c>
      <c r="D361" s="12">
        <f>IF($A361="","",IFERROR(INDEX(土地清冊_匯入!$P$6:$P$1005,MATCH($A361,土地清冊_匯入!$A$6:$A$1005,0)),""))</f>
        <v/>
      </c>
      <c r="E361" s="12">
        <f>IF($A361="","",IFERROR(INDEX(土地清冊_匯入!$Q$6:$Q$1005,MATCH($A361,土地清冊_匯入!$A$6:$A$1005,0)),""))</f>
        <v/>
      </c>
      <c r="F361" s="12">
        <f>IF($A361="","",IFERROR(INDEX(土地清冊_匯入!$R$6:$R$1005,MATCH($A361,土地清冊_匯入!$A$6:$A$1005,0)),""))</f>
        <v/>
      </c>
      <c r="G361" s="12">
        <f>IF($A361="","",IFERROR(INDEX(土地清冊_匯入!$S$6:$S$1005,MATCH($A361,土地清冊_匯入!$A$6:$A$1005,0)),""))</f>
        <v/>
      </c>
      <c r="H361" s="12">
        <f>IF($A361="","",IFERROR(INDEX(土地清冊_匯入!$T$6:$T$1005,MATCH($A361,土地清冊_匯入!$A$6:$A$1005,0)),""))</f>
        <v/>
      </c>
      <c r="I361" s="12">
        <f>IF($A361="","",IFERROR(INDEX(土地清冊_匯入!$V$6:$V$1005,MATCH($A361,土地清冊_匯入!$A$6:$A$1005,0)),""))</f>
        <v/>
      </c>
      <c r="J361" s="14" t="n"/>
      <c r="K361" s="7" t="n"/>
      <c r="L361" s="7" t="n"/>
      <c r="M361" s="7" t="n"/>
      <c r="N361" s="7" t="n"/>
      <c r="O361" s="7" t="n"/>
      <c r="P361" s="7" t="n"/>
      <c r="Q361" s="14" t="n"/>
      <c r="R361" s="7" t="n"/>
      <c r="S361" s="7" t="n"/>
      <c r="T361" s="7" t="n"/>
      <c r="U361" s="12">
        <f>IF(A361="","",IF(OR(J361="",L361=""),"建議補聯絡紀錄","") )</f>
        <v/>
      </c>
    </row>
    <row r="362" ht="24" customHeight="1">
      <c r="A362" s="7" t="n"/>
      <c r="B362" s="7" t="n"/>
      <c r="C362" s="12">
        <f>IF($A362="","",IFERROR(INDEX(土地清冊_匯入!$B$6:$B$1005,MATCH($A362,土地清冊_匯入!$A$6:$A$1005,0)),"查無資料"))</f>
        <v/>
      </c>
      <c r="D362" s="12">
        <f>IF($A362="","",IFERROR(INDEX(土地清冊_匯入!$P$6:$P$1005,MATCH($A362,土地清冊_匯入!$A$6:$A$1005,0)),""))</f>
        <v/>
      </c>
      <c r="E362" s="12">
        <f>IF($A362="","",IFERROR(INDEX(土地清冊_匯入!$Q$6:$Q$1005,MATCH($A362,土地清冊_匯入!$A$6:$A$1005,0)),""))</f>
        <v/>
      </c>
      <c r="F362" s="12">
        <f>IF($A362="","",IFERROR(INDEX(土地清冊_匯入!$R$6:$R$1005,MATCH($A362,土地清冊_匯入!$A$6:$A$1005,0)),""))</f>
        <v/>
      </c>
      <c r="G362" s="12">
        <f>IF($A362="","",IFERROR(INDEX(土地清冊_匯入!$S$6:$S$1005,MATCH($A362,土地清冊_匯入!$A$6:$A$1005,0)),""))</f>
        <v/>
      </c>
      <c r="H362" s="12">
        <f>IF($A362="","",IFERROR(INDEX(土地清冊_匯入!$T$6:$T$1005,MATCH($A362,土地清冊_匯入!$A$6:$A$1005,0)),""))</f>
        <v/>
      </c>
      <c r="I362" s="12">
        <f>IF($A362="","",IFERROR(INDEX(土地清冊_匯入!$V$6:$V$1005,MATCH($A362,土地清冊_匯入!$A$6:$A$1005,0)),""))</f>
        <v/>
      </c>
      <c r="J362" s="14" t="n"/>
      <c r="K362" s="7" t="n"/>
      <c r="L362" s="7" t="n"/>
      <c r="M362" s="7" t="n"/>
      <c r="N362" s="7" t="n"/>
      <c r="O362" s="7" t="n"/>
      <c r="P362" s="7" t="n"/>
      <c r="Q362" s="14" t="n"/>
      <c r="R362" s="7" t="n"/>
      <c r="S362" s="7" t="n"/>
      <c r="T362" s="7" t="n"/>
      <c r="U362" s="12">
        <f>IF(A362="","",IF(OR(J362="",L362=""),"建議補聯絡紀錄","") )</f>
        <v/>
      </c>
    </row>
    <row r="363" ht="24" customHeight="1">
      <c r="A363" s="7" t="n"/>
      <c r="B363" s="7" t="n"/>
      <c r="C363" s="12">
        <f>IF($A363="","",IFERROR(INDEX(土地清冊_匯入!$B$6:$B$1005,MATCH($A363,土地清冊_匯入!$A$6:$A$1005,0)),"查無資料"))</f>
        <v/>
      </c>
      <c r="D363" s="12">
        <f>IF($A363="","",IFERROR(INDEX(土地清冊_匯入!$P$6:$P$1005,MATCH($A363,土地清冊_匯入!$A$6:$A$1005,0)),""))</f>
        <v/>
      </c>
      <c r="E363" s="12">
        <f>IF($A363="","",IFERROR(INDEX(土地清冊_匯入!$Q$6:$Q$1005,MATCH($A363,土地清冊_匯入!$A$6:$A$1005,0)),""))</f>
        <v/>
      </c>
      <c r="F363" s="12">
        <f>IF($A363="","",IFERROR(INDEX(土地清冊_匯入!$R$6:$R$1005,MATCH($A363,土地清冊_匯入!$A$6:$A$1005,0)),""))</f>
        <v/>
      </c>
      <c r="G363" s="12">
        <f>IF($A363="","",IFERROR(INDEX(土地清冊_匯入!$S$6:$S$1005,MATCH($A363,土地清冊_匯入!$A$6:$A$1005,0)),""))</f>
        <v/>
      </c>
      <c r="H363" s="12">
        <f>IF($A363="","",IFERROR(INDEX(土地清冊_匯入!$T$6:$T$1005,MATCH($A363,土地清冊_匯入!$A$6:$A$1005,0)),""))</f>
        <v/>
      </c>
      <c r="I363" s="12">
        <f>IF($A363="","",IFERROR(INDEX(土地清冊_匯入!$V$6:$V$1005,MATCH($A363,土地清冊_匯入!$A$6:$A$1005,0)),""))</f>
        <v/>
      </c>
      <c r="J363" s="14" t="n"/>
      <c r="K363" s="7" t="n"/>
      <c r="L363" s="7" t="n"/>
      <c r="M363" s="7" t="n"/>
      <c r="N363" s="7" t="n"/>
      <c r="O363" s="7" t="n"/>
      <c r="P363" s="7" t="n"/>
      <c r="Q363" s="14" t="n"/>
      <c r="R363" s="7" t="n"/>
      <c r="S363" s="7" t="n"/>
      <c r="T363" s="7" t="n"/>
      <c r="U363" s="12">
        <f>IF(A363="","",IF(OR(J363="",L363=""),"建議補聯絡紀錄","") )</f>
        <v/>
      </c>
    </row>
    <row r="364" ht="24" customHeight="1">
      <c r="A364" s="7" t="n"/>
      <c r="B364" s="7" t="n"/>
      <c r="C364" s="12">
        <f>IF($A364="","",IFERROR(INDEX(土地清冊_匯入!$B$6:$B$1005,MATCH($A364,土地清冊_匯入!$A$6:$A$1005,0)),"查無資料"))</f>
        <v/>
      </c>
      <c r="D364" s="12">
        <f>IF($A364="","",IFERROR(INDEX(土地清冊_匯入!$P$6:$P$1005,MATCH($A364,土地清冊_匯入!$A$6:$A$1005,0)),""))</f>
        <v/>
      </c>
      <c r="E364" s="12">
        <f>IF($A364="","",IFERROR(INDEX(土地清冊_匯入!$Q$6:$Q$1005,MATCH($A364,土地清冊_匯入!$A$6:$A$1005,0)),""))</f>
        <v/>
      </c>
      <c r="F364" s="12">
        <f>IF($A364="","",IFERROR(INDEX(土地清冊_匯入!$R$6:$R$1005,MATCH($A364,土地清冊_匯入!$A$6:$A$1005,0)),""))</f>
        <v/>
      </c>
      <c r="G364" s="12">
        <f>IF($A364="","",IFERROR(INDEX(土地清冊_匯入!$S$6:$S$1005,MATCH($A364,土地清冊_匯入!$A$6:$A$1005,0)),""))</f>
        <v/>
      </c>
      <c r="H364" s="12">
        <f>IF($A364="","",IFERROR(INDEX(土地清冊_匯入!$T$6:$T$1005,MATCH($A364,土地清冊_匯入!$A$6:$A$1005,0)),""))</f>
        <v/>
      </c>
      <c r="I364" s="12">
        <f>IF($A364="","",IFERROR(INDEX(土地清冊_匯入!$V$6:$V$1005,MATCH($A364,土地清冊_匯入!$A$6:$A$1005,0)),""))</f>
        <v/>
      </c>
      <c r="J364" s="14" t="n"/>
      <c r="K364" s="7" t="n"/>
      <c r="L364" s="7" t="n"/>
      <c r="M364" s="7" t="n"/>
      <c r="N364" s="7" t="n"/>
      <c r="O364" s="7" t="n"/>
      <c r="P364" s="7" t="n"/>
      <c r="Q364" s="14" t="n"/>
      <c r="R364" s="7" t="n"/>
      <c r="S364" s="7" t="n"/>
      <c r="T364" s="7" t="n"/>
      <c r="U364" s="12">
        <f>IF(A364="","",IF(OR(J364="",L364=""),"建議補聯絡紀錄","") )</f>
        <v/>
      </c>
    </row>
    <row r="365" ht="24" customHeight="1">
      <c r="A365" s="7" t="n"/>
      <c r="B365" s="7" t="n"/>
      <c r="C365" s="12">
        <f>IF($A365="","",IFERROR(INDEX(土地清冊_匯入!$B$6:$B$1005,MATCH($A365,土地清冊_匯入!$A$6:$A$1005,0)),"查無資料"))</f>
        <v/>
      </c>
      <c r="D365" s="12">
        <f>IF($A365="","",IFERROR(INDEX(土地清冊_匯入!$P$6:$P$1005,MATCH($A365,土地清冊_匯入!$A$6:$A$1005,0)),""))</f>
        <v/>
      </c>
      <c r="E365" s="12">
        <f>IF($A365="","",IFERROR(INDEX(土地清冊_匯入!$Q$6:$Q$1005,MATCH($A365,土地清冊_匯入!$A$6:$A$1005,0)),""))</f>
        <v/>
      </c>
      <c r="F365" s="12">
        <f>IF($A365="","",IFERROR(INDEX(土地清冊_匯入!$R$6:$R$1005,MATCH($A365,土地清冊_匯入!$A$6:$A$1005,0)),""))</f>
        <v/>
      </c>
      <c r="G365" s="12">
        <f>IF($A365="","",IFERROR(INDEX(土地清冊_匯入!$S$6:$S$1005,MATCH($A365,土地清冊_匯入!$A$6:$A$1005,0)),""))</f>
        <v/>
      </c>
      <c r="H365" s="12">
        <f>IF($A365="","",IFERROR(INDEX(土地清冊_匯入!$T$6:$T$1005,MATCH($A365,土地清冊_匯入!$A$6:$A$1005,0)),""))</f>
        <v/>
      </c>
      <c r="I365" s="12">
        <f>IF($A365="","",IFERROR(INDEX(土地清冊_匯入!$V$6:$V$1005,MATCH($A365,土地清冊_匯入!$A$6:$A$1005,0)),""))</f>
        <v/>
      </c>
      <c r="J365" s="14" t="n"/>
      <c r="K365" s="7" t="n"/>
      <c r="L365" s="7" t="n"/>
      <c r="M365" s="7" t="n"/>
      <c r="N365" s="7" t="n"/>
      <c r="O365" s="7" t="n"/>
      <c r="P365" s="7" t="n"/>
      <c r="Q365" s="14" t="n"/>
      <c r="R365" s="7" t="n"/>
      <c r="S365" s="7" t="n"/>
      <c r="T365" s="7" t="n"/>
      <c r="U365" s="12">
        <f>IF(A365="","",IF(OR(J365="",L365=""),"建議補聯絡紀錄","") )</f>
        <v/>
      </c>
    </row>
    <row r="366" ht="24" customHeight="1">
      <c r="A366" s="7" t="n"/>
      <c r="B366" s="7" t="n"/>
      <c r="C366" s="12">
        <f>IF($A366="","",IFERROR(INDEX(土地清冊_匯入!$B$6:$B$1005,MATCH($A366,土地清冊_匯入!$A$6:$A$1005,0)),"查無資料"))</f>
        <v/>
      </c>
      <c r="D366" s="12">
        <f>IF($A366="","",IFERROR(INDEX(土地清冊_匯入!$P$6:$P$1005,MATCH($A366,土地清冊_匯入!$A$6:$A$1005,0)),""))</f>
        <v/>
      </c>
      <c r="E366" s="12">
        <f>IF($A366="","",IFERROR(INDEX(土地清冊_匯入!$Q$6:$Q$1005,MATCH($A366,土地清冊_匯入!$A$6:$A$1005,0)),""))</f>
        <v/>
      </c>
      <c r="F366" s="12">
        <f>IF($A366="","",IFERROR(INDEX(土地清冊_匯入!$R$6:$R$1005,MATCH($A366,土地清冊_匯入!$A$6:$A$1005,0)),""))</f>
        <v/>
      </c>
      <c r="G366" s="12">
        <f>IF($A366="","",IFERROR(INDEX(土地清冊_匯入!$S$6:$S$1005,MATCH($A366,土地清冊_匯入!$A$6:$A$1005,0)),""))</f>
        <v/>
      </c>
      <c r="H366" s="12">
        <f>IF($A366="","",IFERROR(INDEX(土地清冊_匯入!$T$6:$T$1005,MATCH($A366,土地清冊_匯入!$A$6:$A$1005,0)),""))</f>
        <v/>
      </c>
      <c r="I366" s="12">
        <f>IF($A366="","",IFERROR(INDEX(土地清冊_匯入!$V$6:$V$1005,MATCH($A366,土地清冊_匯入!$A$6:$A$1005,0)),""))</f>
        <v/>
      </c>
      <c r="J366" s="14" t="n"/>
      <c r="K366" s="7" t="n"/>
      <c r="L366" s="7" t="n"/>
      <c r="M366" s="7" t="n"/>
      <c r="N366" s="7" t="n"/>
      <c r="O366" s="7" t="n"/>
      <c r="P366" s="7" t="n"/>
      <c r="Q366" s="14" t="n"/>
      <c r="R366" s="7" t="n"/>
      <c r="S366" s="7" t="n"/>
      <c r="T366" s="7" t="n"/>
      <c r="U366" s="12">
        <f>IF(A366="","",IF(OR(J366="",L366=""),"建議補聯絡紀錄","") )</f>
        <v/>
      </c>
    </row>
    <row r="367" ht="24" customHeight="1">
      <c r="A367" s="7" t="n"/>
      <c r="B367" s="7" t="n"/>
      <c r="C367" s="12">
        <f>IF($A367="","",IFERROR(INDEX(土地清冊_匯入!$B$6:$B$1005,MATCH($A367,土地清冊_匯入!$A$6:$A$1005,0)),"查無資料"))</f>
        <v/>
      </c>
      <c r="D367" s="12">
        <f>IF($A367="","",IFERROR(INDEX(土地清冊_匯入!$P$6:$P$1005,MATCH($A367,土地清冊_匯入!$A$6:$A$1005,0)),""))</f>
        <v/>
      </c>
      <c r="E367" s="12">
        <f>IF($A367="","",IFERROR(INDEX(土地清冊_匯入!$Q$6:$Q$1005,MATCH($A367,土地清冊_匯入!$A$6:$A$1005,0)),""))</f>
        <v/>
      </c>
      <c r="F367" s="12">
        <f>IF($A367="","",IFERROR(INDEX(土地清冊_匯入!$R$6:$R$1005,MATCH($A367,土地清冊_匯入!$A$6:$A$1005,0)),""))</f>
        <v/>
      </c>
      <c r="G367" s="12">
        <f>IF($A367="","",IFERROR(INDEX(土地清冊_匯入!$S$6:$S$1005,MATCH($A367,土地清冊_匯入!$A$6:$A$1005,0)),""))</f>
        <v/>
      </c>
      <c r="H367" s="12">
        <f>IF($A367="","",IFERROR(INDEX(土地清冊_匯入!$T$6:$T$1005,MATCH($A367,土地清冊_匯入!$A$6:$A$1005,0)),""))</f>
        <v/>
      </c>
      <c r="I367" s="12">
        <f>IF($A367="","",IFERROR(INDEX(土地清冊_匯入!$V$6:$V$1005,MATCH($A367,土地清冊_匯入!$A$6:$A$1005,0)),""))</f>
        <v/>
      </c>
      <c r="J367" s="14" t="n"/>
      <c r="K367" s="7" t="n"/>
      <c r="L367" s="7" t="n"/>
      <c r="M367" s="7" t="n"/>
      <c r="N367" s="7" t="n"/>
      <c r="O367" s="7" t="n"/>
      <c r="P367" s="7" t="n"/>
      <c r="Q367" s="14" t="n"/>
      <c r="R367" s="7" t="n"/>
      <c r="S367" s="7" t="n"/>
      <c r="T367" s="7" t="n"/>
      <c r="U367" s="12">
        <f>IF(A367="","",IF(OR(J367="",L367=""),"建議補聯絡紀錄","") )</f>
        <v/>
      </c>
    </row>
    <row r="368" ht="24" customHeight="1">
      <c r="A368" s="7" t="n"/>
      <c r="B368" s="7" t="n"/>
      <c r="C368" s="12">
        <f>IF($A368="","",IFERROR(INDEX(土地清冊_匯入!$B$6:$B$1005,MATCH($A368,土地清冊_匯入!$A$6:$A$1005,0)),"查無資料"))</f>
        <v/>
      </c>
      <c r="D368" s="12">
        <f>IF($A368="","",IFERROR(INDEX(土地清冊_匯入!$P$6:$P$1005,MATCH($A368,土地清冊_匯入!$A$6:$A$1005,0)),""))</f>
        <v/>
      </c>
      <c r="E368" s="12">
        <f>IF($A368="","",IFERROR(INDEX(土地清冊_匯入!$Q$6:$Q$1005,MATCH($A368,土地清冊_匯入!$A$6:$A$1005,0)),""))</f>
        <v/>
      </c>
      <c r="F368" s="12">
        <f>IF($A368="","",IFERROR(INDEX(土地清冊_匯入!$R$6:$R$1005,MATCH($A368,土地清冊_匯入!$A$6:$A$1005,0)),""))</f>
        <v/>
      </c>
      <c r="G368" s="12">
        <f>IF($A368="","",IFERROR(INDEX(土地清冊_匯入!$S$6:$S$1005,MATCH($A368,土地清冊_匯入!$A$6:$A$1005,0)),""))</f>
        <v/>
      </c>
      <c r="H368" s="12">
        <f>IF($A368="","",IFERROR(INDEX(土地清冊_匯入!$T$6:$T$1005,MATCH($A368,土地清冊_匯入!$A$6:$A$1005,0)),""))</f>
        <v/>
      </c>
      <c r="I368" s="12">
        <f>IF($A368="","",IFERROR(INDEX(土地清冊_匯入!$V$6:$V$1005,MATCH($A368,土地清冊_匯入!$A$6:$A$1005,0)),""))</f>
        <v/>
      </c>
      <c r="J368" s="14" t="n"/>
      <c r="K368" s="7" t="n"/>
      <c r="L368" s="7" t="n"/>
      <c r="M368" s="7" t="n"/>
      <c r="N368" s="7" t="n"/>
      <c r="O368" s="7" t="n"/>
      <c r="P368" s="7" t="n"/>
      <c r="Q368" s="14" t="n"/>
      <c r="R368" s="7" t="n"/>
      <c r="S368" s="7" t="n"/>
      <c r="T368" s="7" t="n"/>
      <c r="U368" s="12">
        <f>IF(A368="","",IF(OR(J368="",L368=""),"建議補聯絡紀錄","") )</f>
        <v/>
      </c>
    </row>
    <row r="369" ht="24" customHeight="1">
      <c r="A369" s="7" t="n"/>
      <c r="B369" s="7" t="n"/>
      <c r="C369" s="12">
        <f>IF($A369="","",IFERROR(INDEX(土地清冊_匯入!$B$6:$B$1005,MATCH($A369,土地清冊_匯入!$A$6:$A$1005,0)),"查無資料"))</f>
        <v/>
      </c>
      <c r="D369" s="12">
        <f>IF($A369="","",IFERROR(INDEX(土地清冊_匯入!$P$6:$P$1005,MATCH($A369,土地清冊_匯入!$A$6:$A$1005,0)),""))</f>
        <v/>
      </c>
      <c r="E369" s="12">
        <f>IF($A369="","",IFERROR(INDEX(土地清冊_匯入!$Q$6:$Q$1005,MATCH($A369,土地清冊_匯入!$A$6:$A$1005,0)),""))</f>
        <v/>
      </c>
      <c r="F369" s="12">
        <f>IF($A369="","",IFERROR(INDEX(土地清冊_匯入!$R$6:$R$1005,MATCH($A369,土地清冊_匯入!$A$6:$A$1005,0)),""))</f>
        <v/>
      </c>
      <c r="G369" s="12">
        <f>IF($A369="","",IFERROR(INDEX(土地清冊_匯入!$S$6:$S$1005,MATCH($A369,土地清冊_匯入!$A$6:$A$1005,0)),""))</f>
        <v/>
      </c>
      <c r="H369" s="12">
        <f>IF($A369="","",IFERROR(INDEX(土地清冊_匯入!$T$6:$T$1005,MATCH($A369,土地清冊_匯入!$A$6:$A$1005,0)),""))</f>
        <v/>
      </c>
      <c r="I369" s="12">
        <f>IF($A369="","",IFERROR(INDEX(土地清冊_匯入!$V$6:$V$1005,MATCH($A369,土地清冊_匯入!$A$6:$A$1005,0)),""))</f>
        <v/>
      </c>
      <c r="J369" s="14" t="n"/>
      <c r="K369" s="7" t="n"/>
      <c r="L369" s="7" t="n"/>
      <c r="M369" s="7" t="n"/>
      <c r="N369" s="7" t="n"/>
      <c r="O369" s="7" t="n"/>
      <c r="P369" s="7" t="n"/>
      <c r="Q369" s="14" t="n"/>
      <c r="R369" s="7" t="n"/>
      <c r="S369" s="7" t="n"/>
      <c r="T369" s="7" t="n"/>
      <c r="U369" s="12">
        <f>IF(A369="","",IF(OR(J369="",L369=""),"建議補聯絡紀錄","") )</f>
        <v/>
      </c>
    </row>
    <row r="370" ht="24" customHeight="1">
      <c r="A370" s="7" t="n"/>
      <c r="B370" s="7" t="n"/>
      <c r="C370" s="12">
        <f>IF($A370="","",IFERROR(INDEX(土地清冊_匯入!$B$6:$B$1005,MATCH($A370,土地清冊_匯入!$A$6:$A$1005,0)),"查無資料"))</f>
        <v/>
      </c>
      <c r="D370" s="12">
        <f>IF($A370="","",IFERROR(INDEX(土地清冊_匯入!$P$6:$P$1005,MATCH($A370,土地清冊_匯入!$A$6:$A$1005,0)),""))</f>
        <v/>
      </c>
      <c r="E370" s="12">
        <f>IF($A370="","",IFERROR(INDEX(土地清冊_匯入!$Q$6:$Q$1005,MATCH($A370,土地清冊_匯入!$A$6:$A$1005,0)),""))</f>
        <v/>
      </c>
      <c r="F370" s="12">
        <f>IF($A370="","",IFERROR(INDEX(土地清冊_匯入!$R$6:$R$1005,MATCH($A370,土地清冊_匯入!$A$6:$A$1005,0)),""))</f>
        <v/>
      </c>
      <c r="G370" s="12">
        <f>IF($A370="","",IFERROR(INDEX(土地清冊_匯入!$S$6:$S$1005,MATCH($A370,土地清冊_匯入!$A$6:$A$1005,0)),""))</f>
        <v/>
      </c>
      <c r="H370" s="12">
        <f>IF($A370="","",IFERROR(INDEX(土地清冊_匯入!$T$6:$T$1005,MATCH($A370,土地清冊_匯入!$A$6:$A$1005,0)),""))</f>
        <v/>
      </c>
      <c r="I370" s="12">
        <f>IF($A370="","",IFERROR(INDEX(土地清冊_匯入!$V$6:$V$1005,MATCH($A370,土地清冊_匯入!$A$6:$A$1005,0)),""))</f>
        <v/>
      </c>
      <c r="J370" s="14" t="n"/>
      <c r="K370" s="7" t="n"/>
      <c r="L370" s="7" t="n"/>
      <c r="M370" s="7" t="n"/>
      <c r="N370" s="7" t="n"/>
      <c r="O370" s="7" t="n"/>
      <c r="P370" s="7" t="n"/>
      <c r="Q370" s="14" t="n"/>
      <c r="R370" s="7" t="n"/>
      <c r="S370" s="7" t="n"/>
      <c r="T370" s="7" t="n"/>
      <c r="U370" s="12">
        <f>IF(A370="","",IF(OR(J370="",L370=""),"建議補聯絡紀錄","") )</f>
        <v/>
      </c>
    </row>
    <row r="371" ht="24" customHeight="1">
      <c r="A371" s="7" t="n"/>
      <c r="B371" s="7" t="n"/>
      <c r="C371" s="12">
        <f>IF($A371="","",IFERROR(INDEX(土地清冊_匯入!$B$6:$B$1005,MATCH($A371,土地清冊_匯入!$A$6:$A$1005,0)),"查無資料"))</f>
        <v/>
      </c>
      <c r="D371" s="12">
        <f>IF($A371="","",IFERROR(INDEX(土地清冊_匯入!$P$6:$P$1005,MATCH($A371,土地清冊_匯入!$A$6:$A$1005,0)),""))</f>
        <v/>
      </c>
      <c r="E371" s="12">
        <f>IF($A371="","",IFERROR(INDEX(土地清冊_匯入!$Q$6:$Q$1005,MATCH($A371,土地清冊_匯入!$A$6:$A$1005,0)),""))</f>
        <v/>
      </c>
      <c r="F371" s="12">
        <f>IF($A371="","",IFERROR(INDEX(土地清冊_匯入!$R$6:$R$1005,MATCH($A371,土地清冊_匯入!$A$6:$A$1005,0)),""))</f>
        <v/>
      </c>
      <c r="G371" s="12">
        <f>IF($A371="","",IFERROR(INDEX(土地清冊_匯入!$S$6:$S$1005,MATCH($A371,土地清冊_匯入!$A$6:$A$1005,0)),""))</f>
        <v/>
      </c>
      <c r="H371" s="12">
        <f>IF($A371="","",IFERROR(INDEX(土地清冊_匯入!$T$6:$T$1005,MATCH($A371,土地清冊_匯入!$A$6:$A$1005,0)),""))</f>
        <v/>
      </c>
      <c r="I371" s="12">
        <f>IF($A371="","",IFERROR(INDEX(土地清冊_匯入!$V$6:$V$1005,MATCH($A371,土地清冊_匯入!$A$6:$A$1005,0)),""))</f>
        <v/>
      </c>
      <c r="J371" s="14" t="n"/>
      <c r="K371" s="7" t="n"/>
      <c r="L371" s="7" t="n"/>
      <c r="M371" s="7" t="n"/>
      <c r="N371" s="7" t="n"/>
      <c r="O371" s="7" t="n"/>
      <c r="P371" s="7" t="n"/>
      <c r="Q371" s="14" t="n"/>
      <c r="R371" s="7" t="n"/>
      <c r="S371" s="7" t="n"/>
      <c r="T371" s="7" t="n"/>
      <c r="U371" s="12">
        <f>IF(A371="","",IF(OR(J371="",L371=""),"建議補聯絡紀錄","") )</f>
        <v/>
      </c>
    </row>
    <row r="372" ht="24" customHeight="1">
      <c r="A372" s="7" t="n"/>
      <c r="B372" s="7" t="n"/>
      <c r="C372" s="12">
        <f>IF($A372="","",IFERROR(INDEX(土地清冊_匯入!$B$6:$B$1005,MATCH($A372,土地清冊_匯入!$A$6:$A$1005,0)),"查無資料"))</f>
        <v/>
      </c>
      <c r="D372" s="12">
        <f>IF($A372="","",IFERROR(INDEX(土地清冊_匯入!$P$6:$P$1005,MATCH($A372,土地清冊_匯入!$A$6:$A$1005,0)),""))</f>
        <v/>
      </c>
      <c r="E372" s="12">
        <f>IF($A372="","",IFERROR(INDEX(土地清冊_匯入!$Q$6:$Q$1005,MATCH($A372,土地清冊_匯入!$A$6:$A$1005,0)),""))</f>
        <v/>
      </c>
      <c r="F372" s="12">
        <f>IF($A372="","",IFERROR(INDEX(土地清冊_匯入!$R$6:$R$1005,MATCH($A372,土地清冊_匯入!$A$6:$A$1005,0)),""))</f>
        <v/>
      </c>
      <c r="G372" s="12">
        <f>IF($A372="","",IFERROR(INDEX(土地清冊_匯入!$S$6:$S$1005,MATCH($A372,土地清冊_匯入!$A$6:$A$1005,0)),""))</f>
        <v/>
      </c>
      <c r="H372" s="12">
        <f>IF($A372="","",IFERROR(INDEX(土地清冊_匯入!$T$6:$T$1005,MATCH($A372,土地清冊_匯入!$A$6:$A$1005,0)),""))</f>
        <v/>
      </c>
      <c r="I372" s="12">
        <f>IF($A372="","",IFERROR(INDEX(土地清冊_匯入!$V$6:$V$1005,MATCH($A372,土地清冊_匯入!$A$6:$A$1005,0)),""))</f>
        <v/>
      </c>
      <c r="J372" s="14" t="n"/>
      <c r="K372" s="7" t="n"/>
      <c r="L372" s="7" t="n"/>
      <c r="M372" s="7" t="n"/>
      <c r="N372" s="7" t="n"/>
      <c r="O372" s="7" t="n"/>
      <c r="P372" s="7" t="n"/>
      <c r="Q372" s="14" t="n"/>
      <c r="R372" s="7" t="n"/>
      <c r="S372" s="7" t="n"/>
      <c r="T372" s="7" t="n"/>
      <c r="U372" s="12">
        <f>IF(A372="","",IF(OR(J372="",L372=""),"建議補聯絡紀錄","") )</f>
        <v/>
      </c>
    </row>
    <row r="373" ht="24" customHeight="1">
      <c r="A373" s="7" t="n"/>
      <c r="B373" s="7" t="n"/>
      <c r="C373" s="12">
        <f>IF($A373="","",IFERROR(INDEX(土地清冊_匯入!$B$6:$B$1005,MATCH($A373,土地清冊_匯入!$A$6:$A$1005,0)),"查無資料"))</f>
        <v/>
      </c>
      <c r="D373" s="12">
        <f>IF($A373="","",IFERROR(INDEX(土地清冊_匯入!$P$6:$P$1005,MATCH($A373,土地清冊_匯入!$A$6:$A$1005,0)),""))</f>
        <v/>
      </c>
      <c r="E373" s="12">
        <f>IF($A373="","",IFERROR(INDEX(土地清冊_匯入!$Q$6:$Q$1005,MATCH($A373,土地清冊_匯入!$A$6:$A$1005,0)),""))</f>
        <v/>
      </c>
      <c r="F373" s="12">
        <f>IF($A373="","",IFERROR(INDEX(土地清冊_匯入!$R$6:$R$1005,MATCH($A373,土地清冊_匯入!$A$6:$A$1005,0)),""))</f>
        <v/>
      </c>
      <c r="G373" s="12">
        <f>IF($A373="","",IFERROR(INDEX(土地清冊_匯入!$S$6:$S$1005,MATCH($A373,土地清冊_匯入!$A$6:$A$1005,0)),""))</f>
        <v/>
      </c>
      <c r="H373" s="12">
        <f>IF($A373="","",IFERROR(INDEX(土地清冊_匯入!$T$6:$T$1005,MATCH($A373,土地清冊_匯入!$A$6:$A$1005,0)),""))</f>
        <v/>
      </c>
      <c r="I373" s="12">
        <f>IF($A373="","",IFERROR(INDEX(土地清冊_匯入!$V$6:$V$1005,MATCH($A373,土地清冊_匯入!$A$6:$A$1005,0)),""))</f>
        <v/>
      </c>
      <c r="J373" s="14" t="n"/>
      <c r="K373" s="7" t="n"/>
      <c r="L373" s="7" t="n"/>
      <c r="M373" s="7" t="n"/>
      <c r="N373" s="7" t="n"/>
      <c r="O373" s="7" t="n"/>
      <c r="P373" s="7" t="n"/>
      <c r="Q373" s="14" t="n"/>
      <c r="R373" s="7" t="n"/>
      <c r="S373" s="7" t="n"/>
      <c r="T373" s="7" t="n"/>
      <c r="U373" s="12">
        <f>IF(A373="","",IF(OR(J373="",L373=""),"建議補聯絡紀錄","") )</f>
        <v/>
      </c>
    </row>
    <row r="374" ht="24" customHeight="1">
      <c r="A374" s="7" t="n"/>
      <c r="B374" s="7" t="n"/>
      <c r="C374" s="12">
        <f>IF($A374="","",IFERROR(INDEX(土地清冊_匯入!$B$6:$B$1005,MATCH($A374,土地清冊_匯入!$A$6:$A$1005,0)),"查無資料"))</f>
        <v/>
      </c>
      <c r="D374" s="12">
        <f>IF($A374="","",IFERROR(INDEX(土地清冊_匯入!$P$6:$P$1005,MATCH($A374,土地清冊_匯入!$A$6:$A$1005,0)),""))</f>
        <v/>
      </c>
      <c r="E374" s="12">
        <f>IF($A374="","",IFERROR(INDEX(土地清冊_匯入!$Q$6:$Q$1005,MATCH($A374,土地清冊_匯入!$A$6:$A$1005,0)),""))</f>
        <v/>
      </c>
      <c r="F374" s="12">
        <f>IF($A374="","",IFERROR(INDEX(土地清冊_匯入!$R$6:$R$1005,MATCH($A374,土地清冊_匯入!$A$6:$A$1005,0)),""))</f>
        <v/>
      </c>
      <c r="G374" s="12">
        <f>IF($A374="","",IFERROR(INDEX(土地清冊_匯入!$S$6:$S$1005,MATCH($A374,土地清冊_匯入!$A$6:$A$1005,0)),""))</f>
        <v/>
      </c>
      <c r="H374" s="12">
        <f>IF($A374="","",IFERROR(INDEX(土地清冊_匯入!$T$6:$T$1005,MATCH($A374,土地清冊_匯入!$A$6:$A$1005,0)),""))</f>
        <v/>
      </c>
      <c r="I374" s="12">
        <f>IF($A374="","",IFERROR(INDEX(土地清冊_匯入!$V$6:$V$1005,MATCH($A374,土地清冊_匯入!$A$6:$A$1005,0)),""))</f>
        <v/>
      </c>
      <c r="J374" s="14" t="n"/>
      <c r="K374" s="7" t="n"/>
      <c r="L374" s="7" t="n"/>
      <c r="M374" s="7" t="n"/>
      <c r="N374" s="7" t="n"/>
      <c r="O374" s="7" t="n"/>
      <c r="P374" s="7" t="n"/>
      <c r="Q374" s="14" t="n"/>
      <c r="R374" s="7" t="n"/>
      <c r="S374" s="7" t="n"/>
      <c r="T374" s="7" t="n"/>
      <c r="U374" s="12">
        <f>IF(A374="","",IF(OR(J374="",L374=""),"建議補聯絡紀錄","") )</f>
        <v/>
      </c>
    </row>
    <row r="375" ht="24" customHeight="1">
      <c r="A375" s="7" t="n"/>
      <c r="B375" s="7" t="n"/>
      <c r="C375" s="12">
        <f>IF($A375="","",IFERROR(INDEX(土地清冊_匯入!$B$6:$B$1005,MATCH($A375,土地清冊_匯入!$A$6:$A$1005,0)),"查無資料"))</f>
        <v/>
      </c>
      <c r="D375" s="12">
        <f>IF($A375="","",IFERROR(INDEX(土地清冊_匯入!$P$6:$P$1005,MATCH($A375,土地清冊_匯入!$A$6:$A$1005,0)),""))</f>
        <v/>
      </c>
      <c r="E375" s="12">
        <f>IF($A375="","",IFERROR(INDEX(土地清冊_匯入!$Q$6:$Q$1005,MATCH($A375,土地清冊_匯入!$A$6:$A$1005,0)),""))</f>
        <v/>
      </c>
      <c r="F375" s="12">
        <f>IF($A375="","",IFERROR(INDEX(土地清冊_匯入!$R$6:$R$1005,MATCH($A375,土地清冊_匯入!$A$6:$A$1005,0)),""))</f>
        <v/>
      </c>
      <c r="G375" s="12">
        <f>IF($A375="","",IFERROR(INDEX(土地清冊_匯入!$S$6:$S$1005,MATCH($A375,土地清冊_匯入!$A$6:$A$1005,0)),""))</f>
        <v/>
      </c>
      <c r="H375" s="12">
        <f>IF($A375="","",IFERROR(INDEX(土地清冊_匯入!$T$6:$T$1005,MATCH($A375,土地清冊_匯入!$A$6:$A$1005,0)),""))</f>
        <v/>
      </c>
      <c r="I375" s="12">
        <f>IF($A375="","",IFERROR(INDEX(土地清冊_匯入!$V$6:$V$1005,MATCH($A375,土地清冊_匯入!$A$6:$A$1005,0)),""))</f>
        <v/>
      </c>
      <c r="J375" s="14" t="n"/>
      <c r="K375" s="7" t="n"/>
      <c r="L375" s="7" t="n"/>
      <c r="M375" s="7" t="n"/>
      <c r="N375" s="7" t="n"/>
      <c r="O375" s="7" t="n"/>
      <c r="P375" s="7" t="n"/>
      <c r="Q375" s="14" t="n"/>
      <c r="R375" s="7" t="n"/>
      <c r="S375" s="7" t="n"/>
      <c r="T375" s="7" t="n"/>
      <c r="U375" s="12">
        <f>IF(A375="","",IF(OR(J375="",L375=""),"建議補聯絡紀錄","") )</f>
        <v/>
      </c>
    </row>
    <row r="376" ht="24" customHeight="1">
      <c r="A376" s="7" t="n"/>
      <c r="B376" s="7" t="n"/>
      <c r="C376" s="12">
        <f>IF($A376="","",IFERROR(INDEX(土地清冊_匯入!$B$6:$B$1005,MATCH($A376,土地清冊_匯入!$A$6:$A$1005,0)),"查無資料"))</f>
        <v/>
      </c>
      <c r="D376" s="12">
        <f>IF($A376="","",IFERROR(INDEX(土地清冊_匯入!$P$6:$P$1005,MATCH($A376,土地清冊_匯入!$A$6:$A$1005,0)),""))</f>
        <v/>
      </c>
      <c r="E376" s="12">
        <f>IF($A376="","",IFERROR(INDEX(土地清冊_匯入!$Q$6:$Q$1005,MATCH($A376,土地清冊_匯入!$A$6:$A$1005,0)),""))</f>
        <v/>
      </c>
      <c r="F376" s="12">
        <f>IF($A376="","",IFERROR(INDEX(土地清冊_匯入!$R$6:$R$1005,MATCH($A376,土地清冊_匯入!$A$6:$A$1005,0)),""))</f>
        <v/>
      </c>
      <c r="G376" s="12">
        <f>IF($A376="","",IFERROR(INDEX(土地清冊_匯入!$S$6:$S$1005,MATCH($A376,土地清冊_匯入!$A$6:$A$1005,0)),""))</f>
        <v/>
      </c>
      <c r="H376" s="12">
        <f>IF($A376="","",IFERROR(INDEX(土地清冊_匯入!$T$6:$T$1005,MATCH($A376,土地清冊_匯入!$A$6:$A$1005,0)),""))</f>
        <v/>
      </c>
      <c r="I376" s="12">
        <f>IF($A376="","",IFERROR(INDEX(土地清冊_匯入!$V$6:$V$1005,MATCH($A376,土地清冊_匯入!$A$6:$A$1005,0)),""))</f>
        <v/>
      </c>
      <c r="J376" s="14" t="n"/>
      <c r="K376" s="7" t="n"/>
      <c r="L376" s="7" t="n"/>
      <c r="M376" s="7" t="n"/>
      <c r="N376" s="7" t="n"/>
      <c r="O376" s="7" t="n"/>
      <c r="P376" s="7" t="n"/>
      <c r="Q376" s="14" t="n"/>
      <c r="R376" s="7" t="n"/>
      <c r="S376" s="7" t="n"/>
      <c r="T376" s="7" t="n"/>
      <c r="U376" s="12">
        <f>IF(A376="","",IF(OR(J376="",L376=""),"建議補聯絡紀錄","") )</f>
        <v/>
      </c>
    </row>
    <row r="377" ht="24" customHeight="1">
      <c r="A377" s="7" t="n"/>
      <c r="B377" s="7" t="n"/>
      <c r="C377" s="12">
        <f>IF($A377="","",IFERROR(INDEX(土地清冊_匯入!$B$6:$B$1005,MATCH($A377,土地清冊_匯入!$A$6:$A$1005,0)),"查無資料"))</f>
        <v/>
      </c>
      <c r="D377" s="12">
        <f>IF($A377="","",IFERROR(INDEX(土地清冊_匯入!$P$6:$P$1005,MATCH($A377,土地清冊_匯入!$A$6:$A$1005,0)),""))</f>
        <v/>
      </c>
      <c r="E377" s="12">
        <f>IF($A377="","",IFERROR(INDEX(土地清冊_匯入!$Q$6:$Q$1005,MATCH($A377,土地清冊_匯入!$A$6:$A$1005,0)),""))</f>
        <v/>
      </c>
      <c r="F377" s="12">
        <f>IF($A377="","",IFERROR(INDEX(土地清冊_匯入!$R$6:$R$1005,MATCH($A377,土地清冊_匯入!$A$6:$A$1005,0)),""))</f>
        <v/>
      </c>
      <c r="G377" s="12">
        <f>IF($A377="","",IFERROR(INDEX(土地清冊_匯入!$S$6:$S$1005,MATCH($A377,土地清冊_匯入!$A$6:$A$1005,0)),""))</f>
        <v/>
      </c>
      <c r="H377" s="12">
        <f>IF($A377="","",IFERROR(INDEX(土地清冊_匯入!$T$6:$T$1005,MATCH($A377,土地清冊_匯入!$A$6:$A$1005,0)),""))</f>
        <v/>
      </c>
      <c r="I377" s="12">
        <f>IF($A377="","",IFERROR(INDEX(土地清冊_匯入!$V$6:$V$1005,MATCH($A377,土地清冊_匯入!$A$6:$A$1005,0)),""))</f>
        <v/>
      </c>
      <c r="J377" s="14" t="n"/>
      <c r="K377" s="7" t="n"/>
      <c r="L377" s="7" t="n"/>
      <c r="M377" s="7" t="n"/>
      <c r="N377" s="7" t="n"/>
      <c r="O377" s="7" t="n"/>
      <c r="P377" s="7" t="n"/>
      <c r="Q377" s="14" t="n"/>
      <c r="R377" s="7" t="n"/>
      <c r="S377" s="7" t="n"/>
      <c r="T377" s="7" t="n"/>
      <c r="U377" s="12">
        <f>IF(A377="","",IF(OR(J377="",L377=""),"建議補聯絡紀錄","") )</f>
        <v/>
      </c>
    </row>
    <row r="378" ht="24" customHeight="1">
      <c r="A378" s="7" t="n"/>
      <c r="B378" s="7" t="n"/>
      <c r="C378" s="12">
        <f>IF($A378="","",IFERROR(INDEX(土地清冊_匯入!$B$6:$B$1005,MATCH($A378,土地清冊_匯入!$A$6:$A$1005,0)),"查無資料"))</f>
        <v/>
      </c>
      <c r="D378" s="12">
        <f>IF($A378="","",IFERROR(INDEX(土地清冊_匯入!$P$6:$P$1005,MATCH($A378,土地清冊_匯入!$A$6:$A$1005,0)),""))</f>
        <v/>
      </c>
      <c r="E378" s="12">
        <f>IF($A378="","",IFERROR(INDEX(土地清冊_匯入!$Q$6:$Q$1005,MATCH($A378,土地清冊_匯入!$A$6:$A$1005,0)),""))</f>
        <v/>
      </c>
      <c r="F378" s="12">
        <f>IF($A378="","",IFERROR(INDEX(土地清冊_匯入!$R$6:$R$1005,MATCH($A378,土地清冊_匯入!$A$6:$A$1005,0)),""))</f>
        <v/>
      </c>
      <c r="G378" s="12">
        <f>IF($A378="","",IFERROR(INDEX(土地清冊_匯入!$S$6:$S$1005,MATCH($A378,土地清冊_匯入!$A$6:$A$1005,0)),""))</f>
        <v/>
      </c>
      <c r="H378" s="12">
        <f>IF($A378="","",IFERROR(INDEX(土地清冊_匯入!$T$6:$T$1005,MATCH($A378,土地清冊_匯入!$A$6:$A$1005,0)),""))</f>
        <v/>
      </c>
      <c r="I378" s="12">
        <f>IF($A378="","",IFERROR(INDEX(土地清冊_匯入!$V$6:$V$1005,MATCH($A378,土地清冊_匯入!$A$6:$A$1005,0)),""))</f>
        <v/>
      </c>
      <c r="J378" s="14" t="n"/>
      <c r="K378" s="7" t="n"/>
      <c r="L378" s="7" t="n"/>
      <c r="M378" s="7" t="n"/>
      <c r="N378" s="7" t="n"/>
      <c r="O378" s="7" t="n"/>
      <c r="P378" s="7" t="n"/>
      <c r="Q378" s="14" t="n"/>
      <c r="R378" s="7" t="n"/>
      <c r="S378" s="7" t="n"/>
      <c r="T378" s="7" t="n"/>
      <c r="U378" s="12">
        <f>IF(A378="","",IF(OR(J378="",L378=""),"建議補聯絡紀錄","") )</f>
        <v/>
      </c>
    </row>
    <row r="379" ht="24" customHeight="1">
      <c r="A379" s="7" t="n"/>
      <c r="B379" s="7" t="n"/>
      <c r="C379" s="12">
        <f>IF($A379="","",IFERROR(INDEX(土地清冊_匯入!$B$6:$B$1005,MATCH($A379,土地清冊_匯入!$A$6:$A$1005,0)),"查無資料"))</f>
        <v/>
      </c>
      <c r="D379" s="12">
        <f>IF($A379="","",IFERROR(INDEX(土地清冊_匯入!$P$6:$P$1005,MATCH($A379,土地清冊_匯入!$A$6:$A$1005,0)),""))</f>
        <v/>
      </c>
      <c r="E379" s="12">
        <f>IF($A379="","",IFERROR(INDEX(土地清冊_匯入!$Q$6:$Q$1005,MATCH($A379,土地清冊_匯入!$A$6:$A$1005,0)),""))</f>
        <v/>
      </c>
      <c r="F379" s="12">
        <f>IF($A379="","",IFERROR(INDEX(土地清冊_匯入!$R$6:$R$1005,MATCH($A379,土地清冊_匯入!$A$6:$A$1005,0)),""))</f>
        <v/>
      </c>
      <c r="G379" s="12">
        <f>IF($A379="","",IFERROR(INDEX(土地清冊_匯入!$S$6:$S$1005,MATCH($A379,土地清冊_匯入!$A$6:$A$1005,0)),""))</f>
        <v/>
      </c>
      <c r="H379" s="12">
        <f>IF($A379="","",IFERROR(INDEX(土地清冊_匯入!$T$6:$T$1005,MATCH($A379,土地清冊_匯入!$A$6:$A$1005,0)),""))</f>
        <v/>
      </c>
      <c r="I379" s="12">
        <f>IF($A379="","",IFERROR(INDEX(土地清冊_匯入!$V$6:$V$1005,MATCH($A379,土地清冊_匯入!$A$6:$A$1005,0)),""))</f>
        <v/>
      </c>
      <c r="J379" s="14" t="n"/>
      <c r="K379" s="7" t="n"/>
      <c r="L379" s="7" t="n"/>
      <c r="M379" s="7" t="n"/>
      <c r="N379" s="7" t="n"/>
      <c r="O379" s="7" t="n"/>
      <c r="P379" s="7" t="n"/>
      <c r="Q379" s="14" t="n"/>
      <c r="R379" s="7" t="n"/>
      <c r="S379" s="7" t="n"/>
      <c r="T379" s="7" t="n"/>
      <c r="U379" s="12">
        <f>IF(A379="","",IF(OR(J379="",L379=""),"建議補聯絡紀錄","") )</f>
        <v/>
      </c>
    </row>
    <row r="380" ht="24" customHeight="1">
      <c r="A380" s="7" t="n"/>
      <c r="B380" s="7" t="n"/>
      <c r="C380" s="12">
        <f>IF($A380="","",IFERROR(INDEX(土地清冊_匯入!$B$6:$B$1005,MATCH($A380,土地清冊_匯入!$A$6:$A$1005,0)),"查無資料"))</f>
        <v/>
      </c>
      <c r="D380" s="12">
        <f>IF($A380="","",IFERROR(INDEX(土地清冊_匯入!$P$6:$P$1005,MATCH($A380,土地清冊_匯入!$A$6:$A$1005,0)),""))</f>
        <v/>
      </c>
      <c r="E380" s="12">
        <f>IF($A380="","",IFERROR(INDEX(土地清冊_匯入!$Q$6:$Q$1005,MATCH($A380,土地清冊_匯入!$A$6:$A$1005,0)),""))</f>
        <v/>
      </c>
      <c r="F380" s="12">
        <f>IF($A380="","",IFERROR(INDEX(土地清冊_匯入!$R$6:$R$1005,MATCH($A380,土地清冊_匯入!$A$6:$A$1005,0)),""))</f>
        <v/>
      </c>
      <c r="G380" s="12">
        <f>IF($A380="","",IFERROR(INDEX(土地清冊_匯入!$S$6:$S$1005,MATCH($A380,土地清冊_匯入!$A$6:$A$1005,0)),""))</f>
        <v/>
      </c>
      <c r="H380" s="12">
        <f>IF($A380="","",IFERROR(INDEX(土地清冊_匯入!$T$6:$T$1005,MATCH($A380,土地清冊_匯入!$A$6:$A$1005,0)),""))</f>
        <v/>
      </c>
      <c r="I380" s="12">
        <f>IF($A380="","",IFERROR(INDEX(土地清冊_匯入!$V$6:$V$1005,MATCH($A380,土地清冊_匯入!$A$6:$A$1005,0)),""))</f>
        <v/>
      </c>
      <c r="J380" s="14" t="n"/>
      <c r="K380" s="7" t="n"/>
      <c r="L380" s="7" t="n"/>
      <c r="M380" s="7" t="n"/>
      <c r="N380" s="7" t="n"/>
      <c r="O380" s="7" t="n"/>
      <c r="P380" s="7" t="n"/>
      <c r="Q380" s="14" t="n"/>
      <c r="R380" s="7" t="n"/>
      <c r="S380" s="7" t="n"/>
      <c r="T380" s="7" t="n"/>
      <c r="U380" s="12">
        <f>IF(A380="","",IF(OR(J380="",L380=""),"建議補聯絡紀錄","") )</f>
        <v/>
      </c>
    </row>
    <row r="381" ht="24" customHeight="1">
      <c r="A381" s="7" t="n"/>
      <c r="B381" s="7" t="n"/>
      <c r="C381" s="12">
        <f>IF($A381="","",IFERROR(INDEX(土地清冊_匯入!$B$6:$B$1005,MATCH($A381,土地清冊_匯入!$A$6:$A$1005,0)),"查無資料"))</f>
        <v/>
      </c>
      <c r="D381" s="12">
        <f>IF($A381="","",IFERROR(INDEX(土地清冊_匯入!$P$6:$P$1005,MATCH($A381,土地清冊_匯入!$A$6:$A$1005,0)),""))</f>
        <v/>
      </c>
      <c r="E381" s="12">
        <f>IF($A381="","",IFERROR(INDEX(土地清冊_匯入!$Q$6:$Q$1005,MATCH($A381,土地清冊_匯入!$A$6:$A$1005,0)),""))</f>
        <v/>
      </c>
      <c r="F381" s="12">
        <f>IF($A381="","",IFERROR(INDEX(土地清冊_匯入!$R$6:$R$1005,MATCH($A381,土地清冊_匯入!$A$6:$A$1005,0)),""))</f>
        <v/>
      </c>
      <c r="G381" s="12">
        <f>IF($A381="","",IFERROR(INDEX(土地清冊_匯入!$S$6:$S$1005,MATCH($A381,土地清冊_匯入!$A$6:$A$1005,0)),""))</f>
        <v/>
      </c>
      <c r="H381" s="12">
        <f>IF($A381="","",IFERROR(INDEX(土地清冊_匯入!$T$6:$T$1005,MATCH($A381,土地清冊_匯入!$A$6:$A$1005,0)),""))</f>
        <v/>
      </c>
      <c r="I381" s="12">
        <f>IF($A381="","",IFERROR(INDEX(土地清冊_匯入!$V$6:$V$1005,MATCH($A381,土地清冊_匯入!$A$6:$A$1005,0)),""))</f>
        <v/>
      </c>
      <c r="J381" s="14" t="n"/>
      <c r="K381" s="7" t="n"/>
      <c r="L381" s="7" t="n"/>
      <c r="M381" s="7" t="n"/>
      <c r="N381" s="7" t="n"/>
      <c r="O381" s="7" t="n"/>
      <c r="P381" s="7" t="n"/>
      <c r="Q381" s="14" t="n"/>
      <c r="R381" s="7" t="n"/>
      <c r="S381" s="7" t="n"/>
      <c r="T381" s="7" t="n"/>
      <c r="U381" s="12">
        <f>IF(A381="","",IF(OR(J381="",L381=""),"建議補聯絡紀錄","") )</f>
        <v/>
      </c>
    </row>
    <row r="382" ht="24" customHeight="1">
      <c r="A382" s="7" t="n"/>
      <c r="B382" s="7" t="n"/>
      <c r="C382" s="12">
        <f>IF($A382="","",IFERROR(INDEX(土地清冊_匯入!$B$6:$B$1005,MATCH($A382,土地清冊_匯入!$A$6:$A$1005,0)),"查無資料"))</f>
        <v/>
      </c>
      <c r="D382" s="12">
        <f>IF($A382="","",IFERROR(INDEX(土地清冊_匯入!$P$6:$P$1005,MATCH($A382,土地清冊_匯入!$A$6:$A$1005,0)),""))</f>
        <v/>
      </c>
      <c r="E382" s="12">
        <f>IF($A382="","",IFERROR(INDEX(土地清冊_匯入!$Q$6:$Q$1005,MATCH($A382,土地清冊_匯入!$A$6:$A$1005,0)),""))</f>
        <v/>
      </c>
      <c r="F382" s="12">
        <f>IF($A382="","",IFERROR(INDEX(土地清冊_匯入!$R$6:$R$1005,MATCH($A382,土地清冊_匯入!$A$6:$A$1005,0)),""))</f>
        <v/>
      </c>
      <c r="G382" s="12">
        <f>IF($A382="","",IFERROR(INDEX(土地清冊_匯入!$S$6:$S$1005,MATCH($A382,土地清冊_匯入!$A$6:$A$1005,0)),""))</f>
        <v/>
      </c>
      <c r="H382" s="12">
        <f>IF($A382="","",IFERROR(INDEX(土地清冊_匯入!$T$6:$T$1005,MATCH($A382,土地清冊_匯入!$A$6:$A$1005,0)),""))</f>
        <v/>
      </c>
      <c r="I382" s="12">
        <f>IF($A382="","",IFERROR(INDEX(土地清冊_匯入!$V$6:$V$1005,MATCH($A382,土地清冊_匯入!$A$6:$A$1005,0)),""))</f>
        <v/>
      </c>
      <c r="J382" s="14" t="n"/>
      <c r="K382" s="7" t="n"/>
      <c r="L382" s="7" t="n"/>
      <c r="M382" s="7" t="n"/>
      <c r="N382" s="7" t="n"/>
      <c r="O382" s="7" t="n"/>
      <c r="P382" s="7" t="n"/>
      <c r="Q382" s="14" t="n"/>
      <c r="R382" s="7" t="n"/>
      <c r="S382" s="7" t="n"/>
      <c r="T382" s="7" t="n"/>
      <c r="U382" s="12">
        <f>IF(A382="","",IF(OR(J382="",L382=""),"建議補聯絡紀錄","") )</f>
        <v/>
      </c>
    </row>
    <row r="383" ht="24" customHeight="1">
      <c r="A383" s="7" t="n"/>
      <c r="B383" s="7" t="n"/>
      <c r="C383" s="12">
        <f>IF($A383="","",IFERROR(INDEX(土地清冊_匯入!$B$6:$B$1005,MATCH($A383,土地清冊_匯入!$A$6:$A$1005,0)),"查無資料"))</f>
        <v/>
      </c>
      <c r="D383" s="12">
        <f>IF($A383="","",IFERROR(INDEX(土地清冊_匯入!$P$6:$P$1005,MATCH($A383,土地清冊_匯入!$A$6:$A$1005,0)),""))</f>
        <v/>
      </c>
      <c r="E383" s="12">
        <f>IF($A383="","",IFERROR(INDEX(土地清冊_匯入!$Q$6:$Q$1005,MATCH($A383,土地清冊_匯入!$A$6:$A$1005,0)),""))</f>
        <v/>
      </c>
      <c r="F383" s="12">
        <f>IF($A383="","",IFERROR(INDEX(土地清冊_匯入!$R$6:$R$1005,MATCH($A383,土地清冊_匯入!$A$6:$A$1005,0)),""))</f>
        <v/>
      </c>
      <c r="G383" s="12">
        <f>IF($A383="","",IFERROR(INDEX(土地清冊_匯入!$S$6:$S$1005,MATCH($A383,土地清冊_匯入!$A$6:$A$1005,0)),""))</f>
        <v/>
      </c>
      <c r="H383" s="12">
        <f>IF($A383="","",IFERROR(INDEX(土地清冊_匯入!$T$6:$T$1005,MATCH($A383,土地清冊_匯入!$A$6:$A$1005,0)),""))</f>
        <v/>
      </c>
      <c r="I383" s="12">
        <f>IF($A383="","",IFERROR(INDEX(土地清冊_匯入!$V$6:$V$1005,MATCH($A383,土地清冊_匯入!$A$6:$A$1005,0)),""))</f>
        <v/>
      </c>
      <c r="J383" s="14" t="n"/>
      <c r="K383" s="7" t="n"/>
      <c r="L383" s="7" t="n"/>
      <c r="M383" s="7" t="n"/>
      <c r="N383" s="7" t="n"/>
      <c r="O383" s="7" t="n"/>
      <c r="P383" s="7" t="n"/>
      <c r="Q383" s="14" t="n"/>
      <c r="R383" s="7" t="n"/>
      <c r="S383" s="7" t="n"/>
      <c r="T383" s="7" t="n"/>
      <c r="U383" s="12">
        <f>IF(A383="","",IF(OR(J383="",L383=""),"建議補聯絡紀錄","") )</f>
        <v/>
      </c>
    </row>
    <row r="384" ht="24" customHeight="1">
      <c r="A384" s="7" t="n"/>
      <c r="B384" s="7" t="n"/>
      <c r="C384" s="12">
        <f>IF($A384="","",IFERROR(INDEX(土地清冊_匯入!$B$6:$B$1005,MATCH($A384,土地清冊_匯入!$A$6:$A$1005,0)),"查無資料"))</f>
        <v/>
      </c>
      <c r="D384" s="12">
        <f>IF($A384="","",IFERROR(INDEX(土地清冊_匯入!$P$6:$P$1005,MATCH($A384,土地清冊_匯入!$A$6:$A$1005,0)),""))</f>
        <v/>
      </c>
      <c r="E384" s="12">
        <f>IF($A384="","",IFERROR(INDEX(土地清冊_匯入!$Q$6:$Q$1005,MATCH($A384,土地清冊_匯入!$A$6:$A$1005,0)),""))</f>
        <v/>
      </c>
      <c r="F384" s="12">
        <f>IF($A384="","",IFERROR(INDEX(土地清冊_匯入!$R$6:$R$1005,MATCH($A384,土地清冊_匯入!$A$6:$A$1005,0)),""))</f>
        <v/>
      </c>
      <c r="G384" s="12">
        <f>IF($A384="","",IFERROR(INDEX(土地清冊_匯入!$S$6:$S$1005,MATCH($A384,土地清冊_匯入!$A$6:$A$1005,0)),""))</f>
        <v/>
      </c>
      <c r="H384" s="12">
        <f>IF($A384="","",IFERROR(INDEX(土地清冊_匯入!$T$6:$T$1005,MATCH($A384,土地清冊_匯入!$A$6:$A$1005,0)),""))</f>
        <v/>
      </c>
      <c r="I384" s="12">
        <f>IF($A384="","",IFERROR(INDEX(土地清冊_匯入!$V$6:$V$1005,MATCH($A384,土地清冊_匯入!$A$6:$A$1005,0)),""))</f>
        <v/>
      </c>
      <c r="J384" s="14" t="n"/>
      <c r="K384" s="7" t="n"/>
      <c r="L384" s="7" t="n"/>
      <c r="M384" s="7" t="n"/>
      <c r="N384" s="7" t="n"/>
      <c r="O384" s="7" t="n"/>
      <c r="P384" s="7" t="n"/>
      <c r="Q384" s="14" t="n"/>
      <c r="R384" s="7" t="n"/>
      <c r="S384" s="7" t="n"/>
      <c r="T384" s="7" t="n"/>
      <c r="U384" s="12">
        <f>IF(A384="","",IF(OR(J384="",L384=""),"建議補聯絡紀錄","") )</f>
        <v/>
      </c>
    </row>
    <row r="385" ht="24" customHeight="1">
      <c r="A385" s="7" t="n"/>
      <c r="B385" s="7" t="n"/>
      <c r="C385" s="12">
        <f>IF($A385="","",IFERROR(INDEX(土地清冊_匯入!$B$6:$B$1005,MATCH($A385,土地清冊_匯入!$A$6:$A$1005,0)),"查無資料"))</f>
        <v/>
      </c>
      <c r="D385" s="12">
        <f>IF($A385="","",IFERROR(INDEX(土地清冊_匯入!$P$6:$P$1005,MATCH($A385,土地清冊_匯入!$A$6:$A$1005,0)),""))</f>
        <v/>
      </c>
      <c r="E385" s="12">
        <f>IF($A385="","",IFERROR(INDEX(土地清冊_匯入!$Q$6:$Q$1005,MATCH($A385,土地清冊_匯入!$A$6:$A$1005,0)),""))</f>
        <v/>
      </c>
      <c r="F385" s="12">
        <f>IF($A385="","",IFERROR(INDEX(土地清冊_匯入!$R$6:$R$1005,MATCH($A385,土地清冊_匯入!$A$6:$A$1005,0)),""))</f>
        <v/>
      </c>
      <c r="G385" s="12">
        <f>IF($A385="","",IFERROR(INDEX(土地清冊_匯入!$S$6:$S$1005,MATCH($A385,土地清冊_匯入!$A$6:$A$1005,0)),""))</f>
        <v/>
      </c>
      <c r="H385" s="12">
        <f>IF($A385="","",IFERROR(INDEX(土地清冊_匯入!$T$6:$T$1005,MATCH($A385,土地清冊_匯入!$A$6:$A$1005,0)),""))</f>
        <v/>
      </c>
      <c r="I385" s="12">
        <f>IF($A385="","",IFERROR(INDEX(土地清冊_匯入!$V$6:$V$1005,MATCH($A385,土地清冊_匯入!$A$6:$A$1005,0)),""))</f>
        <v/>
      </c>
      <c r="J385" s="14" t="n"/>
      <c r="K385" s="7" t="n"/>
      <c r="L385" s="7" t="n"/>
      <c r="M385" s="7" t="n"/>
      <c r="N385" s="7" t="n"/>
      <c r="O385" s="7" t="n"/>
      <c r="P385" s="7" t="n"/>
      <c r="Q385" s="14" t="n"/>
      <c r="R385" s="7" t="n"/>
      <c r="S385" s="7" t="n"/>
      <c r="T385" s="7" t="n"/>
      <c r="U385" s="12">
        <f>IF(A385="","",IF(OR(J385="",L385=""),"建議補聯絡紀錄","") )</f>
        <v/>
      </c>
    </row>
    <row r="386" ht="24" customHeight="1">
      <c r="A386" s="7" t="n"/>
      <c r="B386" s="7" t="n"/>
      <c r="C386" s="12">
        <f>IF($A386="","",IFERROR(INDEX(土地清冊_匯入!$B$6:$B$1005,MATCH($A386,土地清冊_匯入!$A$6:$A$1005,0)),"查無資料"))</f>
        <v/>
      </c>
      <c r="D386" s="12">
        <f>IF($A386="","",IFERROR(INDEX(土地清冊_匯入!$P$6:$P$1005,MATCH($A386,土地清冊_匯入!$A$6:$A$1005,0)),""))</f>
        <v/>
      </c>
      <c r="E386" s="12">
        <f>IF($A386="","",IFERROR(INDEX(土地清冊_匯入!$Q$6:$Q$1005,MATCH($A386,土地清冊_匯入!$A$6:$A$1005,0)),""))</f>
        <v/>
      </c>
      <c r="F386" s="12">
        <f>IF($A386="","",IFERROR(INDEX(土地清冊_匯入!$R$6:$R$1005,MATCH($A386,土地清冊_匯入!$A$6:$A$1005,0)),""))</f>
        <v/>
      </c>
      <c r="G386" s="12">
        <f>IF($A386="","",IFERROR(INDEX(土地清冊_匯入!$S$6:$S$1005,MATCH($A386,土地清冊_匯入!$A$6:$A$1005,0)),""))</f>
        <v/>
      </c>
      <c r="H386" s="12">
        <f>IF($A386="","",IFERROR(INDEX(土地清冊_匯入!$T$6:$T$1005,MATCH($A386,土地清冊_匯入!$A$6:$A$1005,0)),""))</f>
        <v/>
      </c>
      <c r="I386" s="12">
        <f>IF($A386="","",IFERROR(INDEX(土地清冊_匯入!$V$6:$V$1005,MATCH($A386,土地清冊_匯入!$A$6:$A$1005,0)),""))</f>
        <v/>
      </c>
      <c r="J386" s="14" t="n"/>
      <c r="K386" s="7" t="n"/>
      <c r="L386" s="7" t="n"/>
      <c r="M386" s="7" t="n"/>
      <c r="N386" s="7" t="n"/>
      <c r="O386" s="7" t="n"/>
      <c r="P386" s="7" t="n"/>
      <c r="Q386" s="14" t="n"/>
      <c r="R386" s="7" t="n"/>
      <c r="S386" s="7" t="n"/>
      <c r="T386" s="7" t="n"/>
      <c r="U386" s="12">
        <f>IF(A386="","",IF(OR(J386="",L386=""),"建議補聯絡紀錄","") )</f>
        <v/>
      </c>
    </row>
    <row r="387" ht="24" customHeight="1">
      <c r="A387" s="7" t="n"/>
      <c r="B387" s="7" t="n"/>
      <c r="C387" s="12">
        <f>IF($A387="","",IFERROR(INDEX(土地清冊_匯入!$B$6:$B$1005,MATCH($A387,土地清冊_匯入!$A$6:$A$1005,0)),"查無資料"))</f>
        <v/>
      </c>
      <c r="D387" s="12">
        <f>IF($A387="","",IFERROR(INDEX(土地清冊_匯入!$P$6:$P$1005,MATCH($A387,土地清冊_匯入!$A$6:$A$1005,0)),""))</f>
        <v/>
      </c>
      <c r="E387" s="12">
        <f>IF($A387="","",IFERROR(INDEX(土地清冊_匯入!$Q$6:$Q$1005,MATCH($A387,土地清冊_匯入!$A$6:$A$1005,0)),""))</f>
        <v/>
      </c>
      <c r="F387" s="12">
        <f>IF($A387="","",IFERROR(INDEX(土地清冊_匯入!$R$6:$R$1005,MATCH($A387,土地清冊_匯入!$A$6:$A$1005,0)),""))</f>
        <v/>
      </c>
      <c r="G387" s="12">
        <f>IF($A387="","",IFERROR(INDEX(土地清冊_匯入!$S$6:$S$1005,MATCH($A387,土地清冊_匯入!$A$6:$A$1005,0)),""))</f>
        <v/>
      </c>
      <c r="H387" s="12">
        <f>IF($A387="","",IFERROR(INDEX(土地清冊_匯入!$T$6:$T$1005,MATCH($A387,土地清冊_匯入!$A$6:$A$1005,0)),""))</f>
        <v/>
      </c>
      <c r="I387" s="12">
        <f>IF($A387="","",IFERROR(INDEX(土地清冊_匯入!$V$6:$V$1005,MATCH($A387,土地清冊_匯入!$A$6:$A$1005,0)),""))</f>
        <v/>
      </c>
      <c r="J387" s="14" t="n"/>
      <c r="K387" s="7" t="n"/>
      <c r="L387" s="7" t="n"/>
      <c r="M387" s="7" t="n"/>
      <c r="N387" s="7" t="n"/>
      <c r="O387" s="7" t="n"/>
      <c r="P387" s="7" t="n"/>
      <c r="Q387" s="14" t="n"/>
      <c r="R387" s="7" t="n"/>
      <c r="S387" s="7" t="n"/>
      <c r="T387" s="7" t="n"/>
      <c r="U387" s="12">
        <f>IF(A387="","",IF(OR(J387="",L387=""),"建議補聯絡紀錄","") )</f>
        <v/>
      </c>
    </row>
    <row r="388" ht="24" customHeight="1">
      <c r="A388" s="7" t="n"/>
      <c r="B388" s="7" t="n"/>
      <c r="C388" s="12">
        <f>IF($A388="","",IFERROR(INDEX(土地清冊_匯入!$B$6:$B$1005,MATCH($A388,土地清冊_匯入!$A$6:$A$1005,0)),"查無資料"))</f>
        <v/>
      </c>
      <c r="D388" s="12">
        <f>IF($A388="","",IFERROR(INDEX(土地清冊_匯入!$P$6:$P$1005,MATCH($A388,土地清冊_匯入!$A$6:$A$1005,0)),""))</f>
        <v/>
      </c>
      <c r="E388" s="12">
        <f>IF($A388="","",IFERROR(INDEX(土地清冊_匯入!$Q$6:$Q$1005,MATCH($A388,土地清冊_匯入!$A$6:$A$1005,0)),""))</f>
        <v/>
      </c>
      <c r="F388" s="12">
        <f>IF($A388="","",IFERROR(INDEX(土地清冊_匯入!$R$6:$R$1005,MATCH($A388,土地清冊_匯入!$A$6:$A$1005,0)),""))</f>
        <v/>
      </c>
      <c r="G388" s="12">
        <f>IF($A388="","",IFERROR(INDEX(土地清冊_匯入!$S$6:$S$1005,MATCH($A388,土地清冊_匯入!$A$6:$A$1005,0)),""))</f>
        <v/>
      </c>
      <c r="H388" s="12">
        <f>IF($A388="","",IFERROR(INDEX(土地清冊_匯入!$T$6:$T$1005,MATCH($A388,土地清冊_匯入!$A$6:$A$1005,0)),""))</f>
        <v/>
      </c>
      <c r="I388" s="12">
        <f>IF($A388="","",IFERROR(INDEX(土地清冊_匯入!$V$6:$V$1005,MATCH($A388,土地清冊_匯入!$A$6:$A$1005,0)),""))</f>
        <v/>
      </c>
      <c r="J388" s="14" t="n"/>
      <c r="K388" s="7" t="n"/>
      <c r="L388" s="7" t="n"/>
      <c r="M388" s="7" t="n"/>
      <c r="N388" s="7" t="n"/>
      <c r="O388" s="7" t="n"/>
      <c r="P388" s="7" t="n"/>
      <c r="Q388" s="14" t="n"/>
      <c r="R388" s="7" t="n"/>
      <c r="S388" s="7" t="n"/>
      <c r="T388" s="7" t="n"/>
      <c r="U388" s="12">
        <f>IF(A388="","",IF(OR(J388="",L388=""),"建議補聯絡紀錄","") )</f>
        <v/>
      </c>
    </row>
    <row r="389" ht="24" customHeight="1">
      <c r="A389" s="7" t="n"/>
      <c r="B389" s="7" t="n"/>
      <c r="C389" s="12">
        <f>IF($A389="","",IFERROR(INDEX(土地清冊_匯入!$B$6:$B$1005,MATCH($A389,土地清冊_匯入!$A$6:$A$1005,0)),"查無資料"))</f>
        <v/>
      </c>
      <c r="D389" s="12">
        <f>IF($A389="","",IFERROR(INDEX(土地清冊_匯入!$P$6:$P$1005,MATCH($A389,土地清冊_匯入!$A$6:$A$1005,0)),""))</f>
        <v/>
      </c>
      <c r="E389" s="12">
        <f>IF($A389="","",IFERROR(INDEX(土地清冊_匯入!$Q$6:$Q$1005,MATCH($A389,土地清冊_匯入!$A$6:$A$1005,0)),""))</f>
        <v/>
      </c>
      <c r="F389" s="12">
        <f>IF($A389="","",IFERROR(INDEX(土地清冊_匯入!$R$6:$R$1005,MATCH($A389,土地清冊_匯入!$A$6:$A$1005,0)),""))</f>
        <v/>
      </c>
      <c r="G389" s="12">
        <f>IF($A389="","",IFERROR(INDEX(土地清冊_匯入!$S$6:$S$1005,MATCH($A389,土地清冊_匯入!$A$6:$A$1005,0)),""))</f>
        <v/>
      </c>
      <c r="H389" s="12">
        <f>IF($A389="","",IFERROR(INDEX(土地清冊_匯入!$T$6:$T$1005,MATCH($A389,土地清冊_匯入!$A$6:$A$1005,0)),""))</f>
        <v/>
      </c>
      <c r="I389" s="12">
        <f>IF($A389="","",IFERROR(INDEX(土地清冊_匯入!$V$6:$V$1005,MATCH($A389,土地清冊_匯入!$A$6:$A$1005,0)),""))</f>
        <v/>
      </c>
      <c r="J389" s="14" t="n"/>
      <c r="K389" s="7" t="n"/>
      <c r="L389" s="7" t="n"/>
      <c r="M389" s="7" t="n"/>
      <c r="N389" s="7" t="n"/>
      <c r="O389" s="7" t="n"/>
      <c r="P389" s="7" t="n"/>
      <c r="Q389" s="14" t="n"/>
      <c r="R389" s="7" t="n"/>
      <c r="S389" s="7" t="n"/>
      <c r="T389" s="7" t="n"/>
      <c r="U389" s="12">
        <f>IF(A389="","",IF(OR(J389="",L389=""),"建議補聯絡紀錄","") )</f>
        <v/>
      </c>
    </row>
    <row r="390" ht="24" customHeight="1">
      <c r="A390" s="7" t="n"/>
      <c r="B390" s="7" t="n"/>
      <c r="C390" s="12">
        <f>IF($A390="","",IFERROR(INDEX(土地清冊_匯入!$B$6:$B$1005,MATCH($A390,土地清冊_匯入!$A$6:$A$1005,0)),"查無資料"))</f>
        <v/>
      </c>
      <c r="D390" s="12">
        <f>IF($A390="","",IFERROR(INDEX(土地清冊_匯入!$P$6:$P$1005,MATCH($A390,土地清冊_匯入!$A$6:$A$1005,0)),""))</f>
        <v/>
      </c>
      <c r="E390" s="12">
        <f>IF($A390="","",IFERROR(INDEX(土地清冊_匯入!$Q$6:$Q$1005,MATCH($A390,土地清冊_匯入!$A$6:$A$1005,0)),""))</f>
        <v/>
      </c>
      <c r="F390" s="12">
        <f>IF($A390="","",IFERROR(INDEX(土地清冊_匯入!$R$6:$R$1005,MATCH($A390,土地清冊_匯入!$A$6:$A$1005,0)),""))</f>
        <v/>
      </c>
      <c r="G390" s="12">
        <f>IF($A390="","",IFERROR(INDEX(土地清冊_匯入!$S$6:$S$1005,MATCH($A390,土地清冊_匯入!$A$6:$A$1005,0)),""))</f>
        <v/>
      </c>
      <c r="H390" s="12">
        <f>IF($A390="","",IFERROR(INDEX(土地清冊_匯入!$T$6:$T$1005,MATCH($A390,土地清冊_匯入!$A$6:$A$1005,0)),""))</f>
        <v/>
      </c>
      <c r="I390" s="12">
        <f>IF($A390="","",IFERROR(INDEX(土地清冊_匯入!$V$6:$V$1005,MATCH($A390,土地清冊_匯入!$A$6:$A$1005,0)),""))</f>
        <v/>
      </c>
      <c r="J390" s="14" t="n"/>
      <c r="K390" s="7" t="n"/>
      <c r="L390" s="7" t="n"/>
      <c r="M390" s="7" t="n"/>
      <c r="N390" s="7" t="n"/>
      <c r="O390" s="7" t="n"/>
      <c r="P390" s="7" t="n"/>
      <c r="Q390" s="14" t="n"/>
      <c r="R390" s="7" t="n"/>
      <c r="S390" s="7" t="n"/>
      <c r="T390" s="7" t="n"/>
      <c r="U390" s="12">
        <f>IF(A390="","",IF(OR(J390="",L390=""),"建議補聯絡紀錄","") )</f>
        <v/>
      </c>
    </row>
    <row r="391" ht="24" customHeight="1">
      <c r="A391" s="7" t="n"/>
      <c r="B391" s="7" t="n"/>
      <c r="C391" s="12">
        <f>IF($A391="","",IFERROR(INDEX(土地清冊_匯入!$B$6:$B$1005,MATCH($A391,土地清冊_匯入!$A$6:$A$1005,0)),"查無資料"))</f>
        <v/>
      </c>
      <c r="D391" s="12">
        <f>IF($A391="","",IFERROR(INDEX(土地清冊_匯入!$P$6:$P$1005,MATCH($A391,土地清冊_匯入!$A$6:$A$1005,0)),""))</f>
        <v/>
      </c>
      <c r="E391" s="12">
        <f>IF($A391="","",IFERROR(INDEX(土地清冊_匯入!$Q$6:$Q$1005,MATCH($A391,土地清冊_匯入!$A$6:$A$1005,0)),""))</f>
        <v/>
      </c>
      <c r="F391" s="12">
        <f>IF($A391="","",IFERROR(INDEX(土地清冊_匯入!$R$6:$R$1005,MATCH($A391,土地清冊_匯入!$A$6:$A$1005,0)),""))</f>
        <v/>
      </c>
      <c r="G391" s="12">
        <f>IF($A391="","",IFERROR(INDEX(土地清冊_匯入!$S$6:$S$1005,MATCH($A391,土地清冊_匯入!$A$6:$A$1005,0)),""))</f>
        <v/>
      </c>
      <c r="H391" s="12">
        <f>IF($A391="","",IFERROR(INDEX(土地清冊_匯入!$T$6:$T$1005,MATCH($A391,土地清冊_匯入!$A$6:$A$1005,0)),""))</f>
        <v/>
      </c>
      <c r="I391" s="12">
        <f>IF($A391="","",IFERROR(INDEX(土地清冊_匯入!$V$6:$V$1005,MATCH($A391,土地清冊_匯入!$A$6:$A$1005,0)),""))</f>
        <v/>
      </c>
      <c r="J391" s="14" t="n"/>
      <c r="K391" s="7" t="n"/>
      <c r="L391" s="7" t="n"/>
      <c r="M391" s="7" t="n"/>
      <c r="N391" s="7" t="n"/>
      <c r="O391" s="7" t="n"/>
      <c r="P391" s="7" t="n"/>
      <c r="Q391" s="14" t="n"/>
      <c r="R391" s="7" t="n"/>
      <c r="S391" s="7" t="n"/>
      <c r="T391" s="7" t="n"/>
      <c r="U391" s="12">
        <f>IF(A391="","",IF(OR(J391="",L391=""),"建議補聯絡紀錄","") )</f>
        <v/>
      </c>
    </row>
    <row r="392" ht="24" customHeight="1">
      <c r="A392" s="7" t="n"/>
      <c r="B392" s="7" t="n"/>
      <c r="C392" s="12">
        <f>IF($A392="","",IFERROR(INDEX(土地清冊_匯入!$B$6:$B$1005,MATCH($A392,土地清冊_匯入!$A$6:$A$1005,0)),"查無資料"))</f>
        <v/>
      </c>
      <c r="D392" s="12">
        <f>IF($A392="","",IFERROR(INDEX(土地清冊_匯入!$P$6:$P$1005,MATCH($A392,土地清冊_匯入!$A$6:$A$1005,0)),""))</f>
        <v/>
      </c>
      <c r="E392" s="12">
        <f>IF($A392="","",IFERROR(INDEX(土地清冊_匯入!$Q$6:$Q$1005,MATCH($A392,土地清冊_匯入!$A$6:$A$1005,0)),""))</f>
        <v/>
      </c>
      <c r="F392" s="12">
        <f>IF($A392="","",IFERROR(INDEX(土地清冊_匯入!$R$6:$R$1005,MATCH($A392,土地清冊_匯入!$A$6:$A$1005,0)),""))</f>
        <v/>
      </c>
      <c r="G392" s="12">
        <f>IF($A392="","",IFERROR(INDEX(土地清冊_匯入!$S$6:$S$1005,MATCH($A392,土地清冊_匯入!$A$6:$A$1005,0)),""))</f>
        <v/>
      </c>
      <c r="H392" s="12">
        <f>IF($A392="","",IFERROR(INDEX(土地清冊_匯入!$T$6:$T$1005,MATCH($A392,土地清冊_匯入!$A$6:$A$1005,0)),""))</f>
        <v/>
      </c>
      <c r="I392" s="12">
        <f>IF($A392="","",IFERROR(INDEX(土地清冊_匯入!$V$6:$V$1005,MATCH($A392,土地清冊_匯入!$A$6:$A$1005,0)),""))</f>
        <v/>
      </c>
      <c r="J392" s="14" t="n"/>
      <c r="K392" s="7" t="n"/>
      <c r="L392" s="7" t="n"/>
      <c r="M392" s="7" t="n"/>
      <c r="N392" s="7" t="n"/>
      <c r="O392" s="7" t="n"/>
      <c r="P392" s="7" t="n"/>
      <c r="Q392" s="14" t="n"/>
      <c r="R392" s="7" t="n"/>
      <c r="S392" s="7" t="n"/>
      <c r="T392" s="7" t="n"/>
      <c r="U392" s="12">
        <f>IF(A392="","",IF(OR(J392="",L392=""),"建議補聯絡紀錄","") )</f>
        <v/>
      </c>
    </row>
    <row r="393" ht="24" customHeight="1">
      <c r="A393" s="7" t="n"/>
      <c r="B393" s="7" t="n"/>
      <c r="C393" s="12">
        <f>IF($A393="","",IFERROR(INDEX(土地清冊_匯入!$B$6:$B$1005,MATCH($A393,土地清冊_匯入!$A$6:$A$1005,0)),"查無資料"))</f>
        <v/>
      </c>
      <c r="D393" s="12">
        <f>IF($A393="","",IFERROR(INDEX(土地清冊_匯入!$P$6:$P$1005,MATCH($A393,土地清冊_匯入!$A$6:$A$1005,0)),""))</f>
        <v/>
      </c>
      <c r="E393" s="12">
        <f>IF($A393="","",IFERROR(INDEX(土地清冊_匯入!$Q$6:$Q$1005,MATCH($A393,土地清冊_匯入!$A$6:$A$1005,0)),""))</f>
        <v/>
      </c>
      <c r="F393" s="12">
        <f>IF($A393="","",IFERROR(INDEX(土地清冊_匯入!$R$6:$R$1005,MATCH($A393,土地清冊_匯入!$A$6:$A$1005,0)),""))</f>
        <v/>
      </c>
      <c r="G393" s="12">
        <f>IF($A393="","",IFERROR(INDEX(土地清冊_匯入!$S$6:$S$1005,MATCH($A393,土地清冊_匯入!$A$6:$A$1005,0)),""))</f>
        <v/>
      </c>
      <c r="H393" s="12">
        <f>IF($A393="","",IFERROR(INDEX(土地清冊_匯入!$T$6:$T$1005,MATCH($A393,土地清冊_匯入!$A$6:$A$1005,0)),""))</f>
        <v/>
      </c>
      <c r="I393" s="12">
        <f>IF($A393="","",IFERROR(INDEX(土地清冊_匯入!$V$6:$V$1005,MATCH($A393,土地清冊_匯入!$A$6:$A$1005,0)),""))</f>
        <v/>
      </c>
      <c r="J393" s="14" t="n"/>
      <c r="K393" s="7" t="n"/>
      <c r="L393" s="7" t="n"/>
      <c r="M393" s="7" t="n"/>
      <c r="N393" s="7" t="n"/>
      <c r="O393" s="7" t="n"/>
      <c r="P393" s="7" t="n"/>
      <c r="Q393" s="14" t="n"/>
      <c r="R393" s="7" t="n"/>
      <c r="S393" s="7" t="n"/>
      <c r="T393" s="7" t="n"/>
      <c r="U393" s="12">
        <f>IF(A393="","",IF(OR(J393="",L393=""),"建議補聯絡紀錄","") )</f>
        <v/>
      </c>
    </row>
    <row r="394" ht="24" customHeight="1">
      <c r="A394" s="7" t="n"/>
      <c r="B394" s="7" t="n"/>
      <c r="C394" s="12">
        <f>IF($A394="","",IFERROR(INDEX(土地清冊_匯入!$B$6:$B$1005,MATCH($A394,土地清冊_匯入!$A$6:$A$1005,0)),"查無資料"))</f>
        <v/>
      </c>
      <c r="D394" s="12">
        <f>IF($A394="","",IFERROR(INDEX(土地清冊_匯入!$P$6:$P$1005,MATCH($A394,土地清冊_匯入!$A$6:$A$1005,0)),""))</f>
        <v/>
      </c>
      <c r="E394" s="12">
        <f>IF($A394="","",IFERROR(INDEX(土地清冊_匯入!$Q$6:$Q$1005,MATCH($A394,土地清冊_匯入!$A$6:$A$1005,0)),""))</f>
        <v/>
      </c>
      <c r="F394" s="12">
        <f>IF($A394="","",IFERROR(INDEX(土地清冊_匯入!$R$6:$R$1005,MATCH($A394,土地清冊_匯入!$A$6:$A$1005,0)),""))</f>
        <v/>
      </c>
      <c r="G394" s="12">
        <f>IF($A394="","",IFERROR(INDEX(土地清冊_匯入!$S$6:$S$1005,MATCH($A394,土地清冊_匯入!$A$6:$A$1005,0)),""))</f>
        <v/>
      </c>
      <c r="H394" s="12">
        <f>IF($A394="","",IFERROR(INDEX(土地清冊_匯入!$T$6:$T$1005,MATCH($A394,土地清冊_匯入!$A$6:$A$1005,0)),""))</f>
        <v/>
      </c>
      <c r="I394" s="12">
        <f>IF($A394="","",IFERROR(INDEX(土地清冊_匯入!$V$6:$V$1005,MATCH($A394,土地清冊_匯入!$A$6:$A$1005,0)),""))</f>
        <v/>
      </c>
      <c r="J394" s="14" t="n"/>
      <c r="K394" s="7" t="n"/>
      <c r="L394" s="7" t="n"/>
      <c r="M394" s="7" t="n"/>
      <c r="N394" s="7" t="n"/>
      <c r="O394" s="7" t="n"/>
      <c r="P394" s="7" t="n"/>
      <c r="Q394" s="14" t="n"/>
      <c r="R394" s="7" t="n"/>
      <c r="S394" s="7" t="n"/>
      <c r="T394" s="7" t="n"/>
      <c r="U394" s="12">
        <f>IF(A394="","",IF(OR(J394="",L394=""),"建議補聯絡紀錄","") )</f>
        <v/>
      </c>
    </row>
    <row r="395" ht="24" customHeight="1">
      <c r="A395" s="7" t="n"/>
      <c r="B395" s="7" t="n"/>
      <c r="C395" s="12">
        <f>IF($A395="","",IFERROR(INDEX(土地清冊_匯入!$B$6:$B$1005,MATCH($A395,土地清冊_匯入!$A$6:$A$1005,0)),"查無資料"))</f>
        <v/>
      </c>
      <c r="D395" s="12">
        <f>IF($A395="","",IFERROR(INDEX(土地清冊_匯入!$P$6:$P$1005,MATCH($A395,土地清冊_匯入!$A$6:$A$1005,0)),""))</f>
        <v/>
      </c>
      <c r="E395" s="12">
        <f>IF($A395="","",IFERROR(INDEX(土地清冊_匯入!$Q$6:$Q$1005,MATCH($A395,土地清冊_匯入!$A$6:$A$1005,0)),""))</f>
        <v/>
      </c>
      <c r="F395" s="12">
        <f>IF($A395="","",IFERROR(INDEX(土地清冊_匯入!$R$6:$R$1005,MATCH($A395,土地清冊_匯入!$A$6:$A$1005,0)),""))</f>
        <v/>
      </c>
      <c r="G395" s="12">
        <f>IF($A395="","",IFERROR(INDEX(土地清冊_匯入!$S$6:$S$1005,MATCH($A395,土地清冊_匯入!$A$6:$A$1005,0)),""))</f>
        <v/>
      </c>
      <c r="H395" s="12">
        <f>IF($A395="","",IFERROR(INDEX(土地清冊_匯入!$T$6:$T$1005,MATCH($A395,土地清冊_匯入!$A$6:$A$1005,0)),""))</f>
        <v/>
      </c>
      <c r="I395" s="12">
        <f>IF($A395="","",IFERROR(INDEX(土地清冊_匯入!$V$6:$V$1005,MATCH($A395,土地清冊_匯入!$A$6:$A$1005,0)),""))</f>
        <v/>
      </c>
      <c r="J395" s="14" t="n"/>
      <c r="K395" s="7" t="n"/>
      <c r="L395" s="7" t="n"/>
      <c r="M395" s="7" t="n"/>
      <c r="N395" s="7" t="n"/>
      <c r="O395" s="7" t="n"/>
      <c r="P395" s="7" t="n"/>
      <c r="Q395" s="14" t="n"/>
      <c r="R395" s="7" t="n"/>
      <c r="S395" s="7" t="n"/>
      <c r="T395" s="7" t="n"/>
      <c r="U395" s="12">
        <f>IF(A395="","",IF(OR(J395="",L395=""),"建議補聯絡紀錄","") )</f>
        <v/>
      </c>
    </row>
    <row r="396" ht="24" customHeight="1">
      <c r="A396" s="7" t="n"/>
      <c r="B396" s="7" t="n"/>
      <c r="C396" s="12">
        <f>IF($A396="","",IFERROR(INDEX(土地清冊_匯入!$B$6:$B$1005,MATCH($A396,土地清冊_匯入!$A$6:$A$1005,0)),"查無資料"))</f>
        <v/>
      </c>
      <c r="D396" s="12">
        <f>IF($A396="","",IFERROR(INDEX(土地清冊_匯入!$P$6:$P$1005,MATCH($A396,土地清冊_匯入!$A$6:$A$1005,0)),""))</f>
        <v/>
      </c>
      <c r="E396" s="12">
        <f>IF($A396="","",IFERROR(INDEX(土地清冊_匯入!$Q$6:$Q$1005,MATCH($A396,土地清冊_匯入!$A$6:$A$1005,0)),""))</f>
        <v/>
      </c>
      <c r="F396" s="12">
        <f>IF($A396="","",IFERROR(INDEX(土地清冊_匯入!$R$6:$R$1005,MATCH($A396,土地清冊_匯入!$A$6:$A$1005,0)),""))</f>
        <v/>
      </c>
      <c r="G396" s="12">
        <f>IF($A396="","",IFERROR(INDEX(土地清冊_匯入!$S$6:$S$1005,MATCH($A396,土地清冊_匯入!$A$6:$A$1005,0)),""))</f>
        <v/>
      </c>
      <c r="H396" s="12">
        <f>IF($A396="","",IFERROR(INDEX(土地清冊_匯入!$T$6:$T$1005,MATCH($A396,土地清冊_匯入!$A$6:$A$1005,0)),""))</f>
        <v/>
      </c>
      <c r="I396" s="12">
        <f>IF($A396="","",IFERROR(INDEX(土地清冊_匯入!$V$6:$V$1005,MATCH($A396,土地清冊_匯入!$A$6:$A$1005,0)),""))</f>
        <v/>
      </c>
      <c r="J396" s="14" t="n"/>
      <c r="K396" s="7" t="n"/>
      <c r="L396" s="7" t="n"/>
      <c r="M396" s="7" t="n"/>
      <c r="N396" s="7" t="n"/>
      <c r="O396" s="7" t="n"/>
      <c r="P396" s="7" t="n"/>
      <c r="Q396" s="14" t="n"/>
      <c r="R396" s="7" t="n"/>
      <c r="S396" s="7" t="n"/>
      <c r="T396" s="7" t="n"/>
      <c r="U396" s="12">
        <f>IF(A396="","",IF(OR(J396="",L396=""),"建議補聯絡紀錄","") )</f>
        <v/>
      </c>
    </row>
    <row r="397" ht="24" customHeight="1">
      <c r="A397" s="7" t="n"/>
      <c r="B397" s="7" t="n"/>
      <c r="C397" s="12">
        <f>IF($A397="","",IFERROR(INDEX(土地清冊_匯入!$B$6:$B$1005,MATCH($A397,土地清冊_匯入!$A$6:$A$1005,0)),"查無資料"))</f>
        <v/>
      </c>
      <c r="D397" s="12">
        <f>IF($A397="","",IFERROR(INDEX(土地清冊_匯入!$P$6:$P$1005,MATCH($A397,土地清冊_匯入!$A$6:$A$1005,0)),""))</f>
        <v/>
      </c>
      <c r="E397" s="12">
        <f>IF($A397="","",IFERROR(INDEX(土地清冊_匯入!$Q$6:$Q$1005,MATCH($A397,土地清冊_匯入!$A$6:$A$1005,0)),""))</f>
        <v/>
      </c>
      <c r="F397" s="12">
        <f>IF($A397="","",IFERROR(INDEX(土地清冊_匯入!$R$6:$R$1005,MATCH($A397,土地清冊_匯入!$A$6:$A$1005,0)),""))</f>
        <v/>
      </c>
      <c r="G397" s="12">
        <f>IF($A397="","",IFERROR(INDEX(土地清冊_匯入!$S$6:$S$1005,MATCH($A397,土地清冊_匯入!$A$6:$A$1005,0)),""))</f>
        <v/>
      </c>
      <c r="H397" s="12">
        <f>IF($A397="","",IFERROR(INDEX(土地清冊_匯入!$T$6:$T$1005,MATCH($A397,土地清冊_匯入!$A$6:$A$1005,0)),""))</f>
        <v/>
      </c>
      <c r="I397" s="12">
        <f>IF($A397="","",IFERROR(INDEX(土地清冊_匯入!$V$6:$V$1005,MATCH($A397,土地清冊_匯入!$A$6:$A$1005,0)),""))</f>
        <v/>
      </c>
      <c r="J397" s="14" t="n"/>
      <c r="K397" s="7" t="n"/>
      <c r="L397" s="7" t="n"/>
      <c r="M397" s="7" t="n"/>
      <c r="N397" s="7" t="n"/>
      <c r="O397" s="7" t="n"/>
      <c r="P397" s="7" t="n"/>
      <c r="Q397" s="14" t="n"/>
      <c r="R397" s="7" t="n"/>
      <c r="S397" s="7" t="n"/>
      <c r="T397" s="7" t="n"/>
      <c r="U397" s="12">
        <f>IF(A397="","",IF(OR(J397="",L397=""),"建議補聯絡紀錄","") )</f>
        <v/>
      </c>
    </row>
    <row r="398" ht="24" customHeight="1">
      <c r="A398" s="7" t="n"/>
      <c r="B398" s="7" t="n"/>
      <c r="C398" s="12">
        <f>IF($A398="","",IFERROR(INDEX(土地清冊_匯入!$B$6:$B$1005,MATCH($A398,土地清冊_匯入!$A$6:$A$1005,0)),"查無資料"))</f>
        <v/>
      </c>
      <c r="D398" s="12">
        <f>IF($A398="","",IFERROR(INDEX(土地清冊_匯入!$P$6:$P$1005,MATCH($A398,土地清冊_匯入!$A$6:$A$1005,0)),""))</f>
        <v/>
      </c>
      <c r="E398" s="12">
        <f>IF($A398="","",IFERROR(INDEX(土地清冊_匯入!$Q$6:$Q$1005,MATCH($A398,土地清冊_匯入!$A$6:$A$1005,0)),""))</f>
        <v/>
      </c>
      <c r="F398" s="12">
        <f>IF($A398="","",IFERROR(INDEX(土地清冊_匯入!$R$6:$R$1005,MATCH($A398,土地清冊_匯入!$A$6:$A$1005,0)),""))</f>
        <v/>
      </c>
      <c r="G398" s="12">
        <f>IF($A398="","",IFERROR(INDEX(土地清冊_匯入!$S$6:$S$1005,MATCH($A398,土地清冊_匯入!$A$6:$A$1005,0)),""))</f>
        <v/>
      </c>
      <c r="H398" s="12">
        <f>IF($A398="","",IFERROR(INDEX(土地清冊_匯入!$T$6:$T$1005,MATCH($A398,土地清冊_匯入!$A$6:$A$1005,0)),""))</f>
        <v/>
      </c>
      <c r="I398" s="12">
        <f>IF($A398="","",IFERROR(INDEX(土地清冊_匯入!$V$6:$V$1005,MATCH($A398,土地清冊_匯入!$A$6:$A$1005,0)),""))</f>
        <v/>
      </c>
      <c r="J398" s="14" t="n"/>
      <c r="K398" s="7" t="n"/>
      <c r="L398" s="7" t="n"/>
      <c r="M398" s="7" t="n"/>
      <c r="N398" s="7" t="n"/>
      <c r="O398" s="7" t="n"/>
      <c r="P398" s="7" t="n"/>
      <c r="Q398" s="14" t="n"/>
      <c r="R398" s="7" t="n"/>
      <c r="S398" s="7" t="n"/>
      <c r="T398" s="7" t="n"/>
      <c r="U398" s="12">
        <f>IF(A398="","",IF(OR(J398="",L398=""),"建議補聯絡紀錄","") )</f>
        <v/>
      </c>
    </row>
    <row r="399" ht="24" customHeight="1">
      <c r="A399" s="7" t="n"/>
      <c r="B399" s="7" t="n"/>
      <c r="C399" s="12">
        <f>IF($A399="","",IFERROR(INDEX(土地清冊_匯入!$B$6:$B$1005,MATCH($A399,土地清冊_匯入!$A$6:$A$1005,0)),"查無資料"))</f>
        <v/>
      </c>
      <c r="D399" s="12">
        <f>IF($A399="","",IFERROR(INDEX(土地清冊_匯入!$P$6:$P$1005,MATCH($A399,土地清冊_匯入!$A$6:$A$1005,0)),""))</f>
        <v/>
      </c>
      <c r="E399" s="12">
        <f>IF($A399="","",IFERROR(INDEX(土地清冊_匯入!$Q$6:$Q$1005,MATCH($A399,土地清冊_匯入!$A$6:$A$1005,0)),""))</f>
        <v/>
      </c>
      <c r="F399" s="12">
        <f>IF($A399="","",IFERROR(INDEX(土地清冊_匯入!$R$6:$R$1005,MATCH($A399,土地清冊_匯入!$A$6:$A$1005,0)),""))</f>
        <v/>
      </c>
      <c r="G399" s="12">
        <f>IF($A399="","",IFERROR(INDEX(土地清冊_匯入!$S$6:$S$1005,MATCH($A399,土地清冊_匯入!$A$6:$A$1005,0)),""))</f>
        <v/>
      </c>
      <c r="H399" s="12">
        <f>IF($A399="","",IFERROR(INDEX(土地清冊_匯入!$T$6:$T$1005,MATCH($A399,土地清冊_匯入!$A$6:$A$1005,0)),""))</f>
        <v/>
      </c>
      <c r="I399" s="12">
        <f>IF($A399="","",IFERROR(INDEX(土地清冊_匯入!$V$6:$V$1005,MATCH($A399,土地清冊_匯入!$A$6:$A$1005,0)),""))</f>
        <v/>
      </c>
      <c r="J399" s="14" t="n"/>
      <c r="K399" s="7" t="n"/>
      <c r="L399" s="7" t="n"/>
      <c r="M399" s="7" t="n"/>
      <c r="N399" s="7" t="n"/>
      <c r="O399" s="7" t="n"/>
      <c r="P399" s="7" t="n"/>
      <c r="Q399" s="14" t="n"/>
      <c r="R399" s="7" t="n"/>
      <c r="S399" s="7" t="n"/>
      <c r="T399" s="7" t="n"/>
      <c r="U399" s="12">
        <f>IF(A399="","",IF(OR(J399="",L399=""),"建議補聯絡紀錄","") )</f>
        <v/>
      </c>
    </row>
    <row r="400" ht="24" customHeight="1">
      <c r="A400" s="7" t="n"/>
      <c r="B400" s="7" t="n"/>
      <c r="C400" s="12">
        <f>IF($A400="","",IFERROR(INDEX(土地清冊_匯入!$B$6:$B$1005,MATCH($A400,土地清冊_匯入!$A$6:$A$1005,0)),"查無資料"))</f>
        <v/>
      </c>
      <c r="D400" s="12">
        <f>IF($A400="","",IFERROR(INDEX(土地清冊_匯入!$P$6:$P$1005,MATCH($A400,土地清冊_匯入!$A$6:$A$1005,0)),""))</f>
        <v/>
      </c>
      <c r="E400" s="12">
        <f>IF($A400="","",IFERROR(INDEX(土地清冊_匯入!$Q$6:$Q$1005,MATCH($A400,土地清冊_匯入!$A$6:$A$1005,0)),""))</f>
        <v/>
      </c>
      <c r="F400" s="12">
        <f>IF($A400="","",IFERROR(INDEX(土地清冊_匯入!$R$6:$R$1005,MATCH($A400,土地清冊_匯入!$A$6:$A$1005,0)),""))</f>
        <v/>
      </c>
      <c r="G400" s="12">
        <f>IF($A400="","",IFERROR(INDEX(土地清冊_匯入!$S$6:$S$1005,MATCH($A400,土地清冊_匯入!$A$6:$A$1005,0)),""))</f>
        <v/>
      </c>
      <c r="H400" s="12">
        <f>IF($A400="","",IFERROR(INDEX(土地清冊_匯入!$T$6:$T$1005,MATCH($A400,土地清冊_匯入!$A$6:$A$1005,0)),""))</f>
        <v/>
      </c>
      <c r="I400" s="12">
        <f>IF($A400="","",IFERROR(INDEX(土地清冊_匯入!$V$6:$V$1005,MATCH($A400,土地清冊_匯入!$A$6:$A$1005,0)),""))</f>
        <v/>
      </c>
      <c r="J400" s="14" t="n"/>
      <c r="K400" s="7" t="n"/>
      <c r="L400" s="7" t="n"/>
      <c r="M400" s="7" t="n"/>
      <c r="N400" s="7" t="n"/>
      <c r="O400" s="7" t="n"/>
      <c r="P400" s="7" t="n"/>
      <c r="Q400" s="14" t="n"/>
      <c r="R400" s="7" t="n"/>
      <c r="S400" s="7" t="n"/>
      <c r="T400" s="7" t="n"/>
      <c r="U400" s="12">
        <f>IF(A400="","",IF(OR(J400="",L400=""),"建議補聯絡紀錄","") )</f>
        <v/>
      </c>
    </row>
    <row r="401" ht="24" customHeight="1">
      <c r="A401" s="7" t="n"/>
      <c r="B401" s="7" t="n"/>
      <c r="C401" s="12">
        <f>IF($A401="","",IFERROR(INDEX(土地清冊_匯入!$B$6:$B$1005,MATCH($A401,土地清冊_匯入!$A$6:$A$1005,0)),"查無資料"))</f>
        <v/>
      </c>
      <c r="D401" s="12">
        <f>IF($A401="","",IFERROR(INDEX(土地清冊_匯入!$P$6:$P$1005,MATCH($A401,土地清冊_匯入!$A$6:$A$1005,0)),""))</f>
        <v/>
      </c>
      <c r="E401" s="12">
        <f>IF($A401="","",IFERROR(INDEX(土地清冊_匯入!$Q$6:$Q$1005,MATCH($A401,土地清冊_匯入!$A$6:$A$1005,0)),""))</f>
        <v/>
      </c>
      <c r="F401" s="12">
        <f>IF($A401="","",IFERROR(INDEX(土地清冊_匯入!$R$6:$R$1005,MATCH($A401,土地清冊_匯入!$A$6:$A$1005,0)),""))</f>
        <v/>
      </c>
      <c r="G401" s="12">
        <f>IF($A401="","",IFERROR(INDEX(土地清冊_匯入!$S$6:$S$1005,MATCH($A401,土地清冊_匯入!$A$6:$A$1005,0)),""))</f>
        <v/>
      </c>
      <c r="H401" s="12">
        <f>IF($A401="","",IFERROR(INDEX(土地清冊_匯入!$T$6:$T$1005,MATCH($A401,土地清冊_匯入!$A$6:$A$1005,0)),""))</f>
        <v/>
      </c>
      <c r="I401" s="12">
        <f>IF($A401="","",IFERROR(INDEX(土地清冊_匯入!$V$6:$V$1005,MATCH($A401,土地清冊_匯入!$A$6:$A$1005,0)),""))</f>
        <v/>
      </c>
      <c r="J401" s="14" t="n"/>
      <c r="K401" s="7" t="n"/>
      <c r="L401" s="7" t="n"/>
      <c r="M401" s="7" t="n"/>
      <c r="N401" s="7" t="n"/>
      <c r="O401" s="7" t="n"/>
      <c r="P401" s="7" t="n"/>
      <c r="Q401" s="14" t="n"/>
      <c r="R401" s="7" t="n"/>
      <c r="S401" s="7" t="n"/>
      <c r="T401" s="7" t="n"/>
      <c r="U401" s="12">
        <f>IF(A401="","",IF(OR(J401="",L401=""),"建議補聯絡紀錄","") )</f>
        <v/>
      </c>
    </row>
    <row r="402" ht="24" customHeight="1">
      <c r="A402" s="7" t="n"/>
      <c r="B402" s="7" t="n"/>
      <c r="C402" s="12">
        <f>IF($A402="","",IFERROR(INDEX(土地清冊_匯入!$B$6:$B$1005,MATCH($A402,土地清冊_匯入!$A$6:$A$1005,0)),"查無資料"))</f>
        <v/>
      </c>
      <c r="D402" s="12">
        <f>IF($A402="","",IFERROR(INDEX(土地清冊_匯入!$P$6:$P$1005,MATCH($A402,土地清冊_匯入!$A$6:$A$1005,0)),""))</f>
        <v/>
      </c>
      <c r="E402" s="12">
        <f>IF($A402="","",IFERROR(INDEX(土地清冊_匯入!$Q$6:$Q$1005,MATCH($A402,土地清冊_匯入!$A$6:$A$1005,0)),""))</f>
        <v/>
      </c>
      <c r="F402" s="12">
        <f>IF($A402="","",IFERROR(INDEX(土地清冊_匯入!$R$6:$R$1005,MATCH($A402,土地清冊_匯入!$A$6:$A$1005,0)),""))</f>
        <v/>
      </c>
      <c r="G402" s="12">
        <f>IF($A402="","",IFERROR(INDEX(土地清冊_匯入!$S$6:$S$1005,MATCH($A402,土地清冊_匯入!$A$6:$A$1005,0)),""))</f>
        <v/>
      </c>
      <c r="H402" s="12">
        <f>IF($A402="","",IFERROR(INDEX(土地清冊_匯入!$T$6:$T$1005,MATCH($A402,土地清冊_匯入!$A$6:$A$1005,0)),""))</f>
        <v/>
      </c>
      <c r="I402" s="12">
        <f>IF($A402="","",IFERROR(INDEX(土地清冊_匯入!$V$6:$V$1005,MATCH($A402,土地清冊_匯入!$A$6:$A$1005,0)),""))</f>
        <v/>
      </c>
      <c r="J402" s="14" t="n"/>
      <c r="K402" s="7" t="n"/>
      <c r="L402" s="7" t="n"/>
      <c r="M402" s="7" t="n"/>
      <c r="N402" s="7" t="n"/>
      <c r="O402" s="7" t="n"/>
      <c r="P402" s="7" t="n"/>
      <c r="Q402" s="14" t="n"/>
      <c r="R402" s="7" t="n"/>
      <c r="S402" s="7" t="n"/>
      <c r="T402" s="7" t="n"/>
      <c r="U402" s="12">
        <f>IF(A402="","",IF(OR(J402="",L402=""),"建議補聯絡紀錄","") )</f>
        <v/>
      </c>
    </row>
    <row r="403" ht="24" customHeight="1">
      <c r="A403" s="7" t="n"/>
      <c r="B403" s="7" t="n"/>
      <c r="C403" s="12">
        <f>IF($A403="","",IFERROR(INDEX(土地清冊_匯入!$B$6:$B$1005,MATCH($A403,土地清冊_匯入!$A$6:$A$1005,0)),"查無資料"))</f>
        <v/>
      </c>
      <c r="D403" s="12">
        <f>IF($A403="","",IFERROR(INDEX(土地清冊_匯入!$P$6:$P$1005,MATCH($A403,土地清冊_匯入!$A$6:$A$1005,0)),""))</f>
        <v/>
      </c>
      <c r="E403" s="12">
        <f>IF($A403="","",IFERROR(INDEX(土地清冊_匯入!$Q$6:$Q$1005,MATCH($A403,土地清冊_匯入!$A$6:$A$1005,0)),""))</f>
        <v/>
      </c>
      <c r="F403" s="12">
        <f>IF($A403="","",IFERROR(INDEX(土地清冊_匯入!$R$6:$R$1005,MATCH($A403,土地清冊_匯入!$A$6:$A$1005,0)),""))</f>
        <v/>
      </c>
      <c r="G403" s="12">
        <f>IF($A403="","",IFERROR(INDEX(土地清冊_匯入!$S$6:$S$1005,MATCH($A403,土地清冊_匯入!$A$6:$A$1005,0)),""))</f>
        <v/>
      </c>
      <c r="H403" s="12">
        <f>IF($A403="","",IFERROR(INDEX(土地清冊_匯入!$T$6:$T$1005,MATCH($A403,土地清冊_匯入!$A$6:$A$1005,0)),""))</f>
        <v/>
      </c>
      <c r="I403" s="12">
        <f>IF($A403="","",IFERROR(INDEX(土地清冊_匯入!$V$6:$V$1005,MATCH($A403,土地清冊_匯入!$A$6:$A$1005,0)),""))</f>
        <v/>
      </c>
      <c r="J403" s="14" t="n"/>
      <c r="K403" s="7" t="n"/>
      <c r="L403" s="7" t="n"/>
      <c r="M403" s="7" t="n"/>
      <c r="N403" s="7" t="n"/>
      <c r="O403" s="7" t="n"/>
      <c r="P403" s="7" t="n"/>
      <c r="Q403" s="14" t="n"/>
      <c r="R403" s="7" t="n"/>
      <c r="S403" s="7" t="n"/>
      <c r="T403" s="7" t="n"/>
      <c r="U403" s="12">
        <f>IF(A403="","",IF(OR(J403="",L403=""),"建議補聯絡紀錄","") )</f>
        <v/>
      </c>
    </row>
    <row r="404" ht="24" customHeight="1">
      <c r="A404" s="7" t="n"/>
      <c r="B404" s="7" t="n"/>
      <c r="C404" s="12">
        <f>IF($A404="","",IFERROR(INDEX(土地清冊_匯入!$B$6:$B$1005,MATCH($A404,土地清冊_匯入!$A$6:$A$1005,0)),"查無資料"))</f>
        <v/>
      </c>
      <c r="D404" s="12">
        <f>IF($A404="","",IFERROR(INDEX(土地清冊_匯入!$P$6:$P$1005,MATCH($A404,土地清冊_匯入!$A$6:$A$1005,0)),""))</f>
        <v/>
      </c>
      <c r="E404" s="12">
        <f>IF($A404="","",IFERROR(INDEX(土地清冊_匯入!$Q$6:$Q$1005,MATCH($A404,土地清冊_匯入!$A$6:$A$1005,0)),""))</f>
        <v/>
      </c>
      <c r="F404" s="12">
        <f>IF($A404="","",IFERROR(INDEX(土地清冊_匯入!$R$6:$R$1005,MATCH($A404,土地清冊_匯入!$A$6:$A$1005,0)),""))</f>
        <v/>
      </c>
      <c r="G404" s="12">
        <f>IF($A404="","",IFERROR(INDEX(土地清冊_匯入!$S$6:$S$1005,MATCH($A404,土地清冊_匯入!$A$6:$A$1005,0)),""))</f>
        <v/>
      </c>
      <c r="H404" s="12">
        <f>IF($A404="","",IFERROR(INDEX(土地清冊_匯入!$T$6:$T$1005,MATCH($A404,土地清冊_匯入!$A$6:$A$1005,0)),""))</f>
        <v/>
      </c>
      <c r="I404" s="12">
        <f>IF($A404="","",IFERROR(INDEX(土地清冊_匯入!$V$6:$V$1005,MATCH($A404,土地清冊_匯入!$A$6:$A$1005,0)),""))</f>
        <v/>
      </c>
      <c r="J404" s="14" t="n"/>
      <c r="K404" s="7" t="n"/>
      <c r="L404" s="7" t="n"/>
      <c r="M404" s="7" t="n"/>
      <c r="N404" s="7" t="n"/>
      <c r="O404" s="7" t="n"/>
      <c r="P404" s="7" t="n"/>
      <c r="Q404" s="14" t="n"/>
      <c r="R404" s="7" t="n"/>
      <c r="S404" s="7" t="n"/>
      <c r="T404" s="7" t="n"/>
      <c r="U404" s="12">
        <f>IF(A404="","",IF(OR(J404="",L404=""),"建議補聯絡紀錄","") )</f>
        <v/>
      </c>
    </row>
    <row r="405" ht="24" customHeight="1">
      <c r="A405" s="7" t="n"/>
      <c r="B405" s="7" t="n"/>
      <c r="C405" s="12">
        <f>IF($A405="","",IFERROR(INDEX(土地清冊_匯入!$B$6:$B$1005,MATCH($A405,土地清冊_匯入!$A$6:$A$1005,0)),"查無資料"))</f>
        <v/>
      </c>
      <c r="D405" s="12">
        <f>IF($A405="","",IFERROR(INDEX(土地清冊_匯入!$P$6:$P$1005,MATCH($A405,土地清冊_匯入!$A$6:$A$1005,0)),""))</f>
        <v/>
      </c>
      <c r="E405" s="12">
        <f>IF($A405="","",IFERROR(INDEX(土地清冊_匯入!$Q$6:$Q$1005,MATCH($A405,土地清冊_匯入!$A$6:$A$1005,0)),""))</f>
        <v/>
      </c>
      <c r="F405" s="12">
        <f>IF($A405="","",IFERROR(INDEX(土地清冊_匯入!$R$6:$R$1005,MATCH($A405,土地清冊_匯入!$A$6:$A$1005,0)),""))</f>
        <v/>
      </c>
      <c r="G405" s="12">
        <f>IF($A405="","",IFERROR(INDEX(土地清冊_匯入!$S$6:$S$1005,MATCH($A405,土地清冊_匯入!$A$6:$A$1005,0)),""))</f>
        <v/>
      </c>
      <c r="H405" s="12">
        <f>IF($A405="","",IFERROR(INDEX(土地清冊_匯入!$T$6:$T$1005,MATCH($A405,土地清冊_匯入!$A$6:$A$1005,0)),""))</f>
        <v/>
      </c>
      <c r="I405" s="12">
        <f>IF($A405="","",IFERROR(INDEX(土地清冊_匯入!$V$6:$V$1005,MATCH($A405,土地清冊_匯入!$A$6:$A$1005,0)),""))</f>
        <v/>
      </c>
      <c r="J405" s="14" t="n"/>
      <c r="K405" s="7" t="n"/>
      <c r="L405" s="7" t="n"/>
      <c r="M405" s="7" t="n"/>
      <c r="N405" s="7" t="n"/>
      <c r="O405" s="7" t="n"/>
      <c r="P405" s="7" t="n"/>
      <c r="Q405" s="14" t="n"/>
      <c r="R405" s="7" t="n"/>
      <c r="S405" s="7" t="n"/>
      <c r="T405" s="7" t="n"/>
      <c r="U405" s="12">
        <f>IF(A405="","",IF(OR(J405="",L405=""),"建議補聯絡紀錄","") )</f>
        <v/>
      </c>
    </row>
    <row r="406" ht="24" customHeight="1">
      <c r="A406" s="7" t="n"/>
      <c r="B406" s="7" t="n"/>
      <c r="C406" s="12">
        <f>IF($A406="","",IFERROR(INDEX(土地清冊_匯入!$B$6:$B$1005,MATCH($A406,土地清冊_匯入!$A$6:$A$1005,0)),"查無資料"))</f>
        <v/>
      </c>
      <c r="D406" s="12">
        <f>IF($A406="","",IFERROR(INDEX(土地清冊_匯入!$P$6:$P$1005,MATCH($A406,土地清冊_匯入!$A$6:$A$1005,0)),""))</f>
        <v/>
      </c>
      <c r="E406" s="12">
        <f>IF($A406="","",IFERROR(INDEX(土地清冊_匯入!$Q$6:$Q$1005,MATCH($A406,土地清冊_匯入!$A$6:$A$1005,0)),""))</f>
        <v/>
      </c>
      <c r="F406" s="12">
        <f>IF($A406="","",IFERROR(INDEX(土地清冊_匯入!$R$6:$R$1005,MATCH($A406,土地清冊_匯入!$A$6:$A$1005,0)),""))</f>
        <v/>
      </c>
      <c r="G406" s="12">
        <f>IF($A406="","",IFERROR(INDEX(土地清冊_匯入!$S$6:$S$1005,MATCH($A406,土地清冊_匯入!$A$6:$A$1005,0)),""))</f>
        <v/>
      </c>
      <c r="H406" s="12">
        <f>IF($A406="","",IFERROR(INDEX(土地清冊_匯入!$T$6:$T$1005,MATCH($A406,土地清冊_匯入!$A$6:$A$1005,0)),""))</f>
        <v/>
      </c>
      <c r="I406" s="12">
        <f>IF($A406="","",IFERROR(INDEX(土地清冊_匯入!$V$6:$V$1005,MATCH($A406,土地清冊_匯入!$A$6:$A$1005,0)),""))</f>
        <v/>
      </c>
      <c r="J406" s="14" t="n"/>
      <c r="K406" s="7" t="n"/>
      <c r="L406" s="7" t="n"/>
      <c r="M406" s="7" t="n"/>
      <c r="N406" s="7" t="n"/>
      <c r="O406" s="7" t="n"/>
      <c r="P406" s="7" t="n"/>
      <c r="Q406" s="14" t="n"/>
      <c r="R406" s="7" t="n"/>
      <c r="S406" s="7" t="n"/>
      <c r="T406" s="7" t="n"/>
      <c r="U406" s="12">
        <f>IF(A406="","",IF(OR(J406="",L406=""),"建議補聯絡紀錄","") )</f>
        <v/>
      </c>
    </row>
    <row r="407" ht="24" customHeight="1">
      <c r="A407" s="7" t="n"/>
      <c r="B407" s="7" t="n"/>
      <c r="C407" s="12">
        <f>IF($A407="","",IFERROR(INDEX(土地清冊_匯入!$B$6:$B$1005,MATCH($A407,土地清冊_匯入!$A$6:$A$1005,0)),"查無資料"))</f>
        <v/>
      </c>
      <c r="D407" s="12">
        <f>IF($A407="","",IFERROR(INDEX(土地清冊_匯入!$P$6:$P$1005,MATCH($A407,土地清冊_匯入!$A$6:$A$1005,0)),""))</f>
        <v/>
      </c>
      <c r="E407" s="12">
        <f>IF($A407="","",IFERROR(INDEX(土地清冊_匯入!$Q$6:$Q$1005,MATCH($A407,土地清冊_匯入!$A$6:$A$1005,0)),""))</f>
        <v/>
      </c>
      <c r="F407" s="12">
        <f>IF($A407="","",IFERROR(INDEX(土地清冊_匯入!$R$6:$R$1005,MATCH($A407,土地清冊_匯入!$A$6:$A$1005,0)),""))</f>
        <v/>
      </c>
      <c r="G407" s="12">
        <f>IF($A407="","",IFERROR(INDEX(土地清冊_匯入!$S$6:$S$1005,MATCH($A407,土地清冊_匯入!$A$6:$A$1005,0)),""))</f>
        <v/>
      </c>
      <c r="H407" s="12">
        <f>IF($A407="","",IFERROR(INDEX(土地清冊_匯入!$T$6:$T$1005,MATCH($A407,土地清冊_匯入!$A$6:$A$1005,0)),""))</f>
        <v/>
      </c>
      <c r="I407" s="12">
        <f>IF($A407="","",IFERROR(INDEX(土地清冊_匯入!$V$6:$V$1005,MATCH($A407,土地清冊_匯入!$A$6:$A$1005,0)),""))</f>
        <v/>
      </c>
      <c r="J407" s="14" t="n"/>
      <c r="K407" s="7" t="n"/>
      <c r="L407" s="7" t="n"/>
      <c r="M407" s="7" t="n"/>
      <c r="N407" s="7" t="n"/>
      <c r="O407" s="7" t="n"/>
      <c r="P407" s="7" t="n"/>
      <c r="Q407" s="14" t="n"/>
      <c r="R407" s="7" t="n"/>
      <c r="S407" s="7" t="n"/>
      <c r="T407" s="7" t="n"/>
      <c r="U407" s="12">
        <f>IF(A407="","",IF(OR(J407="",L407=""),"建議補聯絡紀錄","") )</f>
        <v/>
      </c>
    </row>
    <row r="408" ht="24" customHeight="1">
      <c r="A408" s="7" t="n"/>
      <c r="B408" s="7" t="n"/>
      <c r="C408" s="12">
        <f>IF($A408="","",IFERROR(INDEX(土地清冊_匯入!$B$6:$B$1005,MATCH($A408,土地清冊_匯入!$A$6:$A$1005,0)),"查無資料"))</f>
        <v/>
      </c>
      <c r="D408" s="12">
        <f>IF($A408="","",IFERROR(INDEX(土地清冊_匯入!$P$6:$P$1005,MATCH($A408,土地清冊_匯入!$A$6:$A$1005,0)),""))</f>
        <v/>
      </c>
      <c r="E408" s="12">
        <f>IF($A408="","",IFERROR(INDEX(土地清冊_匯入!$Q$6:$Q$1005,MATCH($A408,土地清冊_匯入!$A$6:$A$1005,0)),""))</f>
        <v/>
      </c>
      <c r="F408" s="12">
        <f>IF($A408="","",IFERROR(INDEX(土地清冊_匯入!$R$6:$R$1005,MATCH($A408,土地清冊_匯入!$A$6:$A$1005,0)),""))</f>
        <v/>
      </c>
      <c r="G408" s="12">
        <f>IF($A408="","",IFERROR(INDEX(土地清冊_匯入!$S$6:$S$1005,MATCH($A408,土地清冊_匯入!$A$6:$A$1005,0)),""))</f>
        <v/>
      </c>
      <c r="H408" s="12">
        <f>IF($A408="","",IFERROR(INDEX(土地清冊_匯入!$T$6:$T$1005,MATCH($A408,土地清冊_匯入!$A$6:$A$1005,0)),""))</f>
        <v/>
      </c>
      <c r="I408" s="12">
        <f>IF($A408="","",IFERROR(INDEX(土地清冊_匯入!$V$6:$V$1005,MATCH($A408,土地清冊_匯入!$A$6:$A$1005,0)),""))</f>
        <v/>
      </c>
      <c r="J408" s="14" t="n"/>
      <c r="K408" s="7" t="n"/>
      <c r="L408" s="7" t="n"/>
      <c r="M408" s="7" t="n"/>
      <c r="N408" s="7" t="n"/>
      <c r="O408" s="7" t="n"/>
      <c r="P408" s="7" t="n"/>
      <c r="Q408" s="14" t="n"/>
      <c r="R408" s="7" t="n"/>
      <c r="S408" s="7" t="n"/>
      <c r="T408" s="7" t="n"/>
      <c r="U408" s="12">
        <f>IF(A408="","",IF(OR(J408="",L408=""),"建議補聯絡紀錄","") )</f>
        <v/>
      </c>
    </row>
    <row r="409" ht="24" customHeight="1">
      <c r="A409" s="7" t="n"/>
      <c r="B409" s="7" t="n"/>
      <c r="C409" s="12">
        <f>IF($A409="","",IFERROR(INDEX(土地清冊_匯入!$B$6:$B$1005,MATCH($A409,土地清冊_匯入!$A$6:$A$1005,0)),"查無資料"))</f>
        <v/>
      </c>
      <c r="D409" s="12">
        <f>IF($A409="","",IFERROR(INDEX(土地清冊_匯入!$P$6:$P$1005,MATCH($A409,土地清冊_匯入!$A$6:$A$1005,0)),""))</f>
        <v/>
      </c>
      <c r="E409" s="12">
        <f>IF($A409="","",IFERROR(INDEX(土地清冊_匯入!$Q$6:$Q$1005,MATCH($A409,土地清冊_匯入!$A$6:$A$1005,0)),""))</f>
        <v/>
      </c>
      <c r="F409" s="12">
        <f>IF($A409="","",IFERROR(INDEX(土地清冊_匯入!$R$6:$R$1005,MATCH($A409,土地清冊_匯入!$A$6:$A$1005,0)),""))</f>
        <v/>
      </c>
      <c r="G409" s="12">
        <f>IF($A409="","",IFERROR(INDEX(土地清冊_匯入!$S$6:$S$1005,MATCH($A409,土地清冊_匯入!$A$6:$A$1005,0)),""))</f>
        <v/>
      </c>
      <c r="H409" s="12">
        <f>IF($A409="","",IFERROR(INDEX(土地清冊_匯入!$T$6:$T$1005,MATCH($A409,土地清冊_匯入!$A$6:$A$1005,0)),""))</f>
        <v/>
      </c>
      <c r="I409" s="12">
        <f>IF($A409="","",IFERROR(INDEX(土地清冊_匯入!$V$6:$V$1005,MATCH($A409,土地清冊_匯入!$A$6:$A$1005,0)),""))</f>
        <v/>
      </c>
      <c r="J409" s="14" t="n"/>
      <c r="K409" s="7" t="n"/>
      <c r="L409" s="7" t="n"/>
      <c r="M409" s="7" t="n"/>
      <c r="N409" s="7" t="n"/>
      <c r="O409" s="7" t="n"/>
      <c r="P409" s="7" t="n"/>
      <c r="Q409" s="14" t="n"/>
      <c r="R409" s="7" t="n"/>
      <c r="S409" s="7" t="n"/>
      <c r="T409" s="7" t="n"/>
      <c r="U409" s="12">
        <f>IF(A409="","",IF(OR(J409="",L409=""),"建議補聯絡紀錄","") )</f>
        <v/>
      </c>
    </row>
    <row r="410" ht="24" customHeight="1">
      <c r="A410" s="7" t="n"/>
      <c r="B410" s="7" t="n"/>
      <c r="C410" s="12">
        <f>IF($A410="","",IFERROR(INDEX(土地清冊_匯入!$B$6:$B$1005,MATCH($A410,土地清冊_匯入!$A$6:$A$1005,0)),"查無資料"))</f>
        <v/>
      </c>
      <c r="D410" s="12">
        <f>IF($A410="","",IFERROR(INDEX(土地清冊_匯入!$P$6:$P$1005,MATCH($A410,土地清冊_匯入!$A$6:$A$1005,0)),""))</f>
        <v/>
      </c>
      <c r="E410" s="12">
        <f>IF($A410="","",IFERROR(INDEX(土地清冊_匯入!$Q$6:$Q$1005,MATCH($A410,土地清冊_匯入!$A$6:$A$1005,0)),""))</f>
        <v/>
      </c>
      <c r="F410" s="12">
        <f>IF($A410="","",IFERROR(INDEX(土地清冊_匯入!$R$6:$R$1005,MATCH($A410,土地清冊_匯入!$A$6:$A$1005,0)),""))</f>
        <v/>
      </c>
      <c r="G410" s="12">
        <f>IF($A410="","",IFERROR(INDEX(土地清冊_匯入!$S$6:$S$1005,MATCH($A410,土地清冊_匯入!$A$6:$A$1005,0)),""))</f>
        <v/>
      </c>
      <c r="H410" s="12">
        <f>IF($A410="","",IFERROR(INDEX(土地清冊_匯入!$T$6:$T$1005,MATCH($A410,土地清冊_匯入!$A$6:$A$1005,0)),""))</f>
        <v/>
      </c>
      <c r="I410" s="12">
        <f>IF($A410="","",IFERROR(INDEX(土地清冊_匯入!$V$6:$V$1005,MATCH($A410,土地清冊_匯入!$A$6:$A$1005,0)),""))</f>
        <v/>
      </c>
      <c r="J410" s="14" t="n"/>
      <c r="K410" s="7" t="n"/>
      <c r="L410" s="7" t="n"/>
      <c r="M410" s="7" t="n"/>
      <c r="N410" s="7" t="n"/>
      <c r="O410" s="7" t="n"/>
      <c r="P410" s="7" t="n"/>
      <c r="Q410" s="14" t="n"/>
      <c r="R410" s="7" t="n"/>
      <c r="S410" s="7" t="n"/>
      <c r="T410" s="7" t="n"/>
      <c r="U410" s="12">
        <f>IF(A410="","",IF(OR(J410="",L410=""),"建議補聯絡紀錄","") )</f>
        <v/>
      </c>
    </row>
    <row r="411" ht="24" customHeight="1">
      <c r="A411" s="7" t="n"/>
      <c r="B411" s="7" t="n"/>
      <c r="C411" s="12">
        <f>IF($A411="","",IFERROR(INDEX(土地清冊_匯入!$B$6:$B$1005,MATCH($A411,土地清冊_匯入!$A$6:$A$1005,0)),"查無資料"))</f>
        <v/>
      </c>
      <c r="D411" s="12">
        <f>IF($A411="","",IFERROR(INDEX(土地清冊_匯入!$P$6:$P$1005,MATCH($A411,土地清冊_匯入!$A$6:$A$1005,0)),""))</f>
        <v/>
      </c>
      <c r="E411" s="12">
        <f>IF($A411="","",IFERROR(INDEX(土地清冊_匯入!$Q$6:$Q$1005,MATCH($A411,土地清冊_匯入!$A$6:$A$1005,0)),""))</f>
        <v/>
      </c>
      <c r="F411" s="12">
        <f>IF($A411="","",IFERROR(INDEX(土地清冊_匯入!$R$6:$R$1005,MATCH($A411,土地清冊_匯入!$A$6:$A$1005,0)),""))</f>
        <v/>
      </c>
      <c r="G411" s="12">
        <f>IF($A411="","",IFERROR(INDEX(土地清冊_匯入!$S$6:$S$1005,MATCH($A411,土地清冊_匯入!$A$6:$A$1005,0)),""))</f>
        <v/>
      </c>
      <c r="H411" s="12">
        <f>IF($A411="","",IFERROR(INDEX(土地清冊_匯入!$T$6:$T$1005,MATCH($A411,土地清冊_匯入!$A$6:$A$1005,0)),""))</f>
        <v/>
      </c>
      <c r="I411" s="12">
        <f>IF($A411="","",IFERROR(INDEX(土地清冊_匯入!$V$6:$V$1005,MATCH($A411,土地清冊_匯入!$A$6:$A$1005,0)),""))</f>
        <v/>
      </c>
      <c r="J411" s="14" t="n"/>
      <c r="K411" s="7" t="n"/>
      <c r="L411" s="7" t="n"/>
      <c r="M411" s="7" t="n"/>
      <c r="N411" s="7" t="n"/>
      <c r="O411" s="7" t="n"/>
      <c r="P411" s="7" t="n"/>
      <c r="Q411" s="14" t="n"/>
      <c r="R411" s="7" t="n"/>
      <c r="S411" s="7" t="n"/>
      <c r="T411" s="7" t="n"/>
      <c r="U411" s="12">
        <f>IF(A411="","",IF(OR(J411="",L411=""),"建議補聯絡紀錄","") )</f>
        <v/>
      </c>
    </row>
    <row r="412" ht="24" customHeight="1">
      <c r="A412" s="7" t="n"/>
      <c r="B412" s="7" t="n"/>
      <c r="C412" s="12">
        <f>IF($A412="","",IFERROR(INDEX(土地清冊_匯入!$B$6:$B$1005,MATCH($A412,土地清冊_匯入!$A$6:$A$1005,0)),"查無資料"))</f>
        <v/>
      </c>
      <c r="D412" s="12">
        <f>IF($A412="","",IFERROR(INDEX(土地清冊_匯入!$P$6:$P$1005,MATCH($A412,土地清冊_匯入!$A$6:$A$1005,0)),""))</f>
        <v/>
      </c>
      <c r="E412" s="12">
        <f>IF($A412="","",IFERROR(INDEX(土地清冊_匯入!$Q$6:$Q$1005,MATCH($A412,土地清冊_匯入!$A$6:$A$1005,0)),""))</f>
        <v/>
      </c>
      <c r="F412" s="12">
        <f>IF($A412="","",IFERROR(INDEX(土地清冊_匯入!$R$6:$R$1005,MATCH($A412,土地清冊_匯入!$A$6:$A$1005,0)),""))</f>
        <v/>
      </c>
      <c r="G412" s="12">
        <f>IF($A412="","",IFERROR(INDEX(土地清冊_匯入!$S$6:$S$1005,MATCH($A412,土地清冊_匯入!$A$6:$A$1005,0)),""))</f>
        <v/>
      </c>
      <c r="H412" s="12">
        <f>IF($A412="","",IFERROR(INDEX(土地清冊_匯入!$T$6:$T$1005,MATCH($A412,土地清冊_匯入!$A$6:$A$1005,0)),""))</f>
        <v/>
      </c>
      <c r="I412" s="12">
        <f>IF($A412="","",IFERROR(INDEX(土地清冊_匯入!$V$6:$V$1005,MATCH($A412,土地清冊_匯入!$A$6:$A$1005,0)),""))</f>
        <v/>
      </c>
      <c r="J412" s="14" t="n"/>
      <c r="K412" s="7" t="n"/>
      <c r="L412" s="7" t="n"/>
      <c r="M412" s="7" t="n"/>
      <c r="N412" s="7" t="n"/>
      <c r="O412" s="7" t="n"/>
      <c r="P412" s="7" t="n"/>
      <c r="Q412" s="14" t="n"/>
      <c r="R412" s="7" t="n"/>
      <c r="S412" s="7" t="n"/>
      <c r="T412" s="7" t="n"/>
      <c r="U412" s="12">
        <f>IF(A412="","",IF(OR(J412="",L412=""),"建議補聯絡紀錄","") )</f>
        <v/>
      </c>
    </row>
    <row r="413" ht="24" customHeight="1">
      <c r="A413" s="7" t="n"/>
      <c r="B413" s="7" t="n"/>
      <c r="C413" s="12">
        <f>IF($A413="","",IFERROR(INDEX(土地清冊_匯入!$B$6:$B$1005,MATCH($A413,土地清冊_匯入!$A$6:$A$1005,0)),"查無資料"))</f>
        <v/>
      </c>
      <c r="D413" s="12">
        <f>IF($A413="","",IFERROR(INDEX(土地清冊_匯入!$P$6:$P$1005,MATCH($A413,土地清冊_匯入!$A$6:$A$1005,0)),""))</f>
        <v/>
      </c>
      <c r="E413" s="12">
        <f>IF($A413="","",IFERROR(INDEX(土地清冊_匯入!$Q$6:$Q$1005,MATCH($A413,土地清冊_匯入!$A$6:$A$1005,0)),""))</f>
        <v/>
      </c>
      <c r="F413" s="12">
        <f>IF($A413="","",IFERROR(INDEX(土地清冊_匯入!$R$6:$R$1005,MATCH($A413,土地清冊_匯入!$A$6:$A$1005,0)),""))</f>
        <v/>
      </c>
      <c r="G413" s="12">
        <f>IF($A413="","",IFERROR(INDEX(土地清冊_匯入!$S$6:$S$1005,MATCH($A413,土地清冊_匯入!$A$6:$A$1005,0)),""))</f>
        <v/>
      </c>
      <c r="H413" s="12">
        <f>IF($A413="","",IFERROR(INDEX(土地清冊_匯入!$T$6:$T$1005,MATCH($A413,土地清冊_匯入!$A$6:$A$1005,0)),""))</f>
        <v/>
      </c>
      <c r="I413" s="12">
        <f>IF($A413="","",IFERROR(INDEX(土地清冊_匯入!$V$6:$V$1005,MATCH($A413,土地清冊_匯入!$A$6:$A$1005,0)),""))</f>
        <v/>
      </c>
      <c r="J413" s="14" t="n"/>
      <c r="K413" s="7" t="n"/>
      <c r="L413" s="7" t="n"/>
      <c r="M413" s="7" t="n"/>
      <c r="N413" s="7" t="n"/>
      <c r="O413" s="7" t="n"/>
      <c r="P413" s="7" t="n"/>
      <c r="Q413" s="14" t="n"/>
      <c r="R413" s="7" t="n"/>
      <c r="S413" s="7" t="n"/>
      <c r="T413" s="7" t="n"/>
      <c r="U413" s="12">
        <f>IF(A413="","",IF(OR(J413="",L413=""),"建議補聯絡紀錄","") )</f>
        <v/>
      </c>
    </row>
    <row r="414" ht="24" customHeight="1">
      <c r="A414" s="7" t="n"/>
      <c r="B414" s="7" t="n"/>
      <c r="C414" s="12">
        <f>IF($A414="","",IFERROR(INDEX(土地清冊_匯入!$B$6:$B$1005,MATCH($A414,土地清冊_匯入!$A$6:$A$1005,0)),"查無資料"))</f>
        <v/>
      </c>
      <c r="D414" s="12">
        <f>IF($A414="","",IFERROR(INDEX(土地清冊_匯入!$P$6:$P$1005,MATCH($A414,土地清冊_匯入!$A$6:$A$1005,0)),""))</f>
        <v/>
      </c>
      <c r="E414" s="12">
        <f>IF($A414="","",IFERROR(INDEX(土地清冊_匯入!$Q$6:$Q$1005,MATCH($A414,土地清冊_匯入!$A$6:$A$1005,0)),""))</f>
        <v/>
      </c>
      <c r="F414" s="12">
        <f>IF($A414="","",IFERROR(INDEX(土地清冊_匯入!$R$6:$R$1005,MATCH($A414,土地清冊_匯入!$A$6:$A$1005,0)),""))</f>
        <v/>
      </c>
      <c r="G414" s="12">
        <f>IF($A414="","",IFERROR(INDEX(土地清冊_匯入!$S$6:$S$1005,MATCH($A414,土地清冊_匯入!$A$6:$A$1005,0)),""))</f>
        <v/>
      </c>
      <c r="H414" s="12">
        <f>IF($A414="","",IFERROR(INDEX(土地清冊_匯入!$T$6:$T$1005,MATCH($A414,土地清冊_匯入!$A$6:$A$1005,0)),""))</f>
        <v/>
      </c>
      <c r="I414" s="12">
        <f>IF($A414="","",IFERROR(INDEX(土地清冊_匯入!$V$6:$V$1005,MATCH($A414,土地清冊_匯入!$A$6:$A$1005,0)),""))</f>
        <v/>
      </c>
      <c r="J414" s="14" t="n"/>
      <c r="K414" s="7" t="n"/>
      <c r="L414" s="7" t="n"/>
      <c r="M414" s="7" t="n"/>
      <c r="N414" s="7" t="n"/>
      <c r="O414" s="7" t="n"/>
      <c r="P414" s="7" t="n"/>
      <c r="Q414" s="14" t="n"/>
      <c r="R414" s="7" t="n"/>
      <c r="S414" s="7" t="n"/>
      <c r="T414" s="7" t="n"/>
      <c r="U414" s="12">
        <f>IF(A414="","",IF(OR(J414="",L414=""),"建議補聯絡紀錄","") )</f>
        <v/>
      </c>
    </row>
    <row r="415" ht="24" customHeight="1">
      <c r="A415" s="7" t="n"/>
      <c r="B415" s="7" t="n"/>
      <c r="C415" s="12">
        <f>IF($A415="","",IFERROR(INDEX(土地清冊_匯入!$B$6:$B$1005,MATCH($A415,土地清冊_匯入!$A$6:$A$1005,0)),"查無資料"))</f>
        <v/>
      </c>
      <c r="D415" s="12">
        <f>IF($A415="","",IFERROR(INDEX(土地清冊_匯入!$P$6:$P$1005,MATCH($A415,土地清冊_匯入!$A$6:$A$1005,0)),""))</f>
        <v/>
      </c>
      <c r="E415" s="12">
        <f>IF($A415="","",IFERROR(INDEX(土地清冊_匯入!$Q$6:$Q$1005,MATCH($A415,土地清冊_匯入!$A$6:$A$1005,0)),""))</f>
        <v/>
      </c>
      <c r="F415" s="12">
        <f>IF($A415="","",IFERROR(INDEX(土地清冊_匯入!$R$6:$R$1005,MATCH($A415,土地清冊_匯入!$A$6:$A$1005,0)),""))</f>
        <v/>
      </c>
      <c r="G415" s="12">
        <f>IF($A415="","",IFERROR(INDEX(土地清冊_匯入!$S$6:$S$1005,MATCH($A415,土地清冊_匯入!$A$6:$A$1005,0)),""))</f>
        <v/>
      </c>
      <c r="H415" s="12">
        <f>IF($A415="","",IFERROR(INDEX(土地清冊_匯入!$T$6:$T$1005,MATCH($A415,土地清冊_匯入!$A$6:$A$1005,0)),""))</f>
        <v/>
      </c>
      <c r="I415" s="12">
        <f>IF($A415="","",IFERROR(INDEX(土地清冊_匯入!$V$6:$V$1005,MATCH($A415,土地清冊_匯入!$A$6:$A$1005,0)),""))</f>
        <v/>
      </c>
      <c r="J415" s="14" t="n"/>
      <c r="K415" s="7" t="n"/>
      <c r="L415" s="7" t="n"/>
      <c r="M415" s="7" t="n"/>
      <c r="N415" s="7" t="n"/>
      <c r="O415" s="7" t="n"/>
      <c r="P415" s="7" t="n"/>
      <c r="Q415" s="14" t="n"/>
      <c r="R415" s="7" t="n"/>
      <c r="S415" s="7" t="n"/>
      <c r="T415" s="7" t="n"/>
      <c r="U415" s="12">
        <f>IF(A415="","",IF(OR(J415="",L415=""),"建議補聯絡紀錄","") )</f>
        <v/>
      </c>
    </row>
    <row r="416" ht="24" customHeight="1">
      <c r="A416" s="7" t="n"/>
      <c r="B416" s="7" t="n"/>
      <c r="C416" s="12">
        <f>IF($A416="","",IFERROR(INDEX(土地清冊_匯入!$B$6:$B$1005,MATCH($A416,土地清冊_匯入!$A$6:$A$1005,0)),"查無資料"))</f>
        <v/>
      </c>
      <c r="D416" s="12">
        <f>IF($A416="","",IFERROR(INDEX(土地清冊_匯入!$P$6:$P$1005,MATCH($A416,土地清冊_匯入!$A$6:$A$1005,0)),""))</f>
        <v/>
      </c>
      <c r="E416" s="12">
        <f>IF($A416="","",IFERROR(INDEX(土地清冊_匯入!$Q$6:$Q$1005,MATCH($A416,土地清冊_匯入!$A$6:$A$1005,0)),""))</f>
        <v/>
      </c>
      <c r="F416" s="12">
        <f>IF($A416="","",IFERROR(INDEX(土地清冊_匯入!$R$6:$R$1005,MATCH($A416,土地清冊_匯入!$A$6:$A$1005,0)),""))</f>
        <v/>
      </c>
      <c r="G416" s="12">
        <f>IF($A416="","",IFERROR(INDEX(土地清冊_匯入!$S$6:$S$1005,MATCH($A416,土地清冊_匯入!$A$6:$A$1005,0)),""))</f>
        <v/>
      </c>
      <c r="H416" s="12">
        <f>IF($A416="","",IFERROR(INDEX(土地清冊_匯入!$T$6:$T$1005,MATCH($A416,土地清冊_匯入!$A$6:$A$1005,0)),""))</f>
        <v/>
      </c>
      <c r="I416" s="12">
        <f>IF($A416="","",IFERROR(INDEX(土地清冊_匯入!$V$6:$V$1005,MATCH($A416,土地清冊_匯入!$A$6:$A$1005,0)),""))</f>
        <v/>
      </c>
      <c r="J416" s="14" t="n"/>
      <c r="K416" s="7" t="n"/>
      <c r="L416" s="7" t="n"/>
      <c r="M416" s="7" t="n"/>
      <c r="N416" s="7" t="n"/>
      <c r="O416" s="7" t="n"/>
      <c r="P416" s="7" t="n"/>
      <c r="Q416" s="14" t="n"/>
      <c r="R416" s="7" t="n"/>
      <c r="S416" s="7" t="n"/>
      <c r="T416" s="7" t="n"/>
      <c r="U416" s="12">
        <f>IF(A416="","",IF(OR(J416="",L416=""),"建議補聯絡紀錄","") )</f>
        <v/>
      </c>
    </row>
    <row r="417" ht="24" customHeight="1">
      <c r="A417" s="7" t="n"/>
      <c r="B417" s="7" t="n"/>
      <c r="C417" s="12">
        <f>IF($A417="","",IFERROR(INDEX(土地清冊_匯入!$B$6:$B$1005,MATCH($A417,土地清冊_匯入!$A$6:$A$1005,0)),"查無資料"))</f>
        <v/>
      </c>
      <c r="D417" s="12">
        <f>IF($A417="","",IFERROR(INDEX(土地清冊_匯入!$P$6:$P$1005,MATCH($A417,土地清冊_匯入!$A$6:$A$1005,0)),""))</f>
        <v/>
      </c>
      <c r="E417" s="12">
        <f>IF($A417="","",IFERROR(INDEX(土地清冊_匯入!$Q$6:$Q$1005,MATCH($A417,土地清冊_匯入!$A$6:$A$1005,0)),""))</f>
        <v/>
      </c>
      <c r="F417" s="12">
        <f>IF($A417="","",IFERROR(INDEX(土地清冊_匯入!$R$6:$R$1005,MATCH($A417,土地清冊_匯入!$A$6:$A$1005,0)),""))</f>
        <v/>
      </c>
      <c r="G417" s="12">
        <f>IF($A417="","",IFERROR(INDEX(土地清冊_匯入!$S$6:$S$1005,MATCH($A417,土地清冊_匯入!$A$6:$A$1005,0)),""))</f>
        <v/>
      </c>
      <c r="H417" s="12">
        <f>IF($A417="","",IFERROR(INDEX(土地清冊_匯入!$T$6:$T$1005,MATCH($A417,土地清冊_匯入!$A$6:$A$1005,0)),""))</f>
        <v/>
      </c>
      <c r="I417" s="12">
        <f>IF($A417="","",IFERROR(INDEX(土地清冊_匯入!$V$6:$V$1005,MATCH($A417,土地清冊_匯入!$A$6:$A$1005,0)),""))</f>
        <v/>
      </c>
      <c r="J417" s="14" t="n"/>
      <c r="K417" s="7" t="n"/>
      <c r="L417" s="7" t="n"/>
      <c r="M417" s="7" t="n"/>
      <c r="N417" s="7" t="n"/>
      <c r="O417" s="7" t="n"/>
      <c r="P417" s="7" t="n"/>
      <c r="Q417" s="14" t="n"/>
      <c r="R417" s="7" t="n"/>
      <c r="S417" s="7" t="n"/>
      <c r="T417" s="7" t="n"/>
      <c r="U417" s="12">
        <f>IF(A417="","",IF(OR(J417="",L417=""),"建議補聯絡紀錄","") )</f>
        <v/>
      </c>
    </row>
    <row r="418" ht="24" customHeight="1">
      <c r="A418" s="7" t="n"/>
      <c r="B418" s="7" t="n"/>
      <c r="C418" s="12">
        <f>IF($A418="","",IFERROR(INDEX(土地清冊_匯入!$B$6:$B$1005,MATCH($A418,土地清冊_匯入!$A$6:$A$1005,0)),"查無資料"))</f>
        <v/>
      </c>
      <c r="D418" s="12">
        <f>IF($A418="","",IFERROR(INDEX(土地清冊_匯入!$P$6:$P$1005,MATCH($A418,土地清冊_匯入!$A$6:$A$1005,0)),""))</f>
        <v/>
      </c>
      <c r="E418" s="12">
        <f>IF($A418="","",IFERROR(INDEX(土地清冊_匯入!$Q$6:$Q$1005,MATCH($A418,土地清冊_匯入!$A$6:$A$1005,0)),""))</f>
        <v/>
      </c>
      <c r="F418" s="12">
        <f>IF($A418="","",IFERROR(INDEX(土地清冊_匯入!$R$6:$R$1005,MATCH($A418,土地清冊_匯入!$A$6:$A$1005,0)),""))</f>
        <v/>
      </c>
      <c r="G418" s="12">
        <f>IF($A418="","",IFERROR(INDEX(土地清冊_匯入!$S$6:$S$1005,MATCH($A418,土地清冊_匯入!$A$6:$A$1005,0)),""))</f>
        <v/>
      </c>
      <c r="H418" s="12">
        <f>IF($A418="","",IFERROR(INDEX(土地清冊_匯入!$T$6:$T$1005,MATCH($A418,土地清冊_匯入!$A$6:$A$1005,0)),""))</f>
        <v/>
      </c>
      <c r="I418" s="12">
        <f>IF($A418="","",IFERROR(INDEX(土地清冊_匯入!$V$6:$V$1005,MATCH($A418,土地清冊_匯入!$A$6:$A$1005,0)),""))</f>
        <v/>
      </c>
      <c r="J418" s="14" t="n"/>
      <c r="K418" s="7" t="n"/>
      <c r="L418" s="7" t="n"/>
      <c r="M418" s="7" t="n"/>
      <c r="N418" s="7" t="n"/>
      <c r="O418" s="7" t="n"/>
      <c r="P418" s="7" t="n"/>
      <c r="Q418" s="14" t="n"/>
      <c r="R418" s="7" t="n"/>
      <c r="S418" s="7" t="n"/>
      <c r="T418" s="7" t="n"/>
      <c r="U418" s="12">
        <f>IF(A418="","",IF(OR(J418="",L418=""),"建議補聯絡紀錄","") )</f>
        <v/>
      </c>
    </row>
    <row r="419" ht="24" customHeight="1">
      <c r="A419" s="7" t="n"/>
      <c r="B419" s="7" t="n"/>
      <c r="C419" s="12">
        <f>IF($A419="","",IFERROR(INDEX(土地清冊_匯入!$B$6:$B$1005,MATCH($A419,土地清冊_匯入!$A$6:$A$1005,0)),"查無資料"))</f>
        <v/>
      </c>
      <c r="D419" s="12">
        <f>IF($A419="","",IFERROR(INDEX(土地清冊_匯入!$P$6:$P$1005,MATCH($A419,土地清冊_匯入!$A$6:$A$1005,0)),""))</f>
        <v/>
      </c>
      <c r="E419" s="12">
        <f>IF($A419="","",IFERROR(INDEX(土地清冊_匯入!$Q$6:$Q$1005,MATCH($A419,土地清冊_匯入!$A$6:$A$1005,0)),""))</f>
        <v/>
      </c>
      <c r="F419" s="12">
        <f>IF($A419="","",IFERROR(INDEX(土地清冊_匯入!$R$6:$R$1005,MATCH($A419,土地清冊_匯入!$A$6:$A$1005,0)),""))</f>
        <v/>
      </c>
      <c r="G419" s="12">
        <f>IF($A419="","",IFERROR(INDEX(土地清冊_匯入!$S$6:$S$1005,MATCH($A419,土地清冊_匯入!$A$6:$A$1005,0)),""))</f>
        <v/>
      </c>
      <c r="H419" s="12">
        <f>IF($A419="","",IFERROR(INDEX(土地清冊_匯入!$T$6:$T$1005,MATCH($A419,土地清冊_匯入!$A$6:$A$1005,0)),""))</f>
        <v/>
      </c>
      <c r="I419" s="12">
        <f>IF($A419="","",IFERROR(INDEX(土地清冊_匯入!$V$6:$V$1005,MATCH($A419,土地清冊_匯入!$A$6:$A$1005,0)),""))</f>
        <v/>
      </c>
      <c r="J419" s="14" t="n"/>
      <c r="K419" s="7" t="n"/>
      <c r="L419" s="7" t="n"/>
      <c r="M419" s="7" t="n"/>
      <c r="N419" s="7" t="n"/>
      <c r="O419" s="7" t="n"/>
      <c r="P419" s="7" t="n"/>
      <c r="Q419" s="14" t="n"/>
      <c r="R419" s="7" t="n"/>
      <c r="S419" s="7" t="n"/>
      <c r="T419" s="7" t="n"/>
      <c r="U419" s="12">
        <f>IF(A419="","",IF(OR(J419="",L419=""),"建議補聯絡紀錄","") )</f>
        <v/>
      </c>
    </row>
    <row r="420" ht="24" customHeight="1">
      <c r="A420" s="7" t="n"/>
      <c r="B420" s="7" t="n"/>
      <c r="C420" s="12">
        <f>IF($A420="","",IFERROR(INDEX(土地清冊_匯入!$B$6:$B$1005,MATCH($A420,土地清冊_匯入!$A$6:$A$1005,0)),"查無資料"))</f>
        <v/>
      </c>
      <c r="D420" s="12">
        <f>IF($A420="","",IFERROR(INDEX(土地清冊_匯入!$P$6:$P$1005,MATCH($A420,土地清冊_匯入!$A$6:$A$1005,0)),""))</f>
        <v/>
      </c>
      <c r="E420" s="12">
        <f>IF($A420="","",IFERROR(INDEX(土地清冊_匯入!$Q$6:$Q$1005,MATCH($A420,土地清冊_匯入!$A$6:$A$1005,0)),""))</f>
        <v/>
      </c>
      <c r="F420" s="12">
        <f>IF($A420="","",IFERROR(INDEX(土地清冊_匯入!$R$6:$R$1005,MATCH($A420,土地清冊_匯入!$A$6:$A$1005,0)),""))</f>
        <v/>
      </c>
      <c r="G420" s="12">
        <f>IF($A420="","",IFERROR(INDEX(土地清冊_匯入!$S$6:$S$1005,MATCH($A420,土地清冊_匯入!$A$6:$A$1005,0)),""))</f>
        <v/>
      </c>
      <c r="H420" s="12">
        <f>IF($A420="","",IFERROR(INDEX(土地清冊_匯入!$T$6:$T$1005,MATCH($A420,土地清冊_匯入!$A$6:$A$1005,0)),""))</f>
        <v/>
      </c>
      <c r="I420" s="12">
        <f>IF($A420="","",IFERROR(INDEX(土地清冊_匯入!$V$6:$V$1005,MATCH($A420,土地清冊_匯入!$A$6:$A$1005,0)),""))</f>
        <v/>
      </c>
      <c r="J420" s="14" t="n"/>
      <c r="K420" s="7" t="n"/>
      <c r="L420" s="7" t="n"/>
      <c r="M420" s="7" t="n"/>
      <c r="N420" s="7" t="n"/>
      <c r="O420" s="7" t="n"/>
      <c r="P420" s="7" t="n"/>
      <c r="Q420" s="14" t="n"/>
      <c r="R420" s="7" t="n"/>
      <c r="S420" s="7" t="n"/>
      <c r="T420" s="7" t="n"/>
      <c r="U420" s="12">
        <f>IF(A420="","",IF(OR(J420="",L420=""),"建議補聯絡紀錄","") )</f>
        <v/>
      </c>
    </row>
    <row r="421" ht="24" customHeight="1">
      <c r="A421" s="7" t="n"/>
      <c r="B421" s="7" t="n"/>
      <c r="C421" s="12">
        <f>IF($A421="","",IFERROR(INDEX(土地清冊_匯入!$B$6:$B$1005,MATCH($A421,土地清冊_匯入!$A$6:$A$1005,0)),"查無資料"))</f>
        <v/>
      </c>
      <c r="D421" s="12">
        <f>IF($A421="","",IFERROR(INDEX(土地清冊_匯入!$P$6:$P$1005,MATCH($A421,土地清冊_匯入!$A$6:$A$1005,0)),""))</f>
        <v/>
      </c>
      <c r="E421" s="12">
        <f>IF($A421="","",IFERROR(INDEX(土地清冊_匯入!$Q$6:$Q$1005,MATCH($A421,土地清冊_匯入!$A$6:$A$1005,0)),""))</f>
        <v/>
      </c>
      <c r="F421" s="12">
        <f>IF($A421="","",IFERROR(INDEX(土地清冊_匯入!$R$6:$R$1005,MATCH($A421,土地清冊_匯入!$A$6:$A$1005,0)),""))</f>
        <v/>
      </c>
      <c r="G421" s="12">
        <f>IF($A421="","",IFERROR(INDEX(土地清冊_匯入!$S$6:$S$1005,MATCH($A421,土地清冊_匯入!$A$6:$A$1005,0)),""))</f>
        <v/>
      </c>
      <c r="H421" s="12">
        <f>IF($A421="","",IFERROR(INDEX(土地清冊_匯入!$T$6:$T$1005,MATCH($A421,土地清冊_匯入!$A$6:$A$1005,0)),""))</f>
        <v/>
      </c>
      <c r="I421" s="12">
        <f>IF($A421="","",IFERROR(INDEX(土地清冊_匯入!$V$6:$V$1005,MATCH($A421,土地清冊_匯入!$A$6:$A$1005,0)),""))</f>
        <v/>
      </c>
      <c r="J421" s="14" t="n"/>
      <c r="K421" s="7" t="n"/>
      <c r="L421" s="7" t="n"/>
      <c r="M421" s="7" t="n"/>
      <c r="N421" s="7" t="n"/>
      <c r="O421" s="7" t="n"/>
      <c r="P421" s="7" t="n"/>
      <c r="Q421" s="14" t="n"/>
      <c r="R421" s="7" t="n"/>
      <c r="S421" s="7" t="n"/>
      <c r="T421" s="7" t="n"/>
      <c r="U421" s="12">
        <f>IF(A421="","",IF(OR(J421="",L421=""),"建議補聯絡紀錄","") )</f>
        <v/>
      </c>
    </row>
    <row r="422" ht="24" customHeight="1">
      <c r="A422" s="7" t="n"/>
      <c r="B422" s="7" t="n"/>
      <c r="C422" s="12">
        <f>IF($A422="","",IFERROR(INDEX(土地清冊_匯入!$B$6:$B$1005,MATCH($A422,土地清冊_匯入!$A$6:$A$1005,0)),"查無資料"))</f>
        <v/>
      </c>
      <c r="D422" s="12">
        <f>IF($A422="","",IFERROR(INDEX(土地清冊_匯入!$P$6:$P$1005,MATCH($A422,土地清冊_匯入!$A$6:$A$1005,0)),""))</f>
        <v/>
      </c>
      <c r="E422" s="12">
        <f>IF($A422="","",IFERROR(INDEX(土地清冊_匯入!$Q$6:$Q$1005,MATCH($A422,土地清冊_匯入!$A$6:$A$1005,0)),""))</f>
        <v/>
      </c>
      <c r="F422" s="12">
        <f>IF($A422="","",IFERROR(INDEX(土地清冊_匯入!$R$6:$R$1005,MATCH($A422,土地清冊_匯入!$A$6:$A$1005,0)),""))</f>
        <v/>
      </c>
      <c r="G422" s="12">
        <f>IF($A422="","",IFERROR(INDEX(土地清冊_匯入!$S$6:$S$1005,MATCH($A422,土地清冊_匯入!$A$6:$A$1005,0)),""))</f>
        <v/>
      </c>
      <c r="H422" s="12">
        <f>IF($A422="","",IFERROR(INDEX(土地清冊_匯入!$T$6:$T$1005,MATCH($A422,土地清冊_匯入!$A$6:$A$1005,0)),""))</f>
        <v/>
      </c>
      <c r="I422" s="12">
        <f>IF($A422="","",IFERROR(INDEX(土地清冊_匯入!$V$6:$V$1005,MATCH($A422,土地清冊_匯入!$A$6:$A$1005,0)),""))</f>
        <v/>
      </c>
      <c r="J422" s="14" t="n"/>
      <c r="K422" s="7" t="n"/>
      <c r="L422" s="7" t="n"/>
      <c r="M422" s="7" t="n"/>
      <c r="N422" s="7" t="n"/>
      <c r="O422" s="7" t="n"/>
      <c r="P422" s="7" t="n"/>
      <c r="Q422" s="14" t="n"/>
      <c r="R422" s="7" t="n"/>
      <c r="S422" s="7" t="n"/>
      <c r="T422" s="7" t="n"/>
      <c r="U422" s="12">
        <f>IF(A422="","",IF(OR(J422="",L422=""),"建議補聯絡紀錄","") )</f>
        <v/>
      </c>
    </row>
    <row r="423" ht="24" customHeight="1">
      <c r="A423" s="7" t="n"/>
      <c r="B423" s="7" t="n"/>
      <c r="C423" s="12">
        <f>IF($A423="","",IFERROR(INDEX(土地清冊_匯入!$B$6:$B$1005,MATCH($A423,土地清冊_匯入!$A$6:$A$1005,0)),"查無資料"))</f>
        <v/>
      </c>
      <c r="D423" s="12">
        <f>IF($A423="","",IFERROR(INDEX(土地清冊_匯入!$P$6:$P$1005,MATCH($A423,土地清冊_匯入!$A$6:$A$1005,0)),""))</f>
        <v/>
      </c>
      <c r="E423" s="12">
        <f>IF($A423="","",IFERROR(INDEX(土地清冊_匯入!$Q$6:$Q$1005,MATCH($A423,土地清冊_匯入!$A$6:$A$1005,0)),""))</f>
        <v/>
      </c>
      <c r="F423" s="12">
        <f>IF($A423="","",IFERROR(INDEX(土地清冊_匯入!$R$6:$R$1005,MATCH($A423,土地清冊_匯入!$A$6:$A$1005,0)),""))</f>
        <v/>
      </c>
      <c r="G423" s="12">
        <f>IF($A423="","",IFERROR(INDEX(土地清冊_匯入!$S$6:$S$1005,MATCH($A423,土地清冊_匯入!$A$6:$A$1005,0)),""))</f>
        <v/>
      </c>
      <c r="H423" s="12">
        <f>IF($A423="","",IFERROR(INDEX(土地清冊_匯入!$T$6:$T$1005,MATCH($A423,土地清冊_匯入!$A$6:$A$1005,0)),""))</f>
        <v/>
      </c>
      <c r="I423" s="12">
        <f>IF($A423="","",IFERROR(INDEX(土地清冊_匯入!$V$6:$V$1005,MATCH($A423,土地清冊_匯入!$A$6:$A$1005,0)),""))</f>
        <v/>
      </c>
      <c r="J423" s="14" t="n"/>
      <c r="K423" s="7" t="n"/>
      <c r="L423" s="7" t="n"/>
      <c r="M423" s="7" t="n"/>
      <c r="N423" s="7" t="n"/>
      <c r="O423" s="7" t="n"/>
      <c r="P423" s="7" t="n"/>
      <c r="Q423" s="14" t="n"/>
      <c r="R423" s="7" t="n"/>
      <c r="S423" s="7" t="n"/>
      <c r="T423" s="7" t="n"/>
      <c r="U423" s="12">
        <f>IF(A423="","",IF(OR(J423="",L423=""),"建議補聯絡紀錄","") )</f>
        <v/>
      </c>
    </row>
    <row r="424" ht="24" customHeight="1">
      <c r="A424" s="7" t="n"/>
      <c r="B424" s="7" t="n"/>
      <c r="C424" s="12">
        <f>IF($A424="","",IFERROR(INDEX(土地清冊_匯入!$B$6:$B$1005,MATCH($A424,土地清冊_匯入!$A$6:$A$1005,0)),"查無資料"))</f>
        <v/>
      </c>
      <c r="D424" s="12">
        <f>IF($A424="","",IFERROR(INDEX(土地清冊_匯入!$P$6:$P$1005,MATCH($A424,土地清冊_匯入!$A$6:$A$1005,0)),""))</f>
        <v/>
      </c>
      <c r="E424" s="12">
        <f>IF($A424="","",IFERROR(INDEX(土地清冊_匯入!$Q$6:$Q$1005,MATCH($A424,土地清冊_匯入!$A$6:$A$1005,0)),""))</f>
        <v/>
      </c>
      <c r="F424" s="12">
        <f>IF($A424="","",IFERROR(INDEX(土地清冊_匯入!$R$6:$R$1005,MATCH($A424,土地清冊_匯入!$A$6:$A$1005,0)),""))</f>
        <v/>
      </c>
      <c r="G424" s="12">
        <f>IF($A424="","",IFERROR(INDEX(土地清冊_匯入!$S$6:$S$1005,MATCH($A424,土地清冊_匯入!$A$6:$A$1005,0)),""))</f>
        <v/>
      </c>
      <c r="H424" s="12">
        <f>IF($A424="","",IFERROR(INDEX(土地清冊_匯入!$T$6:$T$1005,MATCH($A424,土地清冊_匯入!$A$6:$A$1005,0)),""))</f>
        <v/>
      </c>
      <c r="I424" s="12">
        <f>IF($A424="","",IFERROR(INDEX(土地清冊_匯入!$V$6:$V$1005,MATCH($A424,土地清冊_匯入!$A$6:$A$1005,0)),""))</f>
        <v/>
      </c>
      <c r="J424" s="14" t="n"/>
      <c r="K424" s="7" t="n"/>
      <c r="L424" s="7" t="n"/>
      <c r="M424" s="7" t="n"/>
      <c r="N424" s="7" t="n"/>
      <c r="O424" s="7" t="n"/>
      <c r="P424" s="7" t="n"/>
      <c r="Q424" s="14" t="n"/>
      <c r="R424" s="7" t="n"/>
      <c r="S424" s="7" t="n"/>
      <c r="T424" s="7" t="n"/>
      <c r="U424" s="12">
        <f>IF(A424="","",IF(OR(J424="",L424=""),"建議補聯絡紀錄","") )</f>
        <v/>
      </c>
    </row>
    <row r="425" ht="24" customHeight="1">
      <c r="A425" s="7" t="n"/>
      <c r="B425" s="7" t="n"/>
      <c r="C425" s="12">
        <f>IF($A425="","",IFERROR(INDEX(土地清冊_匯入!$B$6:$B$1005,MATCH($A425,土地清冊_匯入!$A$6:$A$1005,0)),"查無資料"))</f>
        <v/>
      </c>
      <c r="D425" s="12">
        <f>IF($A425="","",IFERROR(INDEX(土地清冊_匯入!$P$6:$P$1005,MATCH($A425,土地清冊_匯入!$A$6:$A$1005,0)),""))</f>
        <v/>
      </c>
      <c r="E425" s="12">
        <f>IF($A425="","",IFERROR(INDEX(土地清冊_匯入!$Q$6:$Q$1005,MATCH($A425,土地清冊_匯入!$A$6:$A$1005,0)),""))</f>
        <v/>
      </c>
      <c r="F425" s="12">
        <f>IF($A425="","",IFERROR(INDEX(土地清冊_匯入!$R$6:$R$1005,MATCH($A425,土地清冊_匯入!$A$6:$A$1005,0)),""))</f>
        <v/>
      </c>
      <c r="G425" s="12">
        <f>IF($A425="","",IFERROR(INDEX(土地清冊_匯入!$S$6:$S$1005,MATCH($A425,土地清冊_匯入!$A$6:$A$1005,0)),""))</f>
        <v/>
      </c>
      <c r="H425" s="12">
        <f>IF($A425="","",IFERROR(INDEX(土地清冊_匯入!$T$6:$T$1005,MATCH($A425,土地清冊_匯入!$A$6:$A$1005,0)),""))</f>
        <v/>
      </c>
      <c r="I425" s="12">
        <f>IF($A425="","",IFERROR(INDEX(土地清冊_匯入!$V$6:$V$1005,MATCH($A425,土地清冊_匯入!$A$6:$A$1005,0)),""))</f>
        <v/>
      </c>
      <c r="J425" s="14" t="n"/>
      <c r="K425" s="7" t="n"/>
      <c r="L425" s="7" t="n"/>
      <c r="M425" s="7" t="n"/>
      <c r="N425" s="7" t="n"/>
      <c r="O425" s="7" t="n"/>
      <c r="P425" s="7" t="n"/>
      <c r="Q425" s="14" t="n"/>
      <c r="R425" s="7" t="n"/>
      <c r="S425" s="7" t="n"/>
      <c r="T425" s="7" t="n"/>
      <c r="U425" s="12">
        <f>IF(A425="","",IF(OR(J425="",L425=""),"建議補聯絡紀錄","") )</f>
        <v/>
      </c>
    </row>
    <row r="426" ht="24" customHeight="1">
      <c r="A426" s="7" t="n"/>
      <c r="B426" s="7" t="n"/>
      <c r="C426" s="12">
        <f>IF($A426="","",IFERROR(INDEX(土地清冊_匯入!$B$6:$B$1005,MATCH($A426,土地清冊_匯入!$A$6:$A$1005,0)),"查無資料"))</f>
        <v/>
      </c>
      <c r="D426" s="12">
        <f>IF($A426="","",IFERROR(INDEX(土地清冊_匯入!$P$6:$P$1005,MATCH($A426,土地清冊_匯入!$A$6:$A$1005,0)),""))</f>
        <v/>
      </c>
      <c r="E426" s="12">
        <f>IF($A426="","",IFERROR(INDEX(土地清冊_匯入!$Q$6:$Q$1005,MATCH($A426,土地清冊_匯入!$A$6:$A$1005,0)),""))</f>
        <v/>
      </c>
      <c r="F426" s="12">
        <f>IF($A426="","",IFERROR(INDEX(土地清冊_匯入!$R$6:$R$1005,MATCH($A426,土地清冊_匯入!$A$6:$A$1005,0)),""))</f>
        <v/>
      </c>
      <c r="G426" s="12">
        <f>IF($A426="","",IFERROR(INDEX(土地清冊_匯入!$S$6:$S$1005,MATCH($A426,土地清冊_匯入!$A$6:$A$1005,0)),""))</f>
        <v/>
      </c>
      <c r="H426" s="12">
        <f>IF($A426="","",IFERROR(INDEX(土地清冊_匯入!$T$6:$T$1005,MATCH($A426,土地清冊_匯入!$A$6:$A$1005,0)),""))</f>
        <v/>
      </c>
      <c r="I426" s="12">
        <f>IF($A426="","",IFERROR(INDEX(土地清冊_匯入!$V$6:$V$1005,MATCH($A426,土地清冊_匯入!$A$6:$A$1005,0)),""))</f>
        <v/>
      </c>
      <c r="J426" s="14" t="n"/>
      <c r="K426" s="7" t="n"/>
      <c r="L426" s="7" t="n"/>
      <c r="M426" s="7" t="n"/>
      <c r="N426" s="7" t="n"/>
      <c r="O426" s="7" t="n"/>
      <c r="P426" s="7" t="n"/>
      <c r="Q426" s="14" t="n"/>
      <c r="R426" s="7" t="n"/>
      <c r="S426" s="7" t="n"/>
      <c r="T426" s="7" t="n"/>
      <c r="U426" s="12">
        <f>IF(A426="","",IF(OR(J426="",L426=""),"建議補聯絡紀錄","") )</f>
        <v/>
      </c>
    </row>
    <row r="427" ht="24" customHeight="1">
      <c r="A427" s="7" t="n"/>
      <c r="B427" s="7" t="n"/>
      <c r="C427" s="12">
        <f>IF($A427="","",IFERROR(INDEX(土地清冊_匯入!$B$6:$B$1005,MATCH($A427,土地清冊_匯入!$A$6:$A$1005,0)),"查無資料"))</f>
        <v/>
      </c>
      <c r="D427" s="12">
        <f>IF($A427="","",IFERROR(INDEX(土地清冊_匯入!$P$6:$P$1005,MATCH($A427,土地清冊_匯入!$A$6:$A$1005,0)),""))</f>
        <v/>
      </c>
      <c r="E427" s="12">
        <f>IF($A427="","",IFERROR(INDEX(土地清冊_匯入!$Q$6:$Q$1005,MATCH($A427,土地清冊_匯入!$A$6:$A$1005,0)),""))</f>
        <v/>
      </c>
      <c r="F427" s="12">
        <f>IF($A427="","",IFERROR(INDEX(土地清冊_匯入!$R$6:$R$1005,MATCH($A427,土地清冊_匯入!$A$6:$A$1005,0)),""))</f>
        <v/>
      </c>
      <c r="G427" s="12">
        <f>IF($A427="","",IFERROR(INDEX(土地清冊_匯入!$S$6:$S$1005,MATCH($A427,土地清冊_匯入!$A$6:$A$1005,0)),""))</f>
        <v/>
      </c>
      <c r="H427" s="12">
        <f>IF($A427="","",IFERROR(INDEX(土地清冊_匯入!$T$6:$T$1005,MATCH($A427,土地清冊_匯入!$A$6:$A$1005,0)),""))</f>
        <v/>
      </c>
      <c r="I427" s="12">
        <f>IF($A427="","",IFERROR(INDEX(土地清冊_匯入!$V$6:$V$1005,MATCH($A427,土地清冊_匯入!$A$6:$A$1005,0)),""))</f>
        <v/>
      </c>
      <c r="J427" s="14" t="n"/>
      <c r="K427" s="7" t="n"/>
      <c r="L427" s="7" t="n"/>
      <c r="M427" s="7" t="n"/>
      <c r="N427" s="7" t="n"/>
      <c r="O427" s="7" t="n"/>
      <c r="P427" s="7" t="n"/>
      <c r="Q427" s="14" t="n"/>
      <c r="R427" s="7" t="n"/>
      <c r="S427" s="7" t="n"/>
      <c r="T427" s="7" t="n"/>
      <c r="U427" s="12">
        <f>IF(A427="","",IF(OR(J427="",L427=""),"建議補聯絡紀錄","") )</f>
        <v/>
      </c>
    </row>
    <row r="428" ht="24" customHeight="1">
      <c r="A428" s="7" t="n"/>
      <c r="B428" s="7" t="n"/>
      <c r="C428" s="12">
        <f>IF($A428="","",IFERROR(INDEX(土地清冊_匯入!$B$6:$B$1005,MATCH($A428,土地清冊_匯入!$A$6:$A$1005,0)),"查無資料"))</f>
        <v/>
      </c>
      <c r="D428" s="12">
        <f>IF($A428="","",IFERROR(INDEX(土地清冊_匯入!$P$6:$P$1005,MATCH($A428,土地清冊_匯入!$A$6:$A$1005,0)),""))</f>
        <v/>
      </c>
      <c r="E428" s="12">
        <f>IF($A428="","",IFERROR(INDEX(土地清冊_匯入!$Q$6:$Q$1005,MATCH($A428,土地清冊_匯入!$A$6:$A$1005,0)),""))</f>
        <v/>
      </c>
      <c r="F428" s="12">
        <f>IF($A428="","",IFERROR(INDEX(土地清冊_匯入!$R$6:$R$1005,MATCH($A428,土地清冊_匯入!$A$6:$A$1005,0)),""))</f>
        <v/>
      </c>
      <c r="G428" s="12">
        <f>IF($A428="","",IFERROR(INDEX(土地清冊_匯入!$S$6:$S$1005,MATCH($A428,土地清冊_匯入!$A$6:$A$1005,0)),""))</f>
        <v/>
      </c>
      <c r="H428" s="12">
        <f>IF($A428="","",IFERROR(INDEX(土地清冊_匯入!$T$6:$T$1005,MATCH($A428,土地清冊_匯入!$A$6:$A$1005,0)),""))</f>
        <v/>
      </c>
      <c r="I428" s="12">
        <f>IF($A428="","",IFERROR(INDEX(土地清冊_匯入!$V$6:$V$1005,MATCH($A428,土地清冊_匯入!$A$6:$A$1005,0)),""))</f>
        <v/>
      </c>
      <c r="J428" s="14" t="n"/>
      <c r="K428" s="7" t="n"/>
      <c r="L428" s="7" t="n"/>
      <c r="M428" s="7" t="n"/>
      <c r="N428" s="7" t="n"/>
      <c r="O428" s="7" t="n"/>
      <c r="P428" s="7" t="n"/>
      <c r="Q428" s="14" t="n"/>
      <c r="R428" s="7" t="n"/>
      <c r="S428" s="7" t="n"/>
      <c r="T428" s="7" t="n"/>
      <c r="U428" s="12">
        <f>IF(A428="","",IF(OR(J428="",L428=""),"建議補聯絡紀錄","") )</f>
        <v/>
      </c>
    </row>
    <row r="429" ht="24" customHeight="1">
      <c r="A429" s="7" t="n"/>
      <c r="B429" s="7" t="n"/>
      <c r="C429" s="12">
        <f>IF($A429="","",IFERROR(INDEX(土地清冊_匯入!$B$6:$B$1005,MATCH($A429,土地清冊_匯入!$A$6:$A$1005,0)),"查無資料"))</f>
        <v/>
      </c>
      <c r="D429" s="12">
        <f>IF($A429="","",IFERROR(INDEX(土地清冊_匯入!$P$6:$P$1005,MATCH($A429,土地清冊_匯入!$A$6:$A$1005,0)),""))</f>
        <v/>
      </c>
      <c r="E429" s="12">
        <f>IF($A429="","",IFERROR(INDEX(土地清冊_匯入!$Q$6:$Q$1005,MATCH($A429,土地清冊_匯入!$A$6:$A$1005,0)),""))</f>
        <v/>
      </c>
      <c r="F429" s="12">
        <f>IF($A429="","",IFERROR(INDEX(土地清冊_匯入!$R$6:$R$1005,MATCH($A429,土地清冊_匯入!$A$6:$A$1005,0)),""))</f>
        <v/>
      </c>
      <c r="G429" s="12">
        <f>IF($A429="","",IFERROR(INDEX(土地清冊_匯入!$S$6:$S$1005,MATCH($A429,土地清冊_匯入!$A$6:$A$1005,0)),""))</f>
        <v/>
      </c>
      <c r="H429" s="12">
        <f>IF($A429="","",IFERROR(INDEX(土地清冊_匯入!$T$6:$T$1005,MATCH($A429,土地清冊_匯入!$A$6:$A$1005,0)),""))</f>
        <v/>
      </c>
      <c r="I429" s="12">
        <f>IF($A429="","",IFERROR(INDEX(土地清冊_匯入!$V$6:$V$1005,MATCH($A429,土地清冊_匯入!$A$6:$A$1005,0)),""))</f>
        <v/>
      </c>
      <c r="J429" s="14" t="n"/>
      <c r="K429" s="7" t="n"/>
      <c r="L429" s="7" t="n"/>
      <c r="M429" s="7" t="n"/>
      <c r="N429" s="7" t="n"/>
      <c r="O429" s="7" t="n"/>
      <c r="P429" s="7" t="n"/>
      <c r="Q429" s="14" t="n"/>
      <c r="R429" s="7" t="n"/>
      <c r="S429" s="7" t="n"/>
      <c r="T429" s="7" t="n"/>
      <c r="U429" s="12">
        <f>IF(A429="","",IF(OR(J429="",L429=""),"建議補聯絡紀錄","") )</f>
        <v/>
      </c>
    </row>
    <row r="430" ht="24" customHeight="1">
      <c r="A430" s="7" t="n"/>
      <c r="B430" s="7" t="n"/>
      <c r="C430" s="12">
        <f>IF($A430="","",IFERROR(INDEX(土地清冊_匯入!$B$6:$B$1005,MATCH($A430,土地清冊_匯入!$A$6:$A$1005,0)),"查無資料"))</f>
        <v/>
      </c>
      <c r="D430" s="12">
        <f>IF($A430="","",IFERROR(INDEX(土地清冊_匯入!$P$6:$P$1005,MATCH($A430,土地清冊_匯入!$A$6:$A$1005,0)),""))</f>
        <v/>
      </c>
      <c r="E430" s="12">
        <f>IF($A430="","",IFERROR(INDEX(土地清冊_匯入!$Q$6:$Q$1005,MATCH($A430,土地清冊_匯入!$A$6:$A$1005,0)),""))</f>
        <v/>
      </c>
      <c r="F430" s="12">
        <f>IF($A430="","",IFERROR(INDEX(土地清冊_匯入!$R$6:$R$1005,MATCH($A430,土地清冊_匯入!$A$6:$A$1005,0)),""))</f>
        <v/>
      </c>
      <c r="G430" s="12">
        <f>IF($A430="","",IFERROR(INDEX(土地清冊_匯入!$S$6:$S$1005,MATCH($A430,土地清冊_匯入!$A$6:$A$1005,0)),""))</f>
        <v/>
      </c>
      <c r="H430" s="12">
        <f>IF($A430="","",IFERROR(INDEX(土地清冊_匯入!$T$6:$T$1005,MATCH($A430,土地清冊_匯入!$A$6:$A$1005,0)),""))</f>
        <v/>
      </c>
      <c r="I430" s="12">
        <f>IF($A430="","",IFERROR(INDEX(土地清冊_匯入!$V$6:$V$1005,MATCH($A430,土地清冊_匯入!$A$6:$A$1005,0)),""))</f>
        <v/>
      </c>
      <c r="J430" s="14" t="n"/>
      <c r="K430" s="7" t="n"/>
      <c r="L430" s="7" t="n"/>
      <c r="M430" s="7" t="n"/>
      <c r="N430" s="7" t="n"/>
      <c r="O430" s="7" t="n"/>
      <c r="P430" s="7" t="n"/>
      <c r="Q430" s="14" t="n"/>
      <c r="R430" s="7" t="n"/>
      <c r="S430" s="7" t="n"/>
      <c r="T430" s="7" t="n"/>
      <c r="U430" s="12">
        <f>IF(A430="","",IF(OR(J430="",L430=""),"建議補聯絡紀錄","") )</f>
        <v/>
      </c>
    </row>
    <row r="431" ht="24" customHeight="1">
      <c r="A431" s="7" t="n"/>
      <c r="B431" s="7" t="n"/>
      <c r="C431" s="12">
        <f>IF($A431="","",IFERROR(INDEX(土地清冊_匯入!$B$6:$B$1005,MATCH($A431,土地清冊_匯入!$A$6:$A$1005,0)),"查無資料"))</f>
        <v/>
      </c>
      <c r="D431" s="12">
        <f>IF($A431="","",IFERROR(INDEX(土地清冊_匯入!$P$6:$P$1005,MATCH($A431,土地清冊_匯入!$A$6:$A$1005,0)),""))</f>
        <v/>
      </c>
      <c r="E431" s="12">
        <f>IF($A431="","",IFERROR(INDEX(土地清冊_匯入!$Q$6:$Q$1005,MATCH($A431,土地清冊_匯入!$A$6:$A$1005,0)),""))</f>
        <v/>
      </c>
      <c r="F431" s="12">
        <f>IF($A431="","",IFERROR(INDEX(土地清冊_匯入!$R$6:$R$1005,MATCH($A431,土地清冊_匯入!$A$6:$A$1005,0)),""))</f>
        <v/>
      </c>
      <c r="G431" s="12">
        <f>IF($A431="","",IFERROR(INDEX(土地清冊_匯入!$S$6:$S$1005,MATCH($A431,土地清冊_匯入!$A$6:$A$1005,0)),""))</f>
        <v/>
      </c>
      <c r="H431" s="12">
        <f>IF($A431="","",IFERROR(INDEX(土地清冊_匯入!$T$6:$T$1005,MATCH($A431,土地清冊_匯入!$A$6:$A$1005,0)),""))</f>
        <v/>
      </c>
      <c r="I431" s="12">
        <f>IF($A431="","",IFERROR(INDEX(土地清冊_匯入!$V$6:$V$1005,MATCH($A431,土地清冊_匯入!$A$6:$A$1005,0)),""))</f>
        <v/>
      </c>
      <c r="J431" s="14" t="n"/>
      <c r="K431" s="7" t="n"/>
      <c r="L431" s="7" t="n"/>
      <c r="M431" s="7" t="n"/>
      <c r="N431" s="7" t="n"/>
      <c r="O431" s="7" t="n"/>
      <c r="P431" s="7" t="n"/>
      <c r="Q431" s="14" t="n"/>
      <c r="R431" s="7" t="n"/>
      <c r="S431" s="7" t="n"/>
      <c r="T431" s="7" t="n"/>
      <c r="U431" s="12">
        <f>IF(A431="","",IF(OR(J431="",L431=""),"建議補聯絡紀錄","") )</f>
        <v/>
      </c>
    </row>
    <row r="432" ht="24" customHeight="1">
      <c r="A432" s="7" t="n"/>
      <c r="B432" s="7" t="n"/>
      <c r="C432" s="12">
        <f>IF($A432="","",IFERROR(INDEX(土地清冊_匯入!$B$6:$B$1005,MATCH($A432,土地清冊_匯入!$A$6:$A$1005,0)),"查無資料"))</f>
        <v/>
      </c>
      <c r="D432" s="12">
        <f>IF($A432="","",IFERROR(INDEX(土地清冊_匯入!$P$6:$P$1005,MATCH($A432,土地清冊_匯入!$A$6:$A$1005,0)),""))</f>
        <v/>
      </c>
      <c r="E432" s="12">
        <f>IF($A432="","",IFERROR(INDEX(土地清冊_匯入!$Q$6:$Q$1005,MATCH($A432,土地清冊_匯入!$A$6:$A$1005,0)),""))</f>
        <v/>
      </c>
      <c r="F432" s="12">
        <f>IF($A432="","",IFERROR(INDEX(土地清冊_匯入!$R$6:$R$1005,MATCH($A432,土地清冊_匯入!$A$6:$A$1005,0)),""))</f>
        <v/>
      </c>
      <c r="G432" s="12">
        <f>IF($A432="","",IFERROR(INDEX(土地清冊_匯入!$S$6:$S$1005,MATCH($A432,土地清冊_匯入!$A$6:$A$1005,0)),""))</f>
        <v/>
      </c>
      <c r="H432" s="12">
        <f>IF($A432="","",IFERROR(INDEX(土地清冊_匯入!$T$6:$T$1005,MATCH($A432,土地清冊_匯入!$A$6:$A$1005,0)),""))</f>
        <v/>
      </c>
      <c r="I432" s="12">
        <f>IF($A432="","",IFERROR(INDEX(土地清冊_匯入!$V$6:$V$1005,MATCH($A432,土地清冊_匯入!$A$6:$A$1005,0)),""))</f>
        <v/>
      </c>
      <c r="J432" s="14" t="n"/>
      <c r="K432" s="7" t="n"/>
      <c r="L432" s="7" t="n"/>
      <c r="M432" s="7" t="n"/>
      <c r="N432" s="7" t="n"/>
      <c r="O432" s="7" t="n"/>
      <c r="P432" s="7" t="n"/>
      <c r="Q432" s="14" t="n"/>
      <c r="R432" s="7" t="n"/>
      <c r="S432" s="7" t="n"/>
      <c r="T432" s="7" t="n"/>
      <c r="U432" s="12">
        <f>IF(A432="","",IF(OR(J432="",L432=""),"建議補聯絡紀錄","") )</f>
        <v/>
      </c>
    </row>
    <row r="433" ht="24" customHeight="1">
      <c r="A433" s="7" t="n"/>
      <c r="B433" s="7" t="n"/>
      <c r="C433" s="12">
        <f>IF($A433="","",IFERROR(INDEX(土地清冊_匯入!$B$6:$B$1005,MATCH($A433,土地清冊_匯入!$A$6:$A$1005,0)),"查無資料"))</f>
        <v/>
      </c>
      <c r="D433" s="12">
        <f>IF($A433="","",IFERROR(INDEX(土地清冊_匯入!$P$6:$P$1005,MATCH($A433,土地清冊_匯入!$A$6:$A$1005,0)),""))</f>
        <v/>
      </c>
      <c r="E433" s="12">
        <f>IF($A433="","",IFERROR(INDEX(土地清冊_匯入!$Q$6:$Q$1005,MATCH($A433,土地清冊_匯入!$A$6:$A$1005,0)),""))</f>
        <v/>
      </c>
      <c r="F433" s="12">
        <f>IF($A433="","",IFERROR(INDEX(土地清冊_匯入!$R$6:$R$1005,MATCH($A433,土地清冊_匯入!$A$6:$A$1005,0)),""))</f>
        <v/>
      </c>
      <c r="G433" s="12">
        <f>IF($A433="","",IFERROR(INDEX(土地清冊_匯入!$S$6:$S$1005,MATCH($A433,土地清冊_匯入!$A$6:$A$1005,0)),""))</f>
        <v/>
      </c>
      <c r="H433" s="12">
        <f>IF($A433="","",IFERROR(INDEX(土地清冊_匯入!$T$6:$T$1005,MATCH($A433,土地清冊_匯入!$A$6:$A$1005,0)),""))</f>
        <v/>
      </c>
      <c r="I433" s="12">
        <f>IF($A433="","",IFERROR(INDEX(土地清冊_匯入!$V$6:$V$1005,MATCH($A433,土地清冊_匯入!$A$6:$A$1005,0)),""))</f>
        <v/>
      </c>
      <c r="J433" s="14" t="n"/>
      <c r="K433" s="7" t="n"/>
      <c r="L433" s="7" t="n"/>
      <c r="M433" s="7" t="n"/>
      <c r="N433" s="7" t="n"/>
      <c r="O433" s="7" t="n"/>
      <c r="P433" s="7" t="n"/>
      <c r="Q433" s="14" t="n"/>
      <c r="R433" s="7" t="n"/>
      <c r="S433" s="7" t="n"/>
      <c r="T433" s="7" t="n"/>
      <c r="U433" s="12">
        <f>IF(A433="","",IF(OR(J433="",L433=""),"建議補聯絡紀錄","") )</f>
        <v/>
      </c>
    </row>
    <row r="434" ht="24" customHeight="1">
      <c r="A434" s="7" t="n"/>
      <c r="B434" s="7" t="n"/>
      <c r="C434" s="12">
        <f>IF($A434="","",IFERROR(INDEX(土地清冊_匯入!$B$6:$B$1005,MATCH($A434,土地清冊_匯入!$A$6:$A$1005,0)),"查無資料"))</f>
        <v/>
      </c>
      <c r="D434" s="12">
        <f>IF($A434="","",IFERROR(INDEX(土地清冊_匯入!$P$6:$P$1005,MATCH($A434,土地清冊_匯入!$A$6:$A$1005,0)),""))</f>
        <v/>
      </c>
      <c r="E434" s="12">
        <f>IF($A434="","",IFERROR(INDEX(土地清冊_匯入!$Q$6:$Q$1005,MATCH($A434,土地清冊_匯入!$A$6:$A$1005,0)),""))</f>
        <v/>
      </c>
      <c r="F434" s="12">
        <f>IF($A434="","",IFERROR(INDEX(土地清冊_匯入!$R$6:$R$1005,MATCH($A434,土地清冊_匯入!$A$6:$A$1005,0)),""))</f>
        <v/>
      </c>
      <c r="G434" s="12">
        <f>IF($A434="","",IFERROR(INDEX(土地清冊_匯入!$S$6:$S$1005,MATCH($A434,土地清冊_匯入!$A$6:$A$1005,0)),""))</f>
        <v/>
      </c>
      <c r="H434" s="12">
        <f>IF($A434="","",IFERROR(INDEX(土地清冊_匯入!$T$6:$T$1005,MATCH($A434,土地清冊_匯入!$A$6:$A$1005,0)),""))</f>
        <v/>
      </c>
      <c r="I434" s="12">
        <f>IF($A434="","",IFERROR(INDEX(土地清冊_匯入!$V$6:$V$1005,MATCH($A434,土地清冊_匯入!$A$6:$A$1005,0)),""))</f>
        <v/>
      </c>
      <c r="J434" s="14" t="n"/>
      <c r="K434" s="7" t="n"/>
      <c r="L434" s="7" t="n"/>
      <c r="M434" s="7" t="n"/>
      <c r="N434" s="7" t="n"/>
      <c r="O434" s="7" t="n"/>
      <c r="P434" s="7" t="n"/>
      <c r="Q434" s="14" t="n"/>
      <c r="R434" s="7" t="n"/>
      <c r="S434" s="7" t="n"/>
      <c r="T434" s="7" t="n"/>
      <c r="U434" s="12">
        <f>IF(A434="","",IF(OR(J434="",L434=""),"建議補聯絡紀錄","") )</f>
        <v/>
      </c>
    </row>
    <row r="435" ht="24" customHeight="1">
      <c r="A435" s="7" t="n"/>
      <c r="B435" s="7" t="n"/>
      <c r="C435" s="12">
        <f>IF($A435="","",IFERROR(INDEX(土地清冊_匯入!$B$6:$B$1005,MATCH($A435,土地清冊_匯入!$A$6:$A$1005,0)),"查無資料"))</f>
        <v/>
      </c>
      <c r="D435" s="12">
        <f>IF($A435="","",IFERROR(INDEX(土地清冊_匯入!$P$6:$P$1005,MATCH($A435,土地清冊_匯入!$A$6:$A$1005,0)),""))</f>
        <v/>
      </c>
      <c r="E435" s="12">
        <f>IF($A435="","",IFERROR(INDEX(土地清冊_匯入!$Q$6:$Q$1005,MATCH($A435,土地清冊_匯入!$A$6:$A$1005,0)),""))</f>
        <v/>
      </c>
      <c r="F435" s="12">
        <f>IF($A435="","",IFERROR(INDEX(土地清冊_匯入!$R$6:$R$1005,MATCH($A435,土地清冊_匯入!$A$6:$A$1005,0)),""))</f>
        <v/>
      </c>
      <c r="G435" s="12">
        <f>IF($A435="","",IFERROR(INDEX(土地清冊_匯入!$S$6:$S$1005,MATCH($A435,土地清冊_匯入!$A$6:$A$1005,0)),""))</f>
        <v/>
      </c>
      <c r="H435" s="12">
        <f>IF($A435="","",IFERROR(INDEX(土地清冊_匯入!$T$6:$T$1005,MATCH($A435,土地清冊_匯入!$A$6:$A$1005,0)),""))</f>
        <v/>
      </c>
      <c r="I435" s="12">
        <f>IF($A435="","",IFERROR(INDEX(土地清冊_匯入!$V$6:$V$1005,MATCH($A435,土地清冊_匯入!$A$6:$A$1005,0)),""))</f>
        <v/>
      </c>
      <c r="J435" s="14" t="n"/>
      <c r="K435" s="7" t="n"/>
      <c r="L435" s="7" t="n"/>
      <c r="M435" s="7" t="n"/>
      <c r="N435" s="7" t="n"/>
      <c r="O435" s="7" t="n"/>
      <c r="P435" s="7" t="n"/>
      <c r="Q435" s="14" t="n"/>
      <c r="R435" s="7" t="n"/>
      <c r="S435" s="7" t="n"/>
      <c r="T435" s="7" t="n"/>
      <c r="U435" s="12">
        <f>IF(A435="","",IF(OR(J435="",L435=""),"建議補聯絡紀錄","") )</f>
        <v/>
      </c>
    </row>
    <row r="436" ht="24" customHeight="1">
      <c r="A436" s="7" t="n"/>
      <c r="B436" s="7" t="n"/>
      <c r="C436" s="12">
        <f>IF($A436="","",IFERROR(INDEX(土地清冊_匯入!$B$6:$B$1005,MATCH($A436,土地清冊_匯入!$A$6:$A$1005,0)),"查無資料"))</f>
        <v/>
      </c>
      <c r="D436" s="12">
        <f>IF($A436="","",IFERROR(INDEX(土地清冊_匯入!$P$6:$P$1005,MATCH($A436,土地清冊_匯入!$A$6:$A$1005,0)),""))</f>
        <v/>
      </c>
      <c r="E436" s="12">
        <f>IF($A436="","",IFERROR(INDEX(土地清冊_匯入!$Q$6:$Q$1005,MATCH($A436,土地清冊_匯入!$A$6:$A$1005,0)),""))</f>
        <v/>
      </c>
      <c r="F436" s="12">
        <f>IF($A436="","",IFERROR(INDEX(土地清冊_匯入!$R$6:$R$1005,MATCH($A436,土地清冊_匯入!$A$6:$A$1005,0)),""))</f>
        <v/>
      </c>
      <c r="G436" s="12">
        <f>IF($A436="","",IFERROR(INDEX(土地清冊_匯入!$S$6:$S$1005,MATCH($A436,土地清冊_匯入!$A$6:$A$1005,0)),""))</f>
        <v/>
      </c>
      <c r="H436" s="12">
        <f>IF($A436="","",IFERROR(INDEX(土地清冊_匯入!$T$6:$T$1005,MATCH($A436,土地清冊_匯入!$A$6:$A$1005,0)),""))</f>
        <v/>
      </c>
      <c r="I436" s="12">
        <f>IF($A436="","",IFERROR(INDEX(土地清冊_匯入!$V$6:$V$1005,MATCH($A436,土地清冊_匯入!$A$6:$A$1005,0)),""))</f>
        <v/>
      </c>
      <c r="J436" s="14" t="n"/>
      <c r="K436" s="7" t="n"/>
      <c r="L436" s="7" t="n"/>
      <c r="M436" s="7" t="n"/>
      <c r="N436" s="7" t="n"/>
      <c r="O436" s="7" t="n"/>
      <c r="P436" s="7" t="n"/>
      <c r="Q436" s="14" t="n"/>
      <c r="R436" s="7" t="n"/>
      <c r="S436" s="7" t="n"/>
      <c r="T436" s="7" t="n"/>
      <c r="U436" s="12">
        <f>IF(A436="","",IF(OR(J436="",L436=""),"建議補聯絡紀錄","") )</f>
        <v/>
      </c>
    </row>
    <row r="437" ht="24" customHeight="1">
      <c r="A437" s="7" t="n"/>
      <c r="B437" s="7" t="n"/>
      <c r="C437" s="12">
        <f>IF($A437="","",IFERROR(INDEX(土地清冊_匯入!$B$6:$B$1005,MATCH($A437,土地清冊_匯入!$A$6:$A$1005,0)),"查無資料"))</f>
        <v/>
      </c>
      <c r="D437" s="12">
        <f>IF($A437="","",IFERROR(INDEX(土地清冊_匯入!$P$6:$P$1005,MATCH($A437,土地清冊_匯入!$A$6:$A$1005,0)),""))</f>
        <v/>
      </c>
      <c r="E437" s="12">
        <f>IF($A437="","",IFERROR(INDEX(土地清冊_匯入!$Q$6:$Q$1005,MATCH($A437,土地清冊_匯入!$A$6:$A$1005,0)),""))</f>
        <v/>
      </c>
      <c r="F437" s="12">
        <f>IF($A437="","",IFERROR(INDEX(土地清冊_匯入!$R$6:$R$1005,MATCH($A437,土地清冊_匯入!$A$6:$A$1005,0)),""))</f>
        <v/>
      </c>
      <c r="G437" s="12">
        <f>IF($A437="","",IFERROR(INDEX(土地清冊_匯入!$S$6:$S$1005,MATCH($A437,土地清冊_匯入!$A$6:$A$1005,0)),""))</f>
        <v/>
      </c>
      <c r="H437" s="12">
        <f>IF($A437="","",IFERROR(INDEX(土地清冊_匯入!$T$6:$T$1005,MATCH($A437,土地清冊_匯入!$A$6:$A$1005,0)),""))</f>
        <v/>
      </c>
      <c r="I437" s="12">
        <f>IF($A437="","",IFERROR(INDEX(土地清冊_匯入!$V$6:$V$1005,MATCH($A437,土地清冊_匯入!$A$6:$A$1005,0)),""))</f>
        <v/>
      </c>
      <c r="J437" s="14" t="n"/>
      <c r="K437" s="7" t="n"/>
      <c r="L437" s="7" t="n"/>
      <c r="M437" s="7" t="n"/>
      <c r="N437" s="7" t="n"/>
      <c r="O437" s="7" t="n"/>
      <c r="P437" s="7" t="n"/>
      <c r="Q437" s="14" t="n"/>
      <c r="R437" s="7" t="n"/>
      <c r="S437" s="7" t="n"/>
      <c r="T437" s="7" t="n"/>
      <c r="U437" s="12">
        <f>IF(A437="","",IF(OR(J437="",L437=""),"建議補聯絡紀錄","") )</f>
        <v/>
      </c>
    </row>
    <row r="438" ht="24" customHeight="1">
      <c r="A438" s="7" t="n"/>
      <c r="B438" s="7" t="n"/>
      <c r="C438" s="12">
        <f>IF($A438="","",IFERROR(INDEX(土地清冊_匯入!$B$6:$B$1005,MATCH($A438,土地清冊_匯入!$A$6:$A$1005,0)),"查無資料"))</f>
        <v/>
      </c>
      <c r="D438" s="12">
        <f>IF($A438="","",IFERROR(INDEX(土地清冊_匯入!$P$6:$P$1005,MATCH($A438,土地清冊_匯入!$A$6:$A$1005,0)),""))</f>
        <v/>
      </c>
      <c r="E438" s="12">
        <f>IF($A438="","",IFERROR(INDEX(土地清冊_匯入!$Q$6:$Q$1005,MATCH($A438,土地清冊_匯入!$A$6:$A$1005,0)),""))</f>
        <v/>
      </c>
      <c r="F438" s="12">
        <f>IF($A438="","",IFERROR(INDEX(土地清冊_匯入!$R$6:$R$1005,MATCH($A438,土地清冊_匯入!$A$6:$A$1005,0)),""))</f>
        <v/>
      </c>
      <c r="G438" s="12">
        <f>IF($A438="","",IFERROR(INDEX(土地清冊_匯入!$S$6:$S$1005,MATCH($A438,土地清冊_匯入!$A$6:$A$1005,0)),""))</f>
        <v/>
      </c>
      <c r="H438" s="12">
        <f>IF($A438="","",IFERROR(INDEX(土地清冊_匯入!$T$6:$T$1005,MATCH($A438,土地清冊_匯入!$A$6:$A$1005,0)),""))</f>
        <v/>
      </c>
      <c r="I438" s="12">
        <f>IF($A438="","",IFERROR(INDEX(土地清冊_匯入!$V$6:$V$1005,MATCH($A438,土地清冊_匯入!$A$6:$A$1005,0)),""))</f>
        <v/>
      </c>
      <c r="J438" s="14" t="n"/>
      <c r="K438" s="7" t="n"/>
      <c r="L438" s="7" t="n"/>
      <c r="M438" s="7" t="n"/>
      <c r="N438" s="7" t="n"/>
      <c r="O438" s="7" t="n"/>
      <c r="P438" s="7" t="n"/>
      <c r="Q438" s="14" t="n"/>
      <c r="R438" s="7" t="n"/>
      <c r="S438" s="7" t="n"/>
      <c r="T438" s="7" t="n"/>
      <c r="U438" s="12">
        <f>IF(A438="","",IF(OR(J438="",L438=""),"建議補聯絡紀錄","") )</f>
        <v/>
      </c>
    </row>
    <row r="439" ht="24" customHeight="1">
      <c r="A439" s="7" t="n"/>
      <c r="B439" s="7" t="n"/>
      <c r="C439" s="12">
        <f>IF($A439="","",IFERROR(INDEX(土地清冊_匯入!$B$6:$B$1005,MATCH($A439,土地清冊_匯入!$A$6:$A$1005,0)),"查無資料"))</f>
        <v/>
      </c>
      <c r="D439" s="12">
        <f>IF($A439="","",IFERROR(INDEX(土地清冊_匯入!$P$6:$P$1005,MATCH($A439,土地清冊_匯入!$A$6:$A$1005,0)),""))</f>
        <v/>
      </c>
      <c r="E439" s="12">
        <f>IF($A439="","",IFERROR(INDEX(土地清冊_匯入!$Q$6:$Q$1005,MATCH($A439,土地清冊_匯入!$A$6:$A$1005,0)),""))</f>
        <v/>
      </c>
      <c r="F439" s="12">
        <f>IF($A439="","",IFERROR(INDEX(土地清冊_匯入!$R$6:$R$1005,MATCH($A439,土地清冊_匯入!$A$6:$A$1005,0)),""))</f>
        <v/>
      </c>
      <c r="G439" s="12">
        <f>IF($A439="","",IFERROR(INDEX(土地清冊_匯入!$S$6:$S$1005,MATCH($A439,土地清冊_匯入!$A$6:$A$1005,0)),""))</f>
        <v/>
      </c>
      <c r="H439" s="12">
        <f>IF($A439="","",IFERROR(INDEX(土地清冊_匯入!$T$6:$T$1005,MATCH($A439,土地清冊_匯入!$A$6:$A$1005,0)),""))</f>
        <v/>
      </c>
      <c r="I439" s="12">
        <f>IF($A439="","",IFERROR(INDEX(土地清冊_匯入!$V$6:$V$1005,MATCH($A439,土地清冊_匯入!$A$6:$A$1005,0)),""))</f>
        <v/>
      </c>
      <c r="J439" s="14" t="n"/>
      <c r="K439" s="7" t="n"/>
      <c r="L439" s="7" t="n"/>
      <c r="M439" s="7" t="n"/>
      <c r="N439" s="7" t="n"/>
      <c r="O439" s="7" t="n"/>
      <c r="P439" s="7" t="n"/>
      <c r="Q439" s="14" t="n"/>
      <c r="R439" s="7" t="n"/>
      <c r="S439" s="7" t="n"/>
      <c r="T439" s="7" t="n"/>
      <c r="U439" s="12">
        <f>IF(A439="","",IF(OR(J439="",L439=""),"建議補聯絡紀錄","") )</f>
        <v/>
      </c>
    </row>
    <row r="440" ht="24" customHeight="1">
      <c r="A440" s="7" t="n"/>
      <c r="B440" s="7" t="n"/>
      <c r="C440" s="12">
        <f>IF($A440="","",IFERROR(INDEX(土地清冊_匯入!$B$6:$B$1005,MATCH($A440,土地清冊_匯入!$A$6:$A$1005,0)),"查無資料"))</f>
        <v/>
      </c>
      <c r="D440" s="12">
        <f>IF($A440="","",IFERROR(INDEX(土地清冊_匯入!$P$6:$P$1005,MATCH($A440,土地清冊_匯入!$A$6:$A$1005,0)),""))</f>
        <v/>
      </c>
      <c r="E440" s="12">
        <f>IF($A440="","",IFERROR(INDEX(土地清冊_匯入!$Q$6:$Q$1005,MATCH($A440,土地清冊_匯入!$A$6:$A$1005,0)),""))</f>
        <v/>
      </c>
      <c r="F440" s="12">
        <f>IF($A440="","",IFERROR(INDEX(土地清冊_匯入!$R$6:$R$1005,MATCH($A440,土地清冊_匯入!$A$6:$A$1005,0)),""))</f>
        <v/>
      </c>
      <c r="G440" s="12">
        <f>IF($A440="","",IFERROR(INDEX(土地清冊_匯入!$S$6:$S$1005,MATCH($A440,土地清冊_匯入!$A$6:$A$1005,0)),""))</f>
        <v/>
      </c>
      <c r="H440" s="12">
        <f>IF($A440="","",IFERROR(INDEX(土地清冊_匯入!$T$6:$T$1005,MATCH($A440,土地清冊_匯入!$A$6:$A$1005,0)),""))</f>
        <v/>
      </c>
      <c r="I440" s="12">
        <f>IF($A440="","",IFERROR(INDEX(土地清冊_匯入!$V$6:$V$1005,MATCH($A440,土地清冊_匯入!$A$6:$A$1005,0)),""))</f>
        <v/>
      </c>
      <c r="J440" s="14" t="n"/>
      <c r="K440" s="7" t="n"/>
      <c r="L440" s="7" t="n"/>
      <c r="M440" s="7" t="n"/>
      <c r="N440" s="7" t="n"/>
      <c r="O440" s="7" t="n"/>
      <c r="P440" s="7" t="n"/>
      <c r="Q440" s="14" t="n"/>
      <c r="R440" s="7" t="n"/>
      <c r="S440" s="7" t="n"/>
      <c r="T440" s="7" t="n"/>
      <c r="U440" s="12">
        <f>IF(A440="","",IF(OR(J440="",L440=""),"建議補聯絡紀錄","") )</f>
        <v/>
      </c>
    </row>
    <row r="441" ht="24" customHeight="1">
      <c r="A441" s="7" t="n"/>
      <c r="B441" s="7" t="n"/>
      <c r="C441" s="12">
        <f>IF($A441="","",IFERROR(INDEX(土地清冊_匯入!$B$6:$B$1005,MATCH($A441,土地清冊_匯入!$A$6:$A$1005,0)),"查無資料"))</f>
        <v/>
      </c>
      <c r="D441" s="12">
        <f>IF($A441="","",IFERROR(INDEX(土地清冊_匯入!$P$6:$P$1005,MATCH($A441,土地清冊_匯入!$A$6:$A$1005,0)),""))</f>
        <v/>
      </c>
      <c r="E441" s="12">
        <f>IF($A441="","",IFERROR(INDEX(土地清冊_匯入!$Q$6:$Q$1005,MATCH($A441,土地清冊_匯入!$A$6:$A$1005,0)),""))</f>
        <v/>
      </c>
      <c r="F441" s="12">
        <f>IF($A441="","",IFERROR(INDEX(土地清冊_匯入!$R$6:$R$1005,MATCH($A441,土地清冊_匯入!$A$6:$A$1005,0)),""))</f>
        <v/>
      </c>
      <c r="G441" s="12">
        <f>IF($A441="","",IFERROR(INDEX(土地清冊_匯入!$S$6:$S$1005,MATCH($A441,土地清冊_匯入!$A$6:$A$1005,0)),""))</f>
        <v/>
      </c>
      <c r="H441" s="12">
        <f>IF($A441="","",IFERROR(INDEX(土地清冊_匯入!$T$6:$T$1005,MATCH($A441,土地清冊_匯入!$A$6:$A$1005,0)),""))</f>
        <v/>
      </c>
      <c r="I441" s="12">
        <f>IF($A441="","",IFERROR(INDEX(土地清冊_匯入!$V$6:$V$1005,MATCH($A441,土地清冊_匯入!$A$6:$A$1005,0)),""))</f>
        <v/>
      </c>
      <c r="J441" s="14" t="n"/>
      <c r="K441" s="7" t="n"/>
      <c r="L441" s="7" t="n"/>
      <c r="M441" s="7" t="n"/>
      <c r="N441" s="7" t="n"/>
      <c r="O441" s="7" t="n"/>
      <c r="P441" s="7" t="n"/>
      <c r="Q441" s="14" t="n"/>
      <c r="R441" s="7" t="n"/>
      <c r="S441" s="7" t="n"/>
      <c r="T441" s="7" t="n"/>
      <c r="U441" s="12">
        <f>IF(A441="","",IF(OR(J441="",L441=""),"建議補聯絡紀錄","") )</f>
        <v/>
      </c>
    </row>
    <row r="442" ht="24" customHeight="1">
      <c r="A442" s="7" t="n"/>
      <c r="B442" s="7" t="n"/>
      <c r="C442" s="12">
        <f>IF($A442="","",IFERROR(INDEX(土地清冊_匯入!$B$6:$B$1005,MATCH($A442,土地清冊_匯入!$A$6:$A$1005,0)),"查無資料"))</f>
        <v/>
      </c>
      <c r="D442" s="12">
        <f>IF($A442="","",IFERROR(INDEX(土地清冊_匯入!$P$6:$P$1005,MATCH($A442,土地清冊_匯入!$A$6:$A$1005,0)),""))</f>
        <v/>
      </c>
      <c r="E442" s="12">
        <f>IF($A442="","",IFERROR(INDEX(土地清冊_匯入!$Q$6:$Q$1005,MATCH($A442,土地清冊_匯入!$A$6:$A$1005,0)),""))</f>
        <v/>
      </c>
      <c r="F442" s="12">
        <f>IF($A442="","",IFERROR(INDEX(土地清冊_匯入!$R$6:$R$1005,MATCH($A442,土地清冊_匯入!$A$6:$A$1005,0)),""))</f>
        <v/>
      </c>
      <c r="G442" s="12">
        <f>IF($A442="","",IFERROR(INDEX(土地清冊_匯入!$S$6:$S$1005,MATCH($A442,土地清冊_匯入!$A$6:$A$1005,0)),""))</f>
        <v/>
      </c>
      <c r="H442" s="12">
        <f>IF($A442="","",IFERROR(INDEX(土地清冊_匯入!$T$6:$T$1005,MATCH($A442,土地清冊_匯入!$A$6:$A$1005,0)),""))</f>
        <v/>
      </c>
      <c r="I442" s="12">
        <f>IF($A442="","",IFERROR(INDEX(土地清冊_匯入!$V$6:$V$1005,MATCH($A442,土地清冊_匯入!$A$6:$A$1005,0)),""))</f>
        <v/>
      </c>
      <c r="J442" s="14" t="n"/>
      <c r="K442" s="7" t="n"/>
      <c r="L442" s="7" t="n"/>
      <c r="M442" s="7" t="n"/>
      <c r="N442" s="7" t="n"/>
      <c r="O442" s="7" t="n"/>
      <c r="P442" s="7" t="n"/>
      <c r="Q442" s="14" t="n"/>
      <c r="R442" s="7" t="n"/>
      <c r="S442" s="7" t="n"/>
      <c r="T442" s="7" t="n"/>
      <c r="U442" s="12">
        <f>IF(A442="","",IF(OR(J442="",L442=""),"建議補聯絡紀錄","") )</f>
        <v/>
      </c>
    </row>
    <row r="443" ht="24" customHeight="1">
      <c r="A443" s="7" t="n"/>
      <c r="B443" s="7" t="n"/>
      <c r="C443" s="12">
        <f>IF($A443="","",IFERROR(INDEX(土地清冊_匯入!$B$6:$B$1005,MATCH($A443,土地清冊_匯入!$A$6:$A$1005,0)),"查無資料"))</f>
        <v/>
      </c>
      <c r="D443" s="12">
        <f>IF($A443="","",IFERROR(INDEX(土地清冊_匯入!$P$6:$P$1005,MATCH($A443,土地清冊_匯入!$A$6:$A$1005,0)),""))</f>
        <v/>
      </c>
      <c r="E443" s="12">
        <f>IF($A443="","",IFERROR(INDEX(土地清冊_匯入!$Q$6:$Q$1005,MATCH($A443,土地清冊_匯入!$A$6:$A$1005,0)),""))</f>
        <v/>
      </c>
      <c r="F443" s="12">
        <f>IF($A443="","",IFERROR(INDEX(土地清冊_匯入!$R$6:$R$1005,MATCH($A443,土地清冊_匯入!$A$6:$A$1005,0)),""))</f>
        <v/>
      </c>
      <c r="G443" s="12">
        <f>IF($A443="","",IFERROR(INDEX(土地清冊_匯入!$S$6:$S$1005,MATCH($A443,土地清冊_匯入!$A$6:$A$1005,0)),""))</f>
        <v/>
      </c>
      <c r="H443" s="12">
        <f>IF($A443="","",IFERROR(INDEX(土地清冊_匯入!$T$6:$T$1005,MATCH($A443,土地清冊_匯入!$A$6:$A$1005,0)),""))</f>
        <v/>
      </c>
      <c r="I443" s="12">
        <f>IF($A443="","",IFERROR(INDEX(土地清冊_匯入!$V$6:$V$1005,MATCH($A443,土地清冊_匯入!$A$6:$A$1005,0)),""))</f>
        <v/>
      </c>
      <c r="J443" s="14" t="n"/>
      <c r="K443" s="7" t="n"/>
      <c r="L443" s="7" t="n"/>
      <c r="M443" s="7" t="n"/>
      <c r="N443" s="7" t="n"/>
      <c r="O443" s="7" t="n"/>
      <c r="P443" s="7" t="n"/>
      <c r="Q443" s="14" t="n"/>
      <c r="R443" s="7" t="n"/>
      <c r="S443" s="7" t="n"/>
      <c r="T443" s="7" t="n"/>
      <c r="U443" s="12">
        <f>IF(A443="","",IF(OR(J443="",L443=""),"建議補聯絡紀錄","") )</f>
        <v/>
      </c>
    </row>
    <row r="444" ht="24" customHeight="1">
      <c r="A444" s="7" t="n"/>
      <c r="B444" s="7" t="n"/>
      <c r="C444" s="12">
        <f>IF($A444="","",IFERROR(INDEX(土地清冊_匯入!$B$6:$B$1005,MATCH($A444,土地清冊_匯入!$A$6:$A$1005,0)),"查無資料"))</f>
        <v/>
      </c>
      <c r="D444" s="12">
        <f>IF($A444="","",IFERROR(INDEX(土地清冊_匯入!$P$6:$P$1005,MATCH($A444,土地清冊_匯入!$A$6:$A$1005,0)),""))</f>
        <v/>
      </c>
      <c r="E444" s="12">
        <f>IF($A444="","",IFERROR(INDEX(土地清冊_匯入!$Q$6:$Q$1005,MATCH($A444,土地清冊_匯入!$A$6:$A$1005,0)),""))</f>
        <v/>
      </c>
      <c r="F444" s="12">
        <f>IF($A444="","",IFERROR(INDEX(土地清冊_匯入!$R$6:$R$1005,MATCH($A444,土地清冊_匯入!$A$6:$A$1005,0)),""))</f>
        <v/>
      </c>
      <c r="G444" s="12">
        <f>IF($A444="","",IFERROR(INDEX(土地清冊_匯入!$S$6:$S$1005,MATCH($A444,土地清冊_匯入!$A$6:$A$1005,0)),""))</f>
        <v/>
      </c>
      <c r="H444" s="12">
        <f>IF($A444="","",IFERROR(INDEX(土地清冊_匯入!$T$6:$T$1005,MATCH($A444,土地清冊_匯入!$A$6:$A$1005,0)),""))</f>
        <v/>
      </c>
      <c r="I444" s="12">
        <f>IF($A444="","",IFERROR(INDEX(土地清冊_匯入!$V$6:$V$1005,MATCH($A444,土地清冊_匯入!$A$6:$A$1005,0)),""))</f>
        <v/>
      </c>
      <c r="J444" s="14" t="n"/>
      <c r="K444" s="7" t="n"/>
      <c r="L444" s="7" t="n"/>
      <c r="M444" s="7" t="n"/>
      <c r="N444" s="7" t="n"/>
      <c r="O444" s="7" t="n"/>
      <c r="P444" s="7" t="n"/>
      <c r="Q444" s="14" t="n"/>
      <c r="R444" s="7" t="n"/>
      <c r="S444" s="7" t="n"/>
      <c r="T444" s="7" t="n"/>
      <c r="U444" s="12">
        <f>IF(A444="","",IF(OR(J444="",L444=""),"建議補聯絡紀錄","") )</f>
        <v/>
      </c>
    </row>
    <row r="445" ht="24" customHeight="1">
      <c r="A445" s="7" t="n"/>
      <c r="B445" s="7" t="n"/>
      <c r="C445" s="12">
        <f>IF($A445="","",IFERROR(INDEX(土地清冊_匯入!$B$6:$B$1005,MATCH($A445,土地清冊_匯入!$A$6:$A$1005,0)),"查無資料"))</f>
        <v/>
      </c>
      <c r="D445" s="12">
        <f>IF($A445="","",IFERROR(INDEX(土地清冊_匯入!$P$6:$P$1005,MATCH($A445,土地清冊_匯入!$A$6:$A$1005,0)),""))</f>
        <v/>
      </c>
      <c r="E445" s="12">
        <f>IF($A445="","",IFERROR(INDEX(土地清冊_匯入!$Q$6:$Q$1005,MATCH($A445,土地清冊_匯入!$A$6:$A$1005,0)),""))</f>
        <v/>
      </c>
      <c r="F445" s="12">
        <f>IF($A445="","",IFERROR(INDEX(土地清冊_匯入!$R$6:$R$1005,MATCH($A445,土地清冊_匯入!$A$6:$A$1005,0)),""))</f>
        <v/>
      </c>
      <c r="G445" s="12">
        <f>IF($A445="","",IFERROR(INDEX(土地清冊_匯入!$S$6:$S$1005,MATCH($A445,土地清冊_匯入!$A$6:$A$1005,0)),""))</f>
        <v/>
      </c>
      <c r="H445" s="12">
        <f>IF($A445="","",IFERROR(INDEX(土地清冊_匯入!$T$6:$T$1005,MATCH($A445,土地清冊_匯入!$A$6:$A$1005,0)),""))</f>
        <v/>
      </c>
      <c r="I445" s="12">
        <f>IF($A445="","",IFERROR(INDEX(土地清冊_匯入!$V$6:$V$1005,MATCH($A445,土地清冊_匯入!$A$6:$A$1005,0)),""))</f>
        <v/>
      </c>
      <c r="J445" s="14" t="n"/>
      <c r="K445" s="7" t="n"/>
      <c r="L445" s="7" t="n"/>
      <c r="M445" s="7" t="n"/>
      <c r="N445" s="7" t="n"/>
      <c r="O445" s="7" t="n"/>
      <c r="P445" s="7" t="n"/>
      <c r="Q445" s="14" t="n"/>
      <c r="R445" s="7" t="n"/>
      <c r="S445" s="7" t="n"/>
      <c r="T445" s="7" t="n"/>
      <c r="U445" s="12">
        <f>IF(A445="","",IF(OR(J445="",L445=""),"建議補聯絡紀錄","") )</f>
        <v/>
      </c>
    </row>
    <row r="446" ht="24" customHeight="1">
      <c r="A446" s="7" t="n"/>
      <c r="B446" s="7" t="n"/>
      <c r="C446" s="12">
        <f>IF($A446="","",IFERROR(INDEX(土地清冊_匯入!$B$6:$B$1005,MATCH($A446,土地清冊_匯入!$A$6:$A$1005,0)),"查無資料"))</f>
        <v/>
      </c>
      <c r="D446" s="12">
        <f>IF($A446="","",IFERROR(INDEX(土地清冊_匯入!$P$6:$P$1005,MATCH($A446,土地清冊_匯入!$A$6:$A$1005,0)),""))</f>
        <v/>
      </c>
      <c r="E446" s="12">
        <f>IF($A446="","",IFERROR(INDEX(土地清冊_匯入!$Q$6:$Q$1005,MATCH($A446,土地清冊_匯入!$A$6:$A$1005,0)),""))</f>
        <v/>
      </c>
      <c r="F446" s="12">
        <f>IF($A446="","",IFERROR(INDEX(土地清冊_匯入!$R$6:$R$1005,MATCH($A446,土地清冊_匯入!$A$6:$A$1005,0)),""))</f>
        <v/>
      </c>
      <c r="G446" s="12">
        <f>IF($A446="","",IFERROR(INDEX(土地清冊_匯入!$S$6:$S$1005,MATCH($A446,土地清冊_匯入!$A$6:$A$1005,0)),""))</f>
        <v/>
      </c>
      <c r="H446" s="12">
        <f>IF($A446="","",IFERROR(INDEX(土地清冊_匯入!$T$6:$T$1005,MATCH($A446,土地清冊_匯入!$A$6:$A$1005,0)),""))</f>
        <v/>
      </c>
      <c r="I446" s="12">
        <f>IF($A446="","",IFERROR(INDEX(土地清冊_匯入!$V$6:$V$1005,MATCH($A446,土地清冊_匯入!$A$6:$A$1005,0)),""))</f>
        <v/>
      </c>
      <c r="J446" s="14" t="n"/>
      <c r="K446" s="7" t="n"/>
      <c r="L446" s="7" t="n"/>
      <c r="M446" s="7" t="n"/>
      <c r="N446" s="7" t="n"/>
      <c r="O446" s="7" t="n"/>
      <c r="P446" s="7" t="n"/>
      <c r="Q446" s="14" t="n"/>
      <c r="R446" s="7" t="n"/>
      <c r="S446" s="7" t="n"/>
      <c r="T446" s="7" t="n"/>
      <c r="U446" s="12">
        <f>IF(A446="","",IF(OR(J446="",L446=""),"建議補聯絡紀錄","") )</f>
        <v/>
      </c>
    </row>
    <row r="447" ht="24" customHeight="1">
      <c r="A447" s="7" t="n"/>
      <c r="B447" s="7" t="n"/>
      <c r="C447" s="12">
        <f>IF($A447="","",IFERROR(INDEX(土地清冊_匯入!$B$6:$B$1005,MATCH($A447,土地清冊_匯入!$A$6:$A$1005,0)),"查無資料"))</f>
        <v/>
      </c>
      <c r="D447" s="12">
        <f>IF($A447="","",IFERROR(INDEX(土地清冊_匯入!$P$6:$P$1005,MATCH($A447,土地清冊_匯入!$A$6:$A$1005,0)),""))</f>
        <v/>
      </c>
      <c r="E447" s="12">
        <f>IF($A447="","",IFERROR(INDEX(土地清冊_匯入!$Q$6:$Q$1005,MATCH($A447,土地清冊_匯入!$A$6:$A$1005,0)),""))</f>
        <v/>
      </c>
      <c r="F447" s="12">
        <f>IF($A447="","",IFERROR(INDEX(土地清冊_匯入!$R$6:$R$1005,MATCH($A447,土地清冊_匯入!$A$6:$A$1005,0)),""))</f>
        <v/>
      </c>
      <c r="G447" s="12">
        <f>IF($A447="","",IFERROR(INDEX(土地清冊_匯入!$S$6:$S$1005,MATCH($A447,土地清冊_匯入!$A$6:$A$1005,0)),""))</f>
        <v/>
      </c>
      <c r="H447" s="12">
        <f>IF($A447="","",IFERROR(INDEX(土地清冊_匯入!$T$6:$T$1005,MATCH($A447,土地清冊_匯入!$A$6:$A$1005,0)),""))</f>
        <v/>
      </c>
      <c r="I447" s="12">
        <f>IF($A447="","",IFERROR(INDEX(土地清冊_匯入!$V$6:$V$1005,MATCH($A447,土地清冊_匯入!$A$6:$A$1005,0)),""))</f>
        <v/>
      </c>
      <c r="J447" s="14" t="n"/>
      <c r="K447" s="7" t="n"/>
      <c r="L447" s="7" t="n"/>
      <c r="M447" s="7" t="n"/>
      <c r="N447" s="7" t="n"/>
      <c r="O447" s="7" t="n"/>
      <c r="P447" s="7" t="n"/>
      <c r="Q447" s="14" t="n"/>
      <c r="R447" s="7" t="n"/>
      <c r="S447" s="7" t="n"/>
      <c r="T447" s="7" t="n"/>
      <c r="U447" s="12">
        <f>IF(A447="","",IF(OR(J447="",L447=""),"建議補聯絡紀錄","") )</f>
        <v/>
      </c>
    </row>
    <row r="448" ht="24" customHeight="1">
      <c r="A448" s="7" t="n"/>
      <c r="B448" s="7" t="n"/>
      <c r="C448" s="12">
        <f>IF($A448="","",IFERROR(INDEX(土地清冊_匯入!$B$6:$B$1005,MATCH($A448,土地清冊_匯入!$A$6:$A$1005,0)),"查無資料"))</f>
        <v/>
      </c>
      <c r="D448" s="12">
        <f>IF($A448="","",IFERROR(INDEX(土地清冊_匯入!$P$6:$P$1005,MATCH($A448,土地清冊_匯入!$A$6:$A$1005,0)),""))</f>
        <v/>
      </c>
      <c r="E448" s="12">
        <f>IF($A448="","",IFERROR(INDEX(土地清冊_匯入!$Q$6:$Q$1005,MATCH($A448,土地清冊_匯入!$A$6:$A$1005,0)),""))</f>
        <v/>
      </c>
      <c r="F448" s="12">
        <f>IF($A448="","",IFERROR(INDEX(土地清冊_匯入!$R$6:$R$1005,MATCH($A448,土地清冊_匯入!$A$6:$A$1005,0)),""))</f>
        <v/>
      </c>
      <c r="G448" s="12">
        <f>IF($A448="","",IFERROR(INDEX(土地清冊_匯入!$S$6:$S$1005,MATCH($A448,土地清冊_匯入!$A$6:$A$1005,0)),""))</f>
        <v/>
      </c>
      <c r="H448" s="12">
        <f>IF($A448="","",IFERROR(INDEX(土地清冊_匯入!$T$6:$T$1005,MATCH($A448,土地清冊_匯入!$A$6:$A$1005,0)),""))</f>
        <v/>
      </c>
      <c r="I448" s="12">
        <f>IF($A448="","",IFERROR(INDEX(土地清冊_匯入!$V$6:$V$1005,MATCH($A448,土地清冊_匯入!$A$6:$A$1005,0)),""))</f>
        <v/>
      </c>
      <c r="J448" s="14" t="n"/>
      <c r="K448" s="7" t="n"/>
      <c r="L448" s="7" t="n"/>
      <c r="M448" s="7" t="n"/>
      <c r="N448" s="7" t="n"/>
      <c r="O448" s="7" t="n"/>
      <c r="P448" s="7" t="n"/>
      <c r="Q448" s="14" t="n"/>
      <c r="R448" s="7" t="n"/>
      <c r="S448" s="7" t="n"/>
      <c r="T448" s="7" t="n"/>
      <c r="U448" s="12">
        <f>IF(A448="","",IF(OR(J448="",L448=""),"建議補聯絡紀錄","") )</f>
        <v/>
      </c>
    </row>
    <row r="449" ht="24" customHeight="1">
      <c r="A449" s="7" t="n"/>
      <c r="B449" s="7" t="n"/>
      <c r="C449" s="12">
        <f>IF($A449="","",IFERROR(INDEX(土地清冊_匯入!$B$6:$B$1005,MATCH($A449,土地清冊_匯入!$A$6:$A$1005,0)),"查無資料"))</f>
        <v/>
      </c>
      <c r="D449" s="12">
        <f>IF($A449="","",IFERROR(INDEX(土地清冊_匯入!$P$6:$P$1005,MATCH($A449,土地清冊_匯入!$A$6:$A$1005,0)),""))</f>
        <v/>
      </c>
      <c r="E449" s="12">
        <f>IF($A449="","",IFERROR(INDEX(土地清冊_匯入!$Q$6:$Q$1005,MATCH($A449,土地清冊_匯入!$A$6:$A$1005,0)),""))</f>
        <v/>
      </c>
      <c r="F449" s="12">
        <f>IF($A449="","",IFERROR(INDEX(土地清冊_匯入!$R$6:$R$1005,MATCH($A449,土地清冊_匯入!$A$6:$A$1005,0)),""))</f>
        <v/>
      </c>
      <c r="G449" s="12">
        <f>IF($A449="","",IFERROR(INDEX(土地清冊_匯入!$S$6:$S$1005,MATCH($A449,土地清冊_匯入!$A$6:$A$1005,0)),""))</f>
        <v/>
      </c>
      <c r="H449" s="12">
        <f>IF($A449="","",IFERROR(INDEX(土地清冊_匯入!$T$6:$T$1005,MATCH($A449,土地清冊_匯入!$A$6:$A$1005,0)),""))</f>
        <v/>
      </c>
      <c r="I449" s="12">
        <f>IF($A449="","",IFERROR(INDEX(土地清冊_匯入!$V$6:$V$1005,MATCH($A449,土地清冊_匯入!$A$6:$A$1005,0)),""))</f>
        <v/>
      </c>
      <c r="J449" s="14" t="n"/>
      <c r="K449" s="7" t="n"/>
      <c r="L449" s="7" t="n"/>
      <c r="M449" s="7" t="n"/>
      <c r="N449" s="7" t="n"/>
      <c r="O449" s="7" t="n"/>
      <c r="P449" s="7" t="n"/>
      <c r="Q449" s="14" t="n"/>
      <c r="R449" s="7" t="n"/>
      <c r="S449" s="7" t="n"/>
      <c r="T449" s="7" t="n"/>
      <c r="U449" s="12">
        <f>IF(A449="","",IF(OR(J449="",L449=""),"建議補聯絡紀錄","") )</f>
        <v/>
      </c>
    </row>
    <row r="450" ht="24" customHeight="1">
      <c r="A450" s="7" t="n"/>
      <c r="B450" s="7" t="n"/>
      <c r="C450" s="12">
        <f>IF($A450="","",IFERROR(INDEX(土地清冊_匯入!$B$6:$B$1005,MATCH($A450,土地清冊_匯入!$A$6:$A$1005,0)),"查無資料"))</f>
        <v/>
      </c>
      <c r="D450" s="12">
        <f>IF($A450="","",IFERROR(INDEX(土地清冊_匯入!$P$6:$P$1005,MATCH($A450,土地清冊_匯入!$A$6:$A$1005,0)),""))</f>
        <v/>
      </c>
      <c r="E450" s="12">
        <f>IF($A450="","",IFERROR(INDEX(土地清冊_匯入!$Q$6:$Q$1005,MATCH($A450,土地清冊_匯入!$A$6:$A$1005,0)),""))</f>
        <v/>
      </c>
      <c r="F450" s="12">
        <f>IF($A450="","",IFERROR(INDEX(土地清冊_匯入!$R$6:$R$1005,MATCH($A450,土地清冊_匯入!$A$6:$A$1005,0)),""))</f>
        <v/>
      </c>
      <c r="G450" s="12">
        <f>IF($A450="","",IFERROR(INDEX(土地清冊_匯入!$S$6:$S$1005,MATCH($A450,土地清冊_匯入!$A$6:$A$1005,0)),""))</f>
        <v/>
      </c>
      <c r="H450" s="12">
        <f>IF($A450="","",IFERROR(INDEX(土地清冊_匯入!$T$6:$T$1005,MATCH($A450,土地清冊_匯入!$A$6:$A$1005,0)),""))</f>
        <v/>
      </c>
      <c r="I450" s="12">
        <f>IF($A450="","",IFERROR(INDEX(土地清冊_匯入!$V$6:$V$1005,MATCH($A450,土地清冊_匯入!$A$6:$A$1005,0)),""))</f>
        <v/>
      </c>
      <c r="J450" s="14" t="n"/>
      <c r="K450" s="7" t="n"/>
      <c r="L450" s="7" t="n"/>
      <c r="M450" s="7" t="n"/>
      <c r="N450" s="7" t="n"/>
      <c r="O450" s="7" t="n"/>
      <c r="P450" s="7" t="n"/>
      <c r="Q450" s="14" t="n"/>
      <c r="R450" s="7" t="n"/>
      <c r="S450" s="7" t="n"/>
      <c r="T450" s="7" t="n"/>
      <c r="U450" s="12">
        <f>IF(A450="","",IF(OR(J450="",L450=""),"建議補聯絡紀錄","") )</f>
        <v/>
      </c>
    </row>
    <row r="451" ht="24" customHeight="1">
      <c r="A451" s="7" t="n"/>
      <c r="B451" s="7" t="n"/>
      <c r="C451" s="12">
        <f>IF($A451="","",IFERROR(INDEX(土地清冊_匯入!$B$6:$B$1005,MATCH($A451,土地清冊_匯入!$A$6:$A$1005,0)),"查無資料"))</f>
        <v/>
      </c>
      <c r="D451" s="12">
        <f>IF($A451="","",IFERROR(INDEX(土地清冊_匯入!$P$6:$P$1005,MATCH($A451,土地清冊_匯入!$A$6:$A$1005,0)),""))</f>
        <v/>
      </c>
      <c r="E451" s="12">
        <f>IF($A451="","",IFERROR(INDEX(土地清冊_匯入!$Q$6:$Q$1005,MATCH($A451,土地清冊_匯入!$A$6:$A$1005,0)),""))</f>
        <v/>
      </c>
      <c r="F451" s="12">
        <f>IF($A451="","",IFERROR(INDEX(土地清冊_匯入!$R$6:$R$1005,MATCH($A451,土地清冊_匯入!$A$6:$A$1005,0)),""))</f>
        <v/>
      </c>
      <c r="G451" s="12">
        <f>IF($A451="","",IFERROR(INDEX(土地清冊_匯入!$S$6:$S$1005,MATCH($A451,土地清冊_匯入!$A$6:$A$1005,0)),""))</f>
        <v/>
      </c>
      <c r="H451" s="12">
        <f>IF($A451="","",IFERROR(INDEX(土地清冊_匯入!$T$6:$T$1005,MATCH($A451,土地清冊_匯入!$A$6:$A$1005,0)),""))</f>
        <v/>
      </c>
      <c r="I451" s="12">
        <f>IF($A451="","",IFERROR(INDEX(土地清冊_匯入!$V$6:$V$1005,MATCH($A451,土地清冊_匯入!$A$6:$A$1005,0)),""))</f>
        <v/>
      </c>
      <c r="J451" s="14" t="n"/>
      <c r="K451" s="7" t="n"/>
      <c r="L451" s="7" t="n"/>
      <c r="M451" s="7" t="n"/>
      <c r="N451" s="7" t="n"/>
      <c r="O451" s="7" t="n"/>
      <c r="P451" s="7" t="n"/>
      <c r="Q451" s="14" t="n"/>
      <c r="R451" s="7" t="n"/>
      <c r="S451" s="7" t="n"/>
      <c r="T451" s="7" t="n"/>
      <c r="U451" s="12">
        <f>IF(A451="","",IF(OR(J451="",L451=""),"建議補聯絡紀錄","") )</f>
        <v/>
      </c>
    </row>
    <row r="452" ht="24" customHeight="1">
      <c r="A452" s="7" t="n"/>
      <c r="B452" s="7" t="n"/>
      <c r="C452" s="12">
        <f>IF($A452="","",IFERROR(INDEX(土地清冊_匯入!$B$6:$B$1005,MATCH($A452,土地清冊_匯入!$A$6:$A$1005,0)),"查無資料"))</f>
        <v/>
      </c>
      <c r="D452" s="12">
        <f>IF($A452="","",IFERROR(INDEX(土地清冊_匯入!$P$6:$P$1005,MATCH($A452,土地清冊_匯入!$A$6:$A$1005,0)),""))</f>
        <v/>
      </c>
      <c r="E452" s="12">
        <f>IF($A452="","",IFERROR(INDEX(土地清冊_匯入!$Q$6:$Q$1005,MATCH($A452,土地清冊_匯入!$A$6:$A$1005,0)),""))</f>
        <v/>
      </c>
      <c r="F452" s="12">
        <f>IF($A452="","",IFERROR(INDEX(土地清冊_匯入!$R$6:$R$1005,MATCH($A452,土地清冊_匯入!$A$6:$A$1005,0)),""))</f>
        <v/>
      </c>
      <c r="G452" s="12">
        <f>IF($A452="","",IFERROR(INDEX(土地清冊_匯入!$S$6:$S$1005,MATCH($A452,土地清冊_匯入!$A$6:$A$1005,0)),""))</f>
        <v/>
      </c>
      <c r="H452" s="12">
        <f>IF($A452="","",IFERROR(INDEX(土地清冊_匯入!$T$6:$T$1005,MATCH($A452,土地清冊_匯入!$A$6:$A$1005,0)),""))</f>
        <v/>
      </c>
      <c r="I452" s="12">
        <f>IF($A452="","",IFERROR(INDEX(土地清冊_匯入!$V$6:$V$1005,MATCH($A452,土地清冊_匯入!$A$6:$A$1005,0)),""))</f>
        <v/>
      </c>
      <c r="J452" s="14" t="n"/>
      <c r="K452" s="7" t="n"/>
      <c r="L452" s="7" t="n"/>
      <c r="M452" s="7" t="n"/>
      <c r="N452" s="7" t="n"/>
      <c r="O452" s="7" t="n"/>
      <c r="P452" s="7" t="n"/>
      <c r="Q452" s="14" t="n"/>
      <c r="R452" s="7" t="n"/>
      <c r="S452" s="7" t="n"/>
      <c r="T452" s="7" t="n"/>
      <c r="U452" s="12">
        <f>IF(A452="","",IF(OR(J452="",L452=""),"建議補聯絡紀錄","") )</f>
        <v/>
      </c>
    </row>
    <row r="453" ht="24" customHeight="1">
      <c r="A453" s="7" t="n"/>
      <c r="B453" s="7" t="n"/>
      <c r="C453" s="12">
        <f>IF($A453="","",IFERROR(INDEX(土地清冊_匯入!$B$6:$B$1005,MATCH($A453,土地清冊_匯入!$A$6:$A$1005,0)),"查無資料"))</f>
        <v/>
      </c>
      <c r="D453" s="12">
        <f>IF($A453="","",IFERROR(INDEX(土地清冊_匯入!$P$6:$P$1005,MATCH($A453,土地清冊_匯入!$A$6:$A$1005,0)),""))</f>
        <v/>
      </c>
      <c r="E453" s="12">
        <f>IF($A453="","",IFERROR(INDEX(土地清冊_匯入!$Q$6:$Q$1005,MATCH($A453,土地清冊_匯入!$A$6:$A$1005,0)),""))</f>
        <v/>
      </c>
      <c r="F453" s="12">
        <f>IF($A453="","",IFERROR(INDEX(土地清冊_匯入!$R$6:$R$1005,MATCH($A453,土地清冊_匯入!$A$6:$A$1005,0)),""))</f>
        <v/>
      </c>
      <c r="G453" s="12">
        <f>IF($A453="","",IFERROR(INDEX(土地清冊_匯入!$S$6:$S$1005,MATCH($A453,土地清冊_匯入!$A$6:$A$1005,0)),""))</f>
        <v/>
      </c>
      <c r="H453" s="12">
        <f>IF($A453="","",IFERROR(INDEX(土地清冊_匯入!$T$6:$T$1005,MATCH($A453,土地清冊_匯入!$A$6:$A$1005,0)),""))</f>
        <v/>
      </c>
      <c r="I453" s="12">
        <f>IF($A453="","",IFERROR(INDEX(土地清冊_匯入!$V$6:$V$1005,MATCH($A453,土地清冊_匯入!$A$6:$A$1005,0)),""))</f>
        <v/>
      </c>
      <c r="J453" s="14" t="n"/>
      <c r="K453" s="7" t="n"/>
      <c r="L453" s="7" t="n"/>
      <c r="M453" s="7" t="n"/>
      <c r="N453" s="7" t="n"/>
      <c r="O453" s="7" t="n"/>
      <c r="P453" s="7" t="n"/>
      <c r="Q453" s="14" t="n"/>
      <c r="R453" s="7" t="n"/>
      <c r="S453" s="7" t="n"/>
      <c r="T453" s="7" t="n"/>
      <c r="U453" s="12">
        <f>IF(A453="","",IF(OR(J453="",L453=""),"建議補聯絡紀錄","") )</f>
        <v/>
      </c>
    </row>
    <row r="454" ht="24" customHeight="1">
      <c r="A454" s="7" t="n"/>
      <c r="B454" s="7" t="n"/>
      <c r="C454" s="12">
        <f>IF($A454="","",IFERROR(INDEX(土地清冊_匯入!$B$6:$B$1005,MATCH($A454,土地清冊_匯入!$A$6:$A$1005,0)),"查無資料"))</f>
        <v/>
      </c>
      <c r="D454" s="12">
        <f>IF($A454="","",IFERROR(INDEX(土地清冊_匯入!$P$6:$P$1005,MATCH($A454,土地清冊_匯入!$A$6:$A$1005,0)),""))</f>
        <v/>
      </c>
      <c r="E454" s="12">
        <f>IF($A454="","",IFERROR(INDEX(土地清冊_匯入!$Q$6:$Q$1005,MATCH($A454,土地清冊_匯入!$A$6:$A$1005,0)),""))</f>
        <v/>
      </c>
      <c r="F454" s="12">
        <f>IF($A454="","",IFERROR(INDEX(土地清冊_匯入!$R$6:$R$1005,MATCH($A454,土地清冊_匯入!$A$6:$A$1005,0)),""))</f>
        <v/>
      </c>
      <c r="G454" s="12">
        <f>IF($A454="","",IFERROR(INDEX(土地清冊_匯入!$S$6:$S$1005,MATCH($A454,土地清冊_匯入!$A$6:$A$1005,0)),""))</f>
        <v/>
      </c>
      <c r="H454" s="12">
        <f>IF($A454="","",IFERROR(INDEX(土地清冊_匯入!$T$6:$T$1005,MATCH($A454,土地清冊_匯入!$A$6:$A$1005,0)),""))</f>
        <v/>
      </c>
      <c r="I454" s="12">
        <f>IF($A454="","",IFERROR(INDEX(土地清冊_匯入!$V$6:$V$1005,MATCH($A454,土地清冊_匯入!$A$6:$A$1005,0)),""))</f>
        <v/>
      </c>
      <c r="J454" s="14" t="n"/>
      <c r="K454" s="7" t="n"/>
      <c r="L454" s="7" t="n"/>
      <c r="M454" s="7" t="n"/>
      <c r="N454" s="7" t="n"/>
      <c r="O454" s="7" t="n"/>
      <c r="P454" s="7" t="n"/>
      <c r="Q454" s="14" t="n"/>
      <c r="R454" s="7" t="n"/>
      <c r="S454" s="7" t="n"/>
      <c r="T454" s="7" t="n"/>
      <c r="U454" s="12">
        <f>IF(A454="","",IF(OR(J454="",L454=""),"建議補聯絡紀錄","") )</f>
        <v/>
      </c>
    </row>
    <row r="455" ht="24" customHeight="1">
      <c r="A455" s="7" t="n"/>
      <c r="B455" s="7" t="n"/>
      <c r="C455" s="12">
        <f>IF($A455="","",IFERROR(INDEX(土地清冊_匯入!$B$6:$B$1005,MATCH($A455,土地清冊_匯入!$A$6:$A$1005,0)),"查無資料"))</f>
        <v/>
      </c>
      <c r="D455" s="12">
        <f>IF($A455="","",IFERROR(INDEX(土地清冊_匯入!$P$6:$P$1005,MATCH($A455,土地清冊_匯入!$A$6:$A$1005,0)),""))</f>
        <v/>
      </c>
      <c r="E455" s="12">
        <f>IF($A455="","",IFERROR(INDEX(土地清冊_匯入!$Q$6:$Q$1005,MATCH($A455,土地清冊_匯入!$A$6:$A$1005,0)),""))</f>
        <v/>
      </c>
      <c r="F455" s="12">
        <f>IF($A455="","",IFERROR(INDEX(土地清冊_匯入!$R$6:$R$1005,MATCH($A455,土地清冊_匯入!$A$6:$A$1005,0)),""))</f>
        <v/>
      </c>
      <c r="G455" s="12">
        <f>IF($A455="","",IFERROR(INDEX(土地清冊_匯入!$S$6:$S$1005,MATCH($A455,土地清冊_匯入!$A$6:$A$1005,0)),""))</f>
        <v/>
      </c>
      <c r="H455" s="12">
        <f>IF($A455="","",IFERROR(INDEX(土地清冊_匯入!$T$6:$T$1005,MATCH($A455,土地清冊_匯入!$A$6:$A$1005,0)),""))</f>
        <v/>
      </c>
      <c r="I455" s="12">
        <f>IF($A455="","",IFERROR(INDEX(土地清冊_匯入!$V$6:$V$1005,MATCH($A455,土地清冊_匯入!$A$6:$A$1005,0)),""))</f>
        <v/>
      </c>
      <c r="J455" s="14" t="n"/>
      <c r="K455" s="7" t="n"/>
      <c r="L455" s="7" t="n"/>
      <c r="M455" s="7" t="n"/>
      <c r="N455" s="7" t="n"/>
      <c r="O455" s="7" t="n"/>
      <c r="P455" s="7" t="n"/>
      <c r="Q455" s="14" t="n"/>
      <c r="R455" s="7" t="n"/>
      <c r="S455" s="7" t="n"/>
      <c r="T455" s="7" t="n"/>
      <c r="U455" s="12">
        <f>IF(A455="","",IF(OR(J455="",L455=""),"建議補聯絡紀錄","") )</f>
        <v/>
      </c>
    </row>
    <row r="456" ht="24" customHeight="1">
      <c r="A456" s="7" t="n"/>
      <c r="B456" s="7" t="n"/>
      <c r="C456" s="12">
        <f>IF($A456="","",IFERROR(INDEX(土地清冊_匯入!$B$6:$B$1005,MATCH($A456,土地清冊_匯入!$A$6:$A$1005,0)),"查無資料"))</f>
        <v/>
      </c>
      <c r="D456" s="12">
        <f>IF($A456="","",IFERROR(INDEX(土地清冊_匯入!$P$6:$P$1005,MATCH($A456,土地清冊_匯入!$A$6:$A$1005,0)),""))</f>
        <v/>
      </c>
      <c r="E456" s="12">
        <f>IF($A456="","",IFERROR(INDEX(土地清冊_匯入!$Q$6:$Q$1005,MATCH($A456,土地清冊_匯入!$A$6:$A$1005,0)),""))</f>
        <v/>
      </c>
      <c r="F456" s="12">
        <f>IF($A456="","",IFERROR(INDEX(土地清冊_匯入!$R$6:$R$1005,MATCH($A456,土地清冊_匯入!$A$6:$A$1005,0)),""))</f>
        <v/>
      </c>
      <c r="G456" s="12">
        <f>IF($A456="","",IFERROR(INDEX(土地清冊_匯入!$S$6:$S$1005,MATCH($A456,土地清冊_匯入!$A$6:$A$1005,0)),""))</f>
        <v/>
      </c>
      <c r="H456" s="12">
        <f>IF($A456="","",IFERROR(INDEX(土地清冊_匯入!$T$6:$T$1005,MATCH($A456,土地清冊_匯入!$A$6:$A$1005,0)),""))</f>
        <v/>
      </c>
      <c r="I456" s="12">
        <f>IF($A456="","",IFERROR(INDEX(土地清冊_匯入!$V$6:$V$1005,MATCH($A456,土地清冊_匯入!$A$6:$A$1005,0)),""))</f>
        <v/>
      </c>
      <c r="J456" s="14" t="n"/>
      <c r="K456" s="7" t="n"/>
      <c r="L456" s="7" t="n"/>
      <c r="M456" s="7" t="n"/>
      <c r="N456" s="7" t="n"/>
      <c r="O456" s="7" t="n"/>
      <c r="P456" s="7" t="n"/>
      <c r="Q456" s="14" t="n"/>
      <c r="R456" s="7" t="n"/>
      <c r="S456" s="7" t="n"/>
      <c r="T456" s="7" t="n"/>
      <c r="U456" s="12">
        <f>IF(A456="","",IF(OR(J456="",L456=""),"建議補聯絡紀錄","") )</f>
        <v/>
      </c>
    </row>
    <row r="457" ht="24" customHeight="1">
      <c r="A457" s="7" t="n"/>
      <c r="B457" s="7" t="n"/>
      <c r="C457" s="12">
        <f>IF($A457="","",IFERROR(INDEX(土地清冊_匯入!$B$6:$B$1005,MATCH($A457,土地清冊_匯入!$A$6:$A$1005,0)),"查無資料"))</f>
        <v/>
      </c>
      <c r="D457" s="12">
        <f>IF($A457="","",IFERROR(INDEX(土地清冊_匯入!$P$6:$P$1005,MATCH($A457,土地清冊_匯入!$A$6:$A$1005,0)),""))</f>
        <v/>
      </c>
      <c r="E457" s="12">
        <f>IF($A457="","",IFERROR(INDEX(土地清冊_匯入!$Q$6:$Q$1005,MATCH($A457,土地清冊_匯入!$A$6:$A$1005,0)),""))</f>
        <v/>
      </c>
      <c r="F457" s="12">
        <f>IF($A457="","",IFERROR(INDEX(土地清冊_匯入!$R$6:$R$1005,MATCH($A457,土地清冊_匯入!$A$6:$A$1005,0)),""))</f>
        <v/>
      </c>
      <c r="G457" s="12">
        <f>IF($A457="","",IFERROR(INDEX(土地清冊_匯入!$S$6:$S$1005,MATCH($A457,土地清冊_匯入!$A$6:$A$1005,0)),""))</f>
        <v/>
      </c>
      <c r="H457" s="12">
        <f>IF($A457="","",IFERROR(INDEX(土地清冊_匯入!$T$6:$T$1005,MATCH($A457,土地清冊_匯入!$A$6:$A$1005,0)),""))</f>
        <v/>
      </c>
      <c r="I457" s="12">
        <f>IF($A457="","",IFERROR(INDEX(土地清冊_匯入!$V$6:$V$1005,MATCH($A457,土地清冊_匯入!$A$6:$A$1005,0)),""))</f>
        <v/>
      </c>
      <c r="J457" s="14" t="n"/>
      <c r="K457" s="7" t="n"/>
      <c r="L457" s="7" t="n"/>
      <c r="M457" s="7" t="n"/>
      <c r="N457" s="7" t="n"/>
      <c r="O457" s="7" t="n"/>
      <c r="P457" s="7" t="n"/>
      <c r="Q457" s="14" t="n"/>
      <c r="R457" s="7" t="n"/>
      <c r="S457" s="7" t="n"/>
      <c r="T457" s="7" t="n"/>
      <c r="U457" s="12">
        <f>IF(A457="","",IF(OR(J457="",L457=""),"建議補聯絡紀錄","") )</f>
        <v/>
      </c>
    </row>
    <row r="458" ht="24" customHeight="1">
      <c r="A458" s="7" t="n"/>
      <c r="B458" s="7" t="n"/>
      <c r="C458" s="12">
        <f>IF($A458="","",IFERROR(INDEX(土地清冊_匯入!$B$6:$B$1005,MATCH($A458,土地清冊_匯入!$A$6:$A$1005,0)),"查無資料"))</f>
        <v/>
      </c>
      <c r="D458" s="12">
        <f>IF($A458="","",IFERROR(INDEX(土地清冊_匯入!$P$6:$P$1005,MATCH($A458,土地清冊_匯入!$A$6:$A$1005,0)),""))</f>
        <v/>
      </c>
      <c r="E458" s="12">
        <f>IF($A458="","",IFERROR(INDEX(土地清冊_匯入!$Q$6:$Q$1005,MATCH($A458,土地清冊_匯入!$A$6:$A$1005,0)),""))</f>
        <v/>
      </c>
      <c r="F458" s="12">
        <f>IF($A458="","",IFERROR(INDEX(土地清冊_匯入!$R$6:$R$1005,MATCH($A458,土地清冊_匯入!$A$6:$A$1005,0)),""))</f>
        <v/>
      </c>
      <c r="G458" s="12">
        <f>IF($A458="","",IFERROR(INDEX(土地清冊_匯入!$S$6:$S$1005,MATCH($A458,土地清冊_匯入!$A$6:$A$1005,0)),""))</f>
        <v/>
      </c>
      <c r="H458" s="12">
        <f>IF($A458="","",IFERROR(INDEX(土地清冊_匯入!$T$6:$T$1005,MATCH($A458,土地清冊_匯入!$A$6:$A$1005,0)),""))</f>
        <v/>
      </c>
      <c r="I458" s="12">
        <f>IF($A458="","",IFERROR(INDEX(土地清冊_匯入!$V$6:$V$1005,MATCH($A458,土地清冊_匯入!$A$6:$A$1005,0)),""))</f>
        <v/>
      </c>
      <c r="J458" s="14" t="n"/>
      <c r="K458" s="7" t="n"/>
      <c r="L458" s="7" t="n"/>
      <c r="M458" s="7" t="n"/>
      <c r="N458" s="7" t="n"/>
      <c r="O458" s="7" t="n"/>
      <c r="P458" s="7" t="n"/>
      <c r="Q458" s="14" t="n"/>
      <c r="R458" s="7" t="n"/>
      <c r="S458" s="7" t="n"/>
      <c r="T458" s="7" t="n"/>
      <c r="U458" s="12">
        <f>IF(A458="","",IF(OR(J458="",L458=""),"建議補聯絡紀錄","") )</f>
        <v/>
      </c>
    </row>
    <row r="459" ht="24" customHeight="1">
      <c r="A459" s="7" t="n"/>
      <c r="B459" s="7" t="n"/>
      <c r="C459" s="12">
        <f>IF($A459="","",IFERROR(INDEX(土地清冊_匯入!$B$6:$B$1005,MATCH($A459,土地清冊_匯入!$A$6:$A$1005,0)),"查無資料"))</f>
        <v/>
      </c>
      <c r="D459" s="12">
        <f>IF($A459="","",IFERROR(INDEX(土地清冊_匯入!$P$6:$P$1005,MATCH($A459,土地清冊_匯入!$A$6:$A$1005,0)),""))</f>
        <v/>
      </c>
      <c r="E459" s="12">
        <f>IF($A459="","",IFERROR(INDEX(土地清冊_匯入!$Q$6:$Q$1005,MATCH($A459,土地清冊_匯入!$A$6:$A$1005,0)),""))</f>
        <v/>
      </c>
      <c r="F459" s="12">
        <f>IF($A459="","",IFERROR(INDEX(土地清冊_匯入!$R$6:$R$1005,MATCH($A459,土地清冊_匯入!$A$6:$A$1005,0)),""))</f>
        <v/>
      </c>
      <c r="G459" s="12">
        <f>IF($A459="","",IFERROR(INDEX(土地清冊_匯入!$S$6:$S$1005,MATCH($A459,土地清冊_匯入!$A$6:$A$1005,0)),""))</f>
        <v/>
      </c>
      <c r="H459" s="12">
        <f>IF($A459="","",IFERROR(INDEX(土地清冊_匯入!$T$6:$T$1005,MATCH($A459,土地清冊_匯入!$A$6:$A$1005,0)),""))</f>
        <v/>
      </c>
      <c r="I459" s="12">
        <f>IF($A459="","",IFERROR(INDEX(土地清冊_匯入!$V$6:$V$1005,MATCH($A459,土地清冊_匯入!$A$6:$A$1005,0)),""))</f>
        <v/>
      </c>
      <c r="J459" s="14" t="n"/>
      <c r="K459" s="7" t="n"/>
      <c r="L459" s="7" t="n"/>
      <c r="M459" s="7" t="n"/>
      <c r="N459" s="7" t="n"/>
      <c r="O459" s="7" t="n"/>
      <c r="P459" s="7" t="n"/>
      <c r="Q459" s="14" t="n"/>
      <c r="R459" s="7" t="n"/>
      <c r="S459" s="7" t="n"/>
      <c r="T459" s="7" t="n"/>
      <c r="U459" s="12">
        <f>IF(A459="","",IF(OR(J459="",L459=""),"建議補聯絡紀錄","") )</f>
        <v/>
      </c>
    </row>
    <row r="460" ht="24" customHeight="1">
      <c r="A460" s="7" t="n"/>
      <c r="B460" s="7" t="n"/>
      <c r="C460" s="12">
        <f>IF($A460="","",IFERROR(INDEX(土地清冊_匯入!$B$6:$B$1005,MATCH($A460,土地清冊_匯入!$A$6:$A$1005,0)),"查無資料"))</f>
        <v/>
      </c>
      <c r="D460" s="12">
        <f>IF($A460="","",IFERROR(INDEX(土地清冊_匯入!$P$6:$P$1005,MATCH($A460,土地清冊_匯入!$A$6:$A$1005,0)),""))</f>
        <v/>
      </c>
      <c r="E460" s="12">
        <f>IF($A460="","",IFERROR(INDEX(土地清冊_匯入!$Q$6:$Q$1005,MATCH($A460,土地清冊_匯入!$A$6:$A$1005,0)),""))</f>
        <v/>
      </c>
      <c r="F460" s="12">
        <f>IF($A460="","",IFERROR(INDEX(土地清冊_匯入!$R$6:$R$1005,MATCH($A460,土地清冊_匯入!$A$6:$A$1005,0)),""))</f>
        <v/>
      </c>
      <c r="G460" s="12">
        <f>IF($A460="","",IFERROR(INDEX(土地清冊_匯入!$S$6:$S$1005,MATCH($A460,土地清冊_匯入!$A$6:$A$1005,0)),""))</f>
        <v/>
      </c>
      <c r="H460" s="12">
        <f>IF($A460="","",IFERROR(INDEX(土地清冊_匯入!$T$6:$T$1005,MATCH($A460,土地清冊_匯入!$A$6:$A$1005,0)),""))</f>
        <v/>
      </c>
      <c r="I460" s="12">
        <f>IF($A460="","",IFERROR(INDEX(土地清冊_匯入!$V$6:$V$1005,MATCH($A460,土地清冊_匯入!$A$6:$A$1005,0)),""))</f>
        <v/>
      </c>
      <c r="J460" s="14" t="n"/>
      <c r="K460" s="7" t="n"/>
      <c r="L460" s="7" t="n"/>
      <c r="M460" s="7" t="n"/>
      <c r="N460" s="7" t="n"/>
      <c r="O460" s="7" t="n"/>
      <c r="P460" s="7" t="n"/>
      <c r="Q460" s="14" t="n"/>
      <c r="R460" s="7" t="n"/>
      <c r="S460" s="7" t="n"/>
      <c r="T460" s="7" t="n"/>
      <c r="U460" s="12">
        <f>IF(A460="","",IF(OR(J460="",L460=""),"建議補聯絡紀錄","") )</f>
        <v/>
      </c>
    </row>
    <row r="461" ht="24" customHeight="1">
      <c r="A461" s="7" t="n"/>
      <c r="B461" s="7" t="n"/>
      <c r="C461" s="12">
        <f>IF($A461="","",IFERROR(INDEX(土地清冊_匯入!$B$6:$B$1005,MATCH($A461,土地清冊_匯入!$A$6:$A$1005,0)),"查無資料"))</f>
        <v/>
      </c>
      <c r="D461" s="12">
        <f>IF($A461="","",IFERROR(INDEX(土地清冊_匯入!$P$6:$P$1005,MATCH($A461,土地清冊_匯入!$A$6:$A$1005,0)),""))</f>
        <v/>
      </c>
      <c r="E461" s="12">
        <f>IF($A461="","",IFERROR(INDEX(土地清冊_匯入!$Q$6:$Q$1005,MATCH($A461,土地清冊_匯入!$A$6:$A$1005,0)),""))</f>
        <v/>
      </c>
      <c r="F461" s="12">
        <f>IF($A461="","",IFERROR(INDEX(土地清冊_匯入!$R$6:$R$1005,MATCH($A461,土地清冊_匯入!$A$6:$A$1005,0)),""))</f>
        <v/>
      </c>
      <c r="G461" s="12">
        <f>IF($A461="","",IFERROR(INDEX(土地清冊_匯入!$S$6:$S$1005,MATCH($A461,土地清冊_匯入!$A$6:$A$1005,0)),""))</f>
        <v/>
      </c>
      <c r="H461" s="12">
        <f>IF($A461="","",IFERROR(INDEX(土地清冊_匯入!$T$6:$T$1005,MATCH($A461,土地清冊_匯入!$A$6:$A$1005,0)),""))</f>
        <v/>
      </c>
      <c r="I461" s="12">
        <f>IF($A461="","",IFERROR(INDEX(土地清冊_匯入!$V$6:$V$1005,MATCH($A461,土地清冊_匯入!$A$6:$A$1005,0)),""))</f>
        <v/>
      </c>
      <c r="J461" s="14" t="n"/>
      <c r="K461" s="7" t="n"/>
      <c r="L461" s="7" t="n"/>
      <c r="M461" s="7" t="n"/>
      <c r="N461" s="7" t="n"/>
      <c r="O461" s="7" t="n"/>
      <c r="P461" s="7" t="n"/>
      <c r="Q461" s="14" t="n"/>
      <c r="R461" s="7" t="n"/>
      <c r="S461" s="7" t="n"/>
      <c r="T461" s="7" t="n"/>
      <c r="U461" s="12">
        <f>IF(A461="","",IF(OR(J461="",L461=""),"建議補聯絡紀錄","") )</f>
        <v/>
      </c>
    </row>
    <row r="462" ht="24" customHeight="1">
      <c r="A462" s="7" t="n"/>
      <c r="B462" s="7" t="n"/>
      <c r="C462" s="12">
        <f>IF($A462="","",IFERROR(INDEX(土地清冊_匯入!$B$6:$B$1005,MATCH($A462,土地清冊_匯入!$A$6:$A$1005,0)),"查無資料"))</f>
        <v/>
      </c>
      <c r="D462" s="12">
        <f>IF($A462="","",IFERROR(INDEX(土地清冊_匯入!$P$6:$P$1005,MATCH($A462,土地清冊_匯入!$A$6:$A$1005,0)),""))</f>
        <v/>
      </c>
      <c r="E462" s="12">
        <f>IF($A462="","",IFERROR(INDEX(土地清冊_匯入!$Q$6:$Q$1005,MATCH($A462,土地清冊_匯入!$A$6:$A$1005,0)),""))</f>
        <v/>
      </c>
      <c r="F462" s="12">
        <f>IF($A462="","",IFERROR(INDEX(土地清冊_匯入!$R$6:$R$1005,MATCH($A462,土地清冊_匯入!$A$6:$A$1005,0)),""))</f>
        <v/>
      </c>
      <c r="G462" s="12">
        <f>IF($A462="","",IFERROR(INDEX(土地清冊_匯入!$S$6:$S$1005,MATCH($A462,土地清冊_匯入!$A$6:$A$1005,0)),""))</f>
        <v/>
      </c>
      <c r="H462" s="12">
        <f>IF($A462="","",IFERROR(INDEX(土地清冊_匯入!$T$6:$T$1005,MATCH($A462,土地清冊_匯入!$A$6:$A$1005,0)),""))</f>
        <v/>
      </c>
      <c r="I462" s="12">
        <f>IF($A462="","",IFERROR(INDEX(土地清冊_匯入!$V$6:$V$1005,MATCH($A462,土地清冊_匯入!$A$6:$A$1005,0)),""))</f>
        <v/>
      </c>
      <c r="J462" s="14" t="n"/>
      <c r="K462" s="7" t="n"/>
      <c r="L462" s="7" t="n"/>
      <c r="M462" s="7" t="n"/>
      <c r="N462" s="7" t="n"/>
      <c r="O462" s="7" t="n"/>
      <c r="P462" s="7" t="n"/>
      <c r="Q462" s="14" t="n"/>
      <c r="R462" s="7" t="n"/>
      <c r="S462" s="7" t="n"/>
      <c r="T462" s="7" t="n"/>
      <c r="U462" s="12">
        <f>IF(A462="","",IF(OR(J462="",L462=""),"建議補聯絡紀錄","") )</f>
        <v/>
      </c>
    </row>
    <row r="463" ht="24" customHeight="1">
      <c r="A463" s="7" t="n"/>
      <c r="B463" s="7" t="n"/>
      <c r="C463" s="12">
        <f>IF($A463="","",IFERROR(INDEX(土地清冊_匯入!$B$6:$B$1005,MATCH($A463,土地清冊_匯入!$A$6:$A$1005,0)),"查無資料"))</f>
        <v/>
      </c>
      <c r="D463" s="12">
        <f>IF($A463="","",IFERROR(INDEX(土地清冊_匯入!$P$6:$P$1005,MATCH($A463,土地清冊_匯入!$A$6:$A$1005,0)),""))</f>
        <v/>
      </c>
      <c r="E463" s="12">
        <f>IF($A463="","",IFERROR(INDEX(土地清冊_匯入!$Q$6:$Q$1005,MATCH($A463,土地清冊_匯入!$A$6:$A$1005,0)),""))</f>
        <v/>
      </c>
      <c r="F463" s="12">
        <f>IF($A463="","",IFERROR(INDEX(土地清冊_匯入!$R$6:$R$1005,MATCH($A463,土地清冊_匯入!$A$6:$A$1005,0)),""))</f>
        <v/>
      </c>
      <c r="G463" s="12">
        <f>IF($A463="","",IFERROR(INDEX(土地清冊_匯入!$S$6:$S$1005,MATCH($A463,土地清冊_匯入!$A$6:$A$1005,0)),""))</f>
        <v/>
      </c>
      <c r="H463" s="12">
        <f>IF($A463="","",IFERROR(INDEX(土地清冊_匯入!$T$6:$T$1005,MATCH($A463,土地清冊_匯入!$A$6:$A$1005,0)),""))</f>
        <v/>
      </c>
      <c r="I463" s="12">
        <f>IF($A463="","",IFERROR(INDEX(土地清冊_匯入!$V$6:$V$1005,MATCH($A463,土地清冊_匯入!$A$6:$A$1005,0)),""))</f>
        <v/>
      </c>
      <c r="J463" s="14" t="n"/>
      <c r="K463" s="7" t="n"/>
      <c r="L463" s="7" t="n"/>
      <c r="M463" s="7" t="n"/>
      <c r="N463" s="7" t="n"/>
      <c r="O463" s="7" t="n"/>
      <c r="P463" s="7" t="n"/>
      <c r="Q463" s="14" t="n"/>
      <c r="R463" s="7" t="n"/>
      <c r="S463" s="7" t="n"/>
      <c r="T463" s="7" t="n"/>
      <c r="U463" s="12">
        <f>IF(A463="","",IF(OR(J463="",L463=""),"建議補聯絡紀錄","") )</f>
        <v/>
      </c>
    </row>
    <row r="464" ht="24" customHeight="1">
      <c r="A464" s="7" t="n"/>
      <c r="B464" s="7" t="n"/>
      <c r="C464" s="12">
        <f>IF($A464="","",IFERROR(INDEX(土地清冊_匯入!$B$6:$B$1005,MATCH($A464,土地清冊_匯入!$A$6:$A$1005,0)),"查無資料"))</f>
        <v/>
      </c>
      <c r="D464" s="12">
        <f>IF($A464="","",IFERROR(INDEX(土地清冊_匯入!$P$6:$P$1005,MATCH($A464,土地清冊_匯入!$A$6:$A$1005,0)),""))</f>
        <v/>
      </c>
      <c r="E464" s="12">
        <f>IF($A464="","",IFERROR(INDEX(土地清冊_匯入!$Q$6:$Q$1005,MATCH($A464,土地清冊_匯入!$A$6:$A$1005,0)),""))</f>
        <v/>
      </c>
      <c r="F464" s="12">
        <f>IF($A464="","",IFERROR(INDEX(土地清冊_匯入!$R$6:$R$1005,MATCH($A464,土地清冊_匯入!$A$6:$A$1005,0)),""))</f>
        <v/>
      </c>
      <c r="G464" s="12">
        <f>IF($A464="","",IFERROR(INDEX(土地清冊_匯入!$S$6:$S$1005,MATCH($A464,土地清冊_匯入!$A$6:$A$1005,0)),""))</f>
        <v/>
      </c>
      <c r="H464" s="12">
        <f>IF($A464="","",IFERROR(INDEX(土地清冊_匯入!$T$6:$T$1005,MATCH($A464,土地清冊_匯入!$A$6:$A$1005,0)),""))</f>
        <v/>
      </c>
      <c r="I464" s="12">
        <f>IF($A464="","",IFERROR(INDEX(土地清冊_匯入!$V$6:$V$1005,MATCH($A464,土地清冊_匯入!$A$6:$A$1005,0)),""))</f>
        <v/>
      </c>
      <c r="J464" s="14" t="n"/>
      <c r="K464" s="7" t="n"/>
      <c r="L464" s="7" t="n"/>
      <c r="M464" s="7" t="n"/>
      <c r="N464" s="7" t="n"/>
      <c r="O464" s="7" t="n"/>
      <c r="P464" s="7" t="n"/>
      <c r="Q464" s="14" t="n"/>
      <c r="R464" s="7" t="n"/>
      <c r="S464" s="7" t="n"/>
      <c r="T464" s="7" t="n"/>
      <c r="U464" s="12">
        <f>IF(A464="","",IF(OR(J464="",L464=""),"建議補聯絡紀錄","") )</f>
        <v/>
      </c>
    </row>
    <row r="465" ht="24" customHeight="1">
      <c r="A465" s="7" t="n"/>
      <c r="B465" s="7" t="n"/>
      <c r="C465" s="12">
        <f>IF($A465="","",IFERROR(INDEX(土地清冊_匯入!$B$6:$B$1005,MATCH($A465,土地清冊_匯入!$A$6:$A$1005,0)),"查無資料"))</f>
        <v/>
      </c>
      <c r="D465" s="12">
        <f>IF($A465="","",IFERROR(INDEX(土地清冊_匯入!$P$6:$P$1005,MATCH($A465,土地清冊_匯入!$A$6:$A$1005,0)),""))</f>
        <v/>
      </c>
      <c r="E465" s="12">
        <f>IF($A465="","",IFERROR(INDEX(土地清冊_匯入!$Q$6:$Q$1005,MATCH($A465,土地清冊_匯入!$A$6:$A$1005,0)),""))</f>
        <v/>
      </c>
      <c r="F465" s="12">
        <f>IF($A465="","",IFERROR(INDEX(土地清冊_匯入!$R$6:$R$1005,MATCH($A465,土地清冊_匯入!$A$6:$A$1005,0)),""))</f>
        <v/>
      </c>
      <c r="G465" s="12">
        <f>IF($A465="","",IFERROR(INDEX(土地清冊_匯入!$S$6:$S$1005,MATCH($A465,土地清冊_匯入!$A$6:$A$1005,0)),""))</f>
        <v/>
      </c>
      <c r="H465" s="12">
        <f>IF($A465="","",IFERROR(INDEX(土地清冊_匯入!$T$6:$T$1005,MATCH($A465,土地清冊_匯入!$A$6:$A$1005,0)),""))</f>
        <v/>
      </c>
      <c r="I465" s="12">
        <f>IF($A465="","",IFERROR(INDEX(土地清冊_匯入!$V$6:$V$1005,MATCH($A465,土地清冊_匯入!$A$6:$A$1005,0)),""))</f>
        <v/>
      </c>
      <c r="J465" s="14" t="n"/>
      <c r="K465" s="7" t="n"/>
      <c r="L465" s="7" t="n"/>
      <c r="M465" s="7" t="n"/>
      <c r="N465" s="7" t="n"/>
      <c r="O465" s="7" t="n"/>
      <c r="P465" s="7" t="n"/>
      <c r="Q465" s="14" t="n"/>
      <c r="R465" s="7" t="n"/>
      <c r="S465" s="7" t="n"/>
      <c r="T465" s="7" t="n"/>
      <c r="U465" s="12">
        <f>IF(A465="","",IF(OR(J465="",L465=""),"建議補聯絡紀錄","") )</f>
        <v/>
      </c>
    </row>
    <row r="466" ht="24" customHeight="1">
      <c r="A466" s="7" t="n"/>
      <c r="B466" s="7" t="n"/>
      <c r="C466" s="12">
        <f>IF($A466="","",IFERROR(INDEX(土地清冊_匯入!$B$6:$B$1005,MATCH($A466,土地清冊_匯入!$A$6:$A$1005,0)),"查無資料"))</f>
        <v/>
      </c>
      <c r="D466" s="12">
        <f>IF($A466="","",IFERROR(INDEX(土地清冊_匯入!$P$6:$P$1005,MATCH($A466,土地清冊_匯入!$A$6:$A$1005,0)),""))</f>
        <v/>
      </c>
      <c r="E466" s="12">
        <f>IF($A466="","",IFERROR(INDEX(土地清冊_匯入!$Q$6:$Q$1005,MATCH($A466,土地清冊_匯入!$A$6:$A$1005,0)),""))</f>
        <v/>
      </c>
      <c r="F466" s="12">
        <f>IF($A466="","",IFERROR(INDEX(土地清冊_匯入!$R$6:$R$1005,MATCH($A466,土地清冊_匯入!$A$6:$A$1005,0)),""))</f>
        <v/>
      </c>
      <c r="G466" s="12">
        <f>IF($A466="","",IFERROR(INDEX(土地清冊_匯入!$S$6:$S$1005,MATCH($A466,土地清冊_匯入!$A$6:$A$1005,0)),""))</f>
        <v/>
      </c>
      <c r="H466" s="12">
        <f>IF($A466="","",IFERROR(INDEX(土地清冊_匯入!$T$6:$T$1005,MATCH($A466,土地清冊_匯入!$A$6:$A$1005,0)),""))</f>
        <v/>
      </c>
      <c r="I466" s="12">
        <f>IF($A466="","",IFERROR(INDEX(土地清冊_匯入!$V$6:$V$1005,MATCH($A466,土地清冊_匯入!$A$6:$A$1005,0)),""))</f>
        <v/>
      </c>
      <c r="J466" s="14" t="n"/>
      <c r="K466" s="7" t="n"/>
      <c r="L466" s="7" t="n"/>
      <c r="M466" s="7" t="n"/>
      <c r="N466" s="7" t="n"/>
      <c r="O466" s="7" t="n"/>
      <c r="P466" s="7" t="n"/>
      <c r="Q466" s="14" t="n"/>
      <c r="R466" s="7" t="n"/>
      <c r="S466" s="7" t="n"/>
      <c r="T466" s="7" t="n"/>
      <c r="U466" s="12">
        <f>IF(A466="","",IF(OR(J466="",L466=""),"建議補聯絡紀錄","") )</f>
        <v/>
      </c>
    </row>
    <row r="467" ht="24" customHeight="1">
      <c r="A467" s="7" t="n"/>
      <c r="B467" s="7" t="n"/>
      <c r="C467" s="12">
        <f>IF($A467="","",IFERROR(INDEX(土地清冊_匯入!$B$6:$B$1005,MATCH($A467,土地清冊_匯入!$A$6:$A$1005,0)),"查無資料"))</f>
        <v/>
      </c>
      <c r="D467" s="12">
        <f>IF($A467="","",IFERROR(INDEX(土地清冊_匯入!$P$6:$P$1005,MATCH($A467,土地清冊_匯入!$A$6:$A$1005,0)),""))</f>
        <v/>
      </c>
      <c r="E467" s="12">
        <f>IF($A467="","",IFERROR(INDEX(土地清冊_匯入!$Q$6:$Q$1005,MATCH($A467,土地清冊_匯入!$A$6:$A$1005,0)),""))</f>
        <v/>
      </c>
      <c r="F467" s="12">
        <f>IF($A467="","",IFERROR(INDEX(土地清冊_匯入!$R$6:$R$1005,MATCH($A467,土地清冊_匯入!$A$6:$A$1005,0)),""))</f>
        <v/>
      </c>
      <c r="G467" s="12">
        <f>IF($A467="","",IFERROR(INDEX(土地清冊_匯入!$S$6:$S$1005,MATCH($A467,土地清冊_匯入!$A$6:$A$1005,0)),""))</f>
        <v/>
      </c>
      <c r="H467" s="12">
        <f>IF($A467="","",IFERROR(INDEX(土地清冊_匯入!$T$6:$T$1005,MATCH($A467,土地清冊_匯入!$A$6:$A$1005,0)),""))</f>
        <v/>
      </c>
      <c r="I467" s="12">
        <f>IF($A467="","",IFERROR(INDEX(土地清冊_匯入!$V$6:$V$1005,MATCH($A467,土地清冊_匯入!$A$6:$A$1005,0)),""))</f>
        <v/>
      </c>
      <c r="J467" s="14" t="n"/>
      <c r="K467" s="7" t="n"/>
      <c r="L467" s="7" t="n"/>
      <c r="M467" s="7" t="n"/>
      <c r="N467" s="7" t="n"/>
      <c r="O467" s="7" t="n"/>
      <c r="P467" s="7" t="n"/>
      <c r="Q467" s="14" t="n"/>
      <c r="R467" s="7" t="n"/>
      <c r="S467" s="7" t="n"/>
      <c r="T467" s="7" t="n"/>
      <c r="U467" s="12">
        <f>IF(A467="","",IF(OR(J467="",L467=""),"建議補聯絡紀錄","") )</f>
        <v/>
      </c>
    </row>
    <row r="468" ht="24" customHeight="1">
      <c r="A468" s="7" t="n"/>
      <c r="B468" s="7" t="n"/>
      <c r="C468" s="12">
        <f>IF($A468="","",IFERROR(INDEX(土地清冊_匯入!$B$6:$B$1005,MATCH($A468,土地清冊_匯入!$A$6:$A$1005,0)),"查無資料"))</f>
        <v/>
      </c>
      <c r="D468" s="12">
        <f>IF($A468="","",IFERROR(INDEX(土地清冊_匯入!$P$6:$P$1005,MATCH($A468,土地清冊_匯入!$A$6:$A$1005,0)),""))</f>
        <v/>
      </c>
      <c r="E468" s="12">
        <f>IF($A468="","",IFERROR(INDEX(土地清冊_匯入!$Q$6:$Q$1005,MATCH($A468,土地清冊_匯入!$A$6:$A$1005,0)),""))</f>
        <v/>
      </c>
      <c r="F468" s="12">
        <f>IF($A468="","",IFERROR(INDEX(土地清冊_匯入!$R$6:$R$1005,MATCH($A468,土地清冊_匯入!$A$6:$A$1005,0)),""))</f>
        <v/>
      </c>
      <c r="G468" s="12">
        <f>IF($A468="","",IFERROR(INDEX(土地清冊_匯入!$S$6:$S$1005,MATCH($A468,土地清冊_匯入!$A$6:$A$1005,0)),""))</f>
        <v/>
      </c>
      <c r="H468" s="12">
        <f>IF($A468="","",IFERROR(INDEX(土地清冊_匯入!$T$6:$T$1005,MATCH($A468,土地清冊_匯入!$A$6:$A$1005,0)),""))</f>
        <v/>
      </c>
      <c r="I468" s="12">
        <f>IF($A468="","",IFERROR(INDEX(土地清冊_匯入!$V$6:$V$1005,MATCH($A468,土地清冊_匯入!$A$6:$A$1005,0)),""))</f>
        <v/>
      </c>
      <c r="J468" s="14" t="n"/>
      <c r="K468" s="7" t="n"/>
      <c r="L468" s="7" t="n"/>
      <c r="M468" s="7" t="n"/>
      <c r="N468" s="7" t="n"/>
      <c r="O468" s="7" t="n"/>
      <c r="P468" s="7" t="n"/>
      <c r="Q468" s="14" t="n"/>
      <c r="R468" s="7" t="n"/>
      <c r="S468" s="7" t="n"/>
      <c r="T468" s="7" t="n"/>
      <c r="U468" s="12">
        <f>IF(A468="","",IF(OR(J468="",L468=""),"建議補聯絡紀錄","") )</f>
        <v/>
      </c>
    </row>
    <row r="469" ht="24" customHeight="1">
      <c r="A469" s="7" t="n"/>
      <c r="B469" s="7" t="n"/>
      <c r="C469" s="12">
        <f>IF($A469="","",IFERROR(INDEX(土地清冊_匯入!$B$6:$B$1005,MATCH($A469,土地清冊_匯入!$A$6:$A$1005,0)),"查無資料"))</f>
        <v/>
      </c>
      <c r="D469" s="12">
        <f>IF($A469="","",IFERROR(INDEX(土地清冊_匯入!$P$6:$P$1005,MATCH($A469,土地清冊_匯入!$A$6:$A$1005,0)),""))</f>
        <v/>
      </c>
      <c r="E469" s="12">
        <f>IF($A469="","",IFERROR(INDEX(土地清冊_匯入!$Q$6:$Q$1005,MATCH($A469,土地清冊_匯入!$A$6:$A$1005,0)),""))</f>
        <v/>
      </c>
      <c r="F469" s="12">
        <f>IF($A469="","",IFERROR(INDEX(土地清冊_匯入!$R$6:$R$1005,MATCH($A469,土地清冊_匯入!$A$6:$A$1005,0)),""))</f>
        <v/>
      </c>
      <c r="G469" s="12">
        <f>IF($A469="","",IFERROR(INDEX(土地清冊_匯入!$S$6:$S$1005,MATCH($A469,土地清冊_匯入!$A$6:$A$1005,0)),""))</f>
        <v/>
      </c>
      <c r="H469" s="12">
        <f>IF($A469="","",IFERROR(INDEX(土地清冊_匯入!$T$6:$T$1005,MATCH($A469,土地清冊_匯入!$A$6:$A$1005,0)),""))</f>
        <v/>
      </c>
      <c r="I469" s="12">
        <f>IF($A469="","",IFERROR(INDEX(土地清冊_匯入!$V$6:$V$1005,MATCH($A469,土地清冊_匯入!$A$6:$A$1005,0)),""))</f>
        <v/>
      </c>
      <c r="J469" s="14" t="n"/>
      <c r="K469" s="7" t="n"/>
      <c r="L469" s="7" t="n"/>
      <c r="M469" s="7" t="n"/>
      <c r="N469" s="7" t="n"/>
      <c r="O469" s="7" t="n"/>
      <c r="P469" s="7" t="n"/>
      <c r="Q469" s="14" t="n"/>
      <c r="R469" s="7" t="n"/>
      <c r="S469" s="7" t="n"/>
      <c r="T469" s="7" t="n"/>
      <c r="U469" s="12">
        <f>IF(A469="","",IF(OR(J469="",L469=""),"建議補聯絡紀錄","") )</f>
        <v/>
      </c>
    </row>
    <row r="470" ht="24" customHeight="1">
      <c r="A470" s="7" t="n"/>
      <c r="B470" s="7" t="n"/>
      <c r="C470" s="12">
        <f>IF($A470="","",IFERROR(INDEX(土地清冊_匯入!$B$6:$B$1005,MATCH($A470,土地清冊_匯入!$A$6:$A$1005,0)),"查無資料"))</f>
        <v/>
      </c>
      <c r="D470" s="12">
        <f>IF($A470="","",IFERROR(INDEX(土地清冊_匯入!$P$6:$P$1005,MATCH($A470,土地清冊_匯入!$A$6:$A$1005,0)),""))</f>
        <v/>
      </c>
      <c r="E470" s="12">
        <f>IF($A470="","",IFERROR(INDEX(土地清冊_匯入!$Q$6:$Q$1005,MATCH($A470,土地清冊_匯入!$A$6:$A$1005,0)),""))</f>
        <v/>
      </c>
      <c r="F470" s="12">
        <f>IF($A470="","",IFERROR(INDEX(土地清冊_匯入!$R$6:$R$1005,MATCH($A470,土地清冊_匯入!$A$6:$A$1005,0)),""))</f>
        <v/>
      </c>
      <c r="G470" s="12">
        <f>IF($A470="","",IFERROR(INDEX(土地清冊_匯入!$S$6:$S$1005,MATCH($A470,土地清冊_匯入!$A$6:$A$1005,0)),""))</f>
        <v/>
      </c>
      <c r="H470" s="12">
        <f>IF($A470="","",IFERROR(INDEX(土地清冊_匯入!$T$6:$T$1005,MATCH($A470,土地清冊_匯入!$A$6:$A$1005,0)),""))</f>
        <v/>
      </c>
      <c r="I470" s="12">
        <f>IF($A470="","",IFERROR(INDEX(土地清冊_匯入!$V$6:$V$1005,MATCH($A470,土地清冊_匯入!$A$6:$A$1005,0)),""))</f>
        <v/>
      </c>
      <c r="J470" s="14" t="n"/>
      <c r="K470" s="7" t="n"/>
      <c r="L470" s="7" t="n"/>
      <c r="M470" s="7" t="n"/>
      <c r="N470" s="7" t="n"/>
      <c r="O470" s="7" t="n"/>
      <c r="P470" s="7" t="n"/>
      <c r="Q470" s="14" t="n"/>
      <c r="R470" s="7" t="n"/>
      <c r="S470" s="7" t="n"/>
      <c r="T470" s="7" t="n"/>
      <c r="U470" s="12">
        <f>IF(A470="","",IF(OR(J470="",L470=""),"建議補聯絡紀錄","") )</f>
        <v/>
      </c>
    </row>
    <row r="471" ht="24" customHeight="1">
      <c r="A471" s="7" t="n"/>
      <c r="B471" s="7" t="n"/>
      <c r="C471" s="12">
        <f>IF($A471="","",IFERROR(INDEX(土地清冊_匯入!$B$6:$B$1005,MATCH($A471,土地清冊_匯入!$A$6:$A$1005,0)),"查無資料"))</f>
        <v/>
      </c>
      <c r="D471" s="12">
        <f>IF($A471="","",IFERROR(INDEX(土地清冊_匯入!$P$6:$P$1005,MATCH($A471,土地清冊_匯入!$A$6:$A$1005,0)),""))</f>
        <v/>
      </c>
      <c r="E471" s="12">
        <f>IF($A471="","",IFERROR(INDEX(土地清冊_匯入!$Q$6:$Q$1005,MATCH($A471,土地清冊_匯入!$A$6:$A$1005,0)),""))</f>
        <v/>
      </c>
      <c r="F471" s="12">
        <f>IF($A471="","",IFERROR(INDEX(土地清冊_匯入!$R$6:$R$1005,MATCH($A471,土地清冊_匯入!$A$6:$A$1005,0)),""))</f>
        <v/>
      </c>
      <c r="G471" s="12">
        <f>IF($A471="","",IFERROR(INDEX(土地清冊_匯入!$S$6:$S$1005,MATCH($A471,土地清冊_匯入!$A$6:$A$1005,0)),""))</f>
        <v/>
      </c>
      <c r="H471" s="12">
        <f>IF($A471="","",IFERROR(INDEX(土地清冊_匯入!$T$6:$T$1005,MATCH($A471,土地清冊_匯入!$A$6:$A$1005,0)),""))</f>
        <v/>
      </c>
      <c r="I471" s="12">
        <f>IF($A471="","",IFERROR(INDEX(土地清冊_匯入!$V$6:$V$1005,MATCH($A471,土地清冊_匯入!$A$6:$A$1005,0)),""))</f>
        <v/>
      </c>
      <c r="J471" s="14" t="n"/>
      <c r="K471" s="7" t="n"/>
      <c r="L471" s="7" t="n"/>
      <c r="M471" s="7" t="n"/>
      <c r="N471" s="7" t="n"/>
      <c r="O471" s="7" t="n"/>
      <c r="P471" s="7" t="n"/>
      <c r="Q471" s="14" t="n"/>
      <c r="R471" s="7" t="n"/>
      <c r="S471" s="7" t="n"/>
      <c r="T471" s="7" t="n"/>
      <c r="U471" s="12">
        <f>IF(A471="","",IF(OR(J471="",L471=""),"建議補聯絡紀錄","") )</f>
        <v/>
      </c>
    </row>
    <row r="472" ht="24" customHeight="1">
      <c r="A472" s="7" t="n"/>
      <c r="B472" s="7" t="n"/>
      <c r="C472" s="12">
        <f>IF($A472="","",IFERROR(INDEX(土地清冊_匯入!$B$6:$B$1005,MATCH($A472,土地清冊_匯入!$A$6:$A$1005,0)),"查無資料"))</f>
        <v/>
      </c>
      <c r="D472" s="12">
        <f>IF($A472="","",IFERROR(INDEX(土地清冊_匯入!$P$6:$P$1005,MATCH($A472,土地清冊_匯入!$A$6:$A$1005,0)),""))</f>
        <v/>
      </c>
      <c r="E472" s="12">
        <f>IF($A472="","",IFERROR(INDEX(土地清冊_匯入!$Q$6:$Q$1005,MATCH($A472,土地清冊_匯入!$A$6:$A$1005,0)),""))</f>
        <v/>
      </c>
      <c r="F472" s="12">
        <f>IF($A472="","",IFERROR(INDEX(土地清冊_匯入!$R$6:$R$1005,MATCH($A472,土地清冊_匯入!$A$6:$A$1005,0)),""))</f>
        <v/>
      </c>
      <c r="G472" s="12">
        <f>IF($A472="","",IFERROR(INDEX(土地清冊_匯入!$S$6:$S$1005,MATCH($A472,土地清冊_匯入!$A$6:$A$1005,0)),""))</f>
        <v/>
      </c>
      <c r="H472" s="12">
        <f>IF($A472="","",IFERROR(INDEX(土地清冊_匯入!$T$6:$T$1005,MATCH($A472,土地清冊_匯入!$A$6:$A$1005,0)),""))</f>
        <v/>
      </c>
      <c r="I472" s="12">
        <f>IF($A472="","",IFERROR(INDEX(土地清冊_匯入!$V$6:$V$1005,MATCH($A472,土地清冊_匯入!$A$6:$A$1005,0)),""))</f>
        <v/>
      </c>
      <c r="J472" s="14" t="n"/>
      <c r="K472" s="7" t="n"/>
      <c r="L472" s="7" t="n"/>
      <c r="M472" s="7" t="n"/>
      <c r="N472" s="7" t="n"/>
      <c r="O472" s="7" t="n"/>
      <c r="P472" s="7" t="n"/>
      <c r="Q472" s="14" t="n"/>
      <c r="R472" s="7" t="n"/>
      <c r="S472" s="7" t="n"/>
      <c r="T472" s="7" t="n"/>
      <c r="U472" s="12">
        <f>IF(A472="","",IF(OR(J472="",L472=""),"建議補聯絡紀錄","") )</f>
        <v/>
      </c>
    </row>
    <row r="473" ht="24" customHeight="1">
      <c r="A473" s="7" t="n"/>
      <c r="B473" s="7" t="n"/>
      <c r="C473" s="12">
        <f>IF($A473="","",IFERROR(INDEX(土地清冊_匯入!$B$6:$B$1005,MATCH($A473,土地清冊_匯入!$A$6:$A$1005,0)),"查無資料"))</f>
        <v/>
      </c>
      <c r="D473" s="12">
        <f>IF($A473="","",IFERROR(INDEX(土地清冊_匯入!$P$6:$P$1005,MATCH($A473,土地清冊_匯入!$A$6:$A$1005,0)),""))</f>
        <v/>
      </c>
      <c r="E473" s="12">
        <f>IF($A473="","",IFERROR(INDEX(土地清冊_匯入!$Q$6:$Q$1005,MATCH($A473,土地清冊_匯入!$A$6:$A$1005,0)),""))</f>
        <v/>
      </c>
      <c r="F473" s="12">
        <f>IF($A473="","",IFERROR(INDEX(土地清冊_匯入!$R$6:$R$1005,MATCH($A473,土地清冊_匯入!$A$6:$A$1005,0)),""))</f>
        <v/>
      </c>
      <c r="G473" s="12">
        <f>IF($A473="","",IFERROR(INDEX(土地清冊_匯入!$S$6:$S$1005,MATCH($A473,土地清冊_匯入!$A$6:$A$1005,0)),""))</f>
        <v/>
      </c>
      <c r="H473" s="12">
        <f>IF($A473="","",IFERROR(INDEX(土地清冊_匯入!$T$6:$T$1005,MATCH($A473,土地清冊_匯入!$A$6:$A$1005,0)),""))</f>
        <v/>
      </c>
      <c r="I473" s="12">
        <f>IF($A473="","",IFERROR(INDEX(土地清冊_匯入!$V$6:$V$1005,MATCH($A473,土地清冊_匯入!$A$6:$A$1005,0)),""))</f>
        <v/>
      </c>
      <c r="J473" s="14" t="n"/>
      <c r="K473" s="7" t="n"/>
      <c r="L473" s="7" t="n"/>
      <c r="M473" s="7" t="n"/>
      <c r="N473" s="7" t="n"/>
      <c r="O473" s="7" t="n"/>
      <c r="P473" s="7" t="n"/>
      <c r="Q473" s="14" t="n"/>
      <c r="R473" s="7" t="n"/>
      <c r="S473" s="7" t="n"/>
      <c r="T473" s="7" t="n"/>
      <c r="U473" s="12">
        <f>IF(A473="","",IF(OR(J473="",L473=""),"建議補聯絡紀錄","") )</f>
        <v/>
      </c>
    </row>
    <row r="474" ht="24" customHeight="1">
      <c r="A474" s="7" t="n"/>
      <c r="B474" s="7" t="n"/>
      <c r="C474" s="12">
        <f>IF($A474="","",IFERROR(INDEX(土地清冊_匯入!$B$6:$B$1005,MATCH($A474,土地清冊_匯入!$A$6:$A$1005,0)),"查無資料"))</f>
        <v/>
      </c>
      <c r="D474" s="12">
        <f>IF($A474="","",IFERROR(INDEX(土地清冊_匯入!$P$6:$P$1005,MATCH($A474,土地清冊_匯入!$A$6:$A$1005,0)),""))</f>
        <v/>
      </c>
      <c r="E474" s="12">
        <f>IF($A474="","",IFERROR(INDEX(土地清冊_匯入!$Q$6:$Q$1005,MATCH($A474,土地清冊_匯入!$A$6:$A$1005,0)),""))</f>
        <v/>
      </c>
      <c r="F474" s="12">
        <f>IF($A474="","",IFERROR(INDEX(土地清冊_匯入!$R$6:$R$1005,MATCH($A474,土地清冊_匯入!$A$6:$A$1005,0)),""))</f>
        <v/>
      </c>
      <c r="G474" s="12">
        <f>IF($A474="","",IFERROR(INDEX(土地清冊_匯入!$S$6:$S$1005,MATCH($A474,土地清冊_匯入!$A$6:$A$1005,0)),""))</f>
        <v/>
      </c>
      <c r="H474" s="12">
        <f>IF($A474="","",IFERROR(INDEX(土地清冊_匯入!$T$6:$T$1005,MATCH($A474,土地清冊_匯入!$A$6:$A$1005,0)),""))</f>
        <v/>
      </c>
      <c r="I474" s="12">
        <f>IF($A474="","",IFERROR(INDEX(土地清冊_匯入!$V$6:$V$1005,MATCH($A474,土地清冊_匯入!$A$6:$A$1005,0)),""))</f>
        <v/>
      </c>
      <c r="J474" s="14" t="n"/>
      <c r="K474" s="7" t="n"/>
      <c r="L474" s="7" t="n"/>
      <c r="M474" s="7" t="n"/>
      <c r="N474" s="7" t="n"/>
      <c r="O474" s="7" t="n"/>
      <c r="P474" s="7" t="n"/>
      <c r="Q474" s="14" t="n"/>
      <c r="R474" s="7" t="n"/>
      <c r="S474" s="7" t="n"/>
      <c r="T474" s="7" t="n"/>
      <c r="U474" s="12">
        <f>IF(A474="","",IF(OR(J474="",L474=""),"建議補聯絡紀錄","") )</f>
        <v/>
      </c>
    </row>
    <row r="475" ht="24" customHeight="1">
      <c r="A475" s="7" t="n"/>
      <c r="B475" s="7" t="n"/>
      <c r="C475" s="12">
        <f>IF($A475="","",IFERROR(INDEX(土地清冊_匯入!$B$6:$B$1005,MATCH($A475,土地清冊_匯入!$A$6:$A$1005,0)),"查無資料"))</f>
        <v/>
      </c>
      <c r="D475" s="12">
        <f>IF($A475="","",IFERROR(INDEX(土地清冊_匯入!$P$6:$P$1005,MATCH($A475,土地清冊_匯入!$A$6:$A$1005,0)),""))</f>
        <v/>
      </c>
      <c r="E475" s="12">
        <f>IF($A475="","",IFERROR(INDEX(土地清冊_匯入!$Q$6:$Q$1005,MATCH($A475,土地清冊_匯入!$A$6:$A$1005,0)),""))</f>
        <v/>
      </c>
      <c r="F475" s="12">
        <f>IF($A475="","",IFERROR(INDEX(土地清冊_匯入!$R$6:$R$1005,MATCH($A475,土地清冊_匯入!$A$6:$A$1005,0)),""))</f>
        <v/>
      </c>
      <c r="G475" s="12">
        <f>IF($A475="","",IFERROR(INDEX(土地清冊_匯入!$S$6:$S$1005,MATCH($A475,土地清冊_匯入!$A$6:$A$1005,0)),""))</f>
        <v/>
      </c>
      <c r="H475" s="12">
        <f>IF($A475="","",IFERROR(INDEX(土地清冊_匯入!$T$6:$T$1005,MATCH($A475,土地清冊_匯入!$A$6:$A$1005,0)),""))</f>
        <v/>
      </c>
      <c r="I475" s="12">
        <f>IF($A475="","",IFERROR(INDEX(土地清冊_匯入!$V$6:$V$1005,MATCH($A475,土地清冊_匯入!$A$6:$A$1005,0)),""))</f>
        <v/>
      </c>
      <c r="J475" s="14" t="n"/>
      <c r="K475" s="7" t="n"/>
      <c r="L475" s="7" t="n"/>
      <c r="M475" s="7" t="n"/>
      <c r="N475" s="7" t="n"/>
      <c r="O475" s="7" t="n"/>
      <c r="P475" s="7" t="n"/>
      <c r="Q475" s="14" t="n"/>
      <c r="R475" s="7" t="n"/>
      <c r="S475" s="7" t="n"/>
      <c r="T475" s="7" t="n"/>
      <c r="U475" s="12">
        <f>IF(A475="","",IF(OR(J475="",L475=""),"建議補聯絡紀錄","") )</f>
        <v/>
      </c>
    </row>
    <row r="476" ht="24" customHeight="1">
      <c r="A476" s="7" t="n"/>
      <c r="B476" s="7" t="n"/>
      <c r="C476" s="12">
        <f>IF($A476="","",IFERROR(INDEX(土地清冊_匯入!$B$6:$B$1005,MATCH($A476,土地清冊_匯入!$A$6:$A$1005,0)),"查無資料"))</f>
        <v/>
      </c>
      <c r="D476" s="12">
        <f>IF($A476="","",IFERROR(INDEX(土地清冊_匯入!$P$6:$P$1005,MATCH($A476,土地清冊_匯入!$A$6:$A$1005,0)),""))</f>
        <v/>
      </c>
      <c r="E476" s="12">
        <f>IF($A476="","",IFERROR(INDEX(土地清冊_匯入!$Q$6:$Q$1005,MATCH($A476,土地清冊_匯入!$A$6:$A$1005,0)),""))</f>
        <v/>
      </c>
      <c r="F476" s="12">
        <f>IF($A476="","",IFERROR(INDEX(土地清冊_匯入!$R$6:$R$1005,MATCH($A476,土地清冊_匯入!$A$6:$A$1005,0)),""))</f>
        <v/>
      </c>
      <c r="G476" s="12">
        <f>IF($A476="","",IFERROR(INDEX(土地清冊_匯入!$S$6:$S$1005,MATCH($A476,土地清冊_匯入!$A$6:$A$1005,0)),""))</f>
        <v/>
      </c>
      <c r="H476" s="12">
        <f>IF($A476="","",IFERROR(INDEX(土地清冊_匯入!$T$6:$T$1005,MATCH($A476,土地清冊_匯入!$A$6:$A$1005,0)),""))</f>
        <v/>
      </c>
      <c r="I476" s="12">
        <f>IF($A476="","",IFERROR(INDEX(土地清冊_匯入!$V$6:$V$1005,MATCH($A476,土地清冊_匯入!$A$6:$A$1005,0)),""))</f>
        <v/>
      </c>
      <c r="J476" s="14" t="n"/>
      <c r="K476" s="7" t="n"/>
      <c r="L476" s="7" t="n"/>
      <c r="M476" s="7" t="n"/>
      <c r="N476" s="7" t="n"/>
      <c r="O476" s="7" t="n"/>
      <c r="P476" s="7" t="n"/>
      <c r="Q476" s="14" t="n"/>
      <c r="R476" s="7" t="n"/>
      <c r="S476" s="7" t="n"/>
      <c r="T476" s="7" t="n"/>
      <c r="U476" s="12">
        <f>IF(A476="","",IF(OR(J476="",L476=""),"建議補聯絡紀錄","") )</f>
        <v/>
      </c>
    </row>
    <row r="477" ht="24" customHeight="1">
      <c r="A477" s="7" t="n"/>
      <c r="B477" s="7" t="n"/>
      <c r="C477" s="12">
        <f>IF($A477="","",IFERROR(INDEX(土地清冊_匯入!$B$6:$B$1005,MATCH($A477,土地清冊_匯入!$A$6:$A$1005,0)),"查無資料"))</f>
        <v/>
      </c>
      <c r="D477" s="12">
        <f>IF($A477="","",IFERROR(INDEX(土地清冊_匯入!$P$6:$P$1005,MATCH($A477,土地清冊_匯入!$A$6:$A$1005,0)),""))</f>
        <v/>
      </c>
      <c r="E477" s="12">
        <f>IF($A477="","",IFERROR(INDEX(土地清冊_匯入!$Q$6:$Q$1005,MATCH($A477,土地清冊_匯入!$A$6:$A$1005,0)),""))</f>
        <v/>
      </c>
      <c r="F477" s="12">
        <f>IF($A477="","",IFERROR(INDEX(土地清冊_匯入!$R$6:$R$1005,MATCH($A477,土地清冊_匯入!$A$6:$A$1005,0)),""))</f>
        <v/>
      </c>
      <c r="G477" s="12">
        <f>IF($A477="","",IFERROR(INDEX(土地清冊_匯入!$S$6:$S$1005,MATCH($A477,土地清冊_匯入!$A$6:$A$1005,0)),""))</f>
        <v/>
      </c>
      <c r="H477" s="12">
        <f>IF($A477="","",IFERROR(INDEX(土地清冊_匯入!$T$6:$T$1005,MATCH($A477,土地清冊_匯入!$A$6:$A$1005,0)),""))</f>
        <v/>
      </c>
      <c r="I477" s="12">
        <f>IF($A477="","",IFERROR(INDEX(土地清冊_匯入!$V$6:$V$1005,MATCH($A477,土地清冊_匯入!$A$6:$A$1005,0)),""))</f>
        <v/>
      </c>
      <c r="J477" s="14" t="n"/>
      <c r="K477" s="7" t="n"/>
      <c r="L477" s="7" t="n"/>
      <c r="M477" s="7" t="n"/>
      <c r="N477" s="7" t="n"/>
      <c r="O477" s="7" t="n"/>
      <c r="P477" s="7" t="n"/>
      <c r="Q477" s="14" t="n"/>
      <c r="R477" s="7" t="n"/>
      <c r="S477" s="7" t="n"/>
      <c r="T477" s="7" t="n"/>
      <c r="U477" s="12">
        <f>IF(A477="","",IF(OR(J477="",L477=""),"建議補聯絡紀錄","") )</f>
        <v/>
      </c>
    </row>
    <row r="478" ht="24" customHeight="1">
      <c r="A478" s="7" t="n"/>
      <c r="B478" s="7" t="n"/>
      <c r="C478" s="12">
        <f>IF($A478="","",IFERROR(INDEX(土地清冊_匯入!$B$6:$B$1005,MATCH($A478,土地清冊_匯入!$A$6:$A$1005,0)),"查無資料"))</f>
        <v/>
      </c>
      <c r="D478" s="12">
        <f>IF($A478="","",IFERROR(INDEX(土地清冊_匯入!$P$6:$P$1005,MATCH($A478,土地清冊_匯入!$A$6:$A$1005,0)),""))</f>
        <v/>
      </c>
      <c r="E478" s="12">
        <f>IF($A478="","",IFERROR(INDEX(土地清冊_匯入!$Q$6:$Q$1005,MATCH($A478,土地清冊_匯入!$A$6:$A$1005,0)),""))</f>
        <v/>
      </c>
      <c r="F478" s="12">
        <f>IF($A478="","",IFERROR(INDEX(土地清冊_匯入!$R$6:$R$1005,MATCH($A478,土地清冊_匯入!$A$6:$A$1005,0)),""))</f>
        <v/>
      </c>
      <c r="G478" s="12">
        <f>IF($A478="","",IFERROR(INDEX(土地清冊_匯入!$S$6:$S$1005,MATCH($A478,土地清冊_匯入!$A$6:$A$1005,0)),""))</f>
        <v/>
      </c>
      <c r="H478" s="12">
        <f>IF($A478="","",IFERROR(INDEX(土地清冊_匯入!$T$6:$T$1005,MATCH($A478,土地清冊_匯入!$A$6:$A$1005,0)),""))</f>
        <v/>
      </c>
      <c r="I478" s="12">
        <f>IF($A478="","",IFERROR(INDEX(土地清冊_匯入!$V$6:$V$1005,MATCH($A478,土地清冊_匯入!$A$6:$A$1005,0)),""))</f>
        <v/>
      </c>
      <c r="J478" s="14" t="n"/>
      <c r="K478" s="7" t="n"/>
      <c r="L478" s="7" t="n"/>
      <c r="M478" s="7" t="n"/>
      <c r="N478" s="7" t="n"/>
      <c r="O478" s="7" t="n"/>
      <c r="P478" s="7" t="n"/>
      <c r="Q478" s="14" t="n"/>
      <c r="R478" s="7" t="n"/>
      <c r="S478" s="7" t="n"/>
      <c r="T478" s="7" t="n"/>
      <c r="U478" s="12">
        <f>IF(A478="","",IF(OR(J478="",L478=""),"建議補聯絡紀錄","") )</f>
        <v/>
      </c>
    </row>
    <row r="479" ht="24" customHeight="1">
      <c r="A479" s="7" t="n"/>
      <c r="B479" s="7" t="n"/>
      <c r="C479" s="12">
        <f>IF($A479="","",IFERROR(INDEX(土地清冊_匯入!$B$6:$B$1005,MATCH($A479,土地清冊_匯入!$A$6:$A$1005,0)),"查無資料"))</f>
        <v/>
      </c>
      <c r="D479" s="12">
        <f>IF($A479="","",IFERROR(INDEX(土地清冊_匯入!$P$6:$P$1005,MATCH($A479,土地清冊_匯入!$A$6:$A$1005,0)),""))</f>
        <v/>
      </c>
      <c r="E479" s="12">
        <f>IF($A479="","",IFERROR(INDEX(土地清冊_匯入!$Q$6:$Q$1005,MATCH($A479,土地清冊_匯入!$A$6:$A$1005,0)),""))</f>
        <v/>
      </c>
      <c r="F479" s="12">
        <f>IF($A479="","",IFERROR(INDEX(土地清冊_匯入!$R$6:$R$1005,MATCH($A479,土地清冊_匯入!$A$6:$A$1005,0)),""))</f>
        <v/>
      </c>
      <c r="G479" s="12">
        <f>IF($A479="","",IFERROR(INDEX(土地清冊_匯入!$S$6:$S$1005,MATCH($A479,土地清冊_匯入!$A$6:$A$1005,0)),""))</f>
        <v/>
      </c>
      <c r="H479" s="12">
        <f>IF($A479="","",IFERROR(INDEX(土地清冊_匯入!$T$6:$T$1005,MATCH($A479,土地清冊_匯入!$A$6:$A$1005,0)),""))</f>
        <v/>
      </c>
      <c r="I479" s="12">
        <f>IF($A479="","",IFERROR(INDEX(土地清冊_匯入!$V$6:$V$1005,MATCH($A479,土地清冊_匯入!$A$6:$A$1005,0)),""))</f>
        <v/>
      </c>
      <c r="J479" s="14" t="n"/>
      <c r="K479" s="7" t="n"/>
      <c r="L479" s="7" t="n"/>
      <c r="M479" s="7" t="n"/>
      <c r="N479" s="7" t="n"/>
      <c r="O479" s="7" t="n"/>
      <c r="P479" s="7" t="n"/>
      <c r="Q479" s="14" t="n"/>
      <c r="R479" s="7" t="n"/>
      <c r="S479" s="7" t="n"/>
      <c r="T479" s="7" t="n"/>
      <c r="U479" s="12">
        <f>IF(A479="","",IF(OR(J479="",L479=""),"建議補聯絡紀錄","") )</f>
        <v/>
      </c>
    </row>
    <row r="480" ht="24" customHeight="1">
      <c r="A480" s="7" t="n"/>
      <c r="B480" s="7" t="n"/>
      <c r="C480" s="12">
        <f>IF($A480="","",IFERROR(INDEX(土地清冊_匯入!$B$6:$B$1005,MATCH($A480,土地清冊_匯入!$A$6:$A$1005,0)),"查無資料"))</f>
        <v/>
      </c>
      <c r="D480" s="12">
        <f>IF($A480="","",IFERROR(INDEX(土地清冊_匯入!$P$6:$P$1005,MATCH($A480,土地清冊_匯入!$A$6:$A$1005,0)),""))</f>
        <v/>
      </c>
      <c r="E480" s="12">
        <f>IF($A480="","",IFERROR(INDEX(土地清冊_匯入!$Q$6:$Q$1005,MATCH($A480,土地清冊_匯入!$A$6:$A$1005,0)),""))</f>
        <v/>
      </c>
      <c r="F480" s="12">
        <f>IF($A480="","",IFERROR(INDEX(土地清冊_匯入!$R$6:$R$1005,MATCH($A480,土地清冊_匯入!$A$6:$A$1005,0)),""))</f>
        <v/>
      </c>
      <c r="G480" s="12">
        <f>IF($A480="","",IFERROR(INDEX(土地清冊_匯入!$S$6:$S$1005,MATCH($A480,土地清冊_匯入!$A$6:$A$1005,0)),""))</f>
        <v/>
      </c>
      <c r="H480" s="12">
        <f>IF($A480="","",IFERROR(INDEX(土地清冊_匯入!$T$6:$T$1005,MATCH($A480,土地清冊_匯入!$A$6:$A$1005,0)),""))</f>
        <v/>
      </c>
      <c r="I480" s="12">
        <f>IF($A480="","",IFERROR(INDEX(土地清冊_匯入!$V$6:$V$1005,MATCH($A480,土地清冊_匯入!$A$6:$A$1005,0)),""))</f>
        <v/>
      </c>
      <c r="J480" s="14" t="n"/>
      <c r="K480" s="7" t="n"/>
      <c r="L480" s="7" t="n"/>
      <c r="M480" s="7" t="n"/>
      <c r="N480" s="7" t="n"/>
      <c r="O480" s="7" t="n"/>
      <c r="P480" s="7" t="n"/>
      <c r="Q480" s="14" t="n"/>
      <c r="R480" s="7" t="n"/>
      <c r="S480" s="7" t="n"/>
      <c r="T480" s="7" t="n"/>
      <c r="U480" s="12">
        <f>IF(A480="","",IF(OR(J480="",L480=""),"建議補聯絡紀錄","") )</f>
        <v/>
      </c>
    </row>
    <row r="481" ht="24" customHeight="1">
      <c r="A481" s="7" t="n"/>
      <c r="B481" s="7" t="n"/>
      <c r="C481" s="12">
        <f>IF($A481="","",IFERROR(INDEX(土地清冊_匯入!$B$6:$B$1005,MATCH($A481,土地清冊_匯入!$A$6:$A$1005,0)),"查無資料"))</f>
        <v/>
      </c>
      <c r="D481" s="12">
        <f>IF($A481="","",IFERROR(INDEX(土地清冊_匯入!$P$6:$P$1005,MATCH($A481,土地清冊_匯入!$A$6:$A$1005,0)),""))</f>
        <v/>
      </c>
      <c r="E481" s="12">
        <f>IF($A481="","",IFERROR(INDEX(土地清冊_匯入!$Q$6:$Q$1005,MATCH($A481,土地清冊_匯入!$A$6:$A$1005,0)),""))</f>
        <v/>
      </c>
      <c r="F481" s="12">
        <f>IF($A481="","",IFERROR(INDEX(土地清冊_匯入!$R$6:$R$1005,MATCH($A481,土地清冊_匯入!$A$6:$A$1005,0)),""))</f>
        <v/>
      </c>
      <c r="G481" s="12">
        <f>IF($A481="","",IFERROR(INDEX(土地清冊_匯入!$S$6:$S$1005,MATCH($A481,土地清冊_匯入!$A$6:$A$1005,0)),""))</f>
        <v/>
      </c>
      <c r="H481" s="12">
        <f>IF($A481="","",IFERROR(INDEX(土地清冊_匯入!$T$6:$T$1005,MATCH($A481,土地清冊_匯入!$A$6:$A$1005,0)),""))</f>
        <v/>
      </c>
      <c r="I481" s="12">
        <f>IF($A481="","",IFERROR(INDEX(土地清冊_匯入!$V$6:$V$1005,MATCH($A481,土地清冊_匯入!$A$6:$A$1005,0)),""))</f>
        <v/>
      </c>
      <c r="J481" s="14" t="n"/>
      <c r="K481" s="7" t="n"/>
      <c r="L481" s="7" t="n"/>
      <c r="M481" s="7" t="n"/>
      <c r="N481" s="7" t="n"/>
      <c r="O481" s="7" t="n"/>
      <c r="P481" s="7" t="n"/>
      <c r="Q481" s="14" t="n"/>
      <c r="R481" s="7" t="n"/>
      <c r="S481" s="7" t="n"/>
      <c r="T481" s="7" t="n"/>
      <c r="U481" s="12">
        <f>IF(A481="","",IF(OR(J481="",L481=""),"建議補聯絡紀錄","") )</f>
        <v/>
      </c>
    </row>
    <row r="482" ht="24" customHeight="1">
      <c r="A482" s="7" t="n"/>
      <c r="B482" s="7" t="n"/>
      <c r="C482" s="12">
        <f>IF($A482="","",IFERROR(INDEX(土地清冊_匯入!$B$6:$B$1005,MATCH($A482,土地清冊_匯入!$A$6:$A$1005,0)),"查無資料"))</f>
        <v/>
      </c>
      <c r="D482" s="12">
        <f>IF($A482="","",IFERROR(INDEX(土地清冊_匯入!$P$6:$P$1005,MATCH($A482,土地清冊_匯入!$A$6:$A$1005,0)),""))</f>
        <v/>
      </c>
      <c r="E482" s="12">
        <f>IF($A482="","",IFERROR(INDEX(土地清冊_匯入!$Q$6:$Q$1005,MATCH($A482,土地清冊_匯入!$A$6:$A$1005,0)),""))</f>
        <v/>
      </c>
      <c r="F482" s="12">
        <f>IF($A482="","",IFERROR(INDEX(土地清冊_匯入!$R$6:$R$1005,MATCH($A482,土地清冊_匯入!$A$6:$A$1005,0)),""))</f>
        <v/>
      </c>
      <c r="G482" s="12">
        <f>IF($A482="","",IFERROR(INDEX(土地清冊_匯入!$S$6:$S$1005,MATCH($A482,土地清冊_匯入!$A$6:$A$1005,0)),""))</f>
        <v/>
      </c>
      <c r="H482" s="12">
        <f>IF($A482="","",IFERROR(INDEX(土地清冊_匯入!$T$6:$T$1005,MATCH($A482,土地清冊_匯入!$A$6:$A$1005,0)),""))</f>
        <v/>
      </c>
      <c r="I482" s="12">
        <f>IF($A482="","",IFERROR(INDEX(土地清冊_匯入!$V$6:$V$1005,MATCH($A482,土地清冊_匯入!$A$6:$A$1005,0)),""))</f>
        <v/>
      </c>
      <c r="J482" s="14" t="n"/>
      <c r="K482" s="7" t="n"/>
      <c r="L482" s="7" t="n"/>
      <c r="M482" s="7" t="n"/>
      <c r="N482" s="7" t="n"/>
      <c r="O482" s="7" t="n"/>
      <c r="P482" s="7" t="n"/>
      <c r="Q482" s="14" t="n"/>
      <c r="R482" s="7" t="n"/>
      <c r="S482" s="7" t="n"/>
      <c r="T482" s="7" t="n"/>
      <c r="U482" s="12">
        <f>IF(A482="","",IF(OR(J482="",L482=""),"建議補聯絡紀錄","") )</f>
        <v/>
      </c>
    </row>
    <row r="483" ht="24" customHeight="1">
      <c r="A483" s="7" t="n"/>
      <c r="B483" s="7" t="n"/>
      <c r="C483" s="12">
        <f>IF($A483="","",IFERROR(INDEX(土地清冊_匯入!$B$6:$B$1005,MATCH($A483,土地清冊_匯入!$A$6:$A$1005,0)),"查無資料"))</f>
        <v/>
      </c>
      <c r="D483" s="12">
        <f>IF($A483="","",IFERROR(INDEX(土地清冊_匯入!$P$6:$P$1005,MATCH($A483,土地清冊_匯入!$A$6:$A$1005,0)),""))</f>
        <v/>
      </c>
      <c r="E483" s="12">
        <f>IF($A483="","",IFERROR(INDEX(土地清冊_匯入!$Q$6:$Q$1005,MATCH($A483,土地清冊_匯入!$A$6:$A$1005,0)),""))</f>
        <v/>
      </c>
      <c r="F483" s="12">
        <f>IF($A483="","",IFERROR(INDEX(土地清冊_匯入!$R$6:$R$1005,MATCH($A483,土地清冊_匯入!$A$6:$A$1005,0)),""))</f>
        <v/>
      </c>
      <c r="G483" s="12">
        <f>IF($A483="","",IFERROR(INDEX(土地清冊_匯入!$S$6:$S$1005,MATCH($A483,土地清冊_匯入!$A$6:$A$1005,0)),""))</f>
        <v/>
      </c>
      <c r="H483" s="12">
        <f>IF($A483="","",IFERROR(INDEX(土地清冊_匯入!$T$6:$T$1005,MATCH($A483,土地清冊_匯入!$A$6:$A$1005,0)),""))</f>
        <v/>
      </c>
      <c r="I483" s="12">
        <f>IF($A483="","",IFERROR(INDEX(土地清冊_匯入!$V$6:$V$1005,MATCH($A483,土地清冊_匯入!$A$6:$A$1005,0)),""))</f>
        <v/>
      </c>
      <c r="J483" s="14" t="n"/>
      <c r="K483" s="7" t="n"/>
      <c r="L483" s="7" t="n"/>
      <c r="M483" s="7" t="n"/>
      <c r="N483" s="7" t="n"/>
      <c r="O483" s="7" t="n"/>
      <c r="P483" s="7" t="n"/>
      <c r="Q483" s="14" t="n"/>
      <c r="R483" s="7" t="n"/>
      <c r="S483" s="7" t="n"/>
      <c r="T483" s="7" t="n"/>
      <c r="U483" s="12">
        <f>IF(A483="","",IF(OR(J483="",L483=""),"建議補聯絡紀錄","") )</f>
        <v/>
      </c>
    </row>
    <row r="484" ht="24" customHeight="1">
      <c r="A484" s="7" t="n"/>
      <c r="B484" s="7" t="n"/>
      <c r="C484" s="12">
        <f>IF($A484="","",IFERROR(INDEX(土地清冊_匯入!$B$6:$B$1005,MATCH($A484,土地清冊_匯入!$A$6:$A$1005,0)),"查無資料"))</f>
        <v/>
      </c>
      <c r="D484" s="12">
        <f>IF($A484="","",IFERROR(INDEX(土地清冊_匯入!$P$6:$P$1005,MATCH($A484,土地清冊_匯入!$A$6:$A$1005,0)),""))</f>
        <v/>
      </c>
      <c r="E484" s="12">
        <f>IF($A484="","",IFERROR(INDEX(土地清冊_匯入!$Q$6:$Q$1005,MATCH($A484,土地清冊_匯入!$A$6:$A$1005,0)),""))</f>
        <v/>
      </c>
      <c r="F484" s="12">
        <f>IF($A484="","",IFERROR(INDEX(土地清冊_匯入!$R$6:$R$1005,MATCH($A484,土地清冊_匯入!$A$6:$A$1005,0)),""))</f>
        <v/>
      </c>
      <c r="G484" s="12">
        <f>IF($A484="","",IFERROR(INDEX(土地清冊_匯入!$S$6:$S$1005,MATCH($A484,土地清冊_匯入!$A$6:$A$1005,0)),""))</f>
        <v/>
      </c>
      <c r="H484" s="12">
        <f>IF($A484="","",IFERROR(INDEX(土地清冊_匯入!$T$6:$T$1005,MATCH($A484,土地清冊_匯入!$A$6:$A$1005,0)),""))</f>
        <v/>
      </c>
      <c r="I484" s="12">
        <f>IF($A484="","",IFERROR(INDEX(土地清冊_匯入!$V$6:$V$1005,MATCH($A484,土地清冊_匯入!$A$6:$A$1005,0)),""))</f>
        <v/>
      </c>
      <c r="J484" s="14" t="n"/>
      <c r="K484" s="7" t="n"/>
      <c r="L484" s="7" t="n"/>
      <c r="M484" s="7" t="n"/>
      <c r="N484" s="7" t="n"/>
      <c r="O484" s="7" t="n"/>
      <c r="P484" s="7" t="n"/>
      <c r="Q484" s="14" t="n"/>
      <c r="R484" s="7" t="n"/>
      <c r="S484" s="7" t="n"/>
      <c r="T484" s="7" t="n"/>
      <c r="U484" s="12">
        <f>IF(A484="","",IF(OR(J484="",L484=""),"建議補聯絡紀錄","") )</f>
        <v/>
      </c>
    </row>
    <row r="485" ht="24" customHeight="1">
      <c r="A485" s="7" t="n"/>
      <c r="B485" s="7" t="n"/>
      <c r="C485" s="12">
        <f>IF($A485="","",IFERROR(INDEX(土地清冊_匯入!$B$6:$B$1005,MATCH($A485,土地清冊_匯入!$A$6:$A$1005,0)),"查無資料"))</f>
        <v/>
      </c>
      <c r="D485" s="12">
        <f>IF($A485="","",IFERROR(INDEX(土地清冊_匯入!$P$6:$P$1005,MATCH($A485,土地清冊_匯入!$A$6:$A$1005,0)),""))</f>
        <v/>
      </c>
      <c r="E485" s="12">
        <f>IF($A485="","",IFERROR(INDEX(土地清冊_匯入!$Q$6:$Q$1005,MATCH($A485,土地清冊_匯入!$A$6:$A$1005,0)),""))</f>
        <v/>
      </c>
      <c r="F485" s="12">
        <f>IF($A485="","",IFERROR(INDEX(土地清冊_匯入!$R$6:$R$1005,MATCH($A485,土地清冊_匯入!$A$6:$A$1005,0)),""))</f>
        <v/>
      </c>
      <c r="G485" s="12">
        <f>IF($A485="","",IFERROR(INDEX(土地清冊_匯入!$S$6:$S$1005,MATCH($A485,土地清冊_匯入!$A$6:$A$1005,0)),""))</f>
        <v/>
      </c>
      <c r="H485" s="12">
        <f>IF($A485="","",IFERROR(INDEX(土地清冊_匯入!$T$6:$T$1005,MATCH($A485,土地清冊_匯入!$A$6:$A$1005,0)),""))</f>
        <v/>
      </c>
      <c r="I485" s="12">
        <f>IF($A485="","",IFERROR(INDEX(土地清冊_匯入!$V$6:$V$1005,MATCH($A485,土地清冊_匯入!$A$6:$A$1005,0)),""))</f>
        <v/>
      </c>
      <c r="J485" s="14" t="n"/>
      <c r="K485" s="7" t="n"/>
      <c r="L485" s="7" t="n"/>
      <c r="M485" s="7" t="n"/>
      <c r="N485" s="7" t="n"/>
      <c r="O485" s="7" t="n"/>
      <c r="P485" s="7" t="n"/>
      <c r="Q485" s="14" t="n"/>
      <c r="R485" s="7" t="n"/>
      <c r="S485" s="7" t="n"/>
      <c r="T485" s="7" t="n"/>
      <c r="U485" s="12">
        <f>IF(A485="","",IF(OR(J485="",L485=""),"建議補聯絡紀錄","") )</f>
        <v/>
      </c>
    </row>
    <row r="486" ht="24" customHeight="1">
      <c r="A486" s="7" t="n"/>
      <c r="B486" s="7" t="n"/>
      <c r="C486" s="12">
        <f>IF($A486="","",IFERROR(INDEX(土地清冊_匯入!$B$6:$B$1005,MATCH($A486,土地清冊_匯入!$A$6:$A$1005,0)),"查無資料"))</f>
        <v/>
      </c>
      <c r="D486" s="12">
        <f>IF($A486="","",IFERROR(INDEX(土地清冊_匯入!$P$6:$P$1005,MATCH($A486,土地清冊_匯入!$A$6:$A$1005,0)),""))</f>
        <v/>
      </c>
      <c r="E486" s="12">
        <f>IF($A486="","",IFERROR(INDEX(土地清冊_匯入!$Q$6:$Q$1005,MATCH($A486,土地清冊_匯入!$A$6:$A$1005,0)),""))</f>
        <v/>
      </c>
      <c r="F486" s="12">
        <f>IF($A486="","",IFERROR(INDEX(土地清冊_匯入!$R$6:$R$1005,MATCH($A486,土地清冊_匯入!$A$6:$A$1005,0)),""))</f>
        <v/>
      </c>
      <c r="G486" s="12">
        <f>IF($A486="","",IFERROR(INDEX(土地清冊_匯入!$S$6:$S$1005,MATCH($A486,土地清冊_匯入!$A$6:$A$1005,0)),""))</f>
        <v/>
      </c>
      <c r="H486" s="12">
        <f>IF($A486="","",IFERROR(INDEX(土地清冊_匯入!$T$6:$T$1005,MATCH($A486,土地清冊_匯入!$A$6:$A$1005,0)),""))</f>
        <v/>
      </c>
      <c r="I486" s="12">
        <f>IF($A486="","",IFERROR(INDEX(土地清冊_匯入!$V$6:$V$1005,MATCH($A486,土地清冊_匯入!$A$6:$A$1005,0)),""))</f>
        <v/>
      </c>
      <c r="J486" s="14" t="n"/>
      <c r="K486" s="7" t="n"/>
      <c r="L486" s="7" t="n"/>
      <c r="M486" s="7" t="n"/>
      <c r="N486" s="7" t="n"/>
      <c r="O486" s="7" t="n"/>
      <c r="P486" s="7" t="n"/>
      <c r="Q486" s="14" t="n"/>
      <c r="R486" s="7" t="n"/>
      <c r="S486" s="7" t="n"/>
      <c r="T486" s="7" t="n"/>
      <c r="U486" s="12">
        <f>IF(A486="","",IF(OR(J486="",L486=""),"建議補聯絡紀錄","") )</f>
        <v/>
      </c>
    </row>
    <row r="487" ht="24" customHeight="1">
      <c r="A487" s="7" t="n"/>
      <c r="B487" s="7" t="n"/>
      <c r="C487" s="12">
        <f>IF($A487="","",IFERROR(INDEX(土地清冊_匯入!$B$6:$B$1005,MATCH($A487,土地清冊_匯入!$A$6:$A$1005,0)),"查無資料"))</f>
        <v/>
      </c>
      <c r="D487" s="12">
        <f>IF($A487="","",IFERROR(INDEX(土地清冊_匯入!$P$6:$P$1005,MATCH($A487,土地清冊_匯入!$A$6:$A$1005,0)),""))</f>
        <v/>
      </c>
      <c r="E487" s="12">
        <f>IF($A487="","",IFERROR(INDEX(土地清冊_匯入!$Q$6:$Q$1005,MATCH($A487,土地清冊_匯入!$A$6:$A$1005,0)),""))</f>
        <v/>
      </c>
      <c r="F487" s="12">
        <f>IF($A487="","",IFERROR(INDEX(土地清冊_匯入!$R$6:$R$1005,MATCH($A487,土地清冊_匯入!$A$6:$A$1005,0)),""))</f>
        <v/>
      </c>
      <c r="G487" s="12">
        <f>IF($A487="","",IFERROR(INDEX(土地清冊_匯入!$S$6:$S$1005,MATCH($A487,土地清冊_匯入!$A$6:$A$1005,0)),""))</f>
        <v/>
      </c>
      <c r="H487" s="12">
        <f>IF($A487="","",IFERROR(INDEX(土地清冊_匯入!$T$6:$T$1005,MATCH($A487,土地清冊_匯入!$A$6:$A$1005,0)),""))</f>
        <v/>
      </c>
      <c r="I487" s="12">
        <f>IF($A487="","",IFERROR(INDEX(土地清冊_匯入!$V$6:$V$1005,MATCH($A487,土地清冊_匯入!$A$6:$A$1005,0)),""))</f>
        <v/>
      </c>
      <c r="J487" s="14" t="n"/>
      <c r="K487" s="7" t="n"/>
      <c r="L487" s="7" t="n"/>
      <c r="M487" s="7" t="n"/>
      <c r="N487" s="7" t="n"/>
      <c r="O487" s="7" t="n"/>
      <c r="P487" s="7" t="n"/>
      <c r="Q487" s="14" t="n"/>
      <c r="R487" s="7" t="n"/>
      <c r="S487" s="7" t="n"/>
      <c r="T487" s="7" t="n"/>
      <c r="U487" s="12">
        <f>IF(A487="","",IF(OR(J487="",L487=""),"建議補聯絡紀錄","") )</f>
        <v/>
      </c>
    </row>
    <row r="488" ht="24" customHeight="1">
      <c r="A488" s="7" t="n"/>
      <c r="B488" s="7" t="n"/>
      <c r="C488" s="12">
        <f>IF($A488="","",IFERROR(INDEX(土地清冊_匯入!$B$6:$B$1005,MATCH($A488,土地清冊_匯入!$A$6:$A$1005,0)),"查無資料"))</f>
        <v/>
      </c>
      <c r="D488" s="12">
        <f>IF($A488="","",IFERROR(INDEX(土地清冊_匯入!$P$6:$P$1005,MATCH($A488,土地清冊_匯入!$A$6:$A$1005,0)),""))</f>
        <v/>
      </c>
      <c r="E488" s="12">
        <f>IF($A488="","",IFERROR(INDEX(土地清冊_匯入!$Q$6:$Q$1005,MATCH($A488,土地清冊_匯入!$A$6:$A$1005,0)),""))</f>
        <v/>
      </c>
      <c r="F488" s="12">
        <f>IF($A488="","",IFERROR(INDEX(土地清冊_匯入!$R$6:$R$1005,MATCH($A488,土地清冊_匯入!$A$6:$A$1005,0)),""))</f>
        <v/>
      </c>
      <c r="G488" s="12">
        <f>IF($A488="","",IFERROR(INDEX(土地清冊_匯入!$S$6:$S$1005,MATCH($A488,土地清冊_匯入!$A$6:$A$1005,0)),""))</f>
        <v/>
      </c>
      <c r="H488" s="12">
        <f>IF($A488="","",IFERROR(INDEX(土地清冊_匯入!$T$6:$T$1005,MATCH($A488,土地清冊_匯入!$A$6:$A$1005,0)),""))</f>
        <v/>
      </c>
      <c r="I488" s="12">
        <f>IF($A488="","",IFERROR(INDEX(土地清冊_匯入!$V$6:$V$1005,MATCH($A488,土地清冊_匯入!$A$6:$A$1005,0)),""))</f>
        <v/>
      </c>
      <c r="J488" s="14" t="n"/>
      <c r="K488" s="7" t="n"/>
      <c r="L488" s="7" t="n"/>
      <c r="M488" s="7" t="n"/>
      <c r="N488" s="7" t="n"/>
      <c r="O488" s="7" t="n"/>
      <c r="P488" s="7" t="n"/>
      <c r="Q488" s="14" t="n"/>
      <c r="R488" s="7" t="n"/>
      <c r="S488" s="7" t="n"/>
      <c r="T488" s="7" t="n"/>
      <c r="U488" s="12">
        <f>IF(A488="","",IF(OR(J488="",L488=""),"建議補聯絡紀錄","") )</f>
        <v/>
      </c>
    </row>
    <row r="489" ht="24" customHeight="1">
      <c r="A489" s="7" t="n"/>
      <c r="B489" s="7" t="n"/>
      <c r="C489" s="12">
        <f>IF($A489="","",IFERROR(INDEX(土地清冊_匯入!$B$6:$B$1005,MATCH($A489,土地清冊_匯入!$A$6:$A$1005,0)),"查無資料"))</f>
        <v/>
      </c>
      <c r="D489" s="12">
        <f>IF($A489="","",IFERROR(INDEX(土地清冊_匯入!$P$6:$P$1005,MATCH($A489,土地清冊_匯入!$A$6:$A$1005,0)),""))</f>
        <v/>
      </c>
      <c r="E489" s="12">
        <f>IF($A489="","",IFERROR(INDEX(土地清冊_匯入!$Q$6:$Q$1005,MATCH($A489,土地清冊_匯入!$A$6:$A$1005,0)),""))</f>
        <v/>
      </c>
      <c r="F489" s="12">
        <f>IF($A489="","",IFERROR(INDEX(土地清冊_匯入!$R$6:$R$1005,MATCH($A489,土地清冊_匯入!$A$6:$A$1005,0)),""))</f>
        <v/>
      </c>
      <c r="G489" s="12">
        <f>IF($A489="","",IFERROR(INDEX(土地清冊_匯入!$S$6:$S$1005,MATCH($A489,土地清冊_匯入!$A$6:$A$1005,0)),""))</f>
        <v/>
      </c>
      <c r="H489" s="12">
        <f>IF($A489="","",IFERROR(INDEX(土地清冊_匯入!$T$6:$T$1005,MATCH($A489,土地清冊_匯入!$A$6:$A$1005,0)),""))</f>
        <v/>
      </c>
      <c r="I489" s="12">
        <f>IF($A489="","",IFERROR(INDEX(土地清冊_匯入!$V$6:$V$1005,MATCH($A489,土地清冊_匯入!$A$6:$A$1005,0)),""))</f>
        <v/>
      </c>
      <c r="J489" s="14" t="n"/>
      <c r="K489" s="7" t="n"/>
      <c r="L489" s="7" t="n"/>
      <c r="M489" s="7" t="n"/>
      <c r="N489" s="7" t="n"/>
      <c r="O489" s="7" t="n"/>
      <c r="P489" s="7" t="n"/>
      <c r="Q489" s="14" t="n"/>
      <c r="R489" s="7" t="n"/>
      <c r="S489" s="7" t="n"/>
      <c r="T489" s="7" t="n"/>
      <c r="U489" s="12">
        <f>IF(A489="","",IF(OR(J489="",L489=""),"建議補聯絡紀錄","") )</f>
        <v/>
      </c>
    </row>
    <row r="490" ht="24" customHeight="1">
      <c r="A490" s="7" t="n"/>
      <c r="B490" s="7" t="n"/>
      <c r="C490" s="12">
        <f>IF($A490="","",IFERROR(INDEX(土地清冊_匯入!$B$6:$B$1005,MATCH($A490,土地清冊_匯入!$A$6:$A$1005,0)),"查無資料"))</f>
        <v/>
      </c>
      <c r="D490" s="12">
        <f>IF($A490="","",IFERROR(INDEX(土地清冊_匯入!$P$6:$P$1005,MATCH($A490,土地清冊_匯入!$A$6:$A$1005,0)),""))</f>
        <v/>
      </c>
      <c r="E490" s="12">
        <f>IF($A490="","",IFERROR(INDEX(土地清冊_匯入!$Q$6:$Q$1005,MATCH($A490,土地清冊_匯入!$A$6:$A$1005,0)),""))</f>
        <v/>
      </c>
      <c r="F490" s="12">
        <f>IF($A490="","",IFERROR(INDEX(土地清冊_匯入!$R$6:$R$1005,MATCH($A490,土地清冊_匯入!$A$6:$A$1005,0)),""))</f>
        <v/>
      </c>
      <c r="G490" s="12">
        <f>IF($A490="","",IFERROR(INDEX(土地清冊_匯入!$S$6:$S$1005,MATCH($A490,土地清冊_匯入!$A$6:$A$1005,0)),""))</f>
        <v/>
      </c>
      <c r="H490" s="12">
        <f>IF($A490="","",IFERROR(INDEX(土地清冊_匯入!$T$6:$T$1005,MATCH($A490,土地清冊_匯入!$A$6:$A$1005,0)),""))</f>
        <v/>
      </c>
      <c r="I490" s="12">
        <f>IF($A490="","",IFERROR(INDEX(土地清冊_匯入!$V$6:$V$1005,MATCH($A490,土地清冊_匯入!$A$6:$A$1005,0)),""))</f>
        <v/>
      </c>
      <c r="J490" s="14" t="n"/>
      <c r="K490" s="7" t="n"/>
      <c r="L490" s="7" t="n"/>
      <c r="M490" s="7" t="n"/>
      <c r="N490" s="7" t="n"/>
      <c r="O490" s="7" t="n"/>
      <c r="P490" s="7" t="n"/>
      <c r="Q490" s="14" t="n"/>
      <c r="R490" s="7" t="n"/>
      <c r="S490" s="7" t="n"/>
      <c r="T490" s="7" t="n"/>
      <c r="U490" s="12">
        <f>IF(A490="","",IF(OR(J490="",L490=""),"建議補聯絡紀錄","") )</f>
        <v/>
      </c>
    </row>
    <row r="491" ht="24" customHeight="1">
      <c r="A491" s="7" t="n"/>
      <c r="B491" s="7" t="n"/>
      <c r="C491" s="12">
        <f>IF($A491="","",IFERROR(INDEX(土地清冊_匯入!$B$6:$B$1005,MATCH($A491,土地清冊_匯入!$A$6:$A$1005,0)),"查無資料"))</f>
        <v/>
      </c>
      <c r="D491" s="12">
        <f>IF($A491="","",IFERROR(INDEX(土地清冊_匯入!$P$6:$P$1005,MATCH($A491,土地清冊_匯入!$A$6:$A$1005,0)),""))</f>
        <v/>
      </c>
      <c r="E491" s="12">
        <f>IF($A491="","",IFERROR(INDEX(土地清冊_匯入!$Q$6:$Q$1005,MATCH($A491,土地清冊_匯入!$A$6:$A$1005,0)),""))</f>
        <v/>
      </c>
      <c r="F491" s="12">
        <f>IF($A491="","",IFERROR(INDEX(土地清冊_匯入!$R$6:$R$1005,MATCH($A491,土地清冊_匯入!$A$6:$A$1005,0)),""))</f>
        <v/>
      </c>
      <c r="G491" s="12">
        <f>IF($A491="","",IFERROR(INDEX(土地清冊_匯入!$S$6:$S$1005,MATCH($A491,土地清冊_匯入!$A$6:$A$1005,0)),""))</f>
        <v/>
      </c>
      <c r="H491" s="12">
        <f>IF($A491="","",IFERROR(INDEX(土地清冊_匯入!$T$6:$T$1005,MATCH($A491,土地清冊_匯入!$A$6:$A$1005,0)),""))</f>
        <v/>
      </c>
      <c r="I491" s="12">
        <f>IF($A491="","",IFERROR(INDEX(土地清冊_匯入!$V$6:$V$1005,MATCH($A491,土地清冊_匯入!$A$6:$A$1005,0)),""))</f>
        <v/>
      </c>
      <c r="J491" s="14" t="n"/>
      <c r="K491" s="7" t="n"/>
      <c r="L491" s="7" t="n"/>
      <c r="M491" s="7" t="n"/>
      <c r="N491" s="7" t="n"/>
      <c r="O491" s="7" t="n"/>
      <c r="P491" s="7" t="n"/>
      <c r="Q491" s="14" t="n"/>
      <c r="R491" s="7" t="n"/>
      <c r="S491" s="7" t="n"/>
      <c r="T491" s="7" t="n"/>
      <c r="U491" s="12">
        <f>IF(A491="","",IF(OR(J491="",L491=""),"建議補聯絡紀錄","") )</f>
        <v/>
      </c>
    </row>
    <row r="492" ht="24" customHeight="1">
      <c r="A492" s="7" t="n"/>
      <c r="B492" s="7" t="n"/>
      <c r="C492" s="12">
        <f>IF($A492="","",IFERROR(INDEX(土地清冊_匯入!$B$6:$B$1005,MATCH($A492,土地清冊_匯入!$A$6:$A$1005,0)),"查無資料"))</f>
        <v/>
      </c>
      <c r="D492" s="12">
        <f>IF($A492="","",IFERROR(INDEX(土地清冊_匯入!$P$6:$P$1005,MATCH($A492,土地清冊_匯入!$A$6:$A$1005,0)),""))</f>
        <v/>
      </c>
      <c r="E492" s="12">
        <f>IF($A492="","",IFERROR(INDEX(土地清冊_匯入!$Q$6:$Q$1005,MATCH($A492,土地清冊_匯入!$A$6:$A$1005,0)),""))</f>
        <v/>
      </c>
      <c r="F492" s="12">
        <f>IF($A492="","",IFERROR(INDEX(土地清冊_匯入!$R$6:$R$1005,MATCH($A492,土地清冊_匯入!$A$6:$A$1005,0)),""))</f>
        <v/>
      </c>
      <c r="G492" s="12">
        <f>IF($A492="","",IFERROR(INDEX(土地清冊_匯入!$S$6:$S$1005,MATCH($A492,土地清冊_匯入!$A$6:$A$1005,0)),""))</f>
        <v/>
      </c>
      <c r="H492" s="12">
        <f>IF($A492="","",IFERROR(INDEX(土地清冊_匯入!$T$6:$T$1005,MATCH($A492,土地清冊_匯入!$A$6:$A$1005,0)),""))</f>
        <v/>
      </c>
      <c r="I492" s="12">
        <f>IF($A492="","",IFERROR(INDEX(土地清冊_匯入!$V$6:$V$1005,MATCH($A492,土地清冊_匯入!$A$6:$A$1005,0)),""))</f>
        <v/>
      </c>
      <c r="J492" s="14" t="n"/>
      <c r="K492" s="7" t="n"/>
      <c r="L492" s="7" t="n"/>
      <c r="M492" s="7" t="n"/>
      <c r="N492" s="7" t="n"/>
      <c r="O492" s="7" t="n"/>
      <c r="P492" s="7" t="n"/>
      <c r="Q492" s="14" t="n"/>
      <c r="R492" s="7" t="n"/>
      <c r="S492" s="7" t="n"/>
      <c r="T492" s="7" t="n"/>
      <c r="U492" s="12">
        <f>IF(A492="","",IF(OR(J492="",L492=""),"建議補聯絡紀錄","") )</f>
        <v/>
      </c>
    </row>
    <row r="493" ht="24" customHeight="1">
      <c r="A493" s="7" t="n"/>
      <c r="B493" s="7" t="n"/>
      <c r="C493" s="12">
        <f>IF($A493="","",IFERROR(INDEX(土地清冊_匯入!$B$6:$B$1005,MATCH($A493,土地清冊_匯入!$A$6:$A$1005,0)),"查無資料"))</f>
        <v/>
      </c>
      <c r="D493" s="12">
        <f>IF($A493="","",IFERROR(INDEX(土地清冊_匯入!$P$6:$P$1005,MATCH($A493,土地清冊_匯入!$A$6:$A$1005,0)),""))</f>
        <v/>
      </c>
      <c r="E493" s="12">
        <f>IF($A493="","",IFERROR(INDEX(土地清冊_匯入!$Q$6:$Q$1005,MATCH($A493,土地清冊_匯入!$A$6:$A$1005,0)),""))</f>
        <v/>
      </c>
      <c r="F493" s="12">
        <f>IF($A493="","",IFERROR(INDEX(土地清冊_匯入!$R$6:$R$1005,MATCH($A493,土地清冊_匯入!$A$6:$A$1005,0)),""))</f>
        <v/>
      </c>
      <c r="G493" s="12">
        <f>IF($A493="","",IFERROR(INDEX(土地清冊_匯入!$S$6:$S$1005,MATCH($A493,土地清冊_匯入!$A$6:$A$1005,0)),""))</f>
        <v/>
      </c>
      <c r="H493" s="12">
        <f>IF($A493="","",IFERROR(INDEX(土地清冊_匯入!$T$6:$T$1005,MATCH($A493,土地清冊_匯入!$A$6:$A$1005,0)),""))</f>
        <v/>
      </c>
      <c r="I493" s="12">
        <f>IF($A493="","",IFERROR(INDEX(土地清冊_匯入!$V$6:$V$1005,MATCH($A493,土地清冊_匯入!$A$6:$A$1005,0)),""))</f>
        <v/>
      </c>
      <c r="J493" s="14" t="n"/>
      <c r="K493" s="7" t="n"/>
      <c r="L493" s="7" t="n"/>
      <c r="M493" s="7" t="n"/>
      <c r="N493" s="7" t="n"/>
      <c r="O493" s="7" t="n"/>
      <c r="P493" s="7" t="n"/>
      <c r="Q493" s="14" t="n"/>
      <c r="R493" s="7" t="n"/>
      <c r="S493" s="7" t="n"/>
      <c r="T493" s="7" t="n"/>
      <c r="U493" s="12">
        <f>IF(A493="","",IF(OR(J493="",L493=""),"建議補聯絡紀錄","") )</f>
        <v/>
      </c>
    </row>
    <row r="494" ht="24" customHeight="1">
      <c r="A494" s="7" t="n"/>
      <c r="B494" s="7" t="n"/>
      <c r="C494" s="12">
        <f>IF($A494="","",IFERROR(INDEX(土地清冊_匯入!$B$6:$B$1005,MATCH($A494,土地清冊_匯入!$A$6:$A$1005,0)),"查無資料"))</f>
        <v/>
      </c>
      <c r="D494" s="12">
        <f>IF($A494="","",IFERROR(INDEX(土地清冊_匯入!$P$6:$P$1005,MATCH($A494,土地清冊_匯入!$A$6:$A$1005,0)),""))</f>
        <v/>
      </c>
      <c r="E494" s="12">
        <f>IF($A494="","",IFERROR(INDEX(土地清冊_匯入!$Q$6:$Q$1005,MATCH($A494,土地清冊_匯入!$A$6:$A$1005,0)),""))</f>
        <v/>
      </c>
      <c r="F494" s="12">
        <f>IF($A494="","",IFERROR(INDEX(土地清冊_匯入!$R$6:$R$1005,MATCH($A494,土地清冊_匯入!$A$6:$A$1005,0)),""))</f>
        <v/>
      </c>
      <c r="G494" s="12">
        <f>IF($A494="","",IFERROR(INDEX(土地清冊_匯入!$S$6:$S$1005,MATCH($A494,土地清冊_匯入!$A$6:$A$1005,0)),""))</f>
        <v/>
      </c>
      <c r="H494" s="12">
        <f>IF($A494="","",IFERROR(INDEX(土地清冊_匯入!$T$6:$T$1005,MATCH($A494,土地清冊_匯入!$A$6:$A$1005,0)),""))</f>
        <v/>
      </c>
      <c r="I494" s="12">
        <f>IF($A494="","",IFERROR(INDEX(土地清冊_匯入!$V$6:$V$1005,MATCH($A494,土地清冊_匯入!$A$6:$A$1005,0)),""))</f>
        <v/>
      </c>
      <c r="J494" s="14" t="n"/>
      <c r="K494" s="7" t="n"/>
      <c r="L494" s="7" t="n"/>
      <c r="M494" s="7" t="n"/>
      <c r="N494" s="7" t="n"/>
      <c r="O494" s="7" t="n"/>
      <c r="P494" s="7" t="n"/>
      <c r="Q494" s="14" t="n"/>
      <c r="R494" s="7" t="n"/>
      <c r="S494" s="7" t="n"/>
      <c r="T494" s="7" t="n"/>
      <c r="U494" s="12">
        <f>IF(A494="","",IF(OR(J494="",L494=""),"建議補聯絡紀錄","") )</f>
        <v/>
      </c>
    </row>
    <row r="495" ht="24" customHeight="1">
      <c r="A495" s="7" t="n"/>
      <c r="B495" s="7" t="n"/>
      <c r="C495" s="12">
        <f>IF($A495="","",IFERROR(INDEX(土地清冊_匯入!$B$6:$B$1005,MATCH($A495,土地清冊_匯入!$A$6:$A$1005,0)),"查無資料"))</f>
        <v/>
      </c>
      <c r="D495" s="12">
        <f>IF($A495="","",IFERROR(INDEX(土地清冊_匯入!$P$6:$P$1005,MATCH($A495,土地清冊_匯入!$A$6:$A$1005,0)),""))</f>
        <v/>
      </c>
      <c r="E495" s="12">
        <f>IF($A495="","",IFERROR(INDEX(土地清冊_匯入!$Q$6:$Q$1005,MATCH($A495,土地清冊_匯入!$A$6:$A$1005,0)),""))</f>
        <v/>
      </c>
      <c r="F495" s="12">
        <f>IF($A495="","",IFERROR(INDEX(土地清冊_匯入!$R$6:$R$1005,MATCH($A495,土地清冊_匯入!$A$6:$A$1005,0)),""))</f>
        <v/>
      </c>
      <c r="G495" s="12">
        <f>IF($A495="","",IFERROR(INDEX(土地清冊_匯入!$S$6:$S$1005,MATCH($A495,土地清冊_匯入!$A$6:$A$1005,0)),""))</f>
        <v/>
      </c>
      <c r="H495" s="12">
        <f>IF($A495="","",IFERROR(INDEX(土地清冊_匯入!$T$6:$T$1005,MATCH($A495,土地清冊_匯入!$A$6:$A$1005,0)),""))</f>
        <v/>
      </c>
      <c r="I495" s="12">
        <f>IF($A495="","",IFERROR(INDEX(土地清冊_匯入!$V$6:$V$1005,MATCH($A495,土地清冊_匯入!$A$6:$A$1005,0)),""))</f>
        <v/>
      </c>
      <c r="J495" s="14" t="n"/>
      <c r="K495" s="7" t="n"/>
      <c r="L495" s="7" t="n"/>
      <c r="M495" s="7" t="n"/>
      <c r="N495" s="7" t="n"/>
      <c r="O495" s="7" t="n"/>
      <c r="P495" s="7" t="n"/>
      <c r="Q495" s="14" t="n"/>
      <c r="R495" s="7" t="n"/>
      <c r="S495" s="7" t="n"/>
      <c r="T495" s="7" t="n"/>
      <c r="U495" s="12">
        <f>IF(A495="","",IF(OR(J495="",L495=""),"建議補聯絡紀錄","") )</f>
        <v/>
      </c>
    </row>
    <row r="496" ht="24" customHeight="1">
      <c r="A496" s="7" t="n"/>
      <c r="B496" s="7" t="n"/>
      <c r="C496" s="12">
        <f>IF($A496="","",IFERROR(INDEX(土地清冊_匯入!$B$6:$B$1005,MATCH($A496,土地清冊_匯入!$A$6:$A$1005,0)),"查無資料"))</f>
        <v/>
      </c>
      <c r="D496" s="12">
        <f>IF($A496="","",IFERROR(INDEX(土地清冊_匯入!$P$6:$P$1005,MATCH($A496,土地清冊_匯入!$A$6:$A$1005,0)),""))</f>
        <v/>
      </c>
      <c r="E496" s="12">
        <f>IF($A496="","",IFERROR(INDEX(土地清冊_匯入!$Q$6:$Q$1005,MATCH($A496,土地清冊_匯入!$A$6:$A$1005,0)),""))</f>
        <v/>
      </c>
      <c r="F496" s="12">
        <f>IF($A496="","",IFERROR(INDEX(土地清冊_匯入!$R$6:$R$1005,MATCH($A496,土地清冊_匯入!$A$6:$A$1005,0)),""))</f>
        <v/>
      </c>
      <c r="G496" s="12">
        <f>IF($A496="","",IFERROR(INDEX(土地清冊_匯入!$S$6:$S$1005,MATCH($A496,土地清冊_匯入!$A$6:$A$1005,0)),""))</f>
        <v/>
      </c>
      <c r="H496" s="12">
        <f>IF($A496="","",IFERROR(INDEX(土地清冊_匯入!$T$6:$T$1005,MATCH($A496,土地清冊_匯入!$A$6:$A$1005,0)),""))</f>
        <v/>
      </c>
      <c r="I496" s="12">
        <f>IF($A496="","",IFERROR(INDEX(土地清冊_匯入!$V$6:$V$1005,MATCH($A496,土地清冊_匯入!$A$6:$A$1005,0)),""))</f>
        <v/>
      </c>
      <c r="J496" s="14" t="n"/>
      <c r="K496" s="7" t="n"/>
      <c r="L496" s="7" t="n"/>
      <c r="M496" s="7" t="n"/>
      <c r="N496" s="7" t="n"/>
      <c r="O496" s="7" t="n"/>
      <c r="P496" s="7" t="n"/>
      <c r="Q496" s="14" t="n"/>
      <c r="R496" s="7" t="n"/>
      <c r="S496" s="7" t="n"/>
      <c r="T496" s="7" t="n"/>
      <c r="U496" s="12">
        <f>IF(A496="","",IF(OR(J496="",L496=""),"建議補聯絡紀錄","") )</f>
        <v/>
      </c>
    </row>
    <row r="497" ht="24" customHeight="1">
      <c r="A497" s="7" t="n"/>
      <c r="B497" s="7" t="n"/>
      <c r="C497" s="12">
        <f>IF($A497="","",IFERROR(INDEX(土地清冊_匯入!$B$6:$B$1005,MATCH($A497,土地清冊_匯入!$A$6:$A$1005,0)),"查無資料"))</f>
        <v/>
      </c>
      <c r="D497" s="12">
        <f>IF($A497="","",IFERROR(INDEX(土地清冊_匯入!$P$6:$P$1005,MATCH($A497,土地清冊_匯入!$A$6:$A$1005,0)),""))</f>
        <v/>
      </c>
      <c r="E497" s="12">
        <f>IF($A497="","",IFERROR(INDEX(土地清冊_匯入!$Q$6:$Q$1005,MATCH($A497,土地清冊_匯入!$A$6:$A$1005,0)),""))</f>
        <v/>
      </c>
      <c r="F497" s="12">
        <f>IF($A497="","",IFERROR(INDEX(土地清冊_匯入!$R$6:$R$1005,MATCH($A497,土地清冊_匯入!$A$6:$A$1005,0)),""))</f>
        <v/>
      </c>
      <c r="G497" s="12">
        <f>IF($A497="","",IFERROR(INDEX(土地清冊_匯入!$S$6:$S$1005,MATCH($A497,土地清冊_匯入!$A$6:$A$1005,0)),""))</f>
        <v/>
      </c>
      <c r="H497" s="12">
        <f>IF($A497="","",IFERROR(INDEX(土地清冊_匯入!$T$6:$T$1005,MATCH($A497,土地清冊_匯入!$A$6:$A$1005,0)),""))</f>
        <v/>
      </c>
      <c r="I497" s="12">
        <f>IF($A497="","",IFERROR(INDEX(土地清冊_匯入!$V$6:$V$1005,MATCH($A497,土地清冊_匯入!$A$6:$A$1005,0)),""))</f>
        <v/>
      </c>
      <c r="J497" s="14" t="n"/>
      <c r="K497" s="7" t="n"/>
      <c r="L497" s="7" t="n"/>
      <c r="M497" s="7" t="n"/>
      <c r="N497" s="7" t="n"/>
      <c r="O497" s="7" t="n"/>
      <c r="P497" s="7" t="n"/>
      <c r="Q497" s="14" t="n"/>
      <c r="R497" s="7" t="n"/>
      <c r="S497" s="7" t="n"/>
      <c r="T497" s="7" t="n"/>
      <c r="U497" s="12">
        <f>IF(A497="","",IF(OR(J497="",L497=""),"建議補聯絡紀錄","") )</f>
        <v/>
      </c>
    </row>
    <row r="498" ht="24" customHeight="1">
      <c r="A498" s="7" t="n"/>
      <c r="B498" s="7" t="n"/>
      <c r="C498" s="12">
        <f>IF($A498="","",IFERROR(INDEX(土地清冊_匯入!$B$6:$B$1005,MATCH($A498,土地清冊_匯入!$A$6:$A$1005,0)),"查無資料"))</f>
        <v/>
      </c>
      <c r="D498" s="12">
        <f>IF($A498="","",IFERROR(INDEX(土地清冊_匯入!$P$6:$P$1005,MATCH($A498,土地清冊_匯入!$A$6:$A$1005,0)),""))</f>
        <v/>
      </c>
      <c r="E498" s="12">
        <f>IF($A498="","",IFERROR(INDEX(土地清冊_匯入!$Q$6:$Q$1005,MATCH($A498,土地清冊_匯入!$A$6:$A$1005,0)),""))</f>
        <v/>
      </c>
      <c r="F498" s="12">
        <f>IF($A498="","",IFERROR(INDEX(土地清冊_匯入!$R$6:$R$1005,MATCH($A498,土地清冊_匯入!$A$6:$A$1005,0)),""))</f>
        <v/>
      </c>
      <c r="G498" s="12">
        <f>IF($A498="","",IFERROR(INDEX(土地清冊_匯入!$S$6:$S$1005,MATCH($A498,土地清冊_匯入!$A$6:$A$1005,0)),""))</f>
        <v/>
      </c>
      <c r="H498" s="12">
        <f>IF($A498="","",IFERROR(INDEX(土地清冊_匯入!$T$6:$T$1005,MATCH($A498,土地清冊_匯入!$A$6:$A$1005,0)),""))</f>
        <v/>
      </c>
      <c r="I498" s="12">
        <f>IF($A498="","",IFERROR(INDEX(土地清冊_匯入!$V$6:$V$1005,MATCH($A498,土地清冊_匯入!$A$6:$A$1005,0)),""))</f>
        <v/>
      </c>
      <c r="J498" s="14" t="n"/>
      <c r="K498" s="7" t="n"/>
      <c r="L498" s="7" t="n"/>
      <c r="M498" s="7" t="n"/>
      <c r="N498" s="7" t="n"/>
      <c r="O498" s="7" t="n"/>
      <c r="P498" s="7" t="n"/>
      <c r="Q498" s="14" t="n"/>
      <c r="R498" s="7" t="n"/>
      <c r="S498" s="7" t="n"/>
      <c r="T498" s="7" t="n"/>
      <c r="U498" s="12">
        <f>IF(A498="","",IF(OR(J498="",L498=""),"建議補聯絡紀錄","") )</f>
        <v/>
      </c>
    </row>
    <row r="499" ht="24" customHeight="1">
      <c r="A499" s="7" t="n"/>
      <c r="B499" s="7" t="n"/>
      <c r="C499" s="12">
        <f>IF($A499="","",IFERROR(INDEX(土地清冊_匯入!$B$6:$B$1005,MATCH($A499,土地清冊_匯入!$A$6:$A$1005,0)),"查無資料"))</f>
        <v/>
      </c>
      <c r="D499" s="12">
        <f>IF($A499="","",IFERROR(INDEX(土地清冊_匯入!$P$6:$P$1005,MATCH($A499,土地清冊_匯入!$A$6:$A$1005,0)),""))</f>
        <v/>
      </c>
      <c r="E499" s="12">
        <f>IF($A499="","",IFERROR(INDEX(土地清冊_匯入!$Q$6:$Q$1005,MATCH($A499,土地清冊_匯入!$A$6:$A$1005,0)),""))</f>
        <v/>
      </c>
      <c r="F499" s="12">
        <f>IF($A499="","",IFERROR(INDEX(土地清冊_匯入!$R$6:$R$1005,MATCH($A499,土地清冊_匯入!$A$6:$A$1005,0)),""))</f>
        <v/>
      </c>
      <c r="G499" s="12">
        <f>IF($A499="","",IFERROR(INDEX(土地清冊_匯入!$S$6:$S$1005,MATCH($A499,土地清冊_匯入!$A$6:$A$1005,0)),""))</f>
        <v/>
      </c>
      <c r="H499" s="12">
        <f>IF($A499="","",IFERROR(INDEX(土地清冊_匯入!$T$6:$T$1005,MATCH($A499,土地清冊_匯入!$A$6:$A$1005,0)),""))</f>
        <v/>
      </c>
      <c r="I499" s="12">
        <f>IF($A499="","",IFERROR(INDEX(土地清冊_匯入!$V$6:$V$1005,MATCH($A499,土地清冊_匯入!$A$6:$A$1005,0)),""))</f>
        <v/>
      </c>
      <c r="J499" s="14" t="n"/>
      <c r="K499" s="7" t="n"/>
      <c r="L499" s="7" t="n"/>
      <c r="M499" s="7" t="n"/>
      <c r="N499" s="7" t="n"/>
      <c r="O499" s="7" t="n"/>
      <c r="P499" s="7" t="n"/>
      <c r="Q499" s="14" t="n"/>
      <c r="R499" s="7" t="n"/>
      <c r="S499" s="7" t="n"/>
      <c r="T499" s="7" t="n"/>
      <c r="U499" s="12">
        <f>IF(A499="","",IF(OR(J499="",L499=""),"建議補聯絡紀錄","") )</f>
        <v/>
      </c>
    </row>
    <row r="500" ht="24" customHeight="1">
      <c r="A500" s="7" t="n"/>
      <c r="B500" s="7" t="n"/>
      <c r="C500" s="12">
        <f>IF($A500="","",IFERROR(INDEX(土地清冊_匯入!$B$6:$B$1005,MATCH($A500,土地清冊_匯入!$A$6:$A$1005,0)),"查無資料"))</f>
        <v/>
      </c>
      <c r="D500" s="12">
        <f>IF($A500="","",IFERROR(INDEX(土地清冊_匯入!$P$6:$P$1005,MATCH($A500,土地清冊_匯入!$A$6:$A$1005,0)),""))</f>
        <v/>
      </c>
      <c r="E500" s="12">
        <f>IF($A500="","",IFERROR(INDEX(土地清冊_匯入!$Q$6:$Q$1005,MATCH($A500,土地清冊_匯入!$A$6:$A$1005,0)),""))</f>
        <v/>
      </c>
      <c r="F500" s="12">
        <f>IF($A500="","",IFERROR(INDEX(土地清冊_匯入!$R$6:$R$1005,MATCH($A500,土地清冊_匯入!$A$6:$A$1005,0)),""))</f>
        <v/>
      </c>
      <c r="G500" s="12">
        <f>IF($A500="","",IFERROR(INDEX(土地清冊_匯入!$S$6:$S$1005,MATCH($A500,土地清冊_匯入!$A$6:$A$1005,0)),""))</f>
        <v/>
      </c>
      <c r="H500" s="12">
        <f>IF($A500="","",IFERROR(INDEX(土地清冊_匯入!$T$6:$T$1005,MATCH($A500,土地清冊_匯入!$A$6:$A$1005,0)),""))</f>
        <v/>
      </c>
      <c r="I500" s="12">
        <f>IF($A500="","",IFERROR(INDEX(土地清冊_匯入!$V$6:$V$1005,MATCH($A500,土地清冊_匯入!$A$6:$A$1005,0)),""))</f>
        <v/>
      </c>
      <c r="J500" s="14" t="n"/>
      <c r="K500" s="7" t="n"/>
      <c r="L500" s="7" t="n"/>
      <c r="M500" s="7" t="n"/>
      <c r="N500" s="7" t="n"/>
      <c r="O500" s="7" t="n"/>
      <c r="P500" s="7" t="n"/>
      <c r="Q500" s="14" t="n"/>
      <c r="R500" s="7" t="n"/>
      <c r="S500" s="7" t="n"/>
      <c r="T500" s="7" t="n"/>
      <c r="U500" s="12">
        <f>IF(A500="","",IF(OR(J500="",L500=""),"建議補聯絡紀錄","") )</f>
        <v/>
      </c>
    </row>
    <row r="501" ht="24" customHeight="1">
      <c r="A501" s="7" t="n"/>
      <c r="B501" s="7" t="n"/>
      <c r="C501" s="12">
        <f>IF($A501="","",IFERROR(INDEX(土地清冊_匯入!$B$6:$B$1005,MATCH($A501,土地清冊_匯入!$A$6:$A$1005,0)),"查無資料"))</f>
        <v/>
      </c>
      <c r="D501" s="12">
        <f>IF($A501="","",IFERROR(INDEX(土地清冊_匯入!$P$6:$P$1005,MATCH($A501,土地清冊_匯入!$A$6:$A$1005,0)),""))</f>
        <v/>
      </c>
      <c r="E501" s="12">
        <f>IF($A501="","",IFERROR(INDEX(土地清冊_匯入!$Q$6:$Q$1005,MATCH($A501,土地清冊_匯入!$A$6:$A$1005,0)),""))</f>
        <v/>
      </c>
      <c r="F501" s="12">
        <f>IF($A501="","",IFERROR(INDEX(土地清冊_匯入!$R$6:$R$1005,MATCH($A501,土地清冊_匯入!$A$6:$A$1005,0)),""))</f>
        <v/>
      </c>
      <c r="G501" s="12">
        <f>IF($A501="","",IFERROR(INDEX(土地清冊_匯入!$S$6:$S$1005,MATCH($A501,土地清冊_匯入!$A$6:$A$1005,0)),""))</f>
        <v/>
      </c>
      <c r="H501" s="12">
        <f>IF($A501="","",IFERROR(INDEX(土地清冊_匯入!$T$6:$T$1005,MATCH($A501,土地清冊_匯入!$A$6:$A$1005,0)),""))</f>
        <v/>
      </c>
      <c r="I501" s="12">
        <f>IF($A501="","",IFERROR(INDEX(土地清冊_匯入!$V$6:$V$1005,MATCH($A501,土地清冊_匯入!$A$6:$A$1005,0)),""))</f>
        <v/>
      </c>
      <c r="J501" s="14" t="n"/>
      <c r="K501" s="7" t="n"/>
      <c r="L501" s="7" t="n"/>
      <c r="M501" s="7" t="n"/>
      <c r="N501" s="7" t="n"/>
      <c r="O501" s="7" t="n"/>
      <c r="P501" s="7" t="n"/>
      <c r="Q501" s="14" t="n"/>
      <c r="R501" s="7" t="n"/>
      <c r="S501" s="7" t="n"/>
      <c r="T501" s="7" t="n"/>
      <c r="U501" s="12">
        <f>IF(A501="","",IF(OR(J501="",L501=""),"建議補聯絡紀錄","") )</f>
        <v/>
      </c>
    </row>
    <row r="502" ht="24" customHeight="1">
      <c r="A502" s="7" t="n"/>
      <c r="B502" s="7" t="n"/>
      <c r="C502" s="12">
        <f>IF($A502="","",IFERROR(INDEX(土地清冊_匯入!$B$6:$B$1005,MATCH($A502,土地清冊_匯入!$A$6:$A$1005,0)),"查無資料"))</f>
        <v/>
      </c>
      <c r="D502" s="12">
        <f>IF($A502="","",IFERROR(INDEX(土地清冊_匯入!$P$6:$P$1005,MATCH($A502,土地清冊_匯入!$A$6:$A$1005,0)),""))</f>
        <v/>
      </c>
      <c r="E502" s="12">
        <f>IF($A502="","",IFERROR(INDEX(土地清冊_匯入!$Q$6:$Q$1005,MATCH($A502,土地清冊_匯入!$A$6:$A$1005,0)),""))</f>
        <v/>
      </c>
      <c r="F502" s="12">
        <f>IF($A502="","",IFERROR(INDEX(土地清冊_匯入!$R$6:$R$1005,MATCH($A502,土地清冊_匯入!$A$6:$A$1005,0)),""))</f>
        <v/>
      </c>
      <c r="G502" s="12">
        <f>IF($A502="","",IFERROR(INDEX(土地清冊_匯入!$S$6:$S$1005,MATCH($A502,土地清冊_匯入!$A$6:$A$1005,0)),""))</f>
        <v/>
      </c>
      <c r="H502" s="12">
        <f>IF($A502="","",IFERROR(INDEX(土地清冊_匯入!$T$6:$T$1005,MATCH($A502,土地清冊_匯入!$A$6:$A$1005,0)),""))</f>
        <v/>
      </c>
      <c r="I502" s="12">
        <f>IF($A502="","",IFERROR(INDEX(土地清冊_匯入!$V$6:$V$1005,MATCH($A502,土地清冊_匯入!$A$6:$A$1005,0)),""))</f>
        <v/>
      </c>
      <c r="J502" s="14" t="n"/>
      <c r="K502" s="7" t="n"/>
      <c r="L502" s="7" t="n"/>
      <c r="M502" s="7" t="n"/>
      <c r="N502" s="7" t="n"/>
      <c r="O502" s="7" t="n"/>
      <c r="P502" s="7" t="n"/>
      <c r="Q502" s="14" t="n"/>
      <c r="R502" s="7" t="n"/>
      <c r="S502" s="7" t="n"/>
      <c r="T502" s="7" t="n"/>
      <c r="U502" s="12">
        <f>IF(A502="","",IF(OR(J502="",L502=""),"建議補聯絡紀錄","") )</f>
        <v/>
      </c>
    </row>
    <row r="503" ht="24" customHeight="1">
      <c r="A503" s="7" t="n"/>
      <c r="B503" s="7" t="n"/>
      <c r="C503" s="12">
        <f>IF($A503="","",IFERROR(INDEX(土地清冊_匯入!$B$6:$B$1005,MATCH($A503,土地清冊_匯入!$A$6:$A$1005,0)),"查無資料"))</f>
        <v/>
      </c>
      <c r="D503" s="12">
        <f>IF($A503="","",IFERROR(INDEX(土地清冊_匯入!$P$6:$P$1005,MATCH($A503,土地清冊_匯入!$A$6:$A$1005,0)),""))</f>
        <v/>
      </c>
      <c r="E503" s="12">
        <f>IF($A503="","",IFERROR(INDEX(土地清冊_匯入!$Q$6:$Q$1005,MATCH($A503,土地清冊_匯入!$A$6:$A$1005,0)),""))</f>
        <v/>
      </c>
      <c r="F503" s="12">
        <f>IF($A503="","",IFERROR(INDEX(土地清冊_匯入!$R$6:$R$1005,MATCH($A503,土地清冊_匯入!$A$6:$A$1005,0)),""))</f>
        <v/>
      </c>
      <c r="G503" s="12">
        <f>IF($A503="","",IFERROR(INDEX(土地清冊_匯入!$S$6:$S$1005,MATCH($A503,土地清冊_匯入!$A$6:$A$1005,0)),""))</f>
        <v/>
      </c>
      <c r="H503" s="12">
        <f>IF($A503="","",IFERROR(INDEX(土地清冊_匯入!$T$6:$T$1005,MATCH($A503,土地清冊_匯入!$A$6:$A$1005,0)),""))</f>
        <v/>
      </c>
      <c r="I503" s="12">
        <f>IF($A503="","",IFERROR(INDEX(土地清冊_匯入!$V$6:$V$1005,MATCH($A503,土地清冊_匯入!$A$6:$A$1005,0)),""))</f>
        <v/>
      </c>
      <c r="J503" s="14" t="n"/>
      <c r="K503" s="7" t="n"/>
      <c r="L503" s="7" t="n"/>
      <c r="M503" s="7" t="n"/>
      <c r="N503" s="7" t="n"/>
      <c r="O503" s="7" t="n"/>
      <c r="P503" s="7" t="n"/>
      <c r="Q503" s="14" t="n"/>
      <c r="R503" s="7" t="n"/>
      <c r="S503" s="7" t="n"/>
      <c r="T503" s="7" t="n"/>
      <c r="U503" s="12">
        <f>IF(A503="","",IF(OR(J503="",L503=""),"建議補聯絡紀錄","") )</f>
        <v/>
      </c>
    </row>
    <row r="504" ht="24" customHeight="1">
      <c r="A504" s="7" t="n"/>
      <c r="B504" s="7" t="n"/>
      <c r="C504" s="12">
        <f>IF($A504="","",IFERROR(INDEX(土地清冊_匯入!$B$6:$B$1005,MATCH($A504,土地清冊_匯入!$A$6:$A$1005,0)),"查無資料"))</f>
        <v/>
      </c>
      <c r="D504" s="12">
        <f>IF($A504="","",IFERROR(INDEX(土地清冊_匯入!$P$6:$P$1005,MATCH($A504,土地清冊_匯入!$A$6:$A$1005,0)),""))</f>
        <v/>
      </c>
      <c r="E504" s="12">
        <f>IF($A504="","",IFERROR(INDEX(土地清冊_匯入!$Q$6:$Q$1005,MATCH($A504,土地清冊_匯入!$A$6:$A$1005,0)),""))</f>
        <v/>
      </c>
      <c r="F504" s="12">
        <f>IF($A504="","",IFERROR(INDEX(土地清冊_匯入!$R$6:$R$1005,MATCH($A504,土地清冊_匯入!$A$6:$A$1005,0)),""))</f>
        <v/>
      </c>
      <c r="G504" s="12">
        <f>IF($A504="","",IFERROR(INDEX(土地清冊_匯入!$S$6:$S$1005,MATCH($A504,土地清冊_匯入!$A$6:$A$1005,0)),""))</f>
        <v/>
      </c>
      <c r="H504" s="12">
        <f>IF($A504="","",IFERROR(INDEX(土地清冊_匯入!$T$6:$T$1005,MATCH($A504,土地清冊_匯入!$A$6:$A$1005,0)),""))</f>
        <v/>
      </c>
      <c r="I504" s="12">
        <f>IF($A504="","",IFERROR(INDEX(土地清冊_匯入!$V$6:$V$1005,MATCH($A504,土地清冊_匯入!$A$6:$A$1005,0)),""))</f>
        <v/>
      </c>
      <c r="J504" s="14" t="n"/>
      <c r="K504" s="7" t="n"/>
      <c r="L504" s="7" t="n"/>
      <c r="M504" s="7" t="n"/>
      <c r="N504" s="7" t="n"/>
      <c r="O504" s="7" t="n"/>
      <c r="P504" s="7" t="n"/>
      <c r="Q504" s="14" t="n"/>
      <c r="R504" s="7" t="n"/>
      <c r="S504" s="7" t="n"/>
      <c r="T504" s="7" t="n"/>
      <c r="U504" s="12">
        <f>IF(A504="","",IF(OR(J504="",L504=""),"建議補聯絡紀錄","") )</f>
        <v/>
      </c>
    </row>
    <row r="505" ht="24" customHeight="1">
      <c r="A505" s="7" t="n"/>
      <c r="B505" s="7" t="n"/>
      <c r="C505" s="12">
        <f>IF($A505="","",IFERROR(INDEX(土地清冊_匯入!$B$6:$B$1005,MATCH($A505,土地清冊_匯入!$A$6:$A$1005,0)),"查無資料"))</f>
        <v/>
      </c>
      <c r="D505" s="12">
        <f>IF($A505="","",IFERROR(INDEX(土地清冊_匯入!$P$6:$P$1005,MATCH($A505,土地清冊_匯入!$A$6:$A$1005,0)),""))</f>
        <v/>
      </c>
      <c r="E505" s="12">
        <f>IF($A505="","",IFERROR(INDEX(土地清冊_匯入!$Q$6:$Q$1005,MATCH($A505,土地清冊_匯入!$A$6:$A$1005,0)),""))</f>
        <v/>
      </c>
      <c r="F505" s="12">
        <f>IF($A505="","",IFERROR(INDEX(土地清冊_匯入!$R$6:$R$1005,MATCH($A505,土地清冊_匯入!$A$6:$A$1005,0)),""))</f>
        <v/>
      </c>
      <c r="G505" s="12">
        <f>IF($A505="","",IFERROR(INDEX(土地清冊_匯入!$S$6:$S$1005,MATCH($A505,土地清冊_匯入!$A$6:$A$1005,0)),""))</f>
        <v/>
      </c>
      <c r="H505" s="12">
        <f>IF($A505="","",IFERROR(INDEX(土地清冊_匯入!$T$6:$T$1005,MATCH($A505,土地清冊_匯入!$A$6:$A$1005,0)),""))</f>
        <v/>
      </c>
      <c r="I505" s="12">
        <f>IF($A505="","",IFERROR(INDEX(土地清冊_匯入!$V$6:$V$1005,MATCH($A505,土地清冊_匯入!$A$6:$A$1005,0)),""))</f>
        <v/>
      </c>
      <c r="J505" s="14" t="n"/>
      <c r="K505" s="7" t="n"/>
      <c r="L505" s="7" t="n"/>
      <c r="M505" s="7" t="n"/>
      <c r="N505" s="7" t="n"/>
      <c r="O505" s="7" t="n"/>
      <c r="P505" s="7" t="n"/>
      <c r="Q505" s="14" t="n"/>
      <c r="R505" s="7" t="n"/>
      <c r="S505" s="7" t="n"/>
      <c r="T505" s="7" t="n"/>
      <c r="U505" s="12">
        <f>IF(A505="","",IF(OR(J505="",L505=""),"建議補聯絡紀錄","") )</f>
        <v/>
      </c>
    </row>
    <row r="506" ht="24" customHeight="1">
      <c r="A506" s="7" t="n"/>
      <c r="B506" s="7" t="n"/>
      <c r="C506" s="12">
        <f>IF($A506="","",IFERROR(INDEX(土地清冊_匯入!$B$6:$B$1005,MATCH($A506,土地清冊_匯入!$A$6:$A$1005,0)),"查無資料"))</f>
        <v/>
      </c>
      <c r="D506" s="12">
        <f>IF($A506="","",IFERROR(INDEX(土地清冊_匯入!$P$6:$P$1005,MATCH($A506,土地清冊_匯入!$A$6:$A$1005,0)),""))</f>
        <v/>
      </c>
      <c r="E506" s="12">
        <f>IF($A506="","",IFERROR(INDEX(土地清冊_匯入!$Q$6:$Q$1005,MATCH($A506,土地清冊_匯入!$A$6:$A$1005,0)),""))</f>
        <v/>
      </c>
      <c r="F506" s="12">
        <f>IF($A506="","",IFERROR(INDEX(土地清冊_匯入!$R$6:$R$1005,MATCH($A506,土地清冊_匯入!$A$6:$A$1005,0)),""))</f>
        <v/>
      </c>
      <c r="G506" s="12">
        <f>IF($A506="","",IFERROR(INDEX(土地清冊_匯入!$S$6:$S$1005,MATCH($A506,土地清冊_匯入!$A$6:$A$1005,0)),""))</f>
        <v/>
      </c>
      <c r="H506" s="12">
        <f>IF($A506="","",IFERROR(INDEX(土地清冊_匯入!$T$6:$T$1005,MATCH($A506,土地清冊_匯入!$A$6:$A$1005,0)),""))</f>
        <v/>
      </c>
      <c r="I506" s="12">
        <f>IF($A506="","",IFERROR(INDEX(土地清冊_匯入!$V$6:$V$1005,MATCH($A506,土地清冊_匯入!$A$6:$A$1005,0)),""))</f>
        <v/>
      </c>
      <c r="J506" s="14" t="n"/>
      <c r="K506" s="7" t="n"/>
      <c r="L506" s="7" t="n"/>
      <c r="M506" s="7" t="n"/>
      <c r="N506" s="7" t="n"/>
      <c r="O506" s="7" t="n"/>
      <c r="P506" s="7" t="n"/>
      <c r="Q506" s="14" t="n"/>
      <c r="R506" s="7" t="n"/>
      <c r="S506" s="7" t="n"/>
      <c r="T506" s="7" t="n"/>
      <c r="U506" s="12">
        <f>IF(A506="","",IF(OR(J506="",L506=""),"建議補聯絡紀錄","") )</f>
        <v/>
      </c>
    </row>
    <row r="507" ht="24" customHeight="1">
      <c r="A507" s="7" t="n"/>
      <c r="B507" s="7" t="n"/>
      <c r="C507" s="12">
        <f>IF($A507="","",IFERROR(INDEX(土地清冊_匯入!$B$6:$B$1005,MATCH($A507,土地清冊_匯入!$A$6:$A$1005,0)),"查無資料"))</f>
        <v/>
      </c>
      <c r="D507" s="12">
        <f>IF($A507="","",IFERROR(INDEX(土地清冊_匯入!$P$6:$P$1005,MATCH($A507,土地清冊_匯入!$A$6:$A$1005,0)),""))</f>
        <v/>
      </c>
      <c r="E507" s="12">
        <f>IF($A507="","",IFERROR(INDEX(土地清冊_匯入!$Q$6:$Q$1005,MATCH($A507,土地清冊_匯入!$A$6:$A$1005,0)),""))</f>
        <v/>
      </c>
      <c r="F507" s="12">
        <f>IF($A507="","",IFERROR(INDEX(土地清冊_匯入!$R$6:$R$1005,MATCH($A507,土地清冊_匯入!$A$6:$A$1005,0)),""))</f>
        <v/>
      </c>
      <c r="G507" s="12">
        <f>IF($A507="","",IFERROR(INDEX(土地清冊_匯入!$S$6:$S$1005,MATCH($A507,土地清冊_匯入!$A$6:$A$1005,0)),""))</f>
        <v/>
      </c>
      <c r="H507" s="12">
        <f>IF($A507="","",IFERROR(INDEX(土地清冊_匯入!$T$6:$T$1005,MATCH($A507,土地清冊_匯入!$A$6:$A$1005,0)),""))</f>
        <v/>
      </c>
      <c r="I507" s="12">
        <f>IF($A507="","",IFERROR(INDEX(土地清冊_匯入!$V$6:$V$1005,MATCH($A507,土地清冊_匯入!$A$6:$A$1005,0)),""))</f>
        <v/>
      </c>
      <c r="J507" s="14" t="n"/>
      <c r="K507" s="7" t="n"/>
      <c r="L507" s="7" t="n"/>
      <c r="M507" s="7" t="n"/>
      <c r="N507" s="7" t="n"/>
      <c r="O507" s="7" t="n"/>
      <c r="P507" s="7" t="n"/>
      <c r="Q507" s="14" t="n"/>
      <c r="R507" s="7" t="n"/>
      <c r="S507" s="7" t="n"/>
      <c r="T507" s="7" t="n"/>
      <c r="U507" s="12">
        <f>IF(A507="","",IF(OR(J507="",L507=""),"建議補聯絡紀錄","") )</f>
        <v/>
      </c>
    </row>
    <row r="508" ht="24" customHeight="1">
      <c r="A508" s="7" t="n"/>
      <c r="B508" s="7" t="n"/>
      <c r="C508" s="12">
        <f>IF($A508="","",IFERROR(INDEX(土地清冊_匯入!$B$6:$B$1005,MATCH($A508,土地清冊_匯入!$A$6:$A$1005,0)),"查無資料"))</f>
        <v/>
      </c>
      <c r="D508" s="12">
        <f>IF($A508="","",IFERROR(INDEX(土地清冊_匯入!$P$6:$P$1005,MATCH($A508,土地清冊_匯入!$A$6:$A$1005,0)),""))</f>
        <v/>
      </c>
      <c r="E508" s="12">
        <f>IF($A508="","",IFERROR(INDEX(土地清冊_匯入!$Q$6:$Q$1005,MATCH($A508,土地清冊_匯入!$A$6:$A$1005,0)),""))</f>
        <v/>
      </c>
      <c r="F508" s="12">
        <f>IF($A508="","",IFERROR(INDEX(土地清冊_匯入!$R$6:$R$1005,MATCH($A508,土地清冊_匯入!$A$6:$A$1005,0)),""))</f>
        <v/>
      </c>
      <c r="G508" s="12">
        <f>IF($A508="","",IFERROR(INDEX(土地清冊_匯入!$S$6:$S$1005,MATCH($A508,土地清冊_匯入!$A$6:$A$1005,0)),""))</f>
        <v/>
      </c>
      <c r="H508" s="12">
        <f>IF($A508="","",IFERROR(INDEX(土地清冊_匯入!$T$6:$T$1005,MATCH($A508,土地清冊_匯入!$A$6:$A$1005,0)),""))</f>
        <v/>
      </c>
      <c r="I508" s="12">
        <f>IF($A508="","",IFERROR(INDEX(土地清冊_匯入!$V$6:$V$1005,MATCH($A508,土地清冊_匯入!$A$6:$A$1005,0)),""))</f>
        <v/>
      </c>
      <c r="J508" s="14" t="n"/>
      <c r="K508" s="7" t="n"/>
      <c r="L508" s="7" t="n"/>
      <c r="M508" s="7" t="n"/>
      <c r="N508" s="7" t="n"/>
      <c r="O508" s="7" t="n"/>
      <c r="P508" s="7" t="n"/>
      <c r="Q508" s="14" t="n"/>
      <c r="R508" s="7" t="n"/>
      <c r="S508" s="7" t="n"/>
      <c r="T508" s="7" t="n"/>
      <c r="U508" s="12">
        <f>IF(A508="","",IF(OR(J508="",L508=""),"建議補聯絡紀錄","") )</f>
        <v/>
      </c>
    </row>
    <row r="509" ht="24" customHeight="1">
      <c r="A509" s="7" t="n"/>
      <c r="B509" s="7" t="n"/>
      <c r="C509" s="12">
        <f>IF($A509="","",IFERROR(INDEX(土地清冊_匯入!$B$6:$B$1005,MATCH($A509,土地清冊_匯入!$A$6:$A$1005,0)),"查無資料"))</f>
        <v/>
      </c>
      <c r="D509" s="12">
        <f>IF($A509="","",IFERROR(INDEX(土地清冊_匯入!$P$6:$P$1005,MATCH($A509,土地清冊_匯入!$A$6:$A$1005,0)),""))</f>
        <v/>
      </c>
      <c r="E509" s="12">
        <f>IF($A509="","",IFERROR(INDEX(土地清冊_匯入!$Q$6:$Q$1005,MATCH($A509,土地清冊_匯入!$A$6:$A$1005,0)),""))</f>
        <v/>
      </c>
      <c r="F509" s="12">
        <f>IF($A509="","",IFERROR(INDEX(土地清冊_匯入!$R$6:$R$1005,MATCH($A509,土地清冊_匯入!$A$6:$A$1005,0)),""))</f>
        <v/>
      </c>
      <c r="G509" s="12">
        <f>IF($A509="","",IFERROR(INDEX(土地清冊_匯入!$S$6:$S$1005,MATCH($A509,土地清冊_匯入!$A$6:$A$1005,0)),""))</f>
        <v/>
      </c>
      <c r="H509" s="12">
        <f>IF($A509="","",IFERROR(INDEX(土地清冊_匯入!$T$6:$T$1005,MATCH($A509,土地清冊_匯入!$A$6:$A$1005,0)),""))</f>
        <v/>
      </c>
      <c r="I509" s="12">
        <f>IF($A509="","",IFERROR(INDEX(土地清冊_匯入!$V$6:$V$1005,MATCH($A509,土地清冊_匯入!$A$6:$A$1005,0)),""))</f>
        <v/>
      </c>
      <c r="J509" s="14" t="n"/>
      <c r="K509" s="7" t="n"/>
      <c r="L509" s="7" t="n"/>
      <c r="M509" s="7" t="n"/>
      <c r="N509" s="7" t="n"/>
      <c r="O509" s="7" t="n"/>
      <c r="P509" s="7" t="n"/>
      <c r="Q509" s="14" t="n"/>
      <c r="R509" s="7" t="n"/>
      <c r="S509" s="7" t="n"/>
      <c r="T509" s="7" t="n"/>
      <c r="U509" s="12">
        <f>IF(A509="","",IF(OR(J509="",L509=""),"建議補聯絡紀錄","") )</f>
        <v/>
      </c>
    </row>
    <row r="510" ht="24" customHeight="1">
      <c r="A510" s="7" t="n"/>
      <c r="B510" s="7" t="n"/>
      <c r="C510" s="12">
        <f>IF($A510="","",IFERROR(INDEX(土地清冊_匯入!$B$6:$B$1005,MATCH($A510,土地清冊_匯入!$A$6:$A$1005,0)),"查無資料"))</f>
        <v/>
      </c>
      <c r="D510" s="12">
        <f>IF($A510="","",IFERROR(INDEX(土地清冊_匯入!$P$6:$P$1005,MATCH($A510,土地清冊_匯入!$A$6:$A$1005,0)),""))</f>
        <v/>
      </c>
      <c r="E510" s="12">
        <f>IF($A510="","",IFERROR(INDEX(土地清冊_匯入!$Q$6:$Q$1005,MATCH($A510,土地清冊_匯入!$A$6:$A$1005,0)),""))</f>
        <v/>
      </c>
      <c r="F510" s="12">
        <f>IF($A510="","",IFERROR(INDEX(土地清冊_匯入!$R$6:$R$1005,MATCH($A510,土地清冊_匯入!$A$6:$A$1005,0)),""))</f>
        <v/>
      </c>
      <c r="G510" s="12">
        <f>IF($A510="","",IFERROR(INDEX(土地清冊_匯入!$S$6:$S$1005,MATCH($A510,土地清冊_匯入!$A$6:$A$1005,0)),""))</f>
        <v/>
      </c>
      <c r="H510" s="12">
        <f>IF($A510="","",IFERROR(INDEX(土地清冊_匯入!$T$6:$T$1005,MATCH($A510,土地清冊_匯入!$A$6:$A$1005,0)),""))</f>
        <v/>
      </c>
      <c r="I510" s="12">
        <f>IF($A510="","",IFERROR(INDEX(土地清冊_匯入!$V$6:$V$1005,MATCH($A510,土地清冊_匯入!$A$6:$A$1005,0)),""))</f>
        <v/>
      </c>
      <c r="J510" s="14" t="n"/>
      <c r="K510" s="7" t="n"/>
      <c r="L510" s="7" t="n"/>
      <c r="M510" s="7" t="n"/>
      <c r="N510" s="7" t="n"/>
      <c r="O510" s="7" t="n"/>
      <c r="P510" s="7" t="n"/>
      <c r="Q510" s="14" t="n"/>
      <c r="R510" s="7" t="n"/>
      <c r="S510" s="7" t="n"/>
      <c r="T510" s="7" t="n"/>
      <c r="U510" s="12">
        <f>IF(A510="","",IF(OR(J510="",L510=""),"建議補聯絡紀錄","") )</f>
        <v/>
      </c>
    </row>
    <row r="511" ht="24" customHeight="1">
      <c r="A511" s="7" t="n"/>
      <c r="B511" s="7" t="n"/>
      <c r="C511" s="12">
        <f>IF($A511="","",IFERROR(INDEX(土地清冊_匯入!$B$6:$B$1005,MATCH($A511,土地清冊_匯入!$A$6:$A$1005,0)),"查無資料"))</f>
        <v/>
      </c>
      <c r="D511" s="12">
        <f>IF($A511="","",IFERROR(INDEX(土地清冊_匯入!$P$6:$P$1005,MATCH($A511,土地清冊_匯入!$A$6:$A$1005,0)),""))</f>
        <v/>
      </c>
      <c r="E511" s="12">
        <f>IF($A511="","",IFERROR(INDEX(土地清冊_匯入!$Q$6:$Q$1005,MATCH($A511,土地清冊_匯入!$A$6:$A$1005,0)),""))</f>
        <v/>
      </c>
      <c r="F511" s="12">
        <f>IF($A511="","",IFERROR(INDEX(土地清冊_匯入!$R$6:$R$1005,MATCH($A511,土地清冊_匯入!$A$6:$A$1005,0)),""))</f>
        <v/>
      </c>
      <c r="G511" s="12">
        <f>IF($A511="","",IFERROR(INDEX(土地清冊_匯入!$S$6:$S$1005,MATCH($A511,土地清冊_匯入!$A$6:$A$1005,0)),""))</f>
        <v/>
      </c>
      <c r="H511" s="12">
        <f>IF($A511="","",IFERROR(INDEX(土地清冊_匯入!$T$6:$T$1005,MATCH($A511,土地清冊_匯入!$A$6:$A$1005,0)),""))</f>
        <v/>
      </c>
      <c r="I511" s="12">
        <f>IF($A511="","",IFERROR(INDEX(土地清冊_匯入!$V$6:$V$1005,MATCH($A511,土地清冊_匯入!$A$6:$A$1005,0)),""))</f>
        <v/>
      </c>
      <c r="J511" s="14" t="n"/>
      <c r="K511" s="7" t="n"/>
      <c r="L511" s="7" t="n"/>
      <c r="M511" s="7" t="n"/>
      <c r="N511" s="7" t="n"/>
      <c r="O511" s="7" t="n"/>
      <c r="P511" s="7" t="n"/>
      <c r="Q511" s="14" t="n"/>
      <c r="R511" s="7" t="n"/>
      <c r="S511" s="7" t="n"/>
      <c r="T511" s="7" t="n"/>
      <c r="U511" s="12">
        <f>IF(A511="","",IF(OR(J511="",L511=""),"建議補聯絡紀錄","") )</f>
        <v/>
      </c>
    </row>
    <row r="512" ht="24" customHeight="1">
      <c r="A512" s="7" t="n"/>
      <c r="B512" s="7" t="n"/>
      <c r="C512" s="12">
        <f>IF($A512="","",IFERROR(INDEX(土地清冊_匯入!$B$6:$B$1005,MATCH($A512,土地清冊_匯入!$A$6:$A$1005,0)),"查無資料"))</f>
        <v/>
      </c>
      <c r="D512" s="12">
        <f>IF($A512="","",IFERROR(INDEX(土地清冊_匯入!$P$6:$P$1005,MATCH($A512,土地清冊_匯入!$A$6:$A$1005,0)),""))</f>
        <v/>
      </c>
      <c r="E512" s="12">
        <f>IF($A512="","",IFERROR(INDEX(土地清冊_匯入!$Q$6:$Q$1005,MATCH($A512,土地清冊_匯入!$A$6:$A$1005,0)),""))</f>
        <v/>
      </c>
      <c r="F512" s="12">
        <f>IF($A512="","",IFERROR(INDEX(土地清冊_匯入!$R$6:$R$1005,MATCH($A512,土地清冊_匯入!$A$6:$A$1005,0)),""))</f>
        <v/>
      </c>
      <c r="G512" s="12">
        <f>IF($A512="","",IFERROR(INDEX(土地清冊_匯入!$S$6:$S$1005,MATCH($A512,土地清冊_匯入!$A$6:$A$1005,0)),""))</f>
        <v/>
      </c>
      <c r="H512" s="12">
        <f>IF($A512="","",IFERROR(INDEX(土地清冊_匯入!$T$6:$T$1005,MATCH($A512,土地清冊_匯入!$A$6:$A$1005,0)),""))</f>
        <v/>
      </c>
      <c r="I512" s="12">
        <f>IF($A512="","",IFERROR(INDEX(土地清冊_匯入!$V$6:$V$1005,MATCH($A512,土地清冊_匯入!$A$6:$A$1005,0)),""))</f>
        <v/>
      </c>
      <c r="J512" s="14" t="n"/>
      <c r="K512" s="7" t="n"/>
      <c r="L512" s="7" t="n"/>
      <c r="M512" s="7" t="n"/>
      <c r="N512" s="7" t="n"/>
      <c r="O512" s="7" t="n"/>
      <c r="P512" s="7" t="n"/>
      <c r="Q512" s="14" t="n"/>
      <c r="R512" s="7" t="n"/>
      <c r="S512" s="7" t="n"/>
      <c r="T512" s="7" t="n"/>
      <c r="U512" s="12">
        <f>IF(A512="","",IF(OR(J512="",L512=""),"建議補聯絡紀錄","") )</f>
        <v/>
      </c>
    </row>
    <row r="513" ht="24" customHeight="1">
      <c r="A513" s="7" t="n"/>
      <c r="B513" s="7" t="n"/>
      <c r="C513" s="12">
        <f>IF($A513="","",IFERROR(INDEX(土地清冊_匯入!$B$6:$B$1005,MATCH($A513,土地清冊_匯入!$A$6:$A$1005,0)),"查無資料"))</f>
        <v/>
      </c>
      <c r="D513" s="12">
        <f>IF($A513="","",IFERROR(INDEX(土地清冊_匯入!$P$6:$P$1005,MATCH($A513,土地清冊_匯入!$A$6:$A$1005,0)),""))</f>
        <v/>
      </c>
      <c r="E513" s="12">
        <f>IF($A513="","",IFERROR(INDEX(土地清冊_匯入!$Q$6:$Q$1005,MATCH($A513,土地清冊_匯入!$A$6:$A$1005,0)),""))</f>
        <v/>
      </c>
      <c r="F513" s="12">
        <f>IF($A513="","",IFERROR(INDEX(土地清冊_匯入!$R$6:$R$1005,MATCH($A513,土地清冊_匯入!$A$6:$A$1005,0)),""))</f>
        <v/>
      </c>
      <c r="G513" s="12">
        <f>IF($A513="","",IFERROR(INDEX(土地清冊_匯入!$S$6:$S$1005,MATCH($A513,土地清冊_匯入!$A$6:$A$1005,0)),""))</f>
        <v/>
      </c>
      <c r="H513" s="12">
        <f>IF($A513="","",IFERROR(INDEX(土地清冊_匯入!$T$6:$T$1005,MATCH($A513,土地清冊_匯入!$A$6:$A$1005,0)),""))</f>
        <v/>
      </c>
      <c r="I513" s="12">
        <f>IF($A513="","",IFERROR(INDEX(土地清冊_匯入!$V$6:$V$1005,MATCH($A513,土地清冊_匯入!$A$6:$A$1005,0)),""))</f>
        <v/>
      </c>
      <c r="J513" s="14" t="n"/>
      <c r="K513" s="7" t="n"/>
      <c r="L513" s="7" t="n"/>
      <c r="M513" s="7" t="n"/>
      <c r="N513" s="7" t="n"/>
      <c r="O513" s="7" t="n"/>
      <c r="P513" s="7" t="n"/>
      <c r="Q513" s="14" t="n"/>
      <c r="R513" s="7" t="n"/>
      <c r="S513" s="7" t="n"/>
      <c r="T513" s="7" t="n"/>
      <c r="U513" s="12">
        <f>IF(A513="","",IF(OR(J513="",L513=""),"建議補聯絡紀錄","") )</f>
        <v/>
      </c>
    </row>
    <row r="514" ht="24" customHeight="1">
      <c r="A514" s="7" t="n"/>
      <c r="B514" s="7" t="n"/>
      <c r="C514" s="12">
        <f>IF($A514="","",IFERROR(INDEX(土地清冊_匯入!$B$6:$B$1005,MATCH($A514,土地清冊_匯入!$A$6:$A$1005,0)),"查無資料"))</f>
        <v/>
      </c>
      <c r="D514" s="12">
        <f>IF($A514="","",IFERROR(INDEX(土地清冊_匯入!$P$6:$P$1005,MATCH($A514,土地清冊_匯入!$A$6:$A$1005,0)),""))</f>
        <v/>
      </c>
      <c r="E514" s="12">
        <f>IF($A514="","",IFERROR(INDEX(土地清冊_匯入!$Q$6:$Q$1005,MATCH($A514,土地清冊_匯入!$A$6:$A$1005,0)),""))</f>
        <v/>
      </c>
      <c r="F514" s="12">
        <f>IF($A514="","",IFERROR(INDEX(土地清冊_匯入!$R$6:$R$1005,MATCH($A514,土地清冊_匯入!$A$6:$A$1005,0)),""))</f>
        <v/>
      </c>
      <c r="G514" s="12">
        <f>IF($A514="","",IFERROR(INDEX(土地清冊_匯入!$S$6:$S$1005,MATCH($A514,土地清冊_匯入!$A$6:$A$1005,0)),""))</f>
        <v/>
      </c>
      <c r="H514" s="12">
        <f>IF($A514="","",IFERROR(INDEX(土地清冊_匯入!$T$6:$T$1005,MATCH($A514,土地清冊_匯入!$A$6:$A$1005,0)),""))</f>
        <v/>
      </c>
      <c r="I514" s="12">
        <f>IF($A514="","",IFERROR(INDEX(土地清冊_匯入!$V$6:$V$1005,MATCH($A514,土地清冊_匯入!$A$6:$A$1005,0)),""))</f>
        <v/>
      </c>
      <c r="J514" s="14" t="n"/>
      <c r="K514" s="7" t="n"/>
      <c r="L514" s="7" t="n"/>
      <c r="M514" s="7" t="n"/>
      <c r="N514" s="7" t="n"/>
      <c r="O514" s="7" t="n"/>
      <c r="P514" s="7" t="n"/>
      <c r="Q514" s="14" t="n"/>
      <c r="R514" s="7" t="n"/>
      <c r="S514" s="7" t="n"/>
      <c r="T514" s="7" t="n"/>
      <c r="U514" s="12">
        <f>IF(A514="","",IF(OR(J514="",L514=""),"建議補聯絡紀錄","") )</f>
        <v/>
      </c>
    </row>
    <row r="515" ht="24" customHeight="1">
      <c r="A515" s="7" t="n"/>
      <c r="B515" s="7" t="n"/>
      <c r="C515" s="12">
        <f>IF($A515="","",IFERROR(INDEX(土地清冊_匯入!$B$6:$B$1005,MATCH($A515,土地清冊_匯入!$A$6:$A$1005,0)),"查無資料"))</f>
        <v/>
      </c>
      <c r="D515" s="12">
        <f>IF($A515="","",IFERROR(INDEX(土地清冊_匯入!$P$6:$P$1005,MATCH($A515,土地清冊_匯入!$A$6:$A$1005,0)),""))</f>
        <v/>
      </c>
      <c r="E515" s="12">
        <f>IF($A515="","",IFERROR(INDEX(土地清冊_匯入!$Q$6:$Q$1005,MATCH($A515,土地清冊_匯入!$A$6:$A$1005,0)),""))</f>
        <v/>
      </c>
      <c r="F515" s="12">
        <f>IF($A515="","",IFERROR(INDEX(土地清冊_匯入!$R$6:$R$1005,MATCH($A515,土地清冊_匯入!$A$6:$A$1005,0)),""))</f>
        <v/>
      </c>
      <c r="G515" s="12">
        <f>IF($A515="","",IFERROR(INDEX(土地清冊_匯入!$S$6:$S$1005,MATCH($A515,土地清冊_匯入!$A$6:$A$1005,0)),""))</f>
        <v/>
      </c>
      <c r="H515" s="12">
        <f>IF($A515="","",IFERROR(INDEX(土地清冊_匯入!$T$6:$T$1005,MATCH($A515,土地清冊_匯入!$A$6:$A$1005,0)),""))</f>
        <v/>
      </c>
      <c r="I515" s="12">
        <f>IF($A515="","",IFERROR(INDEX(土地清冊_匯入!$V$6:$V$1005,MATCH($A515,土地清冊_匯入!$A$6:$A$1005,0)),""))</f>
        <v/>
      </c>
      <c r="J515" s="14" t="n"/>
      <c r="K515" s="7" t="n"/>
      <c r="L515" s="7" t="n"/>
      <c r="M515" s="7" t="n"/>
      <c r="N515" s="7" t="n"/>
      <c r="O515" s="7" t="n"/>
      <c r="P515" s="7" t="n"/>
      <c r="Q515" s="14" t="n"/>
      <c r="R515" s="7" t="n"/>
      <c r="S515" s="7" t="n"/>
      <c r="T515" s="7" t="n"/>
      <c r="U515" s="12">
        <f>IF(A515="","",IF(OR(J515="",L515=""),"建議補聯絡紀錄","") )</f>
        <v/>
      </c>
    </row>
    <row r="516" ht="24" customHeight="1">
      <c r="A516" s="7" t="n"/>
      <c r="B516" s="7" t="n"/>
      <c r="C516" s="12">
        <f>IF($A516="","",IFERROR(INDEX(土地清冊_匯入!$B$6:$B$1005,MATCH($A516,土地清冊_匯入!$A$6:$A$1005,0)),"查無資料"))</f>
        <v/>
      </c>
      <c r="D516" s="12">
        <f>IF($A516="","",IFERROR(INDEX(土地清冊_匯入!$P$6:$P$1005,MATCH($A516,土地清冊_匯入!$A$6:$A$1005,0)),""))</f>
        <v/>
      </c>
      <c r="E516" s="12">
        <f>IF($A516="","",IFERROR(INDEX(土地清冊_匯入!$Q$6:$Q$1005,MATCH($A516,土地清冊_匯入!$A$6:$A$1005,0)),""))</f>
        <v/>
      </c>
      <c r="F516" s="12">
        <f>IF($A516="","",IFERROR(INDEX(土地清冊_匯入!$R$6:$R$1005,MATCH($A516,土地清冊_匯入!$A$6:$A$1005,0)),""))</f>
        <v/>
      </c>
      <c r="G516" s="12">
        <f>IF($A516="","",IFERROR(INDEX(土地清冊_匯入!$S$6:$S$1005,MATCH($A516,土地清冊_匯入!$A$6:$A$1005,0)),""))</f>
        <v/>
      </c>
      <c r="H516" s="12">
        <f>IF($A516="","",IFERROR(INDEX(土地清冊_匯入!$T$6:$T$1005,MATCH($A516,土地清冊_匯入!$A$6:$A$1005,0)),""))</f>
        <v/>
      </c>
      <c r="I516" s="12">
        <f>IF($A516="","",IFERROR(INDEX(土地清冊_匯入!$V$6:$V$1005,MATCH($A516,土地清冊_匯入!$A$6:$A$1005,0)),""))</f>
        <v/>
      </c>
      <c r="J516" s="14" t="n"/>
      <c r="K516" s="7" t="n"/>
      <c r="L516" s="7" t="n"/>
      <c r="M516" s="7" t="n"/>
      <c r="N516" s="7" t="n"/>
      <c r="O516" s="7" t="n"/>
      <c r="P516" s="7" t="n"/>
      <c r="Q516" s="14" t="n"/>
      <c r="R516" s="7" t="n"/>
      <c r="S516" s="7" t="n"/>
      <c r="T516" s="7" t="n"/>
      <c r="U516" s="12">
        <f>IF(A516="","",IF(OR(J516="",L516=""),"建議補聯絡紀錄","") )</f>
        <v/>
      </c>
    </row>
    <row r="517" ht="24" customHeight="1">
      <c r="A517" s="7" t="n"/>
      <c r="B517" s="7" t="n"/>
      <c r="C517" s="12">
        <f>IF($A517="","",IFERROR(INDEX(土地清冊_匯入!$B$6:$B$1005,MATCH($A517,土地清冊_匯入!$A$6:$A$1005,0)),"查無資料"))</f>
        <v/>
      </c>
      <c r="D517" s="12">
        <f>IF($A517="","",IFERROR(INDEX(土地清冊_匯入!$P$6:$P$1005,MATCH($A517,土地清冊_匯入!$A$6:$A$1005,0)),""))</f>
        <v/>
      </c>
      <c r="E517" s="12">
        <f>IF($A517="","",IFERROR(INDEX(土地清冊_匯入!$Q$6:$Q$1005,MATCH($A517,土地清冊_匯入!$A$6:$A$1005,0)),""))</f>
        <v/>
      </c>
      <c r="F517" s="12">
        <f>IF($A517="","",IFERROR(INDEX(土地清冊_匯入!$R$6:$R$1005,MATCH($A517,土地清冊_匯入!$A$6:$A$1005,0)),""))</f>
        <v/>
      </c>
      <c r="G517" s="12">
        <f>IF($A517="","",IFERROR(INDEX(土地清冊_匯入!$S$6:$S$1005,MATCH($A517,土地清冊_匯入!$A$6:$A$1005,0)),""))</f>
        <v/>
      </c>
      <c r="H517" s="12">
        <f>IF($A517="","",IFERROR(INDEX(土地清冊_匯入!$T$6:$T$1005,MATCH($A517,土地清冊_匯入!$A$6:$A$1005,0)),""))</f>
        <v/>
      </c>
      <c r="I517" s="12">
        <f>IF($A517="","",IFERROR(INDEX(土地清冊_匯入!$V$6:$V$1005,MATCH($A517,土地清冊_匯入!$A$6:$A$1005,0)),""))</f>
        <v/>
      </c>
      <c r="J517" s="14" t="n"/>
      <c r="K517" s="7" t="n"/>
      <c r="L517" s="7" t="n"/>
      <c r="M517" s="7" t="n"/>
      <c r="N517" s="7" t="n"/>
      <c r="O517" s="7" t="n"/>
      <c r="P517" s="7" t="n"/>
      <c r="Q517" s="14" t="n"/>
      <c r="R517" s="7" t="n"/>
      <c r="S517" s="7" t="n"/>
      <c r="T517" s="7" t="n"/>
      <c r="U517" s="12">
        <f>IF(A517="","",IF(OR(J517="",L517=""),"建議補聯絡紀錄","") )</f>
        <v/>
      </c>
    </row>
    <row r="518" ht="24" customHeight="1">
      <c r="A518" s="7" t="n"/>
      <c r="B518" s="7" t="n"/>
      <c r="C518" s="12">
        <f>IF($A518="","",IFERROR(INDEX(土地清冊_匯入!$B$6:$B$1005,MATCH($A518,土地清冊_匯入!$A$6:$A$1005,0)),"查無資料"))</f>
        <v/>
      </c>
      <c r="D518" s="12">
        <f>IF($A518="","",IFERROR(INDEX(土地清冊_匯入!$P$6:$P$1005,MATCH($A518,土地清冊_匯入!$A$6:$A$1005,0)),""))</f>
        <v/>
      </c>
      <c r="E518" s="12">
        <f>IF($A518="","",IFERROR(INDEX(土地清冊_匯入!$Q$6:$Q$1005,MATCH($A518,土地清冊_匯入!$A$6:$A$1005,0)),""))</f>
        <v/>
      </c>
      <c r="F518" s="12">
        <f>IF($A518="","",IFERROR(INDEX(土地清冊_匯入!$R$6:$R$1005,MATCH($A518,土地清冊_匯入!$A$6:$A$1005,0)),""))</f>
        <v/>
      </c>
      <c r="G518" s="12">
        <f>IF($A518="","",IFERROR(INDEX(土地清冊_匯入!$S$6:$S$1005,MATCH($A518,土地清冊_匯入!$A$6:$A$1005,0)),""))</f>
        <v/>
      </c>
      <c r="H518" s="12">
        <f>IF($A518="","",IFERROR(INDEX(土地清冊_匯入!$T$6:$T$1005,MATCH($A518,土地清冊_匯入!$A$6:$A$1005,0)),""))</f>
        <v/>
      </c>
      <c r="I518" s="12">
        <f>IF($A518="","",IFERROR(INDEX(土地清冊_匯入!$V$6:$V$1005,MATCH($A518,土地清冊_匯入!$A$6:$A$1005,0)),""))</f>
        <v/>
      </c>
      <c r="J518" s="14" t="n"/>
      <c r="K518" s="7" t="n"/>
      <c r="L518" s="7" t="n"/>
      <c r="M518" s="7" t="n"/>
      <c r="N518" s="7" t="n"/>
      <c r="O518" s="7" t="n"/>
      <c r="P518" s="7" t="n"/>
      <c r="Q518" s="14" t="n"/>
      <c r="R518" s="7" t="n"/>
      <c r="S518" s="7" t="n"/>
      <c r="T518" s="7" t="n"/>
      <c r="U518" s="12">
        <f>IF(A518="","",IF(OR(J518="",L518=""),"建議補聯絡紀錄","") )</f>
        <v/>
      </c>
    </row>
    <row r="519" ht="24" customHeight="1">
      <c r="A519" s="7" t="n"/>
      <c r="B519" s="7" t="n"/>
      <c r="C519" s="12">
        <f>IF($A519="","",IFERROR(INDEX(土地清冊_匯入!$B$6:$B$1005,MATCH($A519,土地清冊_匯入!$A$6:$A$1005,0)),"查無資料"))</f>
        <v/>
      </c>
      <c r="D519" s="12">
        <f>IF($A519="","",IFERROR(INDEX(土地清冊_匯入!$P$6:$P$1005,MATCH($A519,土地清冊_匯入!$A$6:$A$1005,0)),""))</f>
        <v/>
      </c>
      <c r="E519" s="12">
        <f>IF($A519="","",IFERROR(INDEX(土地清冊_匯入!$Q$6:$Q$1005,MATCH($A519,土地清冊_匯入!$A$6:$A$1005,0)),""))</f>
        <v/>
      </c>
      <c r="F519" s="12">
        <f>IF($A519="","",IFERROR(INDEX(土地清冊_匯入!$R$6:$R$1005,MATCH($A519,土地清冊_匯入!$A$6:$A$1005,0)),""))</f>
        <v/>
      </c>
      <c r="G519" s="12">
        <f>IF($A519="","",IFERROR(INDEX(土地清冊_匯入!$S$6:$S$1005,MATCH($A519,土地清冊_匯入!$A$6:$A$1005,0)),""))</f>
        <v/>
      </c>
      <c r="H519" s="12">
        <f>IF($A519="","",IFERROR(INDEX(土地清冊_匯入!$T$6:$T$1005,MATCH($A519,土地清冊_匯入!$A$6:$A$1005,0)),""))</f>
        <v/>
      </c>
      <c r="I519" s="12">
        <f>IF($A519="","",IFERROR(INDEX(土地清冊_匯入!$V$6:$V$1005,MATCH($A519,土地清冊_匯入!$A$6:$A$1005,0)),""))</f>
        <v/>
      </c>
      <c r="J519" s="14" t="n"/>
      <c r="K519" s="7" t="n"/>
      <c r="L519" s="7" t="n"/>
      <c r="M519" s="7" t="n"/>
      <c r="N519" s="7" t="n"/>
      <c r="O519" s="7" t="n"/>
      <c r="P519" s="7" t="n"/>
      <c r="Q519" s="14" t="n"/>
      <c r="R519" s="7" t="n"/>
      <c r="S519" s="7" t="n"/>
      <c r="T519" s="7" t="n"/>
      <c r="U519" s="12">
        <f>IF(A519="","",IF(OR(J519="",L519=""),"建議補聯絡紀錄","") )</f>
        <v/>
      </c>
    </row>
    <row r="520" ht="24" customHeight="1">
      <c r="A520" s="7" t="n"/>
      <c r="B520" s="7" t="n"/>
      <c r="C520" s="12">
        <f>IF($A520="","",IFERROR(INDEX(土地清冊_匯入!$B$6:$B$1005,MATCH($A520,土地清冊_匯入!$A$6:$A$1005,0)),"查無資料"))</f>
        <v/>
      </c>
      <c r="D520" s="12">
        <f>IF($A520="","",IFERROR(INDEX(土地清冊_匯入!$P$6:$P$1005,MATCH($A520,土地清冊_匯入!$A$6:$A$1005,0)),""))</f>
        <v/>
      </c>
      <c r="E520" s="12">
        <f>IF($A520="","",IFERROR(INDEX(土地清冊_匯入!$Q$6:$Q$1005,MATCH($A520,土地清冊_匯入!$A$6:$A$1005,0)),""))</f>
        <v/>
      </c>
      <c r="F520" s="12">
        <f>IF($A520="","",IFERROR(INDEX(土地清冊_匯入!$R$6:$R$1005,MATCH($A520,土地清冊_匯入!$A$6:$A$1005,0)),""))</f>
        <v/>
      </c>
      <c r="G520" s="12">
        <f>IF($A520="","",IFERROR(INDEX(土地清冊_匯入!$S$6:$S$1005,MATCH($A520,土地清冊_匯入!$A$6:$A$1005,0)),""))</f>
        <v/>
      </c>
      <c r="H520" s="12">
        <f>IF($A520="","",IFERROR(INDEX(土地清冊_匯入!$T$6:$T$1005,MATCH($A520,土地清冊_匯入!$A$6:$A$1005,0)),""))</f>
        <v/>
      </c>
      <c r="I520" s="12">
        <f>IF($A520="","",IFERROR(INDEX(土地清冊_匯入!$V$6:$V$1005,MATCH($A520,土地清冊_匯入!$A$6:$A$1005,0)),""))</f>
        <v/>
      </c>
      <c r="J520" s="14" t="n"/>
      <c r="K520" s="7" t="n"/>
      <c r="L520" s="7" t="n"/>
      <c r="M520" s="7" t="n"/>
      <c r="N520" s="7" t="n"/>
      <c r="O520" s="7" t="n"/>
      <c r="P520" s="7" t="n"/>
      <c r="Q520" s="14" t="n"/>
      <c r="R520" s="7" t="n"/>
      <c r="S520" s="7" t="n"/>
      <c r="T520" s="7" t="n"/>
      <c r="U520" s="12">
        <f>IF(A520="","",IF(OR(J520="",L520=""),"建議補聯絡紀錄","") )</f>
        <v/>
      </c>
    </row>
    <row r="521" ht="24" customHeight="1">
      <c r="A521" s="7" t="n"/>
      <c r="B521" s="7" t="n"/>
      <c r="C521" s="12">
        <f>IF($A521="","",IFERROR(INDEX(土地清冊_匯入!$B$6:$B$1005,MATCH($A521,土地清冊_匯入!$A$6:$A$1005,0)),"查無資料"))</f>
        <v/>
      </c>
      <c r="D521" s="12">
        <f>IF($A521="","",IFERROR(INDEX(土地清冊_匯入!$P$6:$P$1005,MATCH($A521,土地清冊_匯入!$A$6:$A$1005,0)),""))</f>
        <v/>
      </c>
      <c r="E521" s="12">
        <f>IF($A521="","",IFERROR(INDEX(土地清冊_匯入!$Q$6:$Q$1005,MATCH($A521,土地清冊_匯入!$A$6:$A$1005,0)),""))</f>
        <v/>
      </c>
      <c r="F521" s="12">
        <f>IF($A521="","",IFERROR(INDEX(土地清冊_匯入!$R$6:$R$1005,MATCH($A521,土地清冊_匯入!$A$6:$A$1005,0)),""))</f>
        <v/>
      </c>
      <c r="G521" s="12">
        <f>IF($A521="","",IFERROR(INDEX(土地清冊_匯入!$S$6:$S$1005,MATCH($A521,土地清冊_匯入!$A$6:$A$1005,0)),""))</f>
        <v/>
      </c>
      <c r="H521" s="12">
        <f>IF($A521="","",IFERROR(INDEX(土地清冊_匯入!$T$6:$T$1005,MATCH($A521,土地清冊_匯入!$A$6:$A$1005,0)),""))</f>
        <v/>
      </c>
      <c r="I521" s="12">
        <f>IF($A521="","",IFERROR(INDEX(土地清冊_匯入!$V$6:$V$1005,MATCH($A521,土地清冊_匯入!$A$6:$A$1005,0)),""))</f>
        <v/>
      </c>
      <c r="J521" s="14" t="n"/>
      <c r="K521" s="7" t="n"/>
      <c r="L521" s="7" t="n"/>
      <c r="M521" s="7" t="n"/>
      <c r="N521" s="7" t="n"/>
      <c r="O521" s="7" t="n"/>
      <c r="P521" s="7" t="n"/>
      <c r="Q521" s="14" t="n"/>
      <c r="R521" s="7" t="n"/>
      <c r="S521" s="7" t="n"/>
      <c r="T521" s="7" t="n"/>
      <c r="U521" s="12">
        <f>IF(A521="","",IF(OR(J521="",L521=""),"建議補聯絡紀錄","") )</f>
        <v/>
      </c>
    </row>
    <row r="522" ht="24" customHeight="1">
      <c r="A522" s="7" t="n"/>
      <c r="B522" s="7" t="n"/>
      <c r="C522" s="12">
        <f>IF($A522="","",IFERROR(INDEX(土地清冊_匯入!$B$6:$B$1005,MATCH($A522,土地清冊_匯入!$A$6:$A$1005,0)),"查無資料"))</f>
        <v/>
      </c>
      <c r="D522" s="12">
        <f>IF($A522="","",IFERROR(INDEX(土地清冊_匯入!$P$6:$P$1005,MATCH($A522,土地清冊_匯入!$A$6:$A$1005,0)),""))</f>
        <v/>
      </c>
      <c r="E522" s="12">
        <f>IF($A522="","",IFERROR(INDEX(土地清冊_匯入!$Q$6:$Q$1005,MATCH($A522,土地清冊_匯入!$A$6:$A$1005,0)),""))</f>
        <v/>
      </c>
      <c r="F522" s="12">
        <f>IF($A522="","",IFERROR(INDEX(土地清冊_匯入!$R$6:$R$1005,MATCH($A522,土地清冊_匯入!$A$6:$A$1005,0)),""))</f>
        <v/>
      </c>
      <c r="G522" s="12">
        <f>IF($A522="","",IFERROR(INDEX(土地清冊_匯入!$S$6:$S$1005,MATCH($A522,土地清冊_匯入!$A$6:$A$1005,0)),""))</f>
        <v/>
      </c>
      <c r="H522" s="12">
        <f>IF($A522="","",IFERROR(INDEX(土地清冊_匯入!$T$6:$T$1005,MATCH($A522,土地清冊_匯入!$A$6:$A$1005,0)),""))</f>
        <v/>
      </c>
      <c r="I522" s="12">
        <f>IF($A522="","",IFERROR(INDEX(土地清冊_匯入!$V$6:$V$1005,MATCH($A522,土地清冊_匯入!$A$6:$A$1005,0)),""))</f>
        <v/>
      </c>
      <c r="J522" s="14" t="n"/>
      <c r="K522" s="7" t="n"/>
      <c r="L522" s="7" t="n"/>
      <c r="M522" s="7" t="n"/>
      <c r="N522" s="7" t="n"/>
      <c r="O522" s="7" t="n"/>
      <c r="P522" s="7" t="n"/>
      <c r="Q522" s="14" t="n"/>
      <c r="R522" s="7" t="n"/>
      <c r="S522" s="7" t="n"/>
      <c r="T522" s="7" t="n"/>
      <c r="U522" s="12">
        <f>IF(A522="","",IF(OR(J522="",L522=""),"建議補聯絡紀錄","") )</f>
        <v/>
      </c>
    </row>
    <row r="523" ht="24" customHeight="1">
      <c r="A523" s="7" t="n"/>
      <c r="B523" s="7" t="n"/>
      <c r="C523" s="12">
        <f>IF($A523="","",IFERROR(INDEX(土地清冊_匯入!$B$6:$B$1005,MATCH($A523,土地清冊_匯入!$A$6:$A$1005,0)),"查無資料"))</f>
        <v/>
      </c>
      <c r="D523" s="12">
        <f>IF($A523="","",IFERROR(INDEX(土地清冊_匯入!$P$6:$P$1005,MATCH($A523,土地清冊_匯入!$A$6:$A$1005,0)),""))</f>
        <v/>
      </c>
      <c r="E523" s="12">
        <f>IF($A523="","",IFERROR(INDEX(土地清冊_匯入!$Q$6:$Q$1005,MATCH($A523,土地清冊_匯入!$A$6:$A$1005,0)),""))</f>
        <v/>
      </c>
      <c r="F523" s="12">
        <f>IF($A523="","",IFERROR(INDEX(土地清冊_匯入!$R$6:$R$1005,MATCH($A523,土地清冊_匯入!$A$6:$A$1005,0)),""))</f>
        <v/>
      </c>
      <c r="G523" s="12">
        <f>IF($A523="","",IFERROR(INDEX(土地清冊_匯入!$S$6:$S$1005,MATCH($A523,土地清冊_匯入!$A$6:$A$1005,0)),""))</f>
        <v/>
      </c>
      <c r="H523" s="12">
        <f>IF($A523="","",IFERROR(INDEX(土地清冊_匯入!$T$6:$T$1005,MATCH($A523,土地清冊_匯入!$A$6:$A$1005,0)),""))</f>
        <v/>
      </c>
      <c r="I523" s="12">
        <f>IF($A523="","",IFERROR(INDEX(土地清冊_匯入!$V$6:$V$1005,MATCH($A523,土地清冊_匯入!$A$6:$A$1005,0)),""))</f>
        <v/>
      </c>
      <c r="J523" s="14" t="n"/>
      <c r="K523" s="7" t="n"/>
      <c r="L523" s="7" t="n"/>
      <c r="M523" s="7" t="n"/>
      <c r="N523" s="7" t="n"/>
      <c r="O523" s="7" t="n"/>
      <c r="P523" s="7" t="n"/>
      <c r="Q523" s="14" t="n"/>
      <c r="R523" s="7" t="n"/>
      <c r="S523" s="7" t="n"/>
      <c r="T523" s="7" t="n"/>
      <c r="U523" s="12">
        <f>IF(A523="","",IF(OR(J523="",L523=""),"建議補聯絡紀錄","") )</f>
        <v/>
      </c>
    </row>
    <row r="524" ht="24" customHeight="1">
      <c r="A524" s="7" t="n"/>
      <c r="B524" s="7" t="n"/>
      <c r="C524" s="12">
        <f>IF($A524="","",IFERROR(INDEX(土地清冊_匯入!$B$6:$B$1005,MATCH($A524,土地清冊_匯入!$A$6:$A$1005,0)),"查無資料"))</f>
        <v/>
      </c>
      <c r="D524" s="12">
        <f>IF($A524="","",IFERROR(INDEX(土地清冊_匯入!$P$6:$P$1005,MATCH($A524,土地清冊_匯入!$A$6:$A$1005,0)),""))</f>
        <v/>
      </c>
      <c r="E524" s="12">
        <f>IF($A524="","",IFERROR(INDEX(土地清冊_匯入!$Q$6:$Q$1005,MATCH($A524,土地清冊_匯入!$A$6:$A$1005,0)),""))</f>
        <v/>
      </c>
      <c r="F524" s="12">
        <f>IF($A524="","",IFERROR(INDEX(土地清冊_匯入!$R$6:$R$1005,MATCH($A524,土地清冊_匯入!$A$6:$A$1005,0)),""))</f>
        <v/>
      </c>
      <c r="G524" s="12">
        <f>IF($A524="","",IFERROR(INDEX(土地清冊_匯入!$S$6:$S$1005,MATCH($A524,土地清冊_匯入!$A$6:$A$1005,0)),""))</f>
        <v/>
      </c>
      <c r="H524" s="12">
        <f>IF($A524="","",IFERROR(INDEX(土地清冊_匯入!$T$6:$T$1005,MATCH($A524,土地清冊_匯入!$A$6:$A$1005,0)),""))</f>
        <v/>
      </c>
      <c r="I524" s="12">
        <f>IF($A524="","",IFERROR(INDEX(土地清冊_匯入!$V$6:$V$1005,MATCH($A524,土地清冊_匯入!$A$6:$A$1005,0)),""))</f>
        <v/>
      </c>
      <c r="J524" s="14" t="n"/>
      <c r="K524" s="7" t="n"/>
      <c r="L524" s="7" t="n"/>
      <c r="M524" s="7" t="n"/>
      <c r="N524" s="7" t="n"/>
      <c r="O524" s="7" t="n"/>
      <c r="P524" s="7" t="n"/>
      <c r="Q524" s="14" t="n"/>
      <c r="R524" s="7" t="n"/>
      <c r="S524" s="7" t="n"/>
      <c r="T524" s="7" t="n"/>
      <c r="U524" s="12">
        <f>IF(A524="","",IF(OR(J524="",L524=""),"建議補聯絡紀錄","") )</f>
        <v/>
      </c>
    </row>
    <row r="525" ht="24" customHeight="1">
      <c r="A525" s="7" t="n"/>
      <c r="B525" s="7" t="n"/>
      <c r="C525" s="12">
        <f>IF($A525="","",IFERROR(INDEX(土地清冊_匯入!$B$6:$B$1005,MATCH($A525,土地清冊_匯入!$A$6:$A$1005,0)),"查無資料"))</f>
        <v/>
      </c>
      <c r="D525" s="12">
        <f>IF($A525="","",IFERROR(INDEX(土地清冊_匯入!$P$6:$P$1005,MATCH($A525,土地清冊_匯入!$A$6:$A$1005,0)),""))</f>
        <v/>
      </c>
      <c r="E525" s="12">
        <f>IF($A525="","",IFERROR(INDEX(土地清冊_匯入!$Q$6:$Q$1005,MATCH($A525,土地清冊_匯入!$A$6:$A$1005,0)),""))</f>
        <v/>
      </c>
      <c r="F525" s="12">
        <f>IF($A525="","",IFERROR(INDEX(土地清冊_匯入!$R$6:$R$1005,MATCH($A525,土地清冊_匯入!$A$6:$A$1005,0)),""))</f>
        <v/>
      </c>
      <c r="G525" s="12">
        <f>IF($A525="","",IFERROR(INDEX(土地清冊_匯入!$S$6:$S$1005,MATCH($A525,土地清冊_匯入!$A$6:$A$1005,0)),""))</f>
        <v/>
      </c>
      <c r="H525" s="12">
        <f>IF($A525="","",IFERROR(INDEX(土地清冊_匯入!$T$6:$T$1005,MATCH($A525,土地清冊_匯入!$A$6:$A$1005,0)),""))</f>
        <v/>
      </c>
      <c r="I525" s="12">
        <f>IF($A525="","",IFERROR(INDEX(土地清冊_匯入!$V$6:$V$1005,MATCH($A525,土地清冊_匯入!$A$6:$A$1005,0)),""))</f>
        <v/>
      </c>
      <c r="J525" s="14" t="n"/>
      <c r="K525" s="7" t="n"/>
      <c r="L525" s="7" t="n"/>
      <c r="M525" s="7" t="n"/>
      <c r="N525" s="7" t="n"/>
      <c r="O525" s="7" t="n"/>
      <c r="P525" s="7" t="n"/>
      <c r="Q525" s="14" t="n"/>
      <c r="R525" s="7" t="n"/>
      <c r="S525" s="7" t="n"/>
      <c r="T525" s="7" t="n"/>
      <c r="U525" s="12">
        <f>IF(A525="","",IF(OR(J525="",L525=""),"建議補聯絡紀錄","") )</f>
        <v/>
      </c>
    </row>
    <row r="526" ht="24" customHeight="1">
      <c r="A526" s="7" t="n"/>
      <c r="B526" s="7" t="n"/>
      <c r="C526" s="12">
        <f>IF($A526="","",IFERROR(INDEX(土地清冊_匯入!$B$6:$B$1005,MATCH($A526,土地清冊_匯入!$A$6:$A$1005,0)),"查無資料"))</f>
        <v/>
      </c>
      <c r="D526" s="12">
        <f>IF($A526="","",IFERROR(INDEX(土地清冊_匯入!$P$6:$P$1005,MATCH($A526,土地清冊_匯入!$A$6:$A$1005,0)),""))</f>
        <v/>
      </c>
      <c r="E526" s="12">
        <f>IF($A526="","",IFERROR(INDEX(土地清冊_匯入!$Q$6:$Q$1005,MATCH($A526,土地清冊_匯入!$A$6:$A$1005,0)),""))</f>
        <v/>
      </c>
      <c r="F526" s="12">
        <f>IF($A526="","",IFERROR(INDEX(土地清冊_匯入!$R$6:$R$1005,MATCH($A526,土地清冊_匯入!$A$6:$A$1005,0)),""))</f>
        <v/>
      </c>
      <c r="G526" s="12">
        <f>IF($A526="","",IFERROR(INDEX(土地清冊_匯入!$S$6:$S$1005,MATCH($A526,土地清冊_匯入!$A$6:$A$1005,0)),""))</f>
        <v/>
      </c>
      <c r="H526" s="12">
        <f>IF($A526="","",IFERROR(INDEX(土地清冊_匯入!$T$6:$T$1005,MATCH($A526,土地清冊_匯入!$A$6:$A$1005,0)),""))</f>
        <v/>
      </c>
      <c r="I526" s="12">
        <f>IF($A526="","",IFERROR(INDEX(土地清冊_匯入!$V$6:$V$1005,MATCH($A526,土地清冊_匯入!$A$6:$A$1005,0)),""))</f>
        <v/>
      </c>
      <c r="J526" s="14" t="n"/>
      <c r="K526" s="7" t="n"/>
      <c r="L526" s="7" t="n"/>
      <c r="M526" s="7" t="n"/>
      <c r="N526" s="7" t="n"/>
      <c r="O526" s="7" t="n"/>
      <c r="P526" s="7" t="n"/>
      <c r="Q526" s="14" t="n"/>
      <c r="R526" s="7" t="n"/>
      <c r="S526" s="7" t="n"/>
      <c r="T526" s="7" t="n"/>
      <c r="U526" s="12">
        <f>IF(A526="","",IF(OR(J526="",L526=""),"建議補聯絡紀錄","") )</f>
        <v/>
      </c>
    </row>
    <row r="527" ht="24" customHeight="1">
      <c r="A527" s="7" t="n"/>
      <c r="B527" s="7" t="n"/>
      <c r="C527" s="12">
        <f>IF($A527="","",IFERROR(INDEX(土地清冊_匯入!$B$6:$B$1005,MATCH($A527,土地清冊_匯入!$A$6:$A$1005,0)),"查無資料"))</f>
        <v/>
      </c>
      <c r="D527" s="12">
        <f>IF($A527="","",IFERROR(INDEX(土地清冊_匯入!$P$6:$P$1005,MATCH($A527,土地清冊_匯入!$A$6:$A$1005,0)),""))</f>
        <v/>
      </c>
      <c r="E527" s="12">
        <f>IF($A527="","",IFERROR(INDEX(土地清冊_匯入!$Q$6:$Q$1005,MATCH($A527,土地清冊_匯入!$A$6:$A$1005,0)),""))</f>
        <v/>
      </c>
      <c r="F527" s="12">
        <f>IF($A527="","",IFERROR(INDEX(土地清冊_匯入!$R$6:$R$1005,MATCH($A527,土地清冊_匯入!$A$6:$A$1005,0)),""))</f>
        <v/>
      </c>
      <c r="G527" s="12">
        <f>IF($A527="","",IFERROR(INDEX(土地清冊_匯入!$S$6:$S$1005,MATCH($A527,土地清冊_匯入!$A$6:$A$1005,0)),""))</f>
        <v/>
      </c>
      <c r="H527" s="12">
        <f>IF($A527="","",IFERROR(INDEX(土地清冊_匯入!$T$6:$T$1005,MATCH($A527,土地清冊_匯入!$A$6:$A$1005,0)),""))</f>
        <v/>
      </c>
      <c r="I527" s="12">
        <f>IF($A527="","",IFERROR(INDEX(土地清冊_匯入!$V$6:$V$1005,MATCH($A527,土地清冊_匯入!$A$6:$A$1005,0)),""))</f>
        <v/>
      </c>
      <c r="J527" s="14" t="n"/>
      <c r="K527" s="7" t="n"/>
      <c r="L527" s="7" t="n"/>
      <c r="M527" s="7" t="n"/>
      <c r="N527" s="7" t="n"/>
      <c r="O527" s="7" t="n"/>
      <c r="P527" s="7" t="n"/>
      <c r="Q527" s="14" t="n"/>
      <c r="R527" s="7" t="n"/>
      <c r="S527" s="7" t="n"/>
      <c r="T527" s="7" t="n"/>
      <c r="U527" s="12">
        <f>IF(A527="","",IF(OR(J527="",L527=""),"建議補聯絡紀錄","") )</f>
        <v/>
      </c>
    </row>
    <row r="528" ht="24" customHeight="1">
      <c r="A528" s="7" t="n"/>
      <c r="B528" s="7" t="n"/>
      <c r="C528" s="12">
        <f>IF($A528="","",IFERROR(INDEX(土地清冊_匯入!$B$6:$B$1005,MATCH($A528,土地清冊_匯入!$A$6:$A$1005,0)),"查無資料"))</f>
        <v/>
      </c>
      <c r="D528" s="12">
        <f>IF($A528="","",IFERROR(INDEX(土地清冊_匯入!$P$6:$P$1005,MATCH($A528,土地清冊_匯入!$A$6:$A$1005,0)),""))</f>
        <v/>
      </c>
      <c r="E528" s="12">
        <f>IF($A528="","",IFERROR(INDEX(土地清冊_匯入!$Q$6:$Q$1005,MATCH($A528,土地清冊_匯入!$A$6:$A$1005,0)),""))</f>
        <v/>
      </c>
      <c r="F528" s="12">
        <f>IF($A528="","",IFERROR(INDEX(土地清冊_匯入!$R$6:$R$1005,MATCH($A528,土地清冊_匯入!$A$6:$A$1005,0)),""))</f>
        <v/>
      </c>
      <c r="G528" s="12">
        <f>IF($A528="","",IFERROR(INDEX(土地清冊_匯入!$S$6:$S$1005,MATCH($A528,土地清冊_匯入!$A$6:$A$1005,0)),""))</f>
        <v/>
      </c>
      <c r="H528" s="12">
        <f>IF($A528="","",IFERROR(INDEX(土地清冊_匯入!$T$6:$T$1005,MATCH($A528,土地清冊_匯入!$A$6:$A$1005,0)),""))</f>
        <v/>
      </c>
      <c r="I528" s="12">
        <f>IF($A528="","",IFERROR(INDEX(土地清冊_匯入!$V$6:$V$1005,MATCH($A528,土地清冊_匯入!$A$6:$A$1005,0)),""))</f>
        <v/>
      </c>
      <c r="J528" s="14" t="n"/>
      <c r="K528" s="7" t="n"/>
      <c r="L528" s="7" t="n"/>
      <c r="M528" s="7" t="n"/>
      <c r="N528" s="7" t="n"/>
      <c r="O528" s="7" t="n"/>
      <c r="P528" s="7" t="n"/>
      <c r="Q528" s="14" t="n"/>
      <c r="R528" s="7" t="n"/>
      <c r="S528" s="7" t="n"/>
      <c r="T528" s="7" t="n"/>
      <c r="U528" s="12">
        <f>IF(A528="","",IF(OR(J528="",L528=""),"建議補聯絡紀錄","") )</f>
        <v/>
      </c>
    </row>
    <row r="529" ht="24" customHeight="1">
      <c r="A529" s="7" t="n"/>
      <c r="B529" s="7" t="n"/>
      <c r="C529" s="12">
        <f>IF($A529="","",IFERROR(INDEX(土地清冊_匯入!$B$6:$B$1005,MATCH($A529,土地清冊_匯入!$A$6:$A$1005,0)),"查無資料"))</f>
        <v/>
      </c>
      <c r="D529" s="12">
        <f>IF($A529="","",IFERROR(INDEX(土地清冊_匯入!$P$6:$P$1005,MATCH($A529,土地清冊_匯入!$A$6:$A$1005,0)),""))</f>
        <v/>
      </c>
      <c r="E529" s="12">
        <f>IF($A529="","",IFERROR(INDEX(土地清冊_匯入!$Q$6:$Q$1005,MATCH($A529,土地清冊_匯入!$A$6:$A$1005,0)),""))</f>
        <v/>
      </c>
      <c r="F529" s="12">
        <f>IF($A529="","",IFERROR(INDEX(土地清冊_匯入!$R$6:$R$1005,MATCH($A529,土地清冊_匯入!$A$6:$A$1005,0)),""))</f>
        <v/>
      </c>
      <c r="G529" s="12">
        <f>IF($A529="","",IFERROR(INDEX(土地清冊_匯入!$S$6:$S$1005,MATCH($A529,土地清冊_匯入!$A$6:$A$1005,0)),""))</f>
        <v/>
      </c>
      <c r="H529" s="12">
        <f>IF($A529="","",IFERROR(INDEX(土地清冊_匯入!$T$6:$T$1005,MATCH($A529,土地清冊_匯入!$A$6:$A$1005,0)),""))</f>
        <v/>
      </c>
      <c r="I529" s="12">
        <f>IF($A529="","",IFERROR(INDEX(土地清冊_匯入!$V$6:$V$1005,MATCH($A529,土地清冊_匯入!$A$6:$A$1005,0)),""))</f>
        <v/>
      </c>
      <c r="J529" s="14" t="n"/>
      <c r="K529" s="7" t="n"/>
      <c r="L529" s="7" t="n"/>
      <c r="M529" s="7" t="n"/>
      <c r="N529" s="7" t="n"/>
      <c r="O529" s="7" t="n"/>
      <c r="P529" s="7" t="n"/>
      <c r="Q529" s="14" t="n"/>
      <c r="R529" s="7" t="n"/>
      <c r="S529" s="7" t="n"/>
      <c r="T529" s="7" t="n"/>
      <c r="U529" s="12">
        <f>IF(A529="","",IF(OR(J529="",L529=""),"建議補聯絡紀錄","") )</f>
        <v/>
      </c>
    </row>
    <row r="530" ht="24" customHeight="1">
      <c r="A530" s="7" t="n"/>
      <c r="B530" s="7" t="n"/>
      <c r="C530" s="12">
        <f>IF($A530="","",IFERROR(INDEX(土地清冊_匯入!$B$6:$B$1005,MATCH($A530,土地清冊_匯入!$A$6:$A$1005,0)),"查無資料"))</f>
        <v/>
      </c>
      <c r="D530" s="12">
        <f>IF($A530="","",IFERROR(INDEX(土地清冊_匯入!$P$6:$P$1005,MATCH($A530,土地清冊_匯入!$A$6:$A$1005,0)),""))</f>
        <v/>
      </c>
      <c r="E530" s="12">
        <f>IF($A530="","",IFERROR(INDEX(土地清冊_匯入!$Q$6:$Q$1005,MATCH($A530,土地清冊_匯入!$A$6:$A$1005,0)),""))</f>
        <v/>
      </c>
      <c r="F530" s="12">
        <f>IF($A530="","",IFERROR(INDEX(土地清冊_匯入!$R$6:$R$1005,MATCH($A530,土地清冊_匯入!$A$6:$A$1005,0)),""))</f>
        <v/>
      </c>
      <c r="G530" s="12">
        <f>IF($A530="","",IFERROR(INDEX(土地清冊_匯入!$S$6:$S$1005,MATCH($A530,土地清冊_匯入!$A$6:$A$1005,0)),""))</f>
        <v/>
      </c>
      <c r="H530" s="12">
        <f>IF($A530="","",IFERROR(INDEX(土地清冊_匯入!$T$6:$T$1005,MATCH($A530,土地清冊_匯入!$A$6:$A$1005,0)),""))</f>
        <v/>
      </c>
      <c r="I530" s="12">
        <f>IF($A530="","",IFERROR(INDEX(土地清冊_匯入!$V$6:$V$1005,MATCH($A530,土地清冊_匯入!$A$6:$A$1005,0)),""))</f>
        <v/>
      </c>
      <c r="J530" s="14" t="n"/>
      <c r="K530" s="7" t="n"/>
      <c r="L530" s="7" t="n"/>
      <c r="M530" s="7" t="n"/>
      <c r="N530" s="7" t="n"/>
      <c r="O530" s="7" t="n"/>
      <c r="P530" s="7" t="n"/>
      <c r="Q530" s="14" t="n"/>
      <c r="R530" s="7" t="n"/>
      <c r="S530" s="7" t="n"/>
      <c r="T530" s="7" t="n"/>
      <c r="U530" s="12">
        <f>IF(A530="","",IF(OR(J530="",L530=""),"建議補聯絡紀錄","") )</f>
        <v/>
      </c>
    </row>
    <row r="531" ht="24" customHeight="1">
      <c r="A531" s="7" t="n"/>
      <c r="B531" s="7" t="n"/>
      <c r="C531" s="12">
        <f>IF($A531="","",IFERROR(INDEX(土地清冊_匯入!$B$6:$B$1005,MATCH($A531,土地清冊_匯入!$A$6:$A$1005,0)),"查無資料"))</f>
        <v/>
      </c>
      <c r="D531" s="12">
        <f>IF($A531="","",IFERROR(INDEX(土地清冊_匯入!$P$6:$P$1005,MATCH($A531,土地清冊_匯入!$A$6:$A$1005,0)),""))</f>
        <v/>
      </c>
      <c r="E531" s="12">
        <f>IF($A531="","",IFERROR(INDEX(土地清冊_匯入!$Q$6:$Q$1005,MATCH($A531,土地清冊_匯入!$A$6:$A$1005,0)),""))</f>
        <v/>
      </c>
      <c r="F531" s="12">
        <f>IF($A531="","",IFERROR(INDEX(土地清冊_匯入!$R$6:$R$1005,MATCH($A531,土地清冊_匯入!$A$6:$A$1005,0)),""))</f>
        <v/>
      </c>
      <c r="G531" s="12">
        <f>IF($A531="","",IFERROR(INDEX(土地清冊_匯入!$S$6:$S$1005,MATCH($A531,土地清冊_匯入!$A$6:$A$1005,0)),""))</f>
        <v/>
      </c>
      <c r="H531" s="12">
        <f>IF($A531="","",IFERROR(INDEX(土地清冊_匯入!$T$6:$T$1005,MATCH($A531,土地清冊_匯入!$A$6:$A$1005,0)),""))</f>
        <v/>
      </c>
      <c r="I531" s="12">
        <f>IF($A531="","",IFERROR(INDEX(土地清冊_匯入!$V$6:$V$1005,MATCH($A531,土地清冊_匯入!$A$6:$A$1005,0)),""))</f>
        <v/>
      </c>
      <c r="J531" s="14" t="n"/>
      <c r="K531" s="7" t="n"/>
      <c r="L531" s="7" t="n"/>
      <c r="M531" s="7" t="n"/>
      <c r="N531" s="7" t="n"/>
      <c r="O531" s="7" t="n"/>
      <c r="P531" s="7" t="n"/>
      <c r="Q531" s="14" t="n"/>
      <c r="R531" s="7" t="n"/>
      <c r="S531" s="7" t="n"/>
      <c r="T531" s="7" t="n"/>
      <c r="U531" s="12">
        <f>IF(A531="","",IF(OR(J531="",L531=""),"建議補聯絡紀錄","") )</f>
        <v/>
      </c>
    </row>
    <row r="532" ht="24" customHeight="1">
      <c r="A532" s="7" t="n"/>
      <c r="B532" s="7" t="n"/>
      <c r="C532" s="12">
        <f>IF($A532="","",IFERROR(INDEX(土地清冊_匯入!$B$6:$B$1005,MATCH($A532,土地清冊_匯入!$A$6:$A$1005,0)),"查無資料"))</f>
        <v/>
      </c>
      <c r="D532" s="12">
        <f>IF($A532="","",IFERROR(INDEX(土地清冊_匯入!$P$6:$P$1005,MATCH($A532,土地清冊_匯入!$A$6:$A$1005,0)),""))</f>
        <v/>
      </c>
      <c r="E532" s="12">
        <f>IF($A532="","",IFERROR(INDEX(土地清冊_匯入!$Q$6:$Q$1005,MATCH($A532,土地清冊_匯入!$A$6:$A$1005,0)),""))</f>
        <v/>
      </c>
      <c r="F532" s="12">
        <f>IF($A532="","",IFERROR(INDEX(土地清冊_匯入!$R$6:$R$1005,MATCH($A532,土地清冊_匯入!$A$6:$A$1005,0)),""))</f>
        <v/>
      </c>
      <c r="G532" s="12">
        <f>IF($A532="","",IFERROR(INDEX(土地清冊_匯入!$S$6:$S$1005,MATCH($A532,土地清冊_匯入!$A$6:$A$1005,0)),""))</f>
        <v/>
      </c>
      <c r="H532" s="12">
        <f>IF($A532="","",IFERROR(INDEX(土地清冊_匯入!$T$6:$T$1005,MATCH($A532,土地清冊_匯入!$A$6:$A$1005,0)),""))</f>
        <v/>
      </c>
      <c r="I532" s="12">
        <f>IF($A532="","",IFERROR(INDEX(土地清冊_匯入!$V$6:$V$1005,MATCH($A532,土地清冊_匯入!$A$6:$A$1005,0)),""))</f>
        <v/>
      </c>
      <c r="J532" s="14" t="n"/>
      <c r="K532" s="7" t="n"/>
      <c r="L532" s="7" t="n"/>
      <c r="M532" s="7" t="n"/>
      <c r="N532" s="7" t="n"/>
      <c r="O532" s="7" t="n"/>
      <c r="P532" s="7" t="n"/>
      <c r="Q532" s="14" t="n"/>
      <c r="R532" s="7" t="n"/>
      <c r="S532" s="7" t="n"/>
      <c r="T532" s="7" t="n"/>
      <c r="U532" s="12">
        <f>IF(A532="","",IF(OR(J532="",L532=""),"建議補聯絡紀錄","") )</f>
        <v/>
      </c>
    </row>
    <row r="533" ht="24" customHeight="1">
      <c r="A533" s="7" t="n"/>
      <c r="B533" s="7" t="n"/>
      <c r="C533" s="12">
        <f>IF($A533="","",IFERROR(INDEX(土地清冊_匯入!$B$6:$B$1005,MATCH($A533,土地清冊_匯入!$A$6:$A$1005,0)),"查無資料"))</f>
        <v/>
      </c>
      <c r="D533" s="12">
        <f>IF($A533="","",IFERROR(INDEX(土地清冊_匯入!$P$6:$P$1005,MATCH($A533,土地清冊_匯入!$A$6:$A$1005,0)),""))</f>
        <v/>
      </c>
      <c r="E533" s="12">
        <f>IF($A533="","",IFERROR(INDEX(土地清冊_匯入!$Q$6:$Q$1005,MATCH($A533,土地清冊_匯入!$A$6:$A$1005,0)),""))</f>
        <v/>
      </c>
      <c r="F533" s="12">
        <f>IF($A533="","",IFERROR(INDEX(土地清冊_匯入!$R$6:$R$1005,MATCH($A533,土地清冊_匯入!$A$6:$A$1005,0)),""))</f>
        <v/>
      </c>
      <c r="G533" s="12">
        <f>IF($A533="","",IFERROR(INDEX(土地清冊_匯入!$S$6:$S$1005,MATCH($A533,土地清冊_匯入!$A$6:$A$1005,0)),""))</f>
        <v/>
      </c>
      <c r="H533" s="12">
        <f>IF($A533="","",IFERROR(INDEX(土地清冊_匯入!$T$6:$T$1005,MATCH($A533,土地清冊_匯入!$A$6:$A$1005,0)),""))</f>
        <v/>
      </c>
      <c r="I533" s="12">
        <f>IF($A533="","",IFERROR(INDEX(土地清冊_匯入!$V$6:$V$1005,MATCH($A533,土地清冊_匯入!$A$6:$A$1005,0)),""))</f>
        <v/>
      </c>
      <c r="J533" s="14" t="n"/>
      <c r="K533" s="7" t="n"/>
      <c r="L533" s="7" t="n"/>
      <c r="M533" s="7" t="n"/>
      <c r="N533" s="7" t="n"/>
      <c r="O533" s="7" t="n"/>
      <c r="P533" s="7" t="n"/>
      <c r="Q533" s="14" t="n"/>
      <c r="R533" s="7" t="n"/>
      <c r="S533" s="7" t="n"/>
      <c r="T533" s="7" t="n"/>
      <c r="U533" s="12">
        <f>IF(A533="","",IF(OR(J533="",L533=""),"建議補聯絡紀錄","") )</f>
        <v/>
      </c>
    </row>
    <row r="534" ht="24" customHeight="1">
      <c r="A534" s="7" t="n"/>
      <c r="B534" s="7" t="n"/>
      <c r="C534" s="12">
        <f>IF($A534="","",IFERROR(INDEX(土地清冊_匯入!$B$6:$B$1005,MATCH($A534,土地清冊_匯入!$A$6:$A$1005,0)),"查無資料"))</f>
        <v/>
      </c>
      <c r="D534" s="12">
        <f>IF($A534="","",IFERROR(INDEX(土地清冊_匯入!$P$6:$P$1005,MATCH($A534,土地清冊_匯入!$A$6:$A$1005,0)),""))</f>
        <v/>
      </c>
      <c r="E534" s="12">
        <f>IF($A534="","",IFERROR(INDEX(土地清冊_匯入!$Q$6:$Q$1005,MATCH($A534,土地清冊_匯入!$A$6:$A$1005,0)),""))</f>
        <v/>
      </c>
      <c r="F534" s="12">
        <f>IF($A534="","",IFERROR(INDEX(土地清冊_匯入!$R$6:$R$1005,MATCH($A534,土地清冊_匯入!$A$6:$A$1005,0)),""))</f>
        <v/>
      </c>
      <c r="G534" s="12">
        <f>IF($A534="","",IFERROR(INDEX(土地清冊_匯入!$S$6:$S$1005,MATCH($A534,土地清冊_匯入!$A$6:$A$1005,0)),""))</f>
        <v/>
      </c>
      <c r="H534" s="12">
        <f>IF($A534="","",IFERROR(INDEX(土地清冊_匯入!$T$6:$T$1005,MATCH($A534,土地清冊_匯入!$A$6:$A$1005,0)),""))</f>
        <v/>
      </c>
      <c r="I534" s="12">
        <f>IF($A534="","",IFERROR(INDEX(土地清冊_匯入!$V$6:$V$1005,MATCH($A534,土地清冊_匯入!$A$6:$A$1005,0)),""))</f>
        <v/>
      </c>
      <c r="J534" s="14" t="n"/>
      <c r="K534" s="7" t="n"/>
      <c r="L534" s="7" t="n"/>
      <c r="M534" s="7" t="n"/>
      <c r="N534" s="7" t="n"/>
      <c r="O534" s="7" t="n"/>
      <c r="P534" s="7" t="n"/>
      <c r="Q534" s="14" t="n"/>
      <c r="R534" s="7" t="n"/>
      <c r="S534" s="7" t="n"/>
      <c r="T534" s="7" t="n"/>
      <c r="U534" s="12">
        <f>IF(A534="","",IF(OR(J534="",L534=""),"建議補聯絡紀錄","") )</f>
        <v/>
      </c>
    </row>
    <row r="535" ht="24" customHeight="1">
      <c r="A535" s="7" t="n"/>
      <c r="B535" s="7" t="n"/>
      <c r="C535" s="12">
        <f>IF($A535="","",IFERROR(INDEX(土地清冊_匯入!$B$6:$B$1005,MATCH($A535,土地清冊_匯入!$A$6:$A$1005,0)),"查無資料"))</f>
        <v/>
      </c>
      <c r="D535" s="12">
        <f>IF($A535="","",IFERROR(INDEX(土地清冊_匯入!$P$6:$P$1005,MATCH($A535,土地清冊_匯入!$A$6:$A$1005,0)),""))</f>
        <v/>
      </c>
      <c r="E535" s="12">
        <f>IF($A535="","",IFERROR(INDEX(土地清冊_匯入!$Q$6:$Q$1005,MATCH($A535,土地清冊_匯入!$A$6:$A$1005,0)),""))</f>
        <v/>
      </c>
      <c r="F535" s="12">
        <f>IF($A535="","",IFERROR(INDEX(土地清冊_匯入!$R$6:$R$1005,MATCH($A535,土地清冊_匯入!$A$6:$A$1005,0)),""))</f>
        <v/>
      </c>
      <c r="G535" s="12">
        <f>IF($A535="","",IFERROR(INDEX(土地清冊_匯入!$S$6:$S$1005,MATCH($A535,土地清冊_匯入!$A$6:$A$1005,0)),""))</f>
        <v/>
      </c>
      <c r="H535" s="12">
        <f>IF($A535="","",IFERROR(INDEX(土地清冊_匯入!$T$6:$T$1005,MATCH($A535,土地清冊_匯入!$A$6:$A$1005,0)),""))</f>
        <v/>
      </c>
      <c r="I535" s="12">
        <f>IF($A535="","",IFERROR(INDEX(土地清冊_匯入!$V$6:$V$1005,MATCH($A535,土地清冊_匯入!$A$6:$A$1005,0)),""))</f>
        <v/>
      </c>
      <c r="J535" s="14" t="n"/>
      <c r="K535" s="7" t="n"/>
      <c r="L535" s="7" t="n"/>
      <c r="M535" s="7" t="n"/>
      <c r="N535" s="7" t="n"/>
      <c r="O535" s="7" t="n"/>
      <c r="P535" s="7" t="n"/>
      <c r="Q535" s="14" t="n"/>
      <c r="R535" s="7" t="n"/>
      <c r="S535" s="7" t="n"/>
      <c r="T535" s="7" t="n"/>
      <c r="U535" s="12">
        <f>IF(A535="","",IF(OR(J535="",L535=""),"建議補聯絡紀錄","") )</f>
        <v/>
      </c>
    </row>
    <row r="536" ht="24" customHeight="1">
      <c r="A536" s="7" t="n"/>
      <c r="B536" s="7" t="n"/>
      <c r="C536" s="12">
        <f>IF($A536="","",IFERROR(INDEX(土地清冊_匯入!$B$6:$B$1005,MATCH($A536,土地清冊_匯入!$A$6:$A$1005,0)),"查無資料"))</f>
        <v/>
      </c>
      <c r="D536" s="12">
        <f>IF($A536="","",IFERROR(INDEX(土地清冊_匯入!$P$6:$P$1005,MATCH($A536,土地清冊_匯入!$A$6:$A$1005,0)),""))</f>
        <v/>
      </c>
      <c r="E536" s="12">
        <f>IF($A536="","",IFERROR(INDEX(土地清冊_匯入!$Q$6:$Q$1005,MATCH($A536,土地清冊_匯入!$A$6:$A$1005,0)),""))</f>
        <v/>
      </c>
      <c r="F536" s="12">
        <f>IF($A536="","",IFERROR(INDEX(土地清冊_匯入!$R$6:$R$1005,MATCH($A536,土地清冊_匯入!$A$6:$A$1005,0)),""))</f>
        <v/>
      </c>
      <c r="G536" s="12">
        <f>IF($A536="","",IFERROR(INDEX(土地清冊_匯入!$S$6:$S$1005,MATCH($A536,土地清冊_匯入!$A$6:$A$1005,0)),""))</f>
        <v/>
      </c>
      <c r="H536" s="12">
        <f>IF($A536="","",IFERROR(INDEX(土地清冊_匯入!$T$6:$T$1005,MATCH($A536,土地清冊_匯入!$A$6:$A$1005,0)),""))</f>
        <v/>
      </c>
      <c r="I536" s="12">
        <f>IF($A536="","",IFERROR(INDEX(土地清冊_匯入!$V$6:$V$1005,MATCH($A536,土地清冊_匯入!$A$6:$A$1005,0)),""))</f>
        <v/>
      </c>
      <c r="J536" s="14" t="n"/>
      <c r="K536" s="7" t="n"/>
      <c r="L536" s="7" t="n"/>
      <c r="M536" s="7" t="n"/>
      <c r="N536" s="7" t="n"/>
      <c r="O536" s="7" t="n"/>
      <c r="P536" s="7" t="n"/>
      <c r="Q536" s="14" t="n"/>
      <c r="R536" s="7" t="n"/>
      <c r="S536" s="7" t="n"/>
      <c r="T536" s="7" t="n"/>
      <c r="U536" s="12">
        <f>IF(A536="","",IF(OR(J536="",L536=""),"建議補聯絡紀錄","") )</f>
        <v/>
      </c>
    </row>
    <row r="537" ht="24" customHeight="1">
      <c r="A537" s="7" t="n"/>
      <c r="B537" s="7" t="n"/>
      <c r="C537" s="12">
        <f>IF($A537="","",IFERROR(INDEX(土地清冊_匯入!$B$6:$B$1005,MATCH($A537,土地清冊_匯入!$A$6:$A$1005,0)),"查無資料"))</f>
        <v/>
      </c>
      <c r="D537" s="12">
        <f>IF($A537="","",IFERROR(INDEX(土地清冊_匯入!$P$6:$P$1005,MATCH($A537,土地清冊_匯入!$A$6:$A$1005,0)),""))</f>
        <v/>
      </c>
      <c r="E537" s="12">
        <f>IF($A537="","",IFERROR(INDEX(土地清冊_匯入!$Q$6:$Q$1005,MATCH($A537,土地清冊_匯入!$A$6:$A$1005,0)),""))</f>
        <v/>
      </c>
      <c r="F537" s="12">
        <f>IF($A537="","",IFERROR(INDEX(土地清冊_匯入!$R$6:$R$1005,MATCH($A537,土地清冊_匯入!$A$6:$A$1005,0)),""))</f>
        <v/>
      </c>
      <c r="G537" s="12">
        <f>IF($A537="","",IFERROR(INDEX(土地清冊_匯入!$S$6:$S$1005,MATCH($A537,土地清冊_匯入!$A$6:$A$1005,0)),""))</f>
        <v/>
      </c>
      <c r="H537" s="12">
        <f>IF($A537="","",IFERROR(INDEX(土地清冊_匯入!$T$6:$T$1005,MATCH($A537,土地清冊_匯入!$A$6:$A$1005,0)),""))</f>
        <v/>
      </c>
      <c r="I537" s="12">
        <f>IF($A537="","",IFERROR(INDEX(土地清冊_匯入!$V$6:$V$1005,MATCH($A537,土地清冊_匯入!$A$6:$A$1005,0)),""))</f>
        <v/>
      </c>
      <c r="J537" s="14" t="n"/>
      <c r="K537" s="7" t="n"/>
      <c r="L537" s="7" t="n"/>
      <c r="M537" s="7" t="n"/>
      <c r="N537" s="7" t="n"/>
      <c r="O537" s="7" t="n"/>
      <c r="P537" s="7" t="n"/>
      <c r="Q537" s="14" t="n"/>
      <c r="R537" s="7" t="n"/>
      <c r="S537" s="7" t="n"/>
      <c r="T537" s="7" t="n"/>
      <c r="U537" s="12">
        <f>IF(A537="","",IF(OR(J537="",L537=""),"建議補聯絡紀錄","") )</f>
        <v/>
      </c>
    </row>
    <row r="538" ht="24" customHeight="1">
      <c r="A538" s="7" t="n"/>
      <c r="B538" s="7" t="n"/>
      <c r="C538" s="12">
        <f>IF($A538="","",IFERROR(INDEX(土地清冊_匯入!$B$6:$B$1005,MATCH($A538,土地清冊_匯入!$A$6:$A$1005,0)),"查無資料"))</f>
        <v/>
      </c>
      <c r="D538" s="12">
        <f>IF($A538="","",IFERROR(INDEX(土地清冊_匯入!$P$6:$P$1005,MATCH($A538,土地清冊_匯入!$A$6:$A$1005,0)),""))</f>
        <v/>
      </c>
      <c r="E538" s="12">
        <f>IF($A538="","",IFERROR(INDEX(土地清冊_匯入!$Q$6:$Q$1005,MATCH($A538,土地清冊_匯入!$A$6:$A$1005,0)),""))</f>
        <v/>
      </c>
      <c r="F538" s="12">
        <f>IF($A538="","",IFERROR(INDEX(土地清冊_匯入!$R$6:$R$1005,MATCH($A538,土地清冊_匯入!$A$6:$A$1005,0)),""))</f>
        <v/>
      </c>
      <c r="G538" s="12">
        <f>IF($A538="","",IFERROR(INDEX(土地清冊_匯入!$S$6:$S$1005,MATCH($A538,土地清冊_匯入!$A$6:$A$1005,0)),""))</f>
        <v/>
      </c>
      <c r="H538" s="12">
        <f>IF($A538="","",IFERROR(INDEX(土地清冊_匯入!$T$6:$T$1005,MATCH($A538,土地清冊_匯入!$A$6:$A$1005,0)),""))</f>
        <v/>
      </c>
      <c r="I538" s="12">
        <f>IF($A538="","",IFERROR(INDEX(土地清冊_匯入!$V$6:$V$1005,MATCH($A538,土地清冊_匯入!$A$6:$A$1005,0)),""))</f>
        <v/>
      </c>
      <c r="J538" s="14" t="n"/>
      <c r="K538" s="7" t="n"/>
      <c r="L538" s="7" t="n"/>
      <c r="M538" s="7" t="n"/>
      <c r="N538" s="7" t="n"/>
      <c r="O538" s="7" t="n"/>
      <c r="P538" s="7" t="n"/>
      <c r="Q538" s="14" t="n"/>
      <c r="R538" s="7" t="n"/>
      <c r="S538" s="7" t="n"/>
      <c r="T538" s="7" t="n"/>
      <c r="U538" s="12">
        <f>IF(A538="","",IF(OR(J538="",L538=""),"建議補聯絡紀錄","") )</f>
        <v/>
      </c>
    </row>
    <row r="539" ht="24" customHeight="1">
      <c r="A539" s="7" t="n"/>
      <c r="B539" s="7" t="n"/>
      <c r="C539" s="12">
        <f>IF($A539="","",IFERROR(INDEX(土地清冊_匯入!$B$6:$B$1005,MATCH($A539,土地清冊_匯入!$A$6:$A$1005,0)),"查無資料"))</f>
        <v/>
      </c>
      <c r="D539" s="12">
        <f>IF($A539="","",IFERROR(INDEX(土地清冊_匯入!$P$6:$P$1005,MATCH($A539,土地清冊_匯入!$A$6:$A$1005,0)),""))</f>
        <v/>
      </c>
      <c r="E539" s="12">
        <f>IF($A539="","",IFERROR(INDEX(土地清冊_匯入!$Q$6:$Q$1005,MATCH($A539,土地清冊_匯入!$A$6:$A$1005,0)),""))</f>
        <v/>
      </c>
      <c r="F539" s="12">
        <f>IF($A539="","",IFERROR(INDEX(土地清冊_匯入!$R$6:$R$1005,MATCH($A539,土地清冊_匯入!$A$6:$A$1005,0)),""))</f>
        <v/>
      </c>
      <c r="G539" s="12">
        <f>IF($A539="","",IFERROR(INDEX(土地清冊_匯入!$S$6:$S$1005,MATCH($A539,土地清冊_匯入!$A$6:$A$1005,0)),""))</f>
        <v/>
      </c>
      <c r="H539" s="12">
        <f>IF($A539="","",IFERROR(INDEX(土地清冊_匯入!$T$6:$T$1005,MATCH($A539,土地清冊_匯入!$A$6:$A$1005,0)),""))</f>
        <v/>
      </c>
      <c r="I539" s="12">
        <f>IF($A539="","",IFERROR(INDEX(土地清冊_匯入!$V$6:$V$1005,MATCH($A539,土地清冊_匯入!$A$6:$A$1005,0)),""))</f>
        <v/>
      </c>
      <c r="J539" s="14" t="n"/>
      <c r="K539" s="7" t="n"/>
      <c r="L539" s="7" t="n"/>
      <c r="M539" s="7" t="n"/>
      <c r="N539" s="7" t="n"/>
      <c r="O539" s="7" t="n"/>
      <c r="P539" s="7" t="n"/>
      <c r="Q539" s="14" t="n"/>
      <c r="R539" s="7" t="n"/>
      <c r="S539" s="7" t="n"/>
      <c r="T539" s="7" t="n"/>
      <c r="U539" s="12">
        <f>IF(A539="","",IF(OR(J539="",L539=""),"建議補聯絡紀錄","") )</f>
        <v/>
      </c>
    </row>
    <row r="540" ht="24" customHeight="1">
      <c r="A540" s="7" t="n"/>
      <c r="B540" s="7" t="n"/>
      <c r="C540" s="12">
        <f>IF($A540="","",IFERROR(INDEX(土地清冊_匯入!$B$6:$B$1005,MATCH($A540,土地清冊_匯入!$A$6:$A$1005,0)),"查無資料"))</f>
        <v/>
      </c>
      <c r="D540" s="12">
        <f>IF($A540="","",IFERROR(INDEX(土地清冊_匯入!$P$6:$P$1005,MATCH($A540,土地清冊_匯入!$A$6:$A$1005,0)),""))</f>
        <v/>
      </c>
      <c r="E540" s="12">
        <f>IF($A540="","",IFERROR(INDEX(土地清冊_匯入!$Q$6:$Q$1005,MATCH($A540,土地清冊_匯入!$A$6:$A$1005,0)),""))</f>
        <v/>
      </c>
      <c r="F540" s="12">
        <f>IF($A540="","",IFERROR(INDEX(土地清冊_匯入!$R$6:$R$1005,MATCH($A540,土地清冊_匯入!$A$6:$A$1005,0)),""))</f>
        <v/>
      </c>
      <c r="G540" s="12">
        <f>IF($A540="","",IFERROR(INDEX(土地清冊_匯入!$S$6:$S$1005,MATCH($A540,土地清冊_匯入!$A$6:$A$1005,0)),""))</f>
        <v/>
      </c>
      <c r="H540" s="12">
        <f>IF($A540="","",IFERROR(INDEX(土地清冊_匯入!$T$6:$T$1005,MATCH($A540,土地清冊_匯入!$A$6:$A$1005,0)),""))</f>
        <v/>
      </c>
      <c r="I540" s="12">
        <f>IF($A540="","",IFERROR(INDEX(土地清冊_匯入!$V$6:$V$1005,MATCH($A540,土地清冊_匯入!$A$6:$A$1005,0)),""))</f>
        <v/>
      </c>
      <c r="J540" s="14" t="n"/>
      <c r="K540" s="7" t="n"/>
      <c r="L540" s="7" t="n"/>
      <c r="M540" s="7" t="n"/>
      <c r="N540" s="7" t="n"/>
      <c r="O540" s="7" t="n"/>
      <c r="P540" s="7" t="n"/>
      <c r="Q540" s="14" t="n"/>
      <c r="R540" s="7" t="n"/>
      <c r="S540" s="7" t="n"/>
      <c r="T540" s="7" t="n"/>
      <c r="U540" s="12">
        <f>IF(A540="","",IF(OR(J540="",L540=""),"建議補聯絡紀錄","") )</f>
        <v/>
      </c>
    </row>
    <row r="541" ht="24" customHeight="1">
      <c r="A541" s="7" t="n"/>
      <c r="B541" s="7" t="n"/>
      <c r="C541" s="12">
        <f>IF($A541="","",IFERROR(INDEX(土地清冊_匯入!$B$6:$B$1005,MATCH($A541,土地清冊_匯入!$A$6:$A$1005,0)),"查無資料"))</f>
        <v/>
      </c>
      <c r="D541" s="12">
        <f>IF($A541="","",IFERROR(INDEX(土地清冊_匯入!$P$6:$P$1005,MATCH($A541,土地清冊_匯入!$A$6:$A$1005,0)),""))</f>
        <v/>
      </c>
      <c r="E541" s="12">
        <f>IF($A541="","",IFERROR(INDEX(土地清冊_匯入!$Q$6:$Q$1005,MATCH($A541,土地清冊_匯入!$A$6:$A$1005,0)),""))</f>
        <v/>
      </c>
      <c r="F541" s="12">
        <f>IF($A541="","",IFERROR(INDEX(土地清冊_匯入!$R$6:$R$1005,MATCH($A541,土地清冊_匯入!$A$6:$A$1005,0)),""))</f>
        <v/>
      </c>
      <c r="G541" s="12">
        <f>IF($A541="","",IFERROR(INDEX(土地清冊_匯入!$S$6:$S$1005,MATCH($A541,土地清冊_匯入!$A$6:$A$1005,0)),""))</f>
        <v/>
      </c>
      <c r="H541" s="12">
        <f>IF($A541="","",IFERROR(INDEX(土地清冊_匯入!$T$6:$T$1005,MATCH($A541,土地清冊_匯入!$A$6:$A$1005,0)),""))</f>
        <v/>
      </c>
      <c r="I541" s="12">
        <f>IF($A541="","",IFERROR(INDEX(土地清冊_匯入!$V$6:$V$1005,MATCH($A541,土地清冊_匯入!$A$6:$A$1005,0)),""))</f>
        <v/>
      </c>
      <c r="J541" s="14" t="n"/>
      <c r="K541" s="7" t="n"/>
      <c r="L541" s="7" t="n"/>
      <c r="M541" s="7" t="n"/>
      <c r="N541" s="7" t="n"/>
      <c r="O541" s="7" t="n"/>
      <c r="P541" s="7" t="n"/>
      <c r="Q541" s="14" t="n"/>
      <c r="R541" s="7" t="n"/>
      <c r="S541" s="7" t="n"/>
      <c r="T541" s="7" t="n"/>
      <c r="U541" s="12">
        <f>IF(A541="","",IF(OR(J541="",L541=""),"建議補聯絡紀錄","") )</f>
        <v/>
      </c>
    </row>
    <row r="542" ht="24" customHeight="1">
      <c r="A542" s="7" t="n"/>
      <c r="B542" s="7" t="n"/>
      <c r="C542" s="12">
        <f>IF($A542="","",IFERROR(INDEX(土地清冊_匯入!$B$6:$B$1005,MATCH($A542,土地清冊_匯入!$A$6:$A$1005,0)),"查無資料"))</f>
        <v/>
      </c>
      <c r="D542" s="12">
        <f>IF($A542="","",IFERROR(INDEX(土地清冊_匯入!$P$6:$P$1005,MATCH($A542,土地清冊_匯入!$A$6:$A$1005,0)),""))</f>
        <v/>
      </c>
      <c r="E542" s="12">
        <f>IF($A542="","",IFERROR(INDEX(土地清冊_匯入!$Q$6:$Q$1005,MATCH($A542,土地清冊_匯入!$A$6:$A$1005,0)),""))</f>
        <v/>
      </c>
      <c r="F542" s="12">
        <f>IF($A542="","",IFERROR(INDEX(土地清冊_匯入!$R$6:$R$1005,MATCH($A542,土地清冊_匯入!$A$6:$A$1005,0)),""))</f>
        <v/>
      </c>
      <c r="G542" s="12">
        <f>IF($A542="","",IFERROR(INDEX(土地清冊_匯入!$S$6:$S$1005,MATCH($A542,土地清冊_匯入!$A$6:$A$1005,0)),""))</f>
        <v/>
      </c>
      <c r="H542" s="12">
        <f>IF($A542="","",IFERROR(INDEX(土地清冊_匯入!$T$6:$T$1005,MATCH($A542,土地清冊_匯入!$A$6:$A$1005,0)),""))</f>
        <v/>
      </c>
      <c r="I542" s="12">
        <f>IF($A542="","",IFERROR(INDEX(土地清冊_匯入!$V$6:$V$1005,MATCH($A542,土地清冊_匯入!$A$6:$A$1005,0)),""))</f>
        <v/>
      </c>
      <c r="J542" s="14" t="n"/>
      <c r="K542" s="7" t="n"/>
      <c r="L542" s="7" t="n"/>
      <c r="M542" s="7" t="n"/>
      <c r="N542" s="7" t="n"/>
      <c r="O542" s="7" t="n"/>
      <c r="P542" s="7" t="n"/>
      <c r="Q542" s="14" t="n"/>
      <c r="R542" s="7" t="n"/>
      <c r="S542" s="7" t="n"/>
      <c r="T542" s="7" t="n"/>
      <c r="U542" s="12">
        <f>IF(A542="","",IF(OR(J542="",L542=""),"建議補聯絡紀錄","") )</f>
        <v/>
      </c>
    </row>
    <row r="543" ht="24" customHeight="1">
      <c r="A543" s="7" t="n"/>
      <c r="B543" s="7" t="n"/>
      <c r="C543" s="12">
        <f>IF($A543="","",IFERROR(INDEX(土地清冊_匯入!$B$6:$B$1005,MATCH($A543,土地清冊_匯入!$A$6:$A$1005,0)),"查無資料"))</f>
        <v/>
      </c>
      <c r="D543" s="12">
        <f>IF($A543="","",IFERROR(INDEX(土地清冊_匯入!$P$6:$P$1005,MATCH($A543,土地清冊_匯入!$A$6:$A$1005,0)),""))</f>
        <v/>
      </c>
      <c r="E543" s="12">
        <f>IF($A543="","",IFERROR(INDEX(土地清冊_匯入!$Q$6:$Q$1005,MATCH($A543,土地清冊_匯入!$A$6:$A$1005,0)),""))</f>
        <v/>
      </c>
      <c r="F543" s="12">
        <f>IF($A543="","",IFERROR(INDEX(土地清冊_匯入!$R$6:$R$1005,MATCH($A543,土地清冊_匯入!$A$6:$A$1005,0)),""))</f>
        <v/>
      </c>
      <c r="G543" s="12">
        <f>IF($A543="","",IFERROR(INDEX(土地清冊_匯入!$S$6:$S$1005,MATCH($A543,土地清冊_匯入!$A$6:$A$1005,0)),""))</f>
        <v/>
      </c>
      <c r="H543" s="12">
        <f>IF($A543="","",IFERROR(INDEX(土地清冊_匯入!$T$6:$T$1005,MATCH($A543,土地清冊_匯入!$A$6:$A$1005,0)),""))</f>
        <v/>
      </c>
      <c r="I543" s="12">
        <f>IF($A543="","",IFERROR(INDEX(土地清冊_匯入!$V$6:$V$1005,MATCH($A543,土地清冊_匯入!$A$6:$A$1005,0)),""))</f>
        <v/>
      </c>
      <c r="J543" s="14" t="n"/>
      <c r="K543" s="7" t="n"/>
      <c r="L543" s="7" t="n"/>
      <c r="M543" s="7" t="n"/>
      <c r="N543" s="7" t="n"/>
      <c r="O543" s="7" t="n"/>
      <c r="P543" s="7" t="n"/>
      <c r="Q543" s="14" t="n"/>
      <c r="R543" s="7" t="n"/>
      <c r="S543" s="7" t="n"/>
      <c r="T543" s="7" t="n"/>
      <c r="U543" s="12">
        <f>IF(A543="","",IF(OR(J543="",L543=""),"建議補聯絡紀錄","") )</f>
        <v/>
      </c>
    </row>
    <row r="544" ht="24" customHeight="1">
      <c r="A544" s="7" t="n"/>
      <c r="B544" s="7" t="n"/>
      <c r="C544" s="12">
        <f>IF($A544="","",IFERROR(INDEX(土地清冊_匯入!$B$6:$B$1005,MATCH($A544,土地清冊_匯入!$A$6:$A$1005,0)),"查無資料"))</f>
        <v/>
      </c>
      <c r="D544" s="12">
        <f>IF($A544="","",IFERROR(INDEX(土地清冊_匯入!$P$6:$P$1005,MATCH($A544,土地清冊_匯入!$A$6:$A$1005,0)),""))</f>
        <v/>
      </c>
      <c r="E544" s="12">
        <f>IF($A544="","",IFERROR(INDEX(土地清冊_匯入!$Q$6:$Q$1005,MATCH($A544,土地清冊_匯入!$A$6:$A$1005,0)),""))</f>
        <v/>
      </c>
      <c r="F544" s="12">
        <f>IF($A544="","",IFERROR(INDEX(土地清冊_匯入!$R$6:$R$1005,MATCH($A544,土地清冊_匯入!$A$6:$A$1005,0)),""))</f>
        <v/>
      </c>
      <c r="G544" s="12">
        <f>IF($A544="","",IFERROR(INDEX(土地清冊_匯入!$S$6:$S$1005,MATCH($A544,土地清冊_匯入!$A$6:$A$1005,0)),""))</f>
        <v/>
      </c>
      <c r="H544" s="12">
        <f>IF($A544="","",IFERROR(INDEX(土地清冊_匯入!$T$6:$T$1005,MATCH($A544,土地清冊_匯入!$A$6:$A$1005,0)),""))</f>
        <v/>
      </c>
      <c r="I544" s="12">
        <f>IF($A544="","",IFERROR(INDEX(土地清冊_匯入!$V$6:$V$1005,MATCH($A544,土地清冊_匯入!$A$6:$A$1005,0)),""))</f>
        <v/>
      </c>
      <c r="J544" s="14" t="n"/>
      <c r="K544" s="7" t="n"/>
      <c r="L544" s="7" t="n"/>
      <c r="M544" s="7" t="n"/>
      <c r="N544" s="7" t="n"/>
      <c r="O544" s="7" t="n"/>
      <c r="P544" s="7" t="n"/>
      <c r="Q544" s="14" t="n"/>
      <c r="R544" s="7" t="n"/>
      <c r="S544" s="7" t="n"/>
      <c r="T544" s="7" t="n"/>
      <c r="U544" s="12">
        <f>IF(A544="","",IF(OR(J544="",L544=""),"建議補聯絡紀錄","") )</f>
        <v/>
      </c>
    </row>
    <row r="545" ht="24" customHeight="1">
      <c r="A545" s="7" t="n"/>
      <c r="B545" s="7" t="n"/>
      <c r="C545" s="12">
        <f>IF($A545="","",IFERROR(INDEX(土地清冊_匯入!$B$6:$B$1005,MATCH($A545,土地清冊_匯入!$A$6:$A$1005,0)),"查無資料"))</f>
        <v/>
      </c>
      <c r="D545" s="12">
        <f>IF($A545="","",IFERROR(INDEX(土地清冊_匯入!$P$6:$P$1005,MATCH($A545,土地清冊_匯入!$A$6:$A$1005,0)),""))</f>
        <v/>
      </c>
      <c r="E545" s="12">
        <f>IF($A545="","",IFERROR(INDEX(土地清冊_匯入!$Q$6:$Q$1005,MATCH($A545,土地清冊_匯入!$A$6:$A$1005,0)),""))</f>
        <v/>
      </c>
      <c r="F545" s="12">
        <f>IF($A545="","",IFERROR(INDEX(土地清冊_匯入!$R$6:$R$1005,MATCH($A545,土地清冊_匯入!$A$6:$A$1005,0)),""))</f>
        <v/>
      </c>
      <c r="G545" s="12">
        <f>IF($A545="","",IFERROR(INDEX(土地清冊_匯入!$S$6:$S$1005,MATCH($A545,土地清冊_匯入!$A$6:$A$1005,0)),""))</f>
        <v/>
      </c>
      <c r="H545" s="12">
        <f>IF($A545="","",IFERROR(INDEX(土地清冊_匯入!$T$6:$T$1005,MATCH($A545,土地清冊_匯入!$A$6:$A$1005,0)),""))</f>
        <v/>
      </c>
      <c r="I545" s="12">
        <f>IF($A545="","",IFERROR(INDEX(土地清冊_匯入!$V$6:$V$1005,MATCH($A545,土地清冊_匯入!$A$6:$A$1005,0)),""))</f>
        <v/>
      </c>
      <c r="J545" s="14" t="n"/>
      <c r="K545" s="7" t="n"/>
      <c r="L545" s="7" t="n"/>
      <c r="M545" s="7" t="n"/>
      <c r="N545" s="7" t="n"/>
      <c r="O545" s="7" t="n"/>
      <c r="P545" s="7" t="n"/>
      <c r="Q545" s="14" t="n"/>
      <c r="R545" s="7" t="n"/>
      <c r="S545" s="7" t="n"/>
      <c r="T545" s="7" t="n"/>
      <c r="U545" s="12">
        <f>IF(A545="","",IF(OR(J545="",L545=""),"建議補聯絡紀錄","") )</f>
        <v/>
      </c>
    </row>
    <row r="546" ht="24" customHeight="1">
      <c r="A546" s="7" t="n"/>
      <c r="B546" s="7" t="n"/>
      <c r="C546" s="12">
        <f>IF($A546="","",IFERROR(INDEX(土地清冊_匯入!$B$6:$B$1005,MATCH($A546,土地清冊_匯入!$A$6:$A$1005,0)),"查無資料"))</f>
        <v/>
      </c>
      <c r="D546" s="12">
        <f>IF($A546="","",IFERROR(INDEX(土地清冊_匯入!$P$6:$P$1005,MATCH($A546,土地清冊_匯入!$A$6:$A$1005,0)),""))</f>
        <v/>
      </c>
      <c r="E546" s="12">
        <f>IF($A546="","",IFERROR(INDEX(土地清冊_匯入!$Q$6:$Q$1005,MATCH($A546,土地清冊_匯入!$A$6:$A$1005,0)),""))</f>
        <v/>
      </c>
      <c r="F546" s="12">
        <f>IF($A546="","",IFERROR(INDEX(土地清冊_匯入!$R$6:$R$1005,MATCH($A546,土地清冊_匯入!$A$6:$A$1005,0)),""))</f>
        <v/>
      </c>
      <c r="G546" s="12">
        <f>IF($A546="","",IFERROR(INDEX(土地清冊_匯入!$S$6:$S$1005,MATCH($A546,土地清冊_匯入!$A$6:$A$1005,0)),""))</f>
        <v/>
      </c>
      <c r="H546" s="12">
        <f>IF($A546="","",IFERROR(INDEX(土地清冊_匯入!$T$6:$T$1005,MATCH($A546,土地清冊_匯入!$A$6:$A$1005,0)),""))</f>
        <v/>
      </c>
      <c r="I546" s="12">
        <f>IF($A546="","",IFERROR(INDEX(土地清冊_匯入!$V$6:$V$1005,MATCH($A546,土地清冊_匯入!$A$6:$A$1005,0)),""))</f>
        <v/>
      </c>
      <c r="J546" s="14" t="n"/>
      <c r="K546" s="7" t="n"/>
      <c r="L546" s="7" t="n"/>
      <c r="M546" s="7" t="n"/>
      <c r="N546" s="7" t="n"/>
      <c r="O546" s="7" t="n"/>
      <c r="P546" s="7" t="n"/>
      <c r="Q546" s="14" t="n"/>
      <c r="R546" s="7" t="n"/>
      <c r="S546" s="7" t="n"/>
      <c r="T546" s="7" t="n"/>
      <c r="U546" s="12">
        <f>IF(A546="","",IF(OR(J546="",L546=""),"建議補聯絡紀錄","") )</f>
        <v/>
      </c>
    </row>
    <row r="547" ht="24" customHeight="1">
      <c r="A547" s="7" t="n"/>
      <c r="B547" s="7" t="n"/>
      <c r="C547" s="12">
        <f>IF($A547="","",IFERROR(INDEX(土地清冊_匯入!$B$6:$B$1005,MATCH($A547,土地清冊_匯入!$A$6:$A$1005,0)),"查無資料"))</f>
        <v/>
      </c>
      <c r="D547" s="12">
        <f>IF($A547="","",IFERROR(INDEX(土地清冊_匯入!$P$6:$P$1005,MATCH($A547,土地清冊_匯入!$A$6:$A$1005,0)),""))</f>
        <v/>
      </c>
      <c r="E547" s="12">
        <f>IF($A547="","",IFERROR(INDEX(土地清冊_匯入!$Q$6:$Q$1005,MATCH($A547,土地清冊_匯入!$A$6:$A$1005,0)),""))</f>
        <v/>
      </c>
      <c r="F547" s="12">
        <f>IF($A547="","",IFERROR(INDEX(土地清冊_匯入!$R$6:$R$1005,MATCH($A547,土地清冊_匯入!$A$6:$A$1005,0)),""))</f>
        <v/>
      </c>
      <c r="G547" s="12">
        <f>IF($A547="","",IFERROR(INDEX(土地清冊_匯入!$S$6:$S$1005,MATCH($A547,土地清冊_匯入!$A$6:$A$1005,0)),""))</f>
        <v/>
      </c>
      <c r="H547" s="12">
        <f>IF($A547="","",IFERROR(INDEX(土地清冊_匯入!$T$6:$T$1005,MATCH($A547,土地清冊_匯入!$A$6:$A$1005,0)),""))</f>
        <v/>
      </c>
      <c r="I547" s="12">
        <f>IF($A547="","",IFERROR(INDEX(土地清冊_匯入!$V$6:$V$1005,MATCH($A547,土地清冊_匯入!$A$6:$A$1005,0)),""))</f>
        <v/>
      </c>
      <c r="J547" s="14" t="n"/>
      <c r="K547" s="7" t="n"/>
      <c r="L547" s="7" t="n"/>
      <c r="M547" s="7" t="n"/>
      <c r="N547" s="7" t="n"/>
      <c r="O547" s="7" t="n"/>
      <c r="P547" s="7" t="n"/>
      <c r="Q547" s="14" t="n"/>
      <c r="R547" s="7" t="n"/>
      <c r="S547" s="7" t="n"/>
      <c r="T547" s="7" t="n"/>
      <c r="U547" s="12">
        <f>IF(A547="","",IF(OR(J547="",L547=""),"建議補聯絡紀錄","") )</f>
        <v/>
      </c>
    </row>
    <row r="548" ht="24" customHeight="1">
      <c r="A548" s="7" t="n"/>
      <c r="B548" s="7" t="n"/>
      <c r="C548" s="12">
        <f>IF($A548="","",IFERROR(INDEX(土地清冊_匯入!$B$6:$B$1005,MATCH($A548,土地清冊_匯入!$A$6:$A$1005,0)),"查無資料"))</f>
        <v/>
      </c>
      <c r="D548" s="12">
        <f>IF($A548="","",IFERROR(INDEX(土地清冊_匯入!$P$6:$P$1005,MATCH($A548,土地清冊_匯入!$A$6:$A$1005,0)),""))</f>
        <v/>
      </c>
      <c r="E548" s="12">
        <f>IF($A548="","",IFERROR(INDEX(土地清冊_匯入!$Q$6:$Q$1005,MATCH($A548,土地清冊_匯入!$A$6:$A$1005,0)),""))</f>
        <v/>
      </c>
      <c r="F548" s="12">
        <f>IF($A548="","",IFERROR(INDEX(土地清冊_匯入!$R$6:$R$1005,MATCH($A548,土地清冊_匯入!$A$6:$A$1005,0)),""))</f>
        <v/>
      </c>
      <c r="G548" s="12">
        <f>IF($A548="","",IFERROR(INDEX(土地清冊_匯入!$S$6:$S$1005,MATCH($A548,土地清冊_匯入!$A$6:$A$1005,0)),""))</f>
        <v/>
      </c>
      <c r="H548" s="12">
        <f>IF($A548="","",IFERROR(INDEX(土地清冊_匯入!$T$6:$T$1005,MATCH($A548,土地清冊_匯入!$A$6:$A$1005,0)),""))</f>
        <v/>
      </c>
      <c r="I548" s="12">
        <f>IF($A548="","",IFERROR(INDEX(土地清冊_匯入!$V$6:$V$1005,MATCH($A548,土地清冊_匯入!$A$6:$A$1005,0)),""))</f>
        <v/>
      </c>
      <c r="J548" s="14" t="n"/>
      <c r="K548" s="7" t="n"/>
      <c r="L548" s="7" t="n"/>
      <c r="M548" s="7" t="n"/>
      <c r="N548" s="7" t="n"/>
      <c r="O548" s="7" t="n"/>
      <c r="P548" s="7" t="n"/>
      <c r="Q548" s="14" t="n"/>
      <c r="R548" s="7" t="n"/>
      <c r="S548" s="7" t="n"/>
      <c r="T548" s="7" t="n"/>
      <c r="U548" s="12">
        <f>IF(A548="","",IF(OR(J548="",L548=""),"建議補聯絡紀錄","") )</f>
        <v/>
      </c>
    </row>
    <row r="549" ht="24" customHeight="1">
      <c r="A549" s="7" t="n"/>
      <c r="B549" s="7" t="n"/>
      <c r="C549" s="12">
        <f>IF($A549="","",IFERROR(INDEX(土地清冊_匯入!$B$6:$B$1005,MATCH($A549,土地清冊_匯入!$A$6:$A$1005,0)),"查無資料"))</f>
        <v/>
      </c>
      <c r="D549" s="12">
        <f>IF($A549="","",IFERROR(INDEX(土地清冊_匯入!$P$6:$P$1005,MATCH($A549,土地清冊_匯入!$A$6:$A$1005,0)),""))</f>
        <v/>
      </c>
      <c r="E549" s="12">
        <f>IF($A549="","",IFERROR(INDEX(土地清冊_匯入!$Q$6:$Q$1005,MATCH($A549,土地清冊_匯入!$A$6:$A$1005,0)),""))</f>
        <v/>
      </c>
      <c r="F549" s="12">
        <f>IF($A549="","",IFERROR(INDEX(土地清冊_匯入!$R$6:$R$1005,MATCH($A549,土地清冊_匯入!$A$6:$A$1005,0)),""))</f>
        <v/>
      </c>
      <c r="G549" s="12">
        <f>IF($A549="","",IFERROR(INDEX(土地清冊_匯入!$S$6:$S$1005,MATCH($A549,土地清冊_匯入!$A$6:$A$1005,0)),""))</f>
        <v/>
      </c>
      <c r="H549" s="12">
        <f>IF($A549="","",IFERROR(INDEX(土地清冊_匯入!$T$6:$T$1005,MATCH($A549,土地清冊_匯入!$A$6:$A$1005,0)),""))</f>
        <v/>
      </c>
      <c r="I549" s="12">
        <f>IF($A549="","",IFERROR(INDEX(土地清冊_匯入!$V$6:$V$1005,MATCH($A549,土地清冊_匯入!$A$6:$A$1005,0)),""))</f>
        <v/>
      </c>
      <c r="J549" s="14" t="n"/>
      <c r="K549" s="7" t="n"/>
      <c r="L549" s="7" t="n"/>
      <c r="M549" s="7" t="n"/>
      <c r="N549" s="7" t="n"/>
      <c r="O549" s="7" t="n"/>
      <c r="P549" s="7" t="n"/>
      <c r="Q549" s="14" t="n"/>
      <c r="R549" s="7" t="n"/>
      <c r="S549" s="7" t="n"/>
      <c r="T549" s="7" t="n"/>
      <c r="U549" s="12">
        <f>IF(A549="","",IF(OR(J549="",L549=""),"建議補聯絡紀錄","") )</f>
        <v/>
      </c>
    </row>
    <row r="550" ht="24" customHeight="1">
      <c r="A550" s="7" t="n"/>
      <c r="B550" s="7" t="n"/>
      <c r="C550" s="12">
        <f>IF($A550="","",IFERROR(INDEX(土地清冊_匯入!$B$6:$B$1005,MATCH($A550,土地清冊_匯入!$A$6:$A$1005,0)),"查無資料"))</f>
        <v/>
      </c>
      <c r="D550" s="12">
        <f>IF($A550="","",IFERROR(INDEX(土地清冊_匯入!$P$6:$P$1005,MATCH($A550,土地清冊_匯入!$A$6:$A$1005,0)),""))</f>
        <v/>
      </c>
      <c r="E550" s="12">
        <f>IF($A550="","",IFERROR(INDEX(土地清冊_匯入!$Q$6:$Q$1005,MATCH($A550,土地清冊_匯入!$A$6:$A$1005,0)),""))</f>
        <v/>
      </c>
      <c r="F550" s="12">
        <f>IF($A550="","",IFERROR(INDEX(土地清冊_匯入!$R$6:$R$1005,MATCH($A550,土地清冊_匯入!$A$6:$A$1005,0)),""))</f>
        <v/>
      </c>
      <c r="G550" s="12">
        <f>IF($A550="","",IFERROR(INDEX(土地清冊_匯入!$S$6:$S$1005,MATCH($A550,土地清冊_匯入!$A$6:$A$1005,0)),""))</f>
        <v/>
      </c>
      <c r="H550" s="12">
        <f>IF($A550="","",IFERROR(INDEX(土地清冊_匯入!$T$6:$T$1005,MATCH($A550,土地清冊_匯入!$A$6:$A$1005,0)),""))</f>
        <v/>
      </c>
      <c r="I550" s="12">
        <f>IF($A550="","",IFERROR(INDEX(土地清冊_匯入!$V$6:$V$1005,MATCH($A550,土地清冊_匯入!$A$6:$A$1005,0)),""))</f>
        <v/>
      </c>
      <c r="J550" s="14" t="n"/>
      <c r="K550" s="7" t="n"/>
      <c r="L550" s="7" t="n"/>
      <c r="M550" s="7" t="n"/>
      <c r="N550" s="7" t="n"/>
      <c r="O550" s="7" t="n"/>
      <c r="P550" s="7" t="n"/>
      <c r="Q550" s="14" t="n"/>
      <c r="R550" s="7" t="n"/>
      <c r="S550" s="7" t="n"/>
      <c r="T550" s="7" t="n"/>
      <c r="U550" s="12">
        <f>IF(A550="","",IF(OR(J550="",L550=""),"建議補聯絡紀錄","") )</f>
        <v/>
      </c>
    </row>
    <row r="551" ht="24" customHeight="1">
      <c r="A551" s="7" t="n"/>
      <c r="B551" s="7" t="n"/>
      <c r="C551" s="12">
        <f>IF($A551="","",IFERROR(INDEX(土地清冊_匯入!$B$6:$B$1005,MATCH($A551,土地清冊_匯入!$A$6:$A$1005,0)),"查無資料"))</f>
        <v/>
      </c>
      <c r="D551" s="12">
        <f>IF($A551="","",IFERROR(INDEX(土地清冊_匯入!$P$6:$P$1005,MATCH($A551,土地清冊_匯入!$A$6:$A$1005,0)),""))</f>
        <v/>
      </c>
      <c r="E551" s="12">
        <f>IF($A551="","",IFERROR(INDEX(土地清冊_匯入!$Q$6:$Q$1005,MATCH($A551,土地清冊_匯入!$A$6:$A$1005,0)),""))</f>
        <v/>
      </c>
      <c r="F551" s="12">
        <f>IF($A551="","",IFERROR(INDEX(土地清冊_匯入!$R$6:$R$1005,MATCH($A551,土地清冊_匯入!$A$6:$A$1005,0)),""))</f>
        <v/>
      </c>
      <c r="G551" s="12">
        <f>IF($A551="","",IFERROR(INDEX(土地清冊_匯入!$S$6:$S$1005,MATCH($A551,土地清冊_匯入!$A$6:$A$1005,0)),""))</f>
        <v/>
      </c>
      <c r="H551" s="12">
        <f>IF($A551="","",IFERROR(INDEX(土地清冊_匯入!$T$6:$T$1005,MATCH($A551,土地清冊_匯入!$A$6:$A$1005,0)),""))</f>
        <v/>
      </c>
      <c r="I551" s="12">
        <f>IF($A551="","",IFERROR(INDEX(土地清冊_匯入!$V$6:$V$1005,MATCH($A551,土地清冊_匯入!$A$6:$A$1005,0)),""))</f>
        <v/>
      </c>
      <c r="J551" s="14" t="n"/>
      <c r="K551" s="7" t="n"/>
      <c r="L551" s="7" t="n"/>
      <c r="M551" s="7" t="n"/>
      <c r="N551" s="7" t="n"/>
      <c r="O551" s="7" t="n"/>
      <c r="P551" s="7" t="n"/>
      <c r="Q551" s="14" t="n"/>
      <c r="R551" s="7" t="n"/>
      <c r="S551" s="7" t="n"/>
      <c r="T551" s="7" t="n"/>
      <c r="U551" s="12">
        <f>IF(A551="","",IF(OR(J551="",L551=""),"建議補聯絡紀錄","") )</f>
        <v/>
      </c>
    </row>
    <row r="552" ht="24" customHeight="1">
      <c r="A552" s="7" t="n"/>
      <c r="B552" s="7" t="n"/>
      <c r="C552" s="12">
        <f>IF($A552="","",IFERROR(INDEX(土地清冊_匯入!$B$6:$B$1005,MATCH($A552,土地清冊_匯入!$A$6:$A$1005,0)),"查無資料"))</f>
        <v/>
      </c>
      <c r="D552" s="12">
        <f>IF($A552="","",IFERROR(INDEX(土地清冊_匯入!$P$6:$P$1005,MATCH($A552,土地清冊_匯入!$A$6:$A$1005,0)),""))</f>
        <v/>
      </c>
      <c r="E552" s="12">
        <f>IF($A552="","",IFERROR(INDEX(土地清冊_匯入!$Q$6:$Q$1005,MATCH($A552,土地清冊_匯入!$A$6:$A$1005,0)),""))</f>
        <v/>
      </c>
      <c r="F552" s="12">
        <f>IF($A552="","",IFERROR(INDEX(土地清冊_匯入!$R$6:$R$1005,MATCH($A552,土地清冊_匯入!$A$6:$A$1005,0)),""))</f>
        <v/>
      </c>
      <c r="G552" s="12">
        <f>IF($A552="","",IFERROR(INDEX(土地清冊_匯入!$S$6:$S$1005,MATCH($A552,土地清冊_匯入!$A$6:$A$1005,0)),""))</f>
        <v/>
      </c>
      <c r="H552" s="12">
        <f>IF($A552="","",IFERROR(INDEX(土地清冊_匯入!$T$6:$T$1005,MATCH($A552,土地清冊_匯入!$A$6:$A$1005,0)),""))</f>
        <v/>
      </c>
      <c r="I552" s="12">
        <f>IF($A552="","",IFERROR(INDEX(土地清冊_匯入!$V$6:$V$1005,MATCH($A552,土地清冊_匯入!$A$6:$A$1005,0)),""))</f>
        <v/>
      </c>
      <c r="J552" s="14" t="n"/>
      <c r="K552" s="7" t="n"/>
      <c r="L552" s="7" t="n"/>
      <c r="M552" s="7" t="n"/>
      <c r="N552" s="7" t="n"/>
      <c r="O552" s="7" t="n"/>
      <c r="P552" s="7" t="n"/>
      <c r="Q552" s="14" t="n"/>
      <c r="R552" s="7" t="n"/>
      <c r="S552" s="7" t="n"/>
      <c r="T552" s="7" t="n"/>
      <c r="U552" s="12">
        <f>IF(A552="","",IF(OR(J552="",L552=""),"建議補聯絡紀錄","") )</f>
        <v/>
      </c>
    </row>
    <row r="553" ht="24" customHeight="1">
      <c r="A553" s="7" t="n"/>
      <c r="B553" s="7" t="n"/>
      <c r="C553" s="12">
        <f>IF($A553="","",IFERROR(INDEX(土地清冊_匯入!$B$6:$B$1005,MATCH($A553,土地清冊_匯入!$A$6:$A$1005,0)),"查無資料"))</f>
        <v/>
      </c>
      <c r="D553" s="12">
        <f>IF($A553="","",IFERROR(INDEX(土地清冊_匯入!$P$6:$P$1005,MATCH($A553,土地清冊_匯入!$A$6:$A$1005,0)),""))</f>
        <v/>
      </c>
      <c r="E553" s="12">
        <f>IF($A553="","",IFERROR(INDEX(土地清冊_匯入!$Q$6:$Q$1005,MATCH($A553,土地清冊_匯入!$A$6:$A$1005,0)),""))</f>
        <v/>
      </c>
      <c r="F553" s="12">
        <f>IF($A553="","",IFERROR(INDEX(土地清冊_匯入!$R$6:$R$1005,MATCH($A553,土地清冊_匯入!$A$6:$A$1005,0)),""))</f>
        <v/>
      </c>
      <c r="G553" s="12">
        <f>IF($A553="","",IFERROR(INDEX(土地清冊_匯入!$S$6:$S$1005,MATCH($A553,土地清冊_匯入!$A$6:$A$1005,0)),""))</f>
        <v/>
      </c>
      <c r="H553" s="12">
        <f>IF($A553="","",IFERROR(INDEX(土地清冊_匯入!$T$6:$T$1005,MATCH($A553,土地清冊_匯入!$A$6:$A$1005,0)),""))</f>
        <v/>
      </c>
      <c r="I553" s="12">
        <f>IF($A553="","",IFERROR(INDEX(土地清冊_匯入!$V$6:$V$1005,MATCH($A553,土地清冊_匯入!$A$6:$A$1005,0)),""))</f>
        <v/>
      </c>
      <c r="J553" s="14" t="n"/>
      <c r="K553" s="7" t="n"/>
      <c r="L553" s="7" t="n"/>
      <c r="M553" s="7" t="n"/>
      <c r="N553" s="7" t="n"/>
      <c r="O553" s="7" t="n"/>
      <c r="P553" s="7" t="n"/>
      <c r="Q553" s="14" t="n"/>
      <c r="R553" s="7" t="n"/>
      <c r="S553" s="7" t="n"/>
      <c r="T553" s="7" t="n"/>
      <c r="U553" s="12">
        <f>IF(A553="","",IF(OR(J553="",L553=""),"建議補聯絡紀錄","") )</f>
        <v/>
      </c>
    </row>
    <row r="554" ht="24" customHeight="1">
      <c r="A554" s="7" t="n"/>
      <c r="B554" s="7" t="n"/>
      <c r="C554" s="12">
        <f>IF($A554="","",IFERROR(INDEX(土地清冊_匯入!$B$6:$B$1005,MATCH($A554,土地清冊_匯入!$A$6:$A$1005,0)),"查無資料"))</f>
        <v/>
      </c>
      <c r="D554" s="12">
        <f>IF($A554="","",IFERROR(INDEX(土地清冊_匯入!$P$6:$P$1005,MATCH($A554,土地清冊_匯入!$A$6:$A$1005,0)),""))</f>
        <v/>
      </c>
      <c r="E554" s="12">
        <f>IF($A554="","",IFERROR(INDEX(土地清冊_匯入!$Q$6:$Q$1005,MATCH($A554,土地清冊_匯入!$A$6:$A$1005,0)),""))</f>
        <v/>
      </c>
      <c r="F554" s="12">
        <f>IF($A554="","",IFERROR(INDEX(土地清冊_匯入!$R$6:$R$1005,MATCH($A554,土地清冊_匯入!$A$6:$A$1005,0)),""))</f>
        <v/>
      </c>
      <c r="G554" s="12">
        <f>IF($A554="","",IFERROR(INDEX(土地清冊_匯入!$S$6:$S$1005,MATCH($A554,土地清冊_匯入!$A$6:$A$1005,0)),""))</f>
        <v/>
      </c>
      <c r="H554" s="12">
        <f>IF($A554="","",IFERROR(INDEX(土地清冊_匯入!$T$6:$T$1005,MATCH($A554,土地清冊_匯入!$A$6:$A$1005,0)),""))</f>
        <v/>
      </c>
      <c r="I554" s="12">
        <f>IF($A554="","",IFERROR(INDEX(土地清冊_匯入!$V$6:$V$1005,MATCH($A554,土地清冊_匯入!$A$6:$A$1005,0)),""))</f>
        <v/>
      </c>
      <c r="J554" s="14" t="n"/>
      <c r="K554" s="7" t="n"/>
      <c r="L554" s="7" t="n"/>
      <c r="M554" s="7" t="n"/>
      <c r="N554" s="7" t="n"/>
      <c r="O554" s="7" t="n"/>
      <c r="P554" s="7" t="n"/>
      <c r="Q554" s="14" t="n"/>
      <c r="R554" s="7" t="n"/>
      <c r="S554" s="7" t="n"/>
      <c r="T554" s="7" t="n"/>
      <c r="U554" s="12">
        <f>IF(A554="","",IF(OR(J554="",L554=""),"建議補聯絡紀錄","") )</f>
        <v/>
      </c>
    </row>
    <row r="555" ht="24" customHeight="1">
      <c r="A555" s="7" t="n"/>
      <c r="B555" s="7" t="n"/>
      <c r="C555" s="12">
        <f>IF($A555="","",IFERROR(INDEX(土地清冊_匯入!$B$6:$B$1005,MATCH($A555,土地清冊_匯入!$A$6:$A$1005,0)),"查無資料"))</f>
        <v/>
      </c>
      <c r="D555" s="12">
        <f>IF($A555="","",IFERROR(INDEX(土地清冊_匯入!$P$6:$P$1005,MATCH($A555,土地清冊_匯入!$A$6:$A$1005,0)),""))</f>
        <v/>
      </c>
      <c r="E555" s="12">
        <f>IF($A555="","",IFERROR(INDEX(土地清冊_匯入!$Q$6:$Q$1005,MATCH($A555,土地清冊_匯入!$A$6:$A$1005,0)),""))</f>
        <v/>
      </c>
      <c r="F555" s="12">
        <f>IF($A555="","",IFERROR(INDEX(土地清冊_匯入!$R$6:$R$1005,MATCH($A555,土地清冊_匯入!$A$6:$A$1005,0)),""))</f>
        <v/>
      </c>
      <c r="G555" s="12">
        <f>IF($A555="","",IFERROR(INDEX(土地清冊_匯入!$S$6:$S$1005,MATCH($A555,土地清冊_匯入!$A$6:$A$1005,0)),""))</f>
        <v/>
      </c>
      <c r="H555" s="12">
        <f>IF($A555="","",IFERROR(INDEX(土地清冊_匯入!$T$6:$T$1005,MATCH($A555,土地清冊_匯入!$A$6:$A$1005,0)),""))</f>
        <v/>
      </c>
      <c r="I555" s="12">
        <f>IF($A555="","",IFERROR(INDEX(土地清冊_匯入!$V$6:$V$1005,MATCH($A555,土地清冊_匯入!$A$6:$A$1005,0)),""))</f>
        <v/>
      </c>
      <c r="J555" s="14" t="n"/>
      <c r="K555" s="7" t="n"/>
      <c r="L555" s="7" t="n"/>
      <c r="M555" s="7" t="n"/>
      <c r="N555" s="7" t="n"/>
      <c r="O555" s="7" t="n"/>
      <c r="P555" s="7" t="n"/>
      <c r="Q555" s="14" t="n"/>
      <c r="R555" s="7" t="n"/>
      <c r="S555" s="7" t="n"/>
      <c r="T555" s="7" t="n"/>
      <c r="U555" s="12">
        <f>IF(A555="","",IF(OR(J555="",L555=""),"建議補聯絡紀錄","") )</f>
        <v/>
      </c>
    </row>
    <row r="556" ht="24" customHeight="1">
      <c r="A556" s="7" t="n"/>
      <c r="B556" s="7" t="n"/>
      <c r="C556" s="12">
        <f>IF($A556="","",IFERROR(INDEX(土地清冊_匯入!$B$6:$B$1005,MATCH($A556,土地清冊_匯入!$A$6:$A$1005,0)),"查無資料"))</f>
        <v/>
      </c>
      <c r="D556" s="12">
        <f>IF($A556="","",IFERROR(INDEX(土地清冊_匯入!$P$6:$P$1005,MATCH($A556,土地清冊_匯入!$A$6:$A$1005,0)),""))</f>
        <v/>
      </c>
      <c r="E556" s="12">
        <f>IF($A556="","",IFERROR(INDEX(土地清冊_匯入!$Q$6:$Q$1005,MATCH($A556,土地清冊_匯入!$A$6:$A$1005,0)),""))</f>
        <v/>
      </c>
      <c r="F556" s="12">
        <f>IF($A556="","",IFERROR(INDEX(土地清冊_匯入!$R$6:$R$1005,MATCH($A556,土地清冊_匯入!$A$6:$A$1005,0)),""))</f>
        <v/>
      </c>
      <c r="G556" s="12">
        <f>IF($A556="","",IFERROR(INDEX(土地清冊_匯入!$S$6:$S$1005,MATCH($A556,土地清冊_匯入!$A$6:$A$1005,0)),""))</f>
        <v/>
      </c>
      <c r="H556" s="12">
        <f>IF($A556="","",IFERROR(INDEX(土地清冊_匯入!$T$6:$T$1005,MATCH($A556,土地清冊_匯入!$A$6:$A$1005,0)),""))</f>
        <v/>
      </c>
      <c r="I556" s="12">
        <f>IF($A556="","",IFERROR(INDEX(土地清冊_匯入!$V$6:$V$1005,MATCH($A556,土地清冊_匯入!$A$6:$A$1005,0)),""))</f>
        <v/>
      </c>
      <c r="J556" s="14" t="n"/>
      <c r="K556" s="7" t="n"/>
      <c r="L556" s="7" t="n"/>
      <c r="M556" s="7" t="n"/>
      <c r="N556" s="7" t="n"/>
      <c r="O556" s="7" t="n"/>
      <c r="P556" s="7" t="n"/>
      <c r="Q556" s="14" t="n"/>
      <c r="R556" s="7" t="n"/>
      <c r="S556" s="7" t="n"/>
      <c r="T556" s="7" t="n"/>
      <c r="U556" s="12">
        <f>IF(A556="","",IF(OR(J556="",L556=""),"建議補聯絡紀錄","") )</f>
        <v/>
      </c>
    </row>
    <row r="557" ht="24" customHeight="1">
      <c r="A557" s="7" t="n"/>
      <c r="B557" s="7" t="n"/>
      <c r="C557" s="12">
        <f>IF($A557="","",IFERROR(INDEX(土地清冊_匯入!$B$6:$B$1005,MATCH($A557,土地清冊_匯入!$A$6:$A$1005,0)),"查無資料"))</f>
        <v/>
      </c>
      <c r="D557" s="12">
        <f>IF($A557="","",IFERROR(INDEX(土地清冊_匯入!$P$6:$P$1005,MATCH($A557,土地清冊_匯入!$A$6:$A$1005,0)),""))</f>
        <v/>
      </c>
      <c r="E557" s="12">
        <f>IF($A557="","",IFERROR(INDEX(土地清冊_匯入!$Q$6:$Q$1005,MATCH($A557,土地清冊_匯入!$A$6:$A$1005,0)),""))</f>
        <v/>
      </c>
      <c r="F557" s="12">
        <f>IF($A557="","",IFERROR(INDEX(土地清冊_匯入!$R$6:$R$1005,MATCH($A557,土地清冊_匯入!$A$6:$A$1005,0)),""))</f>
        <v/>
      </c>
      <c r="G557" s="12">
        <f>IF($A557="","",IFERROR(INDEX(土地清冊_匯入!$S$6:$S$1005,MATCH($A557,土地清冊_匯入!$A$6:$A$1005,0)),""))</f>
        <v/>
      </c>
      <c r="H557" s="12">
        <f>IF($A557="","",IFERROR(INDEX(土地清冊_匯入!$T$6:$T$1005,MATCH($A557,土地清冊_匯入!$A$6:$A$1005,0)),""))</f>
        <v/>
      </c>
      <c r="I557" s="12">
        <f>IF($A557="","",IFERROR(INDEX(土地清冊_匯入!$V$6:$V$1005,MATCH($A557,土地清冊_匯入!$A$6:$A$1005,0)),""))</f>
        <v/>
      </c>
      <c r="J557" s="14" t="n"/>
      <c r="K557" s="7" t="n"/>
      <c r="L557" s="7" t="n"/>
      <c r="M557" s="7" t="n"/>
      <c r="N557" s="7" t="n"/>
      <c r="O557" s="7" t="n"/>
      <c r="P557" s="7" t="n"/>
      <c r="Q557" s="14" t="n"/>
      <c r="R557" s="7" t="n"/>
      <c r="S557" s="7" t="n"/>
      <c r="T557" s="7" t="n"/>
      <c r="U557" s="12">
        <f>IF(A557="","",IF(OR(J557="",L557=""),"建議補聯絡紀錄","") )</f>
        <v/>
      </c>
    </row>
    <row r="558" ht="24" customHeight="1">
      <c r="A558" s="7" t="n"/>
      <c r="B558" s="7" t="n"/>
      <c r="C558" s="12">
        <f>IF($A558="","",IFERROR(INDEX(土地清冊_匯入!$B$6:$B$1005,MATCH($A558,土地清冊_匯入!$A$6:$A$1005,0)),"查無資料"))</f>
        <v/>
      </c>
      <c r="D558" s="12">
        <f>IF($A558="","",IFERROR(INDEX(土地清冊_匯入!$P$6:$P$1005,MATCH($A558,土地清冊_匯入!$A$6:$A$1005,0)),""))</f>
        <v/>
      </c>
      <c r="E558" s="12">
        <f>IF($A558="","",IFERROR(INDEX(土地清冊_匯入!$Q$6:$Q$1005,MATCH($A558,土地清冊_匯入!$A$6:$A$1005,0)),""))</f>
        <v/>
      </c>
      <c r="F558" s="12">
        <f>IF($A558="","",IFERROR(INDEX(土地清冊_匯入!$R$6:$R$1005,MATCH($A558,土地清冊_匯入!$A$6:$A$1005,0)),""))</f>
        <v/>
      </c>
      <c r="G558" s="12">
        <f>IF($A558="","",IFERROR(INDEX(土地清冊_匯入!$S$6:$S$1005,MATCH($A558,土地清冊_匯入!$A$6:$A$1005,0)),""))</f>
        <v/>
      </c>
      <c r="H558" s="12">
        <f>IF($A558="","",IFERROR(INDEX(土地清冊_匯入!$T$6:$T$1005,MATCH($A558,土地清冊_匯入!$A$6:$A$1005,0)),""))</f>
        <v/>
      </c>
      <c r="I558" s="12">
        <f>IF($A558="","",IFERROR(INDEX(土地清冊_匯入!$V$6:$V$1005,MATCH($A558,土地清冊_匯入!$A$6:$A$1005,0)),""))</f>
        <v/>
      </c>
      <c r="J558" s="14" t="n"/>
      <c r="K558" s="7" t="n"/>
      <c r="L558" s="7" t="n"/>
      <c r="M558" s="7" t="n"/>
      <c r="N558" s="7" t="n"/>
      <c r="O558" s="7" t="n"/>
      <c r="P558" s="7" t="n"/>
      <c r="Q558" s="14" t="n"/>
      <c r="R558" s="7" t="n"/>
      <c r="S558" s="7" t="n"/>
      <c r="T558" s="7" t="n"/>
      <c r="U558" s="12">
        <f>IF(A558="","",IF(OR(J558="",L558=""),"建議補聯絡紀錄","") )</f>
        <v/>
      </c>
    </row>
    <row r="559" ht="24" customHeight="1">
      <c r="A559" s="7" t="n"/>
      <c r="B559" s="7" t="n"/>
      <c r="C559" s="12">
        <f>IF($A559="","",IFERROR(INDEX(土地清冊_匯入!$B$6:$B$1005,MATCH($A559,土地清冊_匯入!$A$6:$A$1005,0)),"查無資料"))</f>
        <v/>
      </c>
      <c r="D559" s="12">
        <f>IF($A559="","",IFERROR(INDEX(土地清冊_匯入!$P$6:$P$1005,MATCH($A559,土地清冊_匯入!$A$6:$A$1005,0)),""))</f>
        <v/>
      </c>
      <c r="E559" s="12">
        <f>IF($A559="","",IFERROR(INDEX(土地清冊_匯入!$Q$6:$Q$1005,MATCH($A559,土地清冊_匯入!$A$6:$A$1005,0)),""))</f>
        <v/>
      </c>
      <c r="F559" s="12">
        <f>IF($A559="","",IFERROR(INDEX(土地清冊_匯入!$R$6:$R$1005,MATCH($A559,土地清冊_匯入!$A$6:$A$1005,0)),""))</f>
        <v/>
      </c>
      <c r="G559" s="12">
        <f>IF($A559="","",IFERROR(INDEX(土地清冊_匯入!$S$6:$S$1005,MATCH($A559,土地清冊_匯入!$A$6:$A$1005,0)),""))</f>
        <v/>
      </c>
      <c r="H559" s="12">
        <f>IF($A559="","",IFERROR(INDEX(土地清冊_匯入!$T$6:$T$1005,MATCH($A559,土地清冊_匯入!$A$6:$A$1005,0)),""))</f>
        <v/>
      </c>
      <c r="I559" s="12">
        <f>IF($A559="","",IFERROR(INDEX(土地清冊_匯入!$V$6:$V$1005,MATCH($A559,土地清冊_匯入!$A$6:$A$1005,0)),""))</f>
        <v/>
      </c>
      <c r="J559" s="14" t="n"/>
      <c r="K559" s="7" t="n"/>
      <c r="L559" s="7" t="n"/>
      <c r="M559" s="7" t="n"/>
      <c r="N559" s="7" t="n"/>
      <c r="O559" s="7" t="n"/>
      <c r="P559" s="7" t="n"/>
      <c r="Q559" s="14" t="n"/>
      <c r="R559" s="7" t="n"/>
      <c r="S559" s="7" t="n"/>
      <c r="T559" s="7" t="n"/>
      <c r="U559" s="12">
        <f>IF(A559="","",IF(OR(J559="",L559=""),"建議補聯絡紀錄","") )</f>
        <v/>
      </c>
    </row>
    <row r="560" ht="24" customHeight="1">
      <c r="A560" s="7" t="n"/>
      <c r="B560" s="7" t="n"/>
      <c r="C560" s="12">
        <f>IF($A560="","",IFERROR(INDEX(土地清冊_匯入!$B$6:$B$1005,MATCH($A560,土地清冊_匯入!$A$6:$A$1005,0)),"查無資料"))</f>
        <v/>
      </c>
      <c r="D560" s="12">
        <f>IF($A560="","",IFERROR(INDEX(土地清冊_匯入!$P$6:$P$1005,MATCH($A560,土地清冊_匯入!$A$6:$A$1005,0)),""))</f>
        <v/>
      </c>
      <c r="E560" s="12">
        <f>IF($A560="","",IFERROR(INDEX(土地清冊_匯入!$Q$6:$Q$1005,MATCH($A560,土地清冊_匯入!$A$6:$A$1005,0)),""))</f>
        <v/>
      </c>
      <c r="F560" s="12">
        <f>IF($A560="","",IFERROR(INDEX(土地清冊_匯入!$R$6:$R$1005,MATCH($A560,土地清冊_匯入!$A$6:$A$1005,0)),""))</f>
        <v/>
      </c>
      <c r="G560" s="12">
        <f>IF($A560="","",IFERROR(INDEX(土地清冊_匯入!$S$6:$S$1005,MATCH($A560,土地清冊_匯入!$A$6:$A$1005,0)),""))</f>
        <v/>
      </c>
      <c r="H560" s="12">
        <f>IF($A560="","",IFERROR(INDEX(土地清冊_匯入!$T$6:$T$1005,MATCH($A560,土地清冊_匯入!$A$6:$A$1005,0)),""))</f>
        <v/>
      </c>
      <c r="I560" s="12">
        <f>IF($A560="","",IFERROR(INDEX(土地清冊_匯入!$V$6:$V$1005,MATCH($A560,土地清冊_匯入!$A$6:$A$1005,0)),""))</f>
        <v/>
      </c>
      <c r="J560" s="14" t="n"/>
      <c r="K560" s="7" t="n"/>
      <c r="L560" s="7" t="n"/>
      <c r="M560" s="7" t="n"/>
      <c r="N560" s="7" t="n"/>
      <c r="O560" s="7" t="n"/>
      <c r="P560" s="7" t="n"/>
      <c r="Q560" s="14" t="n"/>
      <c r="R560" s="7" t="n"/>
      <c r="S560" s="7" t="n"/>
      <c r="T560" s="7" t="n"/>
      <c r="U560" s="12">
        <f>IF(A560="","",IF(OR(J560="",L560=""),"建議補聯絡紀錄","") )</f>
        <v/>
      </c>
    </row>
    <row r="561" ht="24" customHeight="1">
      <c r="A561" s="7" t="n"/>
      <c r="B561" s="7" t="n"/>
      <c r="C561" s="12">
        <f>IF($A561="","",IFERROR(INDEX(土地清冊_匯入!$B$6:$B$1005,MATCH($A561,土地清冊_匯入!$A$6:$A$1005,0)),"查無資料"))</f>
        <v/>
      </c>
      <c r="D561" s="12">
        <f>IF($A561="","",IFERROR(INDEX(土地清冊_匯入!$P$6:$P$1005,MATCH($A561,土地清冊_匯入!$A$6:$A$1005,0)),""))</f>
        <v/>
      </c>
      <c r="E561" s="12">
        <f>IF($A561="","",IFERROR(INDEX(土地清冊_匯入!$Q$6:$Q$1005,MATCH($A561,土地清冊_匯入!$A$6:$A$1005,0)),""))</f>
        <v/>
      </c>
      <c r="F561" s="12">
        <f>IF($A561="","",IFERROR(INDEX(土地清冊_匯入!$R$6:$R$1005,MATCH($A561,土地清冊_匯入!$A$6:$A$1005,0)),""))</f>
        <v/>
      </c>
      <c r="G561" s="12">
        <f>IF($A561="","",IFERROR(INDEX(土地清冊_匯入!$S$6:$S$1005,MATCH($A561,土地清冊_匯入!$A$6:$A$1005,0)),""))</f>
        <v/>
      </c>
      <c r="H561" s="12">
        <f>IF($A561="","",IFERROR(INDEX(土地清冊_匯入!$T$6:$T$1005,MATCH($A561,土地清冊_匯入!$A$6:$A$1005,0)),""))</f>
        <v/>
      </c>
      <c r="I561" s="12">
        <f>IF($A561="","",IFERROR(INDEX(土地清冊_匯入!$V$6:$V$1005,MATCH($A561,土地清冊_匯入!$A$6:$A$1005,0)),""))</f>
        <v/>
      </c>
      <c r="J561" s="14" t="n"/>
      <c r="K561" s="7" t="n"/>
      <c r="L561" s="7" t="n"/>
      <c r="M561" s="7" t="n"/>
      <c r="N561" s="7" t="n"/>
      <c r="O561" s="7" t="n"/>
      <c r="P561" s="7" t="n"/>
      <c r="Q561" s="14" t="n"/>
      <c r="R561" s="7" t="n"/>
      <c r="S561" s="7" t="n"/>
      <c r="T561" s="7" t="n"/>
      <c r="U561" s="12">
        <f>IF(A561="","",IF(OR(J561="",L561=""),"建議補聯絡紀錄","") )</f>
        <v/>
      </c>
    </row>
    <row r="562" ht="24" customHeight="1">
      <c r="A562" s="7" t="n"/>
      <c r="B562" s="7" t="n"/>
      <c r="C562" s="12">
        <f>IF($A562="","",IFERROR(INDEX(土地清冊_匯入!$B$6:$B$1005,MATCH($A562,土地清冊_匯入!$A$6:$A$1005,0)),"查無資料"))</f>
        <v/>
      </c>
      <c r="D562" s="12">
        <f>IF($A562="","",IFERROR(INDEX(土地清冊_匯入!$P$6:$P$1005,MATCH($A562,土地清冊_匯入!$A$6:$A$1005,0)),""))</f>
        <v/>
      </c>
      <c r="E562" s="12">
        <f>IF($A562="","",IFERROR(INDEX(土地清冊_匯入!$Q$6:$Q$1005,MATCH($A562,土地清冊_匯入!$A$6:$A$1005,0)),""))</f>
        <v/>
      </c>
      <c r="F562" s="12">
        <f>IF($A562="","",IFERROR(INDEX(土地清冊_匯入!$R$6:$R$1005,MATCH($A562,土地清冊_匯入!$A$6:$A$1005,0)),""))</f>
        <v/>
      </c>
      <c r="G562" s="12">
        <f>IF($A562="","",IFERROR(INDEX(土地清冊_匯入!$S$6:$S$1005,MATCH($A562,土地清冊_匯入!$A$6:$A$1005,0)),""))</f>
        <v/>
      </c>
      <c r="H562" s="12">
        <f>IF($A562="","",IFERROR(INDEX(土地清冊_匯入!$T$6:$T$1005,MATCH($A562,土地清冊_匯入!$A$6:$A$1005,0)),""))</f>
        <v/>
      </c>
      <c r="I562" s="12">
        <f>IF($A562="","",IFERROR(INDEX(土地清冊_匯入!$V$6:$V$1005,MATCH($A562,土地清冊_匯入!$A$6:$A$1005,0)),""))</f>
        <v/>
      </c>
      <c r="J562" s="14" t="n"/>
      <c r="K562" s="7" t="n"/>
      <c r="L562" s="7" t="n"/>
      <c r="M562" s="7" t="n"/>
      <c r="N562" s="7" t="n"/>
      <c r="O562" s="7" t="n"/>
      <c r="P562" s="7" t="n"/>
      <c r="Q562" s="14" t="n"/>
      <c r="R562" s="7" t="n"/>
      <c r="S562" s="7" t="n"/>
      <c r="T562" s="7" t="n"/>
      <c r="U562" s="12">
        <f>IF(A562="","",IF(OR(J562="",L562=""),"建議補聯絡紀錄","") )</f>
        <v/>
      </c>
    </row>
    <row r="563" ht="24" customHeight="1">
      <c r="A563" s="7" t="n"/>
      <c r="B563" s="7" t="n"/>
      <c r="C563" s="12">
        <f>IF($A563="","",IFERROR(INDEX(土地清冊_匯入!$B$6:$B$1005,MATCH($A563,土地清冊_匯入!$A$6:$A$1005,0)),"查無資料"))</f>
        <v/>
      </c>
      <c r="D563" s="12">
        <f>IF($A563="","",IFERROR(INDEX(土地清冊_匯入!$P$6:$P$1005,MATCH($A563,土地清冊_匯入!$A$6:$A$1005,0)),""))</f>
        <v/>
      </c>
      <c r="E563" s="12">
        <f>IF($A563="","",IFERROR(INDEX(土地清冊_匯入!$Q$6:$Q$1005,MATCH($A563,土地清冊_匯入!$A$6:$A$1005,0)),""))</f>
        <v/>
      </c>
      <c r="F563" s="12">
        <f>IF($A563="","",IFERROR(INDEX(土地清冊_匯入!$R$6:$R$1005,MATCH($A563,土地清冊_匯入!$A$6:$A$1005,0)),""))</f>
        <v/>
      </c>
      <c r="G563" s="12">
        <f>IF($A563="","",IFERROR(INDEX(土地清冊_匯入!$S$6:$S$1005,MATCH($A563,土地清冊_匯入!$A$6:$A$1005,0)),""))</f>
        <v/>
      </c>
      <c r="H563" s="12">
        <f>IF($A563="","",IFERROR(INDEX(土地清冊_匯入!$T$6:$T$1005,MATCH($A563,土地清冊_匯入!$A$6:$A$1005,0)),""))</f>
        <v/>
      </c>
      <c r="I563" s="12">
        <f>IF($A563="","",IFERROR(INDEX(土地清冊_匯入!$V$6:$V$1005,MATCH($A563,土地清冊_匯入!$A$6:$A$1005,0)),""))</f>
        <v/>
      </c>
      <c r="J563" s="14" t="n"/>
      <c r="K563" s="7" t="n"/>
      <c r="L563" s="7" t="n"/>
      <c r="M563" s="7" t="n"/>
      <c r="N563" s="7" t="n"/>
      <c r="O563" s="7" t="n"/>
      <c r="P563" s="7" t="n"/>
      <c r="Q563" s="14" t="n"/>
      <c r="R563" s="7" t="n"/>
      <c r="S563" s="7" t="n"/>
      <c r="T563" s="7" t="n"/>
      <c r="U563" s="12">
        <f>IF(A563="","",IF(OR(J563="",L563=""),"建議補聯絡紀錄","") )</f>
        <v/>
      </c>
    </row>
    <row r="564" ht="24" customHeight="1">
      <c r="A564" s="7" t="n"/>
      <c r="B564" s="7" t="n"/>
      <c r="C564" s="12">
        <f>IF($A564="","",IFERROR(INDEX(土地清冊_匯入!$B$6:$B$1005,MATCH($A564,土地清冊_匯入!$A$6:$A$1005,0)),"查無資料"))</f>
        <v/>
      </c>
      <c r="D564" s="12">
        <f>IF($A564="","",IFERROR(INDEX(土地清冊_匯入!$P$6:$P$1005,MATCH($A564,土地清冊_匯入!$A$6:$A$1005,0)),""))</f>
        <v/>
      </c>
      <c r="E564" s="12">
        <f>IF($A564="","",IFERROR(INDEX(土地清冊_匯入!$Q$6:$Q$1005,MATCH($A564,土地清冊_匯入!$A$6:$A$1005,0)),""))</f>
        <v/>
      </c>
      <c r="F564" s="12">
        <f>IF($A564="","",IFERROR(INDEX(土地清冊_匯入!$R$6:$R$1005,MATCH($A564,土地清冊_匯入!$A$6:$A$1005,0)),""))</f>
        <v/>
      </c>
      <c r="G564" s="12">
        <f>IF($A564="","",IFERROR(INDEX(土地清冊_匯入!$S$6:$S$1005,MATCH($A564,土地清冊_匯入!$A$6:$A$1005,0)),""))</f>
        <v/>
      </c>
      <c r="H564" s="12">
        <f>IF($A564="","",IFERROR(INDEX(土地清冊_匯入!$T$6:$T$1005,MATCH($A564,土地清冊_匯入!$A$6:$A$1005,0)),""))</f>
        <v/>
      </c>
      <c r="I564" s="12">
        <f>IF($A564="","",IFERROR(INDEX(土地清冊_匯入!$V$6:$V$1005,MATCH($A564,土地清冊_匯入!$A$6:$A$1005,0)),""))</f>
        <v/>
      </c>
      <c r="J564" s="14" t="n"/>
      <c r="K564" s="7" t="n"/>
      <c r="L564" s="7" t="n"/>
      <c r="M564" s="7" t="n"/>
      <c r="N564" s="7" t="n"/>
      <c r="O564" s="7" t="n"/>
      <c r="P564" s="7" t="n"/>
      <c r="Q564" s="14" t="n"/>
      <c r="R564" s="7" t="n"/>
      <c r="S564" s="7" t="n"/>
      <c r="T564" s="7" t="n"/>
      <c r="U564" s="12">
        <f>IF(A564="","",IF(OR(J564="",L564=""),"建議補聯絡紀錄","") )</f>
        <v/>
      </c>
    </row>
    <row r="565" ht="24" customHeight="1">
      <c r="A565" s="7" t="n"/>
      <c r="B565" s="7" t="n"/>
      <c r="C565" s="12">
        <f>IF($A565="","",IFERROR(INDEX(土地清冊_匯入!$B$6:$B$1005,MATCH($A565,土地清冊_匯入!$A$6:$A$1005,0)),"查無資料"))</f>
        <v/>
      </c>
      <c r="D565" s="12">
        <f>IF($A565="","",IFERROR(INDEX(土地清冊_匯入!$P$6:$P$1005,MATCH($A565,土地清冊_匯入!$A$6:$A$1005,0)),""))</f>
        <v/>
      </c>
      <c r="E565" s="12">
        <f>IF($A565="","",IFERROR(INDEX(土地清冊_匯入!$Q$6:$Q$1005,MATCH($A565,土地清冊_匯入!$A$6:$A$1005,0)),""))</f>
        <v/>
      </c>
      <c r="F565" s="12">
        <f>IF($A565="","",IFERROR(INDEX(土地清冊_匯入!$R$6:$R$1005,MATCH($A565,土地清冊_匯入!$A$6:$A$1005,0)),""))</f>
        <v/>
      </c>
      <c r="G565" s="12">
        <f>IF($A565="","",IFERROR(INDEX(土地清冊_匯入!$S$6:$S$1005,MATCH($A565,土地清冊_匯入!$A$6:$A$1005,0)),""))</f>
        <v/>
      </c>
      <c r="H565" s="12">
        <f>IF($A565="","",IFERROR(INDEX(土地清冊_匯入!$T$6:$T$1005,MATCH($A565,土地清冊_匯入!$A$6:$A$1005,0)),""))</f>
        <v/>
      </c>
      <c r="I565" s="12">
        <f>IF($A565="","",IFERROR(INDEX(土地清冊_匯入!$V$6:$V$1005,MATCH($A565,土地清冊_匯入!$A$6:$A$1005,0)),""))</f>
        <v/>
      </c>
      <c r="J565" s="14" t="n"/>
      <c r="K565" s="7" t="n"/>
      <c r="L565" s="7" t="n"/>
      <c r="M565" s="7" t="n"/>
      <c r="N565" s="7" t="n"/>
      <c r="O565" s="7" t="n"/>
      <c r="P565" s="7" t="n"/>
      <c r="Q565" s="14" t="n"/>
      <c r="R565" s="7" t="n"/>
      <c r="S565" s="7" t="n"/>
      <c r="T565" s="7" t="n"/>
      <c r="U565" s="12">
        <f>IF(A565="","",IF(OR(J565="",L565=""),"建議補聯絡紀錄","") )</f>
        <v/>
      </c>
    </row>
    <row r="566" ht="24" customHeight="1">
      <c r="A566" s="7" t="n"/>
      <c r="B566" s="7" t="n"/>
      <c r="C566" s="12">
        <f>IF($A566="","",IFERROR(INDEX(土地清冊_匯入!$B$6:$B$1005,MATCH($A566,土地清冊_匯入!$A$6:$A$1005,0)),"查無資料"))</f>
        <v/>
      </c>
      <c r="D566" s="12">
        <f>IF($A566="","",IFERROR(INDEX(土地清冊_匯入!$P$6:$P$1005,MATCH($A566,土地清冊_匯入!$A$6:$A$1005,0)),""))</f>
        <v/>
      </c>
      <c r="E566" s="12">
        <f>IF($A566="","",IFERROR(INDEX(土地清冊_匯入!$Q$6:$Q$1005,MATCH($A566,土地清冊_匯入!$A$6:$A$1005,0)),""))</f>
        <v/>
      </c>
      <c r="F566" s="12">
        <f>IF($A566="","",IFERROR(INDEX(土地清冊_匯入!$R$6:$R$1005,MATCH($A566,土地清冊_匯入!$A$6:$A$1005,0)),""))</f>
        <v/>
      </c>
      <c r="G566" s="12">
        <f>IF($A566="","",IFERROR(INDEX(土地清冊_匯入!$S$6:$S$1005,MATCH($A566,土地清冊_匯入!$A$6:$A$1005,0)),""))</f>
        <v/>
      </c>
      <c r="H566" s="12">
        <f>IF($A566="","",IFERROR(INDEX(土地清冊_匯入!$T$6:$T$1005,MATCH($A566,土地清冊_匯入!$A$6:$A$1005,0)),""))</f>
        <v/>
      </c>
      <c r="I566" s="12">
        <f>IF($A566="","",IFERROR(INDEX(土地清冊_匯入!$V$6:$V$1005,MATCH($A566,土地清冊_匯入!$A$6:$A$1005,0)),""))</f>
        <v/>
      </c>
      <c r="J566" s="14" t="n"/>
      <c r="K566" s="7" t="n"/>
      <c r="L566" s="7" t="n"/>
      <c r="M566" s="7" t="n"/>
      <c r="N566" s="7" t="n"/>
      <c r="O566" s="7" t="n"/>
      <c r="P566" s="7" t="n"/>
      <c r="Q566" s="14" t="n"/>
      <c r="R566" s="7" t="n"/>
      <c r="S566" s="7" t="n"/>
      <c r="T566" s="7" t="n"/>
      <c r="U566" s="12">
        <f>IF(A566="","",IF(OR(J566="",L566=""),"建議補聯絡紀錄","") )</f>
        <v/>
      </c>
    </row>
    <row r="567" ht="24" customHeight="1">
      <c r="A567" s="7" t="n"/>
      <c r="B567" s="7" t="n"/>
      <c r="C567" s="12">
        <f>IF($A567="","",IFERROR(INDEX(土地清冊_匯入!$B$6:$B$1005,MATCH($A567,土地清冊_匯入!$A$6:$A$1005,0)),"查無資料"))</f>
        <v/>
      </c>
      <c r="D567" s="12">
        <f>IF($A567="","",IFERROR(INDEX(土地清冊_匯入!$P$6:$P$1005,MATCH($A567,土地清冊_匯入!$A$6:$A$1005,0)),""))</f>
        <v/>
      </c>
      <c r="E567" s="12">
        <f>IF($A567="","",IFERROR(INDEX(土地清冊_匯入!$Q$6:$Q$1005,MATCH($A567,土地清冊_匯入!$A$6:$A$1005,0)),""))</f>
        <v/>
      </c>
      <c r="F567" s="12">
        <f>IF($A567="","",IFERROR(INDEX(土地清冊_匯入!$R$6:$R$1005,MATCH($A567,土地清冊_匯入!$A$6:$A$1005,0)),""))</f>
        <v/>
      </c>
      <c r="G567" s="12">
        <f>IF($A567="","",IFERROR(INDEX(土地清冊_匯入!$S$6:$S$1005,MATCH($A567,土地清冊_匯入!$A$6:$A$1005,0)),""))</f>
        <v/>
      </c>
      <c r="H567" s="12">
        <f>IF($A567="","",IFERROR(INDEX(土地清冊_匯入!$T$6:$T$1005,MATCH($A567,土地清冊_匯入!$A$6:$A$1005,0)),""))</f>
        <v/>
      </c>
      <c r="I567" s="12">
        <f>IF($A567="","",IFERROR(INDEX(土地清冊_匯入!$V$6:$V$1005,MATCH($A567,土地清冊_匯入!$A$6:$A$1005,0)),""))</f>
        <v/>
      </c>
      <c r="J567" s="14" t="n"/>
      <c r="K567" s="7" t="n"/>
      <c r="L567" s="7" t="n"/>
      <c r="M567" s="7" t="n"/>
      <c r="N567" s="7" t="n"/>
      <c r="O567" s="7" t="n"/>
      <c r="P567" s="7" t="n"/>
      <c r="Q567" s="14" t="n"/>
      <c r="R567" s="7" t="n"/>
      <c r="S567" s="7" t="n"/>
      <c r="T567" s="7" t="n"/>
      <c r="U567" s="12">
        <f>IF(A567="","",IF(OR(J567="",L567=""),"建議補聯絡紀錄","") )</f>
        <v/>
      </c>
    </row>
    <row r="568" ht="24" customHeight="1">
      <c r="A568" s="7" t="n"/>
      <c r="B568" s="7" t="n"/>
      <c r="C568" s="12">
        <f>IF($A568="","",IFERROR(INDEX(土地清冊_匯入!$B$6:$B$1005,MATCH($A568,土地清冊_匯入!$A$6:$A$1005,0)),"查無資料"))</f>
        <v/>
      </c>
      <c r="D568" s="12">
        <f>IF($A568="","",IFERROR(INDEX(土地清冊_匯入!$P$6:$P$1005,MATCH($A568,土地清冊_匯入!$A$6:$A$1005,0)),""))</f>
        <v/>
      </c>
      <c r="E568" s="12">
        <f>IF($A568="","",IFERROR(INDEX(土地清冊_匯入!$Q$6:$Q$1005,MATCH($A568,土地清冊_匯入!$A$6:$A$1005,0)),""))</f>
        <v/>
      </c>
      <c r="F568" s="12">
        <f>IF($A568="","",IFERROR(INDEX(土地清冊_匯入!$R$6:$R$1005,MATCH($A568,土地清冊_匯入!$A$6:$A$1005,0)),""))</f>
        <v/>
      </c>
      <c r="G568" s="12">
        <f>IF($A568="","",IFERROR(INDEX(土地清冊_匯入!$S$6:$S$1005,MATCH($A568,土地清冊_匯入!$A$6:$A$1005,0)),""))</f>
        <v/>
      </c>
      <c r="H568" s="12">
        <f>IF($A568="","",IFERROR(INDEX(土地清冊_匯入!$T$6:$T$1005,MATCH($A568,土地清冊_匯入!$A$6:$A$1005,0)),""))</f>
        <v/>
      </c>
      <c r="I568" s="12">
        <f>IF($A568="","",IFERROR(INDEX(土地清冊_匯入!$V$6:$V$1005,MATCH($A568,土地清冊_匯入!$A$6:$A$1005,0)),""))</f>
        <v/>
      </c>
      <c r="J568" s="14" t="n"/>
      <c r="K568" s="7" t="n"/>
      <c r="L568" s="7" t="n"/>
      <c r="M568" s="7" t="n"/>
      <c r="N568" s="7" t="n"/>
      <c r="O568" s="7" t="n"/>
      <c r="P568" s="7" t="n"/>
      <c r="Q568" s="14" t="n"/>
      <c r="R568" s="7" t="n"/>
      <c r="S568" s="7" t="n"/>
      <c r="T568" s="7" t="n"/>
      <c r="U568" s="12">
        <f>IF(A568="","",IF(OR(J568="",L568=""),"建議補聯絡紀錄","") )</f>
        <v/>
      </c>
    </row>
    <row r="569" ht="24" customHeight="1">
      <c r="A569" s="7" t="n"/>
      <c r="B569" s="7" t="n"/>
      <c r="C569" s="12">
        <f>IF($A569="","",IFERROR(INDEX(土地清冊_匯入!$B$6:$B$1005,MATCH($A569,土地清冊_匯入!$A$6:$A$1005,0)),"查無資料"))</f>
        <v/>
      </c>
      <c r="D569" s="12">
        <f>IF($A569="","",IFERROR(INDEX(土地清冊_匯入!$P$6:$P$1005,MATCH($A569,土地清冊_匯入!$A$6:$A$1005,0)),""))</f>
        <v/>
      </c>
      <c r="E569" s="12">
        <f>IF($A569="","",IFERROR(INDEX(土地清冊_匯入!$Q$6:$Q$1005,MATCH($A569,土地清冊_匯入!$A$6:$A$1005,0)),""))</f>
        <v/>
      </c>
      <c r="F569" s="12">
        <f>IF($A569="","",IFERROR(INDEX(土地清冊_匯入!$R$6:$R$1005,MATCH($A569,土地清冊_匯入!$A$6:$A$1005,0)),""))</f>
        <v/>
      </c>
      <c r="G569" s="12">
        <f>IF($A569="","",IFERROR(INDEX(土地清冊_匯入!$S$6:$S$1005,MATCH($A569,土地清冊_匯入!$A$6:$A$1005,0)),""))</f>
        <v/>
      </c>
      <c r="H569" s="12">
        <f>IF($A569="","",IFERROR(INDEX(土地清冊_匯入!$T$6:$T$1005,MATCH($A569,土地清冊_匯入!$A$6:$A$1005,0)),""))</f>
        <v/>
      </c>
      <c r="I569" s="12">
        <f>IF($A569="","",IFERROR(INDEX(土地清冊_匯入!$V$6:$V$1005,MATCH($A569,土地清冊_匯入!$A$6:$A$1005,0)),""))</f>
        <v/>
      </c>
      <c r="J569" s="14" t="n"/>
      <c r="K569" s="7" t="n"/>
      <c r="L569" s="7" t="n"/>
      <c r="M569" s="7" t="n"/>
      <c r="N569" s="7" t="n"/>
      <c r="O569" s="7" t="n"/>
      <c r="P569" s="7" t="n"/>
      <c r="Q569" s="14" t="n"/>
      <c r="R569" s="7" t="n"/>
      <c r="S569" s="7" t="n"/>
      <c r="T569" s="7" t="n"/>
      <c r="U569" s="12">
        <f>IF(A569="","",IF(OR(J569="",L569=""),"建議補聯絡紀錄","") )</f>
        <v/>
      </c>
    </row>
    <row r="570" ht="24" customHeight="1">
      <c r="A570" s="7" t="n"/>
      <c r="B570" s="7" t="n"/>
      <c r="C570" s="12">
        <f>IF($A570="","",IFERROR(INDEX(土地清冊_匯入!$B$6:$B$1005,MATCH($A570,土地清冊_匯入!$A$6:$A$1005,0)),"查無資料"))</f>
        <v/>
      </c>
      <c r="D570" s="12">
        <f>IF($A570="","",IFERROR(INDEX(土地清冊_匯入!$P$6:$P$1005,MATCH($A570,土地清冊_匯入!$A$6:$A$1005,0)),""))</f>
        <v/>
      </c>
      <c r="E570" s="12">
        <f>IF($A570="","",IFERROR(INDEX(土地清冊_匯入!$Q$6:$Q$1005,MATCH($A570,土地清冊_匯入!$A$6:$A$1005,0)),""))</f>
        <v/>
      </c>
      <c r="F570" s="12">
        <f>IF($A570="","",IFERROR(INDEX(土地清冊_匯入!$R$6:$R$1005,MATCH($A570,土地清冊_匯入!$A$6:$A$1005,0)),""))</f>
        <v/>
      </c>
      <c r="G570" s="12">
        <f>IF($A570="","",IFERROR(INDEX(土地清冊_匯入!$S$6:$S$1005,MATCH($A570,土地清冊_匯入!$A$6:$A$1005,0)),""))</f>
        <v/>
      </c>
      <c r="H570" s="12">
        <f>IF($A570="","",IFERROR(INDEX(土地清冊_匯入!$T$6:$T$1005,MATCH($A570,土地清冊_匯入!$A$6:$A$1005,0)),""))</f>
        <v/>
      </c>
      <c r="I570" s="12">
        <f>IF($A570="","",IFERROR(INDEX(土地清冊_匯入!$V$6:$V$1005,MATCH($A570,土地清冊_匯入!$A$6:$A$1005,0)),""))</f>
        <v/>
      </c>
      <c r="J570" s="14" t="n"/>
      <c r="K570" s="7" t="n"/>
      <c r="L570" s="7" t="n"/>
      <c r="M570" s="7" t="n"/>
      <c r="N570" s="7" t="n"/>
      <c r="O570" s="7" t="n"/>
      <c r="P570" s="7" t="n"/>
      <c r="Q570" s="14" t="n"/>
      <c r="R570" s="7" t="n"/>
      <c r="S570" s="7" t="n"/>
      <c r="T570" s="7" t="n"/>
      <c r="U570" s="12">
        <f>IF(A570="","",IF(OR(J570="",L570=""),"建議補聯絡紀錄","") )</f>
        <v/>
      </c>
    </row>
    <row r="571" ht="24" customHeight="1">
      <c r="A571" s="7" t="n"/>
      <c r="B571" s="7" t="n"/>
      <c r="C571" s="12">
        <f>IF($A571="","",IFERROR(INDEX(土地清冊_匯入!$B$6:$B$1005,MATCH($A571,土地清冊_匯入!$A$6:$A$1005,0)),"查無資料"))</f>
        <v/>
      </c>
      <c r="D571" s="12">
        <f>IF($A571="","",IFERROR(INDEX(土地清冊_匯入!$P$6:$P$1005,MATCH($A571,土地清冊_匯入!$A$6:$A$1005,0)),""))</f>
        <v/>
      </c>
      <c r="E571" s="12">
        <f>IF($A571="","",IFERROR(INDEX(土地清冊_匯入!$Q$6:$Q$1005,MATCH($A571,土地清冊_匯入!$A$6:$A$1005,0)),""))</f>
        <v/>
      </c>
      <c r="F571" s="12">
        <f>IF($A571="","",IFERROR(INDEX(土地清冊_匯入!$R$6:$R$1005,MATCH($A571,土地清冊_匯入!$A$6:$A$1005,0)),""))</f>
        <v/>
      </c>
      <c r="G571" s="12">
        <f>IF($A571="","",IFERROR(INDEX(土地清冊_匯入!$S$6:$S$1005,MATCH($A571,土地清冊_匯入!$A$6:$A$1005,0)),""))</f>
        <v/>
      </c>
      <c r="H571" s="12">
        <f>IF($A571="","",IFERROR(INDEX(土地清冊_匯入!$T$6:$T$1005,MATCH($A571,土地清冊_匯入!$A$6:$A$1005,0)),""))</f>
        <v/>
      </c>
      <c r="I571" s="12">
        <f>IF($A571="","",IFERROR(INDEX(土地清冊_匯入!$V$6:$V$1005,MATCH($A571,土地清冊_匯入!$A$6:$A$1005,0)),""))</f>
        <v/>
      </c>
      <c r="J571" s="14" t="n"/>
      <c r="K571" s="7" t="n"/>
      <c r="L571" s="7" t="n"/>
      <c r="M571" s="7" t="n"/>
      <c r="N571" s="7" t="n"/>
      <c r="O571" s="7" t="n"/>
      <c r="P571" s="7" t="n"/>
      <c r="Q571" s="14" t="n"/>
      <c r="R571" s="7" t="n"/>
      <c r="S571" s="7" t="n"/>
      <c r="T571" s="7" t="n"/>
      <c r="U571" s="12">
        <f>IF(A571="","",IF(OR(J571="",L571=""),"建議補聯絡紀錄","") )</f>
        <v/>
      </c>
    </row>
    <row r="572" ht="24" customHeight="1">
      <c r="A572" s="7" t="n"/>
      <c r="B572" s="7" t="n"/>
      <c r="C572" s="12">
        <f>IF($A572="","",IFERROR(INDEX(土地清冊_匯入!$B$6:$B$1005,MATCH($A572,土地清冊_匯入!$A$6:$A$1005,0)),"查無資料"))</f>
        <v/>
      </c>
      <c r="D572" s="12">
        <f>IF($A572="","",IFERROR(INDEX(土地清冊_匯入!$P$6:$P$1005,MATCH($A572,土地清冊_匯入!$A$6:$A$1005,0)),""))</f>
        <v/>
      </c>
      <c r="E572" s="12">
        <f>IF($A572="","",IFERROR(INDEX(土地清冊_匯入!$Q$6:$Q$1005,MATCH($A572,土地清冊_匯入!$A$6:$A$1005,0)),""))</f>
        <v/>
      </c>
      <c r="F572" s="12">
        <f>IF($A572="","",IFERROR(INDEX(土地清冊_匯入!$R$6:$R$1005,MATCH($A572,土地清冊_匯入!$A$6:$A$1005,0)),""))</f>
        <v/>
      </c>
      <c r="G572" s="12">
        <f>IF($A572="","",IFERROR(INDEX(土地清冊_匯入!$S$6:$S$1005,MATCH($A572,土地清冊_匯入!$A$6:$A$1005,0)),""))</f>
        <v/>
      </c>
      <c r="H572" s="12">
        <f>IF($A572="","",IFERROR(INDEX(土地清冊_匯入!$T$6:$T$1005,MATCH($A572,土地清冊_匯入!$A$6:$A$1005,0)),""))</f>
        <v/>
      </c>
      <c r="I572" s="12">
        <f>IF($A572="","",IFERROR(INDEX(土地清冊_匯入!$V$6:$V$1005,MATCH($A572,土地清冊_匯入!$A$6:$A$1005,0)),""))</f>
        <v/>
      </c>
      <c r="J572" s="14" t="n"/>
      <c r="K572" s="7" t="n"/>
      <c r="L572" s="7" t="n"/>
      <c r="M572" s="7" t="n"/>
      <c r="N572" s="7" t="n"/>
      <c r="O572" s="7" t="n"/>
      <c r="P572" s="7" t="n"/>
      <c r="Q572" s="14" t="n"/>
      <c r="R572" s="7" t="n"/>
      <c r="S572" s="7" t="n"/>
      <c r="T572" s="7" t="n"/>
      <c r="U572" s="12">
        <f>IF(A572="","",IF(OR(J572="",L572=""),"建議補聯絡紀錄","") )</f>
        <v/>
      </c>
    </row>
    <row r="573" ht="24" customHeight="1">
      <c r="A573" s="7" t="n"/>
      <c r="B573" s="7" t="n"/>
      <c r="C573" s="12">
        <f>IF($A573="","",IFERROR(INDEX(土地清冊_匯入!$B$6:$B$1005,MATCH($A573,土地清冊_匯入!$A$6:$A$1005,0)),"查無資料"))</f>
        <v/>
      </c>
      <c r="D573" s="12">
        <f>IF($A573="","",IFERROR(INDEX(土地清冊_匯入!$P$6:$P$1005,MATCH($A573,土地清冊_匯入!$A$6:$A$1005,0)),""))</f>
        <v/>
      </c>
      <c r="E573" s="12">
        <f>IF($A573="","",IFERROR(INDEX(土地清冊_匯入!$Q$6:$Q$1005,MATCH($A573,土地清冊_匯入!$A$6:$A$1005,0)),""))</f>
        <v/>
      </c>
      <c r="F573" s="12">
        <f>IF($A573="","",IFERROR(INDEX(土地清冊_匯入!$R$6:$R$1005,MATCH($A573,土地清冊_匯入!$A$6:$A$1005,0)),""))</f>
        <v/>
      </c>
      <c r="G573" s="12">
        <f>IF($A573="","",IFERROR(INDEX(土地清冊_匯入!$S$6:$S$1005,MATCH($A573,土地清冊_匯入!$A$6:$A$1005,0)),""))</f>
        <v/>
      </c>
      <c r="H573" s="12">
        <f>IF($A573="","",IFERROR(INDEX(土地清冊_匯入!$T$6:$T$1005,MATCH($A573,土地清冊_匯入!$A$6:$A$1005,0)),""))</f>
        <v/>
      </c>
      <c r="I573" s="12">
        <f>IF($A573="","",IFERROR(INDEX(土地清冊_匯入!$V$6:$V$1005,MATCH($A573,土地清冊_匯入!$A$6:$A$1005,0)),""))</f>
        <v/>
      </c>
      <c r="J573" s="14" t="n"/>
      <c r="K573" s="7" t="n"/>
      <c r="L573" s="7" t="n"/>
      <c r="M573" s="7" t="n"/>
      <c r="N573" s="7" t="n"/>
      <c r="O573" s="7" t="n"/>
      <c r="P573" s="7" t="n"/>
      <c r="Q573" s="14" t="n"/>
      <c r="R573" s="7" t="n"/>
      <c r="S573" s="7" t="n"/>
      <c r="T573" s="7" t="n"/>
      <c r="U573" s="12">
        <f>IF(A573="","",IF(OR(J573="",L573=""),"建議補聯絡紀錄","") )</f>
        <v/>
      </c>
    </row>
    <row r="574" ht="24" customHeight="1">
      <c r="A574" s="7" t="n"/>
      <c r="B574" s="7" t="n"/>
      <c r="C574" s="12">
        <f>IF($A574="","",IFERROR(INDEX(土地清冊_匯入!$B$6:$B$1005,MATCH($A574,土地清冊_匯入!$A$6:$A$1005,0)),"查無資料"))</f>
        <v/>
      </c>
      <c r="D574" s="12">
        <f>IF($A574="","",IFERROR(INDEX(土地清冊_匯入!$P$6:$P$1005,MATCH($A574,土地清冊_匯入!$A$6:$A$1005,0)),""))</f>
        <v/>
      </c>
      <c r="E574" s="12">
        <f>IF($A574="","",IFERROR(INDEX(土地清冊_匯入!$Q$6:$Q$1005,MATCH($A574,土地清冊_匯入!$A$6:$A$1005,0)),""))</f>
        <v/>
      </c>
      <c r="F574" s="12">
        <f>IF($A574="","",IFERROR(INDEX(土地清冊_匯入!$R$6:$R$1005,MATCH($A574,土地清冊_匯入!$A$6:$A$1005,0)),""))</f>
        <v/>
      </c>
      <c r="G574" s="12">
        <f>IF($A574="","",IFERROR(INDEX(土地清冊_匯入!$S$6:$S$1005,MATCH($A574,土地清冊_匯入!$A$6:$A$1005,0)),""))</f>
        <v/>
      </c>
      <c r="H574" s="12">
        <f>IF($A574="","",IFERROR(INDEX(土地清冊_匯入!$T$6:$T$1005,MATCH($A574,土地清冊_匯入!$A$6:$A$1005,0)),""))</f>
        <v/>
      </c>
      <c r="I574" s="12">
        <f>IF($A574="","",IFERROR(INDEX(土地清冊_匯入!$V$6:$V$1005,MATCH($A574,土地清冊_匯入!$A$6:$A$1005,0)),""))</f>
        <v/>
      </c>
      <c r="J574" s="14" t="n"/>
      <c r="K574" s="7" t="n"/>
      <c r="L574" s="7" t="n"/>
      <c r="M574" s="7" t="n"/>
      <c r="N574" s="7" t="n"/>
      <c r="O574" s="7" t="n"/>
      <c r="P574" s="7" t="n"/>
      <c r="Q574" s="14" t="n"/>
      <c r="R574" s="7" t="n"/>
      <c r="S574" s="7" t="n"/>
      <c r="T574" s="7" t="n"/>
      <c r="U574" s="12">
        <f>IF(A574="","",IF(OR(J574="",L574=""),"建議補聯絡紀錄","") )</f>
        <v/>
      </c>
    </row>
    <row r="575" ht="24" customHeight="1">
      <c r="A575" s="7" t="n"/>
      <c r="B575" s="7" t="n"/>
      <c r="C575" s="12">
        <f>IF($A575="","",IFERROR(INDEX(土地清冊_匯入!$B$6:$B$1005,MATCH($A575,土地清冊_匯入!$A$6:$A$1005,0)),"查無資料"))</f>
        <v/>
      </c>
      <c r="D575" s="12">
        <f>IF($A575="","",IFERROR(INDEX(土地清冊_匯入!$P$6:$P$1005,MATCH($A575,土地清冊_匯入!$A$6:$A$1005,0)),""))</f>
        <v/>
      </c>
      <c r="E575" s="12">
        <f>IF($A575="","",IFERROR(INDEX(土地清冊_匯入!$Q$6:$Q$1005,MATCH($A575,土地清冊_匯入!$A$6:$A$1005,0)),""))</f>
        <v/>
      </c>
      <c r="F575" s="12">
        <f>IF($A575="","",IFERROR(INDEX(土地清冊_匯入!$R$6:$R$1005,MATCH($A575,土地清冊_匯入!$A$6:$A$1005,0)),""))</f>
        <v/>
      </c>
      <c r="G575" s="12">
        <f>IF($A575="","",IFERROR(INDEX(土地清冊_匯入!$S$6:$S$1005,MATCH($A575,土地清冊_匯入!$A$6:$A$1005,0)),""))</f>
        <v/>
      </c>
      <c r="H575" s="12">
        <f>IF($A575="","",IFERROR(INDEX(土地清冊_匯入!$T$6:$T$1005,MATCH($A575,土地清冊_匯入!$A$6:$A$1005,0)),""))</f>
        <v/>
      </c>
      <c r="I575" s="12">
        <f>IF($A575="","",IFERROR(INDEX(土地清冊_匯入!$V$6:$V$1005,MATCH($A575,土地清冊_匯入!$A$6:$A$1005,0)),""))</f>
        <v/>
      </c>
      <c r="J575" s="14" t="n"/>
      <c r="K575" s="7" t="n"/>
      <c r="L575" s="7" t="n"/>
      <c r="M575" s="7" t="n"/>
      <c r="N575" s="7" t="n"/>
      <c r="O575" s="7" t="n"/>
      <c r="P575" s="7" t="n"/>
      <c r="Q575" s="14" t="n"/>
      <c r="R575" s="7" t="n"/>
      <c r="S575" s="7" t="n"/>
      <c r="T575" s="7" t="n"/>
      <c r="U575" s="12">
        <f>IF(A575="","",IF(OR(J575="",L575=""),"建議補聯絡紀錄","") )</f>
        <v/>
      </c>
    </row>
    <row r="576" ht="24" customHeight="1">
      <c r="A576" s="7" t="n"/>
      <c r="B576" s="7" t="n"/>
      <c r="C576" s="12">
        <f>IF($A576="","",IFERROR(INDEX(土地清冊_匯入!$B$6:$B$1005,MATCH($A576,土地清冊_匯入!$A$6:$A$1005,0)),"查無資料"))</f>
        <v/>
      </c>
      <c r="D576" s="12">
        <f>IF($A576="","",IFERROR(INDEX(土地清冊_匯入!$P$6:$P$1005,MATCH($A576,土地清冊_匯入!$A$6:$A$1005,0)),""))</f>
        <v/>
      </c>
      <c r="E576" s="12">
        <f>IF($A576="","",IFERROR(INDEX(土地清冊_匯入!$Q$6:$Q$1005,MATCH($A576,土地清冊_匯入!$A$6:$A$1005,0)),""))</f>
        <v/>
      </c>
      <c r="F576" s="12">
        <f>IF($A576="","",IFERROR(INDEX(土地清冊_匯入!$R$6:$R$1005,MATCH($A576,土地清冊_匯入!$A$6:$A$1005,0)),""))</f>
        <v/>
      </c>
      <c r="G576" s="12">
        <f>IF($A576="","",IFERROR(INDEX(土地清冊_匯入!$S$6:$S$1005,MATCH($A576,土地清冊_匯入!$A$6:$A$1005,0)),""))</f>
        <v/>
      </c>
      <c r="H576" s="12">
        <f>IF($A576="","",IFERROR(INDEX(土地清冊_匯入!$T$6:$T$1005,MATCH($A576,土地清冊_匯入!$A$6:$A$1005,0)),""))</f>
        <v/>
      </c>
      <c r="I576" s="12">
        <f>IF($A576="","",IFERROR(INDEX(土地清冊_匯入!$V$6:$V$1005,MATCH($A576,土地清冊_匯入!$A$6:$A$1005,0)),""))</f>
        <v/>
      </c>
      <c r="J576" s="14" t="n"/>
      <c r="K576" s="7" t="n"/>
      <c r="L576" s="7" t="n"/>
      <c r="M576" s="7" t="n"/>
      <c r="N576" s="7" t="n"/>
      <c r="O576" s="7" t="n"/>
      <c r="P576" s="7" t="n"/>
      <c r="Q576" s="14" t="n"/>
      <c r="R576" s="7" t="n"/>
      <c r="S576" s="7" t="n"/>
      <c r="T576" s="7" t="n"/>
      <c r="U576" s="12">
        <f>IF(A576="","",IF(OR(J576="",L576=""),"建議補聯絡紀錄","") )</f>
        <v/>
      </c>
    </row>
    <row r="577" ht="24" customHeight="1">
      <c r="A577" s="7" t="n"/>
      <c r="B577" s="7" t="n"/>
      <c r="C577" s="12">
        <f>IF($A577="","",IFERROR(INDEX(土地清冊_匯入!$B$6:$B$1005,MATCH($A577,土地清冊_匯入!$A$6:$A$1005,0)),"查無資料"))</f>
        <v/>
      </c>
      <c r="D577" s="12">
        <f>IF($A577="","",IFERROR(INDEX(土地清冊_匯入!$P$6:$P$1005,MATCH($A577,土地清冊_匯入!$A$6:$A$1005,0)),""))</f>
        <v/>
      </c>
      <c r="E577" s="12">
        <f>IF($A577="","",IFERROR(INDEX(土地清冊_匯入!$Q$6:$Q$1005,MATCH($A577,土地清冊_匯入!$A$6:$A$1005,0)),""))</f>
        <v/>
      </c>
      <c r="F577" s="12">
        <f>IF($A577="","",IFERROR(INDEX(土地清冊_匯入!$R$6:$R$1005,MATCH($A577,土地清冊_匯入!$A$6:$A$1005,0)),""))</f>
        <v/>
      </c>
      <c r="G577" s="12">
        <f>IF($A577="","",IFERROR(INDEX(土地清冊_匯入!$S$6:$S$1005,MATCH($A577,土地清冊_匯入!$A$6:$A$1005,0)),""))</f>
        <v/>
      </c>
      <c r="H577" s="12">
        <f>IF($A577="","",IFERROR(INDEX(土地清冊_匯入!$T$6:$T$1005,MATCH($A577,土地清冊_匯入!$A$6:$A$1005,0)),""))</f>
        <v/>
      </c>
      <c r="I577" s="12">
        <f>IF($A577="","",IFERROR(INDEX(土地清冊_匯入!$V$6:$V$1005,MATCH($A577,土地清冊_匯入!$A$6:$A$1005,0)),""))</f>
        <v/>
      </c>
      <c r="J577" s="14" t="n"/>
      <c r="K577" s="7" t="n"/>
      <c r="L577" s="7" t="n"/>
      <c r="M577" s="7" t="n"/>
      <c r="N577" s="7" t="n"/>
      <c r="O577" s="7" t="n"/>
      <c r="P577" s="7" t="n"/>
      <c r="Q577" s="14" t="n"/>
      <c r="R577" s="7" t="n"/>
      <c r="S577" s="7" t="n"/>
      <c r="T577" s="7" t="n"/>
      <c r="U577" s="12">
        <f>IF(A577="","",IF(OR(J577="",L577=""),"建議補聯絡紀錄","") )</f>
        <v/>
      </c>
    </row>
    <row r="578" ht="24" customHeight="1">
      <c r="A578" s="7" t="n"/>
      <c r="B578" s="7" t="n"/>
      <c r="C578" s="12">
        <f>IF($A578="","",IFERROR(INDEX(土地清冊_匯入!$B$6:$B$1005,MATCH($A578,土地清冊_匯入!$A$6:$A$1005,0)),"查無資料"))</f>
        <v/>
      </c>
      <c r="D578" s="12">
        <f>IF($A578="","",IFERROR(INDEX(土地清冊_匯入!$P$6:$P$1005,MATCH($A578,土地清冊_匯入!$A$6:$A$1005,0)),""))</f>
        <v/>
      </c>
      <c r="E578" s="12">
        <f>IF($A578="","",IFERROR(INDEX(土地清冊_匯入!$Q$6:$Q$1005,MATCH($A578,土地清冊_匯入!$A$6:$A$1005,0)),""))</f>
        <v/>
      </c>
      <c r="F578" s="12">
        <f>IF($A578="","",IFERROR(INDEX(土地清冊_匯入!$R$6:$R$1005,MATCH($A578,土地清冊_匯入!$A$6:$A$1005,0)),""))</f>
        <v/>
      </c>
      <c r="G578" s="12">
        <f>IF($A578="","",IFERROR(INDEX(土地清冊_匯入!$S$6:$S$1005,MATCH($A578,土地清冊_匯入!$A$6:$A$1005,0)),""))</f>
        <v/>
      </c>
      <c r="H578" s="12">
        <f>IF($A578="","",IFERROR(INDEX(土地清冊_匯入!$T$6:$T$1005,MATCH($A578,土地清冊_匯入!$A$6:$A$1005,0)),""))</f>
        <v/>
      </c>
      <c r="I578" s="12">
        <f>IF($A578="","",IFERROR(INDEX(土地清冊_匯入!$V$6:$V$1005,MATCH($A578,土地清冊_匯入!$A$6:$A$1005,0)),""))</f>
        <v/>
      </c>
      <c r="J578" s="14" t="n"/>
      <c r="K578" s="7" t="n"/>
      <c r="L578" s="7" t="n"/>
      <c r="M578" s="7" t="n"/>
      <c r="N578" s="7" t="n"/>
      <c r="O578" s="7" t="n"/>
      <c r="P578" s="7" t="n"/>
      <c r="Q578" s="14" t="n"/>
      <c r="R578" s="7" t="n"/>
      <c r="S578" s="7" t="n"/>
      <c r="T578" s="7" t="n"/>
      <c r="U578" s="12">
        <f>IF(A578="","",IF(OR(J578="",L578=""),"建議補聯絡紀錄","") )</f>
        <v/>
      </c>
    </row>
    <row r="579" ht="24" customHeight="1">
      <c r="A579" s="7" t="n"/>
      <c r="B579" s="7" t="n"/>
      <c r="C579" s="12">
        <f>IF($A579="","",IFERROR(INDEX(土地清冊_匯入!$B$6:$B$1005,MATCH($A579,土地清冊_匯入!$A$6:$A$1005,0)),"查無資料"))</f>
        <v/>
      </c>
      <c r="D579" s="12">
        <f>IF($A579="","",IFERROR(INDEX(土地清冊_匯入!$P$6:$P$1005,MATCH($A579,土地清冊_匯入!$A$6:$A$1005,0)),""))</f>
        <v/>
      </c>
      <c r="E579" s="12">
        <f>IF($A579="","",IFERROR(INDEX(土地清冊_匯入!$Q$6:$Q$1005,MATCH($A579,土地清冊_匯入!$A$6:$A$1005,0)),""))</f>
        <v/>
      </c>
      <c r="F579" s="12">
        <f>IF($A579="","",IFERROR(INDEX(土地清冊_匯入!$R$6:$R$1005,MATCH($A579,土地清冊_匯入!$A$6:$A$1005,0)),""))</f>
        <v/>
      </c>
      <c r="G579" s="12">
        <f>IF($A579="","",IFERROR(INDEX(土地清冊_匯入!$S$6:$S$1005,MATCH($A579,土地清冊_匯入!$A$6:$A$1005,0)),""))</f>
        <v/>
      </c>
      <c r="H579" s="12">
        <f>IF($A579="","",IFERROR(INDEX(土地清冊_匯入!$T$6:$T$1005,MATCH($A579,土地清冊_匯入!$A$6:$A$1005,0)),""))</f>
        <v/>
      </c>
      <c r="I579" s="12">
        <f>IF($A579="","",IFERROR(INDEX(土地清冊_匯入!$V$6:$V$1005,MATCH($A579,土地清冊_匯入!$A$6:$A$1005,0)),""))</f>
        <v/>
      </c>
      <c r="J579" s="14" t="n"/>
      <c r="K579" s="7" t="n"/>
      <c r="L579" s="7" t="n"/>
      <c r="M579" s="7" t="n"/>
      <c r="N579" s="7" t="n"/>
      <c r="O579" s="7" t="n"/>
      <c r="P579" s="7" t="n"/>
      <c r="Q579" s="14" t="n"/>
      <c r="R579" s="7" t="n"/>
      <c r="S579" s="7" t="n"/>
      <c r="T579" s="7" t="n"/>
      <c r="U579" s="12">
        <f>IF(A579="","",IF(OR(J579="",L579=""),"建議補聯絡紀錄","") )</f>
        <v/>
      </c>
    </row>
    <row r="580" ht="24" customHeight="1">
      <c r="A580" s="7" t="n"/>
      <c r="B580" s="7" t="n"/>
      <c r="C580" s="12">
        <f>IF($A580="","",IFERROR(INDEX(土地清冊_匯入!$B$6:$B$1005,MATCH($A580,土地清冊_匯入!$A$6:$A$1005,0)),"查無資料"))</f>
        <v/>
      </c>
      <c r="D580" s="12">
        <f>IF($A580="","",IFERROR(INDEX(土地清冊_匯入!$P$6:$P$1005,MATCH($A580,土地清冊_匯入!$A$6:$A$1005,0)),""))</f>
        <v/>
      </c>
      <c r="E580" s="12">
        <f>IF($A580="","",IFERROR(INDEX(土地清冊_匯入!$Q$6:$Q$1005,MATCH($A580,土地清冊_匯入!$A$6:$A$1005,0)),""))</f>
        <v/>
      </c>
      <c r="F580" s="12">
        <f>IF($A580="","",IFERROR(INDEX(土地清冊_匯入!$R$6:$R$1005,MATCH($A580,土地清冊_匯入!$A$6:$A$1005,0)),""))</f>
        <v/>
      </c>
      <c r="G580" s="12">
        <f>IF($A580="","",IFERROR(INDEX(土地清冊_匯入!$S$6:$S$1005,MATCH($A580,土地清冊_匯入!$A$6:$A$1005,0)),""))</f>
        <v/>
      </c>
      <c r="H580" s="12">
        <f>IF($A580="","",IFERROR(INDEX(土地清冊_匯入!$T$6:$T$1005,MATCH($A580,土地清冊_匯入!$A$6:$A$1005,0)),""))</f>
        <v/>
      </c>
      <c r="I580" s="12">
        <f>IF($A580="","",IFERROR(INDEX(土地清冊_匯入!$V$6:$V$1005,MATCH($A580,土地清冊_匯入!$A$6:$A$1005,0)),""))</f>
        <v/>
      </c>
      <c r="J580" s="14" t="n"/>
      <c r="K580" s="7" t="n"/>
      <c r="L580" s="7" t="n"/>
      <c r="M580" s="7" t="n"/>
      <c r="N580" s="7" t="n"/>
      <c r="O580" s="7" t="n"/>
      <c r="P580" s="7" t="n"/>
      <c r="Q580" s="14" t="n"/>
      <c r="R580" s="7" t="n"/>
      <c r="S580" s="7" t="n"/>
      <c r="T580" s="7" t="n"/>
      <c r="U580" s="12">
        <f>IF(A580="","",IF(OR(J580="",L580=""),"建議補聯絡紀錄","") )</f>
        <v/>
      </c>
    </row>
    <row r="581" ht="24" customHeight="1">
      <c r="A581" s="7" t="n"/>
      <c r="B581" s="7" t="n"/>
      <c r="C581" s="12">
        <f>IF($A581="","",IFERROR(INDEX(土地清冊_匯入!$B$6:$B$1005,MATCH($A581,土地清冊_匯入!$A$6:$A$1005,0)),"查無資料"))</f>
        <v/>
      </c>
      <c r="D581" s="12">
        <f>IF($A581="","",IFERROR(INDEX(土地清冊_匯入!$P$6:$P$1005,MATCH($A581,土地清冊_匯入!$A$6:$A$1005,0)),""))</f>
        <v/>
      </c>
      <c r="E581" s="12">
        <f>IF($A581="","",IFERROR(INDEX(土地清冊_匯入!$Q$6:$Q$1005,MATCH($A581,土地清冊_匯入!$A$6:$A$1005,0)),""))</f>
        <v/>
      </c>
      <c r="F581" s="12">
        <f>IF($A581="","",IFERROR(INDEX(土地清冊_匯入!$R$6:$R$1005,MATCH($A581,土地清冊_匯入!$A$6:$A$1005,0)),""))</f>
        <v/>
      </c>
      <c r="G581" s="12">
        <f>IF($A581="","",IFERROR(INDEX(土地清冊_匯入!$S$6:$S$1005,MATCH($A581,土地清冊_匯入!$A$6:$A$1005,0)),""))</f>
        <v/>
      </c>
      <c r="H581" s="12">
        <f>IF($A581="","",IFERROR(INDEX(土地清冊_匯入!$T$6:$T$1005,MATCH($A581,土地清冊_匯入!$A$6:$A$1005,0)),""))</f>
        <v/>
      </c>
      <c r="I581" s="12">
        <f>IF($A581="","",IFERROR(INDEX(土地清冊_匯入!$V$6:$V$1005,MATCH($A581,土地清冊_匯入!$A$6:$A$1005,0)),""))</f>
        <v/>
      </c>
      <c r="J581" s="14" t="n"/>
      <c r="K581" s="7" t="n"/>
      <c r="L581" s="7" t="n"/>
      <c r="M581" s="7" t="n"/>
      <c r="N581" s="7" t="n"/>
      <c r="O581" s="7" t="n"/>
      <c r="P581" s="7" t="n"/>
      <c r="Q581" s="14" t="n"/>
      <c r="R581" s="7" t="n"/>
      <c r="S581" s="7" t="n"/>
      <c r="T581" s="7" t="n"/>
      <c r="U581" s="12">
        <f>IF(A581="","",IF(OR(J581="",L581=""),"建議補聯絡紀錄","") )</f>
        <v/>
      </c>
    </row>
    <row r="582" ht="24" customHeight="1">
      <c r="A582" s="7" t="n"/>
      <c r="B582" s="7" t="n"/>
      <c r="C582" s="12">
        <f>IF($A582="","",IFERROR(INDEX(土地清冊_匯入!$B$6:$B$1005,MATCH($A582,土地清冊_匯入!$A$6:$A$1005,0)),"查無資料"))</f>
        <v/>
      </c>
      <c r="D582" s="12">
        <f>IF($A582="","",IFERROR(INDEX(土地清冊_匯入!$P$6:$P$1005,MATCH($A582,土地清冊_匯入!$A$6:$A$1005,0)),""))</f>
        <v/>
      </c>
      <c r="E582" s="12">
        <f>IF($A582="","",IFERROR(INDEX(土地清冊_匯入!$Q$6:$Q$1005,MATCH($A582,土地清冊_匯入!$A$6:$A$1005,0)),""))</f>
        <v/>
      </c>
      <c r="F582" s="12">
        <f>IF($A582="","",IFERROR(INDEX(土地清冊_匯入!$R$6:$R$1005,MATCH($A582,土地清冊_匯入!$A$6:$A$1005,0)),""))</f>
        <v/>
      </c>
      <c r="G582" s="12">
        <f>IF($A582="","",IFERROR(INDEX(土地清冊_匯入!$S$6:$S$1005,MATCH($A582,土地清冊_匯入!$A$6:$A$1005,0)),""))</f>
        <v/>
      </c>
      <c r="H582" s="12">
        <f>IF($A582="","",IFERROR(INDEX(土地清冊_匯入!$T$6:$T$1005,MATCH($A582,土地清冊_匯入!$A$6:$A$1005,0)),""))</f>
        <v/>
      </c>
      <c r="I582" s="12">
        <f>IF($A582="","",IFERROR(INDEX(土地清冊_匯入!$V$6:$V$1005,MATCH($A582,土地清冊_匯入!$A$6:$A$1005,0)),""))</f>
        <v/>
      </c>
      <c r="J582" s="14" t="n"/>
      <c r="K582" s="7" t="n"/>
      <c r="L582" s="7" t="n"/>
      <c r="M582" s="7" t="n"/>
      <c r="N582" s="7" t="n"/>
      <c r="O582" s="7" t="n"/>
      <c r="P582" s="7" t="n"/>
      <c r="Q582" s="14" t="n"/>
      <c r="R582" s="7" t="n"/>
      <c r="S582" s="7" t="n"/>
      <c r="T582" s="7" t="n"/>
      <c r="U582" s="12">
        <f>IF(A582="","",IF(OR(J582="",L582=""),"建議補聯絡紀錄","") )</f>
        <v/>
      </c>
    </row>
    <row r="583" ht="24" customHeight="1">
      <c r="A583" s="7" t="n"/>
      <c r="B583" s="7" t="n"/>
      <c r="C583" s="12">
        <f>IF($A583="","",IFERROR(INDEX(土地清冊_匯入!$B$6:$B$1005,MATCH($A583,土地清冊_匯入!$A$6:$A$1005,0)),"查無資料"))</f>
        <v/>
      </c>
      <c r="D583" s="12">
        <f>IF($A583="","",IFERROR(INDEX(土地清冊_匯入!$P$6:$P$1005,MATCH($A583,土地清冊_匯入!$A$6:$A$1005,0)),""))</f>
        <v/>
      </c>
      <c r="E583" s="12">
        <f>IF($A583="","",IFERROR(INDEX(土地清冊_匯入!$Q$6:$Q$1005,MATCH($A583,土地清冊_匯入!$A$6:$A$1005,0)),""))</f>
        <v/>
      </c>
      <c r="F583" s="12">
        <f>IF($A583="","",IFERROR(INDEX(土地清冊_匯入!$R$6:$R$1005,MATCH($A583,土地清冊_匯入!$A$6:$A$1005,0)),""))</f>
        <v/>
      </c>
      <c r="G583" s="12">
        <f>IF($A583="","",IFERROR(INDEX(土地清冊_匯入!$S$6:$S$1005,MATCH($A583,土地清冊_匯入!$A$6:$A$1005,0)),""))</f>
        <v/>
      </c>
      <c r="H583" s="12">
        <f>IF($A583="","",IFERROR(INDEX(土地清冊_匯入!$T$6:$T$1005,MATCH($A583,土地清冊_匯入!$A$6:$A$1005,0)),""))</f>
        <v/>
      </c>
      <c r="I583" s="12">
        <f>IF($A583="","",IFERROR(INDEX(土地清冊_匯入!$V$6:$V$1005,MATCH($A583,土地清冊_匯入!$A$6:$A$1005,0)),""))</f>
        <v/>
      </c>
      <c r="J583" s="14" t="n"/>
      <c r="K583" s="7" t="n"/>
      <c r="L583" s="7" t="n"/>
      <c r="M583" s="7" t="n"/>
      <c r="N583" s="7" t="n"/>
      <c r="O583" s="7" t="n"/>
      <c r="P583" s="7" t="n"/>
      <c r="Q583" s="14" t="n"/>
      <c r="R583" s="7" t="n"/>
      <c r="S583" s="7" t="n"/>
      <c r="T583" s="7" t="n"/>
      <c r="U583" s="12">
        <f>IF(A583="","",IF(OR(J583="",L583=""),"建議補聯絡紀錄","") )</f>
        <v/>
      </c>
    </row>
    <row r="584" ht="24" customHeight="1">
      <c r="A584" s="7" t="n"/>
      <c r="B584" s="7" t="n"/>
      <c r="C584" s="12">
        <f>IF($A584="","",IFERROR(INDEX(土地清冊_匯入!$B$6:$B$1005,MATCH($A584,土地清冊_匯入!$A$6:$A$1005,0)),"查無資料"))</f>
        <v/>
      </c>
      <c r="D584" s="12">
        <f>IF($A584="","",IFERROR(INDEX(土地清冊_匯入!$P$6:$P$1005,MATCH($A584,土地清冊_匯入!$A$6:$A$1005,0)),""))</f>
        <v/>
      </c>
      <c r="E584" s="12">
        <f>IF($A584="","",IFERROR(INDEX(土地清冊_匯入!$Q$6:$Q$1005,MATCH($A584,土地清冊_匯入!$A$6:$A$1005,0)),""))</f>
        <v/>
      </c>
      <c r="F584" s="12">
        <f>IF($A584="","",IFERROR(INDEX(土地清冊_匯入!$R$6:$R$1005,MATCH($A584,土地清冊_匯入!$A$6:$A$1005,0)),""))</f>
        <v/>
      </c>
      <c r="G584" s="12">
        <f>IF($A584="","",IFERROR(INDEX(土地清冊_匯入!$S$6:$S$1005,MATCH($A584,土地清冊_匯入!$A$6:$A$1005,0)),""))</f>
        <v/>
      </c>
      <c r="H584" s="12">
        <f>IF($A584="","",IFERROR(INDEX(土地清冊_匯入!$T$6:$T$1005,MATCH($A584,土地清冊_匯入!$A$6:$A$1005,0)),""))</f>
        <v/>
      </c>
      <c r="I584" s="12">
        <f>IF($A584="","",IFERROR(INDEX(土地清冊_匯入!$V$6:$V$1005,MATCH($A584,土地清冊_匯入!$A$6:$A$1005,0)),""))</f>
        <v/>
      </c>
      <c r="J584" s="14" t="n"/>
      <c r="K584" s="7" t="n"/>
      <c r="L584" s="7" t="n"/>
      <c r="M584" s="7" t="n"/>
      <c r="N584" s="7" t="n"/>
      <c r="O584" s="7" t="n"/>
      <c r="P584" s="7" t="n"/>
      <c r="Q584" s="14" t="n"/>
      <c r="R584" s="7" t="n"/>
      <c r="S584" s="7" t="n"/>
      <c r="T584" s="7" t="n"/>
      <c r="U584" s="12">
        <f>IF(A584="","",IF(OR(J584="",L584=""),"建議補聯絡紀錄","") )</f>
        <v/>
      </c>
    </row>
    <row r="585" ht="24" customHeight="1">
      <c r="A585" s="7" t="n"/>
      <c r="B585" s="7" t="n"/>
      <c r="C585" s="12">
        <f>IF($A585="","",IFERROR(INDEX(土地清冊_匯入!$B$6:$B$1005,MATCH($A585,土地清冊_匯入!$A$6:$A$1005,0)),"查無資料"))</f>
        <v/>
      </c>
      <c r="D585" s="12">
        <f>IF($A585="","",IFERROR(INDEX(土地清冊_匯入!$P$6:$P$1005,MATCH($A585,土地清冊_匯入!$A$6:$A$1005,0)),""))</f>
        <v/>
      </c>
      <c r="E585" s="12">
        <f>IF($A585="","",IFERROR(INDEX(土地清冊_匯入!$Q$6:$Q$1005,MATCH($A585,土地清冊_匯入!$A$6:$A$1005,0)),""))</f>
        <v/>
      </c>
      <c r="F585" s="12">
        <f>IF($A585="","",IFERROR(INDEX(土地清冊_匯入!$R$6:$R$1005,MATCH($A585,土地清冊_匯入!$A$6:$A$1005,0)),""))</f>
        <v/>
      </c>
      <c r="G585" s="12">
        <f>IF($A585="","",IFERROR(INDEX(土地清冊_匯入!$S$6:$S$1005,MATCH($A585,土地清冊_匯入!$A$6:$A$1005,0)),""))</f>
        <v/>
      </c>
      <c r="H585" s="12">
        <f>IF($A585="","",IFERROR(INDEX(土地清冊_匯入!$T$6:$T$1005,MATCH($A585,土地清冊_匯入!$A$6:$A$1005,0)),""))</f>
        <v/>
      </c>
      <c r="I585" s="12">
        <f>IF($A585="","",IFERROR(INDEX(土地清冊_匯入!$V$6:$V$1005,MATCH($A585,土地清冊_匯入!$A$6:$A$1005,0)),""))</f>
        <v/>
      </c>
      <c r="J585" s="14" t="n"/>
      <c r="K585" s="7" t="n"/>
      <c r="L585" s="7" t="n"/>
      <c r="M585" s="7" t="n"/>
      <c r="N585" s="7" t="n"/>
      <c r="O585" s="7" t="n"/>
      <c r="P585" s="7" t="n"/>
      <c r="Q585" s="14" t="n"/>
      <c r="R585" s="7" t="n"/>
      <c r="S585" s="7" t="n"/>
      <c r="T585" s="7" t="n"/>
      <c r="U585" s="12">
        <f>IF(A585="","",IF(OR(J585="",L585=""),"建議補聯絡紀錄","") )</f>
        <v/>
      </c>
    </row>
    <row r="586" ht="24" customHeight="1">
      <c r="A586" s="7" t="n"/>
      <c r="B586" s="7" t="n"/>
      <c r="C586" s="12">
        <f>IF($A586="","",IFERROR(INDEX(土地清冊_匯入!$B$6:$B$1005,MATCH($A586,土地清冊_匯入!$A$6:$A$1005,0)),"查無資料"))</f>
        <v/>
      </c>
      <c r="D586" s="12">
        <f>IF($A586="","",IFERROR(INDEX(土地清冊_匯入!$P$6:$P$1005,MATCH($A586,土地清冊_匯入!$A$6:$A$1005,0)),""))</f>
        <v/>
      </c>
      <c r="E586" s="12">
        <f>IF($A586="","",IFERROR(INDEX(土地清冊_匯入!$Q$6:$Q$1005,MATCH($A586,土地清冊_匯入!$A$6:$A$1005,0)),""))</f>
        <v/>
      </c>
      <c r="F586" s="12">
        <f>IF($A586="","",IFERROR(INDEX(土地清冊_匯入!$R$6:$R$1005,MATCH($A586,土地清冊_匯入!$A$6:$A$1005,0)),""))</f>
        <v/>
      </c>
      <c r="G586" s="12">
        <f>IF($A586="","",IFERROR(INDEX(土地清冊_匯入!$S$6:$S$1005,MATCH($A586,土地清冊_匯入!$A$6:$A$1005,0)),""))</f>
        <v/>
      </c>
      <c r="H586" s="12">
        <f>IF($A586="","",IFERROR(INDEX(土地清冊_匯入!$T$6:$T$1005,MATCH($A586,土地清冊_匯入!$A$6:$A$1005,0)),""))</f>
        <v/>
      </c>
      <c r="I586" s="12">
        <f>IF($A586="","",IFERROR(INDEX(土地清冊_匯入!$V$6:$V$1005,MATCH($A586,土地清冊_匯入!$A$6:$A$1005,0)),""))</f>
        <v/>
      </c>
      <c r="J586" s="14" t="n"/>
      <c r="K586" s="7" t="n"/>
      <c r="L586" s="7" t="n"/>
      <c r="M586" s="7" t="n"/>
      <c r="N586" s="7" t="n"/>
      <c r="O586" s="7" t="n"/>
      <c r="P586" s="7" t="n"/>
      <c r="Q586" s="14" t="n"/>
      <c r="R586" s="7" t="n"/>
      <c r="S586" s="7" t="n"/>
      <c r="T586" s="7" t="n"/>
      <c r="U586" s="12">
        <f>IF(A586="","",IF(OR(J586="",L586=""),"建議補聯絡紀錄","") )</f>
        <v/>
      </c>
    </row>
    <row r="587" ht="24" customHeight="1">
      <c r="A587" s="7" t="n"/>
      <c r="B587" s="7" t="n"/>
      <c r="C587" s="12">
        <f>IF($A587="","",IFERROR(INDEX(土地清冊_匯入!$B$6:$B$1005,MATCH($A587,土地清冊_匯入!$A$6:$A$1005,0)),"查無資料"))</f>
        <v/>
      </c>
      <c r="D587" s="12">
        <f>IF($A587="","",IFERROR(INDEX(土地清冊_匯入!$P$6:$P$1005,MATCH($A587,土地清冊_匯入!$A$6:$A$1005,0)),""))</f>
        <v/>
      </c>
      <c r="E587" s="12">
        <f>IF($A587="","",IFERROR(INDEX(土地清冊_匯入!$Q$6:$Q$1005,MATCH($A587,土地清冊_匯入!$A$6:$A$1005,0)),""))</f>
        <v/>
      </c>
      <c r="F587" s="12">
        <f>IF($A587="","",IFERROR(INDEX(土地清冊_匯入!$R$6:$R$1005,MATCH($A587,土地清冊_匯入!$A$6:$A$1005,0)),""))</f>
        <v/>
      </c>
      <c r="G587" s="12">
        <f>IF($A587="","",IFERROR(INDEX(土地清冊_匯入!$S$6:$S$1005,MATCH($A587,土地清冊_匯入!$A$6:$A$1005,0)),""))</f>
        <v/>
      </c>
      <c r="H587" s="12">
        <f>IF($A587="","",IFERROR(INDEX(土地清冊_匯入!$T$6:$T$1005,MATCH($A587,土地清冊_匯入!$A$6:$A$1005,0)),""))</f>
        <v/>
      </c>
      <c r="I587" s="12">
        <f>IF($A587="","",IFERROR(INDEX(土地清冊_匯入!$V$6:$V$1005,MATCH($A587,土地清冊_匯入!$A$6:$A$1005,0)),""))</f>
        <v/>
      </c>
      <c r="J587" s="14" t="n"/>
      <c r="K587" s="7" t="n"/>
      <c r="L587" s="7" t="n"/>
      <c r="M587" s="7" t="n"/>
      <c r="N587" s="7" t="n"/>
      <c r="O587" s="7" t="n"/>
      <c r="P587" s="7" t="n"/>
      <c r="Q587" s="14" t="n"/>
      <c r="R587" s="7" t="n"/>
      <c r="S587" s="7" t="n"/>
      <c r="T587" s="7" t="n"/>
      <c r="U587" s="12">
        <f>IF(A587="","",IF(OR(J587="",L587=""),"建議補聯絡紀錄","") )</f>
        <v/>
      </c>
    </row>
    <row r="588" ht="24" customHeight="1">
      <c r="A588" s="7" t="n"/>
      <c r="B588" s="7" t="n"/>
      <c r="C588" s="12">
        <f>IF($A588="","",IFERROR(INDEX(土地清冊_匯入!$B$6:$B$1005,MATCH($A588,土地清冊_匯入!$A$6:$A$1005,0)),"查無資料"))</f>
        <v/>
      </c>
      <c r="D588" s="12">
        <f>IF($A588="","",IFERROR(INDEX(土地清冊_匯入!$P$6:$P$1005,MATCH($A588,土地清冊_匯入!$A$6:$A$1005,0)),""))</f>
        <v/>
      </c>
      <c r="E588" s="12">
        <f>IF($A588="","",IFERROR(INDEX(土地清冊_匯入!$Q$6:$Q$1005,MATCH($A588,土地清冊_匯入!$A$6:$A$1005,0)),""))</f>
        <v/>
      </c>
      <c r="F588" s="12">
        <f>IF($A588="","",IFERROR(INDEX(土地清冊_匯入!$R$6:$R$1005,MATCH($A588,土地清冊_匯入!$A$6:$A$1005,0)),""))</f>
        <v/>
      </c>
      <c r="G588" s="12">
        <f>IF($A588="","",IFERROR(INDEX(土地清冊_匯入!$S$6:$S$1005,MATCH($A588,土地清冊_匯入!$A$6:$A$1005,0)),""))</f>
        <v/>
      </c>
      <c r="H588" s="12">
        <f>IF($A588="","",IFERROR(INDEX(土地清冊_匯入!$T$6:$T$1005,MATCH($A588,土地清冊_匯入!$A$6:$A$1005,0)),""))</f>
        <v/>
      </c>
      <c r="I588" s="12">
        <f>IF($A588="","",IFERROR(INDEX(土地清冊_匯入!$V$6:$V$1005,MATCH($A588,土地清冊_匯入!$A$6:$A$1005,0)),""))</f>
        <v/>
      </c>
      <c r="J588" s="14" t="n"/>
      <c r="K588" s="7" t="n"/>
      <c r="L588" s="7" t="n"/>
      <c r="M588" s="7" t="n"/>
      <c r="N588" s="7" t="n"/>
      <c r="O588" s="7" t="n"/>
      <c r="P588" s="7" t="n"/>
      <c r="Q588" s="14" t="n"/>
      <c r="R588" s="7" t="n"/>
      <c r="S588" s="7" t="n"/>
      <c r="T588" s="7" t="n"/>
      <c r="U588" s="12">
        <f>IF(A588="","",IF(OR(J588="",L588=""),"建議補聯絡紀錄","") )</f>
        <v/>
      </c>
    </row>
    <row r="589" ht="24" customHeight="1">
      <c r="A589" s="7" t="n"/>
      <c r="B589" s="7" t="n"/>
      <c r="C589" s="12">
        <f>IF($A589="","",IFERROR(INDEX(土地清冊_匯入!$B$6:$B$1005,MATCH($A589,土地清冊_匯入!$A$6:$A$1005,0)),"查無資料"))</f>
        <v/>
      </c>
      <c r="D589" s="12">
        <f>IF($A589="","",IFERROR(INDEX(土地清冊_匯入!$P$6:$P$1005,MATCH($A589,土地清冊_匯入!$A$6:$A$1005,0)),""))</f>
        <v/>
      </c>
      <c r="E589" s="12">
        <f>IF($A589="","",IFERROR(INDEX(土地清冊_匯入!$Q$6:$Q$1005,MATCH($A589,土地清冊_匯入!$A$6:$A$1005,0)),""))</f>
        <v/>
      </c>
      <c r="F589" s="12">
        <f>IF($A589="","",IFERROR(INDEX(土地清冊_匯入!$R$6:$R$1005,MATCH($A589,土地清冊_匯入!$A$6:$A$1005,0)),""))</f>
        <v/>
      </c>
      <c r="G589" s="12">
        <f>IF($A589="","",IFERROR(INDEX(土地清冊_匯入!$S$6:$S$1005,MATCH($A589,土地清冊_匯入!$A$6:$A$1005,0)),""))</f>
        <v/>
      </c>
      <c r="H589" s="12">
        <f>IF($A589="","",IFERROR(INDEX(土地清冊_匯入!$T$6:$T$1005,MATCH($A589,土地清冊_匯入!$A$6:$A$1005,0)),""))</f>
        <v/>
      </c>
      <c r="I589" s="12">
        <f>IF($A589="","",IFERROR(INDEX(土地清冊_匯入!$V$6:$V$1005,MATCH($A589,土地清冊_匯入!$A$6:$A$1005,0)),""))</f>
        <v/>
      </c>
      <c r="J589" s="14" t="n"/>
      <c r="K589" s="7" t="n"/>
      <c r="L589" s="7" t="n"/>
      <c r="M589" s="7" t="n"/>
      <c r="N589" s="7" t="n"/>
      <c r="O589" s="7" t="n"/>
      <c r="P589" s="7" t="n"/>
      <c r="Q589" s="14" t="n"/>
      <c r="R589" s="7" t="n"/>
      <c r="S589" s="7" t="n"/>
      <c r="T589" s="7" t="n"/>
      <c r="U589" s="12">
        <f>IF(A589="","",IF(OR(J589="",L589=""),"建議補聯絡紀錄","") )</f>
        <v/>
      </c>
    </row>
    <row r="590" ht="24" customHeight="1">
      <c r="A590" s="7" t="n"/>
      <c r="B590" s="7" t="n"/>
      <c r="C590" s="12">
        <f>IF($A590="","",IFERROR(INDEX(土地清冊_匯入!$B$6:$B$1005,MATCH($A590,土地清冊_匯入!$A$6:$A$1005,0)),"查無資料"))</f>
        <v/>
      </c>
      <c r="D590" s="12">
        <f>IF($A590="","",IFERROR(INDEX(土地清冊_匯入!$P$6:$P$1005,MATCH($A590,土地清冊_匯入!$A$6:$A$1005,0)),""))</f>
        <v/>
      </c>
      <c r="E590" s="12">
        <f>IF($A590="","",IFERROR(INDEX(土地清冊_匯入!$Q$6:$Q$1005,MATCH($A590,土地清冊_匯入!$A$6:$A$1005,0)),""))</f>
        <v/>
      </c>
      <c r="F590" s="12">
        <f>IF($A590="","",IFERROR(INDEX(土地清冊_匯入!$R$6:$R$1005,MATCH($A590,土地清冊_匯入!$A$6:$A$1005,0)),""))</f>
        <v/>
      </c>
      <c r="G590" s="12">
        <f>IF($A590="","",IFERROR(INDEX(土地清冊_匯入!$S$6:$S$1005,MATCH($A590,土地清冊_匯入!$A$6:$A$1005,0)),""))</f>
        <v/>
      </c>
      <c r="H590" s="12">
        <f>IF($A590="","",IFERROR(INDEX(土地清冊_匯入!$T$6:$T$1005,MATCH($A590,土地清冊_匯入!$A$6:$A$1005,0)),""))</f>
        <v/>
      </c>
      <c r="I590" s="12">
        <f>IF($A590="","",IFERROR(INDEX(土地清冊_匯入!$V$6:$V$1005,MATCH($A590,土地清冊_匯入!$A$6:$A$1005,0)),""))</f>
        <v/>
      </c>
      <c r="J590" s="14" t="n"/>
      <c r="K590" s="7" t="n"/>
      <c r="L590" s="7" t="n"/>
      <c r="M590" s="7" t="n"/>
      <c r="N590" s="7" t="n"/>
      <c r="O590" s="7" t="n"/>
      <c r="P590" s="7" t="n"/>
      <c r="Q590" s="14" t="n"/>
      <c r="R590" s="7" t="n"/>
      <c r="S590" s="7" t="n"/>
      <c r="T590" s="7" t="n"/>
      <c r="U590" s="12">
        <f>IF(A590="","",IF(OR(J590="",L590=""),"建議補聯絡紀錄","") )</f>
        <v/>
      </c>
    </row>
    <row r="591" ht="24" customHeight="1">
      <c r="A591" s="7" t="n"/>
      <c r="B591" s="7" t="n"/>
      <c r="C591" s="12">
        <f>IF($A591="","",IFERROR(INDEX(土地清冊_匯入!$B$6:$B$1005,MATCH($A591,土地清冊_匯入!$A$6:$A$1005,0)),"查無資料"))</f>
        <v/>
      </c>
      <c r="D591" s="12">
        <f>IF($A591="","",IFERROR(INDEX(土地清冊_匯入!$P$6:$P$1005,MATCH($A591,土地清冊_匯入!$A$6:$A$1005,0)),""))</f>
        <v/>
      </c>
      <c r="E591" s="12">
        <f>IF($A591="","",IFERROR(INDEX(土地清冊_匯入!$Q$6:$Q$1005,MATCH($A591,土地清冊_匯入!$A$6:$A$1005,0)),""))</f>
        <v/>
      </c>
      <c r="F591" s="12">
        <f>IF($A591="","",IFERROR(INDEX(土地清冊_匯入!$R$6:$R$1005,MATCH($A591,土地清冊_匯入!$A$6:$A$1005,0)),""))</f>
        <v/>
      </c>
      <c r="G591" s="12">
        <f>IF($A591="","",IFERROR(INDEX(土地清冊_匯入!$S$6:$S$1005,MATCH($A591,土地清冊_匯入!$A$6:$A$1005,0)),""))</f>
        <v/>
      </c>
      <c r="H591" s="12">
        <f>IF($A591="","",IFERROR(INDEX(土地清冊_匯入!$T$6:$T$1005,MATCH($A591,土地清冊_匯入!$A$6:$A$1005,0)),""))</f>
        <v/>
      </c>
      <c r="I591" s="12">
        <f>IF($A591="","",IFERROR(INDEX(土地清冊_匯入!$V$6:$V$1005,MATCH($A591,土地清冊_匯入!$A$6:$A$1005,0)),""))</f>
        <v/>
      </c>
      <c r="J591" s="14" t="n"/>
      <c r="K591" s="7" t="n"/>
      <c r="L591" s="7" t="n"/>
      <c r="M591" s="7" t="n"/>
      <c r="N591" s="7" t="n"/>
      <c r="O591" s="7" t="n"/>
      <c r="P591" s="7" t="n"/>
      <c r="Q591" s="14" t="n"/>
      <c r="R591" s="7" t="n"/>
      <c r="S591" s="7" t="n"/>
      <c r="T591" s="7" t="n"/>
      <c r="U591" s="12">
        <f>IF(A591="","",IF(OR(J591="",L591=""),"建議補聯絡紀錄","") )</f>
        <v/>
      </c>
    </row>
    <row r="592" ht="24" customHeight="1">
      <c r="A592" s="7" t="n"/>
      <c r="B592" s="7" t="n"/>
      <c r="C592" s="12">
        <f>IF($A592="","",IFERROR(INDEX(土地清冊_匯入!$B$6:$B$1005,MATCH($A592,土地清冊_匯入!$A$6:$A$1005,0)),"查無資料"))</f>
        <v/>
      </c>
      <c r="D592" s="12">
        <f>IF($A592="","",IFERROR(INDEX(土地清冊_匯入!$P$6:$P$1005,MATCH($A592,土地清冊_匯入!$A$6:$A$1005,0)),""))</f>
        <v/>
      </c>
      <c r="E592" s="12">
        <f>IF($A592="","",IFERROR(INDEX(土地清冊_匯入!$Q$6:$Q$1005,MATCH($A592,土地清冊_匯入!$A$6:$A$1005,0)),""))</f>
        <v/>
      </c>
      <c r="F592" s="12">
        <f>IF($A592="","",IFERROR(INDEX(土地清冊_匯入!$R$6:$R$1005,MATCH($A592,土地清冊_匯入!$A$6:$A$1005,0)),""))</f>
        <v/>
      </c>
      <c r="G592" s="12">
        <f>IF($A592="","",IFERROR(INDEX(土地清冊_匯入!$S$6:$S$1005,MATCH($A592,土地清冊_匯入!$A$6:$A$1005,0)),""))</f>
        <v/>
      </c>
      <c r="H592" s="12">
        <f>IF($A592="","",IFERROR(INDEX(土地清冊_匯入!$T$6:$T$1005,MATCH($A592,土地清冊_匯入!$A$6:$A$1005,0)),""))</f>
        <v/>
      </c>
      <c r="I592" s="12">
        <f>IF($A592="","",IFERROR(INDEX(土地清冊_匯入!$V$6:$V$1005,MATCH($A592,土地清冊_匯入!$A$6:$A$1005,0)),""))</f>
        <v/>
      </c>
      <c r="J592" s="14" t="n"/>
      <c r="K592" s="7" t="n"/>
      <c r="L592" s="7" t="n"/>
      <c r="M592" s="7" t="n"/>
      <c r="N592" s="7" t="n"/>
      <c r="O592" s="7" t="n"/>
      <c r="P592" s="7" t="n"/>
      <c r="Q592" s="14" t="n"/>
      <c r="R592" s="7" t="n"/>
      <c r="S592" s="7" t="n"/>
      <c r="T592" s="7" t="n"/>
      <c r="U592" s="12">
        <f>IF(A592="","",IF(OR(J592="",L592=""),"建議補聯絡紀錄","") )</f>
        <v/>
      </c>
    </row>
    <row r="593" ht="24" customHeight="1">
      <c r="A593" s="7" t="n"/>
      <c r="B593" s="7" t="n"/>
      <c r="C593" s="12">
        <f>IF($A593="","",IFERROR(INDEX(土地清冊_匯入!$B$6:$B$1005,MATCH($A593,土地清冊_匯入!$A$6:$A$1005,0)),"查無資料"))</f>
        <v/>
      </c>
      <c r="D593" s="12">
        <f>IF($A593="","",IFERROR(INDEX(土地清冊_匯入!$P$6:$P$1005,MATCH($A593,土地清冊_匯入!$A$6:$A$1005,0)),""))</f>
        <v/>
      </c>
      <c r="E593" s="12">
        <f>IF($A593="","",IFERROR(INDEX(土地清冊_匯入!$Q$6:$Q$1005,MATCH($A593,土地清冊_匯入!$A$6:$A$1005,0)),""))</f>
        <v/>
      </c>
      <c r="F593" s="12">
        <f>IF($A593="","",IFERROR(INDEX(土地清冊_匯入!$R$6:$R$1005,MATCH($A593,土地清冊_匯入!$A$6:$A$1005,0)),""))</f>
        <v/>
      </c>
      <c r="G593" s="12">
        <f>IF($A593="","",IFERROR(INDEX(土地清冊_匯入!$S$6:$S$1005,MATCH($A593,土地清冊_匯入!$A$6:$A$1005,0)),""))</f>
        <v/>
      </c>
      <c r="H593" s="12">
        <f>IF($A593="","",IFERROR(INDEX(土地清冊_匯入!$T$6:$T$1005,MATCH($A593,土地清冊_匯入!$A$6:$A$1005,0)),""))</f>
        <v/>
      </c>
      <c r="I593" s="12">
        <f>IF($A593="","",IFERROR(INDEX(土地清冊_匯入!$V$6:$V$1005,MATCH($A593,土地清冊_匯入!$A$6:$A$1005,0)),""))</f>
        <v/>
      </c>
      <c r="J593" s="14" t="n"/>
      <c r="K593" s="7" t="n"/>
      <c r="L593" s="7" t="n"/>
      <c r="M593" s="7" t="n"/>
      <c r="N593" s="7" t="n"/>
      <c r="O593" s="7" t="n"/>
      <c r="P593" s="7" t="n"/>
      <c r="Q593" s="14" t="n"/>
      <c r="R593" s="7" t="n"/>
      <c r="S593" s="7" t="n"/>
      <c r="T593" s="7" t="n"/>
      <c r="U593" s="12">
        <f>IF(A593="","",IF(OR(J593="",L593=""),"建議補聯絡紀錄","") )</f>
        <v/>
      </c>
    </row>
    <row r="594" ht="24" customHeight="1">
      <c r="A594" s="7" t="n"/>
      <c r="B594" s="7" t="n"/>
      <c r="C594" s="12">
        <f>IF($A594="","",IFERROR(INDEX(土地清冊_匯入!$B$6:$B$1005,MATCH($A594,土地清冊_匯入!$A$6:$A$1005,0)),"查無資料"))</f>
        <v/>
      </c>
      <c r="D594" s="12">
        <f>IF($A594="","",IFERROR(INDEX(土地清冊_匯入!$P$6:$P$1005,MATCH($A594,土地清冊_匯入!$A$6:$A$1005,0)),""))</f>
        <v/>
      </c>
      <c r="E594" s="12">
        <f>IF($A594="","",IFERROR(INDEX(土地清冊_匯入!$Q$6:$Q$1005,MATCH($A594,土地清冊_匯入!$A$6:$A$1005,0)),""))</f>
        <v/>
      </c>
      <c r="F594" s="12">
        <f>IF($A594="","",IFERROR(INDEX(土地清冊_匯入!$R$6:$R$1005,MATCH($A594,土地清冊_匯入!$A$6:$A$1005,0)),""))</f>
        <v/>
      </c>
      <c r="G594" s="12">
        <f>IF($A594="","",IFERROR(INDEX(土地清冊_匯入!$S$6:$S$1005,MATCH($A594,土地清冊_匯入!$A$6:$A$1005,0)),""))</f>
        <v/>
      </c>
      <c r="H594" s="12">
        <f>IF($A594="","",IFERROR(INDEX(土地清冊_匯入!$T$6:$T$1005,MATCH($A594,土地清冊_匯入!$A$6:$A$1005,0)),""))</f>
        <v/>
      </c>
      <c r="I594" s="12">
        <f>IF($A594="","",IFERROR(INDEX(土地清冊_匯入!$V$6:$V$1005,MATCH($A594,土地清冊_匯入!$A$6:$A$1005,0)),""))</f>
        <v/>
      </c>
      <c r="J594" s="14" t="n"/>
      <c r="K594" s="7" t="n"/>
      <c r="L594" s="7" t="n"/>
      <c r="M594" s="7" t="n"/>
      <c r="N594" s="7" t="n"/>
      <c r="O594" s="7" t="n"/>
      <c r="P594" s="7" t="n"/>
      <c r="Q594" s="14" t="n"/>
      <c r="R594" s="7" t="n"/>
      <c r="S594" s="7" t="n"/>
      <c r="T594" s="7" t="n"/>
      <c r="U594" s="12">
        <f>IF(A594="","",IF(OR(J594="",L594=""),"建議補聯絡紀錄","") )</f>
        <v/>
      </c>
    </row>
    <row r="595" ht="24" customHeight="1">
      <c r="A595" s="7" t="n"/>
      <c r="B595" s="7" t="n"/>
      <c r="C595" s="12">
        <f>IF($A595="","",IFERROR(INDEX(土地清冊_匯入!$B$6:$B$1005,MATCH($A595,土地清冊_匯入!$A$6:$A$1005,0)),"查無資料"))</f>
        <v/>
      </c>
      <c r="D595" s="12">
        <f>IF($A595="","",IFERROR(INDEX(土地清冊_匯入!$P$6:$P$1005,MATCH($A595,土地清冊_匯入!$A$6:$A$1005,0)),""))</f>
        <v/>
      </c>
      <c r="E595" s="12">
        <f>IF($A595="","",IFERROR(INDEX(土地清冊_匯入!$Q$6:$Q$1005,MATCH($A595,土地清冊_匯入!$A$6:$A$1005,0)),""))</f>
        <v/>
      </c>
      <c r="F595" s="12">
        <f>IF($A595="","",IFERROR(INDEX(土地清冊_匯入!$R$6:$R$1005,MATCH($A595,土地清冊_匯入!$A$6:$A$1005,0)),""))</f>
        <v/>
      </c>
      <c r="G595" s="12">
        <f>IF($A595="","",IFERROR(INDEX(土地清冊_匯入!$S$6:$S$1005,MATCH($A595,土地清冊_匯入!$A$6:$A$1005,0)),""))</f>
        <v/>
      </c>
      <c r="H595" s="12">
        <f>IF($A595="","",IFERROR(INDEX(土地清冊_匯入!$T$6:$T$1005,MATCH($A595,土地清冊_匯入!$A$6:$A$1005,0)),""))</f>
        <v/>
      </c>
      <c r="I595" s="12">
        <f>IF($A595="","",IFERROR(INDEX(土地清冊_匯入!$V$6:$V$1005,MATCH($A595,土地清冊_匯入!$A$6:$A$1005,0)),""))</f>
        <v/>
      </c>
      <c r="J595" s="14" t="n"/>
      <c r="K595" s="7" t="n"/>
      <c r="L595" s="7" t="n"/>
      <c r="M595" s="7" t="n"/>
      <c r="N595" s="7" t="n"/>
      <c r="O595" s="7" t="n"/>
      <c r="P595" s="7" t="n"/>
      <c r="Q595" s="14" t="n"/>
      <c r="R595" s="7" t="n"/>
      <c r="S595" s="7" t="n"/>
      <c r="T595" s="7" t="n"/>
      <c r="U595" s="12">
        <f>IF(A595="","",IF(OR(J595="",L595=""),"建議補聯絡紀錄","") )</f>
        <v/>
      </c>
    </row>
    <row r="596" ht="24" customHeight="1">
      <c r="A596" s="7" t="n"/>
      <c r="B596" s="7" t="n"/>
      <c r="C596" s="12">
        <f>IF($A596="","",IFERROR(INDEX(土地清冊_匯入!$B$6:$B$1005,MATCH($A596,土地清冊_匯入!$A$6:$A$1005,0)),"查無資料"))</f>
        <v/>
      </c>
      <c r="D596" s="12">
        <f>IF($A596="","",IFERROR(INDEX(土地清冊_匯入!$P$6:$P$1005,MATCH($A596,土地清冊_匯入!$A$6:$A$1005,0)),""))</f>
        <v/>
      </c>
      <c r="E596" s="12">
        <f>IF($A596="","",IFERROR(INDEX(土地清冊_匯入!$Q$6:$Q$1005,MATCH($A596,土地清冊_匯入!$A$6:$A$1005,0)),""))</f>
        <v/>
      </c>
      <c r="F596" s="12">
        <f>IF($A596="","",IFERROR(INDEX(土地清冊_匯入!$R$6:$R$1005,MATCH($A596,土地清冊_匯入!$A$6:$A$1005,0)),""))</f>
        <v/>
      </c>
      <c r="G596" s="12">
        <f>IF($A596="","",IFERROR(INDEX(土地清冊_匯入!$S$6:$S$1005,MATCH($A596,土地清冊_匯入!$A$6:$A$1005,0)),""))</f>
        <v/>
      </c>
      <c r="H596" s="12">
        <f>IF($A596="","",IFERROR(INDEX(土地清冊_匯入!$T$6:$T$1005,MATCH($A596,土地清冊_匯入!$A$6:$A$1005,0)),""))</f>
        <v/>
      </c>
      <c r="I596" s="12">
        <f>IF($A596="","",IFERROR(INDEX(土地清冊_匯入!$V$6:$V$1005,MATCH($A596,土地清冊_匯入!$A$6:$A$1005,0)),""))</f>
        <v/>
      </c>
      <c r="J596" s="14" t="n"/>
      <c r="K596" s="7" t="n"/>
      <c r="L596" s="7" t="n"/>
      <c r="M596" s="7" t="n"/>
      <c r="N596" s="7" t="n"/>
      <c r="O596" s="7" t="n"/>
      <c r="P596" s="7" t="n"/>
      <c r="Q596" s="14" t="n"/>
      <c r="R596" s="7" t="n"/>
      <c r="S596" s="7" t="n"/>
      <c r="T596" s="7" t="n"/>
      <c r="U596" s="12">
        <f>IF(A596="","",IF(OR(J596="",L596=""),"建議補聯絡紀錄","") )</f>
        <v/>
      </c>
    </row>
    <row r="597" ht="24" customHeight="1">
      <c r="A597" s="7" t="n"/>
      <c r="B597" s="7" t="n"/>
      <c r="C597" s="12">
        <f>IF($A597="","",IFERROR(INDEX(土地清冊_匯入!$B$6:$B$1005,MATCH($A597,土地清冊_匯入!$A$6:$A$1005,0)),"查無資料"))</f>
        <v/>
      </c>
      <c r="D597" s="12">
        <f>IF($A597="","",IFERROR(INDEX(土地清冊_匯入!$P$6:$P$1005,MATCH($A597,土地清冊_匯入!$A$6:$A$1005,0)),""))</f>
        <v/>
      </c>
      <c r="E597" s="12">
        <f>IF($A597="","",IFERROR(INDEX(土地清冊_匯入!$Q$6:$Q$1005,MATCH($A597,土地清冊_匯入!$A$6:$A$1005,0)),""))</f>
        <v/>
      </c>
      <c r="F597" s="12">
        <f>IF($A597="","",IFERROR(INDEX(土地清冊_匯入!$R$6:$R$1005,MATCH($A597,土地清冊_匯入!$A$6:$A$1005,0)),""))</f>
        <v/>
      </c>
      <c r="G597" s="12">
        <f>IF($A597="","",IFERROR(INDEX(土地清冊_匯入!$S$6:$S$1005,MATCH($A597,土地清冊_匯入!$A$6:$A$1005,0)),""))</f>
        <v/>
      </c>
      <c r="H597" s="12">
        <f>IF($A597="","",IFERROR(INDEX(土地清冊_匯入!$T$6:$T$1005,MATCH($A597,土地清冊_匯入!$A$6:$A$1005,0)),""))</f>
        <v/>
      </c>
      <c r="I597" s="12">
        <f>IF($A597="","",IFERROR(INDEX(土地清冊_匯入!$V$6:$V$1005,MATCH($A597,土地清冊_匯入!$A$6:$A$1005,0)),""))</f>
        <v/>
      </c>
      <c r="J597" s="14" t="n"/>
      <c r="K597" s="7" t="n"/>
      <c r="L597" s="7" t="n"/>
      <c r="M597" s="7" t="n"/>
      <c r="N597" s="7" t="n"/>
      <c r="O597" s="7" t="n"/>
      <c r="P597" s="7" t="n"/>
      <c r="Q597" s="14" t="n"/>
      <c r="R597" s="7" t="n"/>
      <c r="S597" s="7" t="n"/>
      <c r="T597" s="7" t="n"/>
      <c r="U597" s="12">
        <f>IF(A597="","",IF(OR(J597="",L597=""),"建議補聯絡紀錄","") )</f>
        <v/>
      </c>
    </row>
    <row r="598" ht="24" customHeight="1">
      <c r="A598" s="7" t="n"/>
      <c r="B598" s="7" t="n"/>
      <c r="C598" s="12">
        <f>IF($A598="","",IFERROR(INDEX(土地清冊_匯入!$B$6:$B$1005,MATCH($A598,土地清冊_匯入!$A$6:$A$1005,0)),"查無資料"))</f>
        <v/>
      </c>
      <c r="D598" s="12">
        <f>IF($A598="","",IFERROR(INDEX(土地清冊_匯入!$P$6:$P$1005,MATCH($A598,土地清冊_匯入!$A$6:$A$1005,0)),""))</f>
        <v/>
      </c>
      <c r="E598" s="12">
        <f>IF($A598="","",IFERROR(INDEX(土地清冊_匯入!$Q$6:$Q$1005,MATCH($A598,土地清冊_匯入!$A$6:$A$1005,0)),""))</f>
        <v/>
      </c>
      <c r="F598" s="12">
        <f>IF($A598="","",IFERROR(INDEX(土地清冊_匯入!$R$6:$R$1005,MATCH($A598,土地清冊_匯入!$A$6:$A$1005,0)),""))</f>
        <v/>
      </c>
      <c r="G598" s="12">
        <f>IF($A598="","",IFERROR(INDEX(土地清冊_匯入!$S$6:$S$1005,MATCH($A598,土地清冊_匯入!$A$6:$A$1005,0)),""))</f>
        <v/>
      </c>
      <c r="H598" s="12">
        <f>IF($A598="","",IFERROR(INDEX(土地清冊_匯入!$T$6:$T$1005,MATCH($A598,土地清冊_匯入!$A$6:$A$1005,0)),""))</f>
        <v/>
      </c>
      <c r="I598" s="12">
        <f>IF($A598="","",IFERROR(INDEX(土地清冊_匯入!$V$6:$V$1005,MATCH($A598,土地清冊_匯入!$A$6:$A$1005,0)),""))</f>
        <v/>
      </c>
      <c r="J598" s="14" t="n"/>
      <c r="K598" s="7" t="n"/>
      <c r="L598" s="7" t="n"/>
      <c r="M598" s="7" t="n"/>
      <c r="N598" s="7" t="n"/>
      <c r="O598" s="7" t="n"/>
      <c r="P598" s="7" t="n"/>
      <c r="Q598" s="14" t="n"/>
      <c r="R598" s="7" t="n"/>
      <c r="S598" s="7" t="n"/>
      <c r="T598" s="7" t="n"/>
      <c r="U598" s="12">
        <f>IF(A598="","",IF(OR(J598="",L598=""),"建議補聯絡紀錄","") )</f>
        <v/>
      </c>
    </row>
    <row r="599" ht="24" customHeight="1">
      <c r="A599" s="7" t="n"/>
      <c r="B599" s="7" t="n"/>
      <c r="C599" s="12">
        <f>IF($A599="","",IFERROR(INDEX(土地清冊_匯入!$B$6:$B$1005,MATCH($A599,土地清冊_匯入!$A$6:$A$1005,0)),"查無資料"))</f>
        <v/>
      </c>
      <c r="D599" s="12">
        <f>IF($A599="","",IFERROR(INDEX(土地清冊_匯入!$P$6:$P$1005,MATCH($A599,土地清冊_匯入!$A$6:$A$1005,0)),""))</f>
        <v/>
      </c>
      <c r="E599" s="12">
        <f>IF($A599="","",IFERROR(INDEX(土地清冊_匯入!$Q$6:$Q$1005,MATCH($A599,土地清冊_匯入!$A$6:$A$1005,0)),""))</f>
        <v/>
      </c>
      <c r="F599" s="12">
        <f>IF($A599="","",IFERROR(INDEX(土地清冊_匯入!$R$6:$R$1005,MATCH($A599,土地清冊_匯入!$A$6:$A$1005,0)),""))</f>
        <v/>
      </c>
      <c r="G599" s="12">
        <f>IF($A599="","",IFERROR(INDEX(土地清冊_匯入!$S$6:$S$1005,MATCH($A599,土地清冊_匯入!$A$6:$A$1005,0)),""))</f>
        <v/>
      </c>
      <c r="H599" s="12">
        <f>IF($A599="","",IFERROR(INDEX(土地清冊_匯入!$T$6:$T$1005,MATCH($A599,土地清冊_匯入!$A$6:$A$1005,0)),""))</f>
        <v/>
      </c>
      <c r="I599" s="12">
        <f>IF($A599="","",IFERROR(INDEX(土地清冊_匯入!$V$6:$V$1005,MATCH($A599,土地清冊_匯入!$A$6:$A$1005,0)),""))</f>
        <v/>
      </c>
      <c r="J599" s="14" t="n"/>
      <c r="K599" s="7" t="n"/>
      <c r="L599" s="7" t="n"/>
      <c r="M599" s="7" t="n"/>
      <c r="N599" s="7" t="n"/>
      <c r="O599" s="7" t="n"/>
      <c r="P599" s="7" t="n"/>
      <c r="Q599" s="14" t="n"/>
      <c r="R599" s="7" t="n"/>
      <c r="S599" s="7" t="n"/>
      <c r="T599" s="7" t="n"/>
      <c r="U599" s="12">
        <f>IF(A599="","",IF(OR(J599="",L599=""),"建議補聯絡紀錄","") )</f>
        <v/>
      </c>
    </row>
    <row r="600" ht="24" customHeight="1">
      <c r="A600" s="7" t="n"/>
      <c r="B600" s="7" t="n"/>
      <c r="C600" s="12">
        <f>IF($A600="","",IFERROR(INDEX(土地清冊_匯入!$B$6:$B$1005,MATCH($A600,土地清冊_匯入!$A$6:$A$1005,0)),"查無資料"))</f>
        <v/>
      </c>
      <c r="D600" s="12">
        <f>IF($A600="","",IFERROR(INDEX(土地清冊_匯入!$P$6:$P$1005,MATCH($A600,土地清冊_匯入!$A$6:$A$1005,0)),""))</f>
        <v/>
      </c>
      <c r="E600" s="12">
        <f>IF($A600="","",IFERROR(INDEX(土地清冊_匯入!$Q$6:$Q$1005,MATCH($A600,土地清冊_匯入!$A$6:$A$1005,0)),""))</f>
        <v/>
      </c>
      <c r="F600" s="12">
        <f>IF($A600="","",IFERROR(INDEX(土地清冊_匯入!$R$6:$R$1005,MATCH($A600,土地清冊_匯入!$A$6:$A$1005,0)),""))</f>
        <v/>
      </c>
      <c r="G600" s="12">
        <f>IF($A600="","",IFERROR(INDEX(土地清冊_匯入!$S$6:$S$1005,MATCH($A600,土地清冊_匯入!$A$6:$A$1005,0)),""))</f>
        <v/>
      </c>
      <c r="H600" s="12">
        <f>IF($A600="","",IFERROR(INDEX(土地清冊_匯入!$T$6:$T$1005,MATCH($A600,土地清冊_匯入!$A$6:$A$1005,0)),""))</f>
        <v/>
      </c>
      <c r="I600" s="12">
        <f>IF($A600="","",IFERROR(INDEX(土地清冊_匯入!$V$6:$V$1005,MATCH($A600,土地清冊_匯入!$A$6:$A$1005,0)),""))</f>
        <v/>
      </c>
      <c r="J600" s="14" t="n"/>
      <c r="K600" s="7" t="n"/>
      <c r="L600" s="7" t="n"/>
      <c r="M600" s="7" t="n"/>
      <c r="N600" s="7" t="n"/>
      <c r="O600" s="7" t="n"/>
      <c r="P600" s="7" t="n"/>
      <c r="Q600" s="14" t="n"/>
      <c r="R600" s="7" t="n"/>
      <c r="S600" s="7" t="n"/>
      <c r="T600" s="7" t="n"/>
      <c r="U600" s="12">
        <f>IF(A600="","",IF(OR(J600="",L600=""),"建議補聯絡紀錄","") )</f>
        <v/>
      </c>
    </row>
    <row r="601" ht="24" customHeight="1">
      <c r="A601" s="7" t="n"/>
      <c r="B601" s="7" t="n"/>
      <c r="C601" s="12">
        <f>IF($A601="","",IFERROR(INDEX(土地清冊_匯入!$B$6:$B$1005,MATCH($A601,土地清冊_匯入!$A$6:$A$1005,0)),"查無資料"))</f>
        <v/>
      </c>
      <c r="D601" s="12">
        <f>IF($A601="","",IFERROR(INDEX(土地清冊_匯入!$P$6:$P$1005,MATCH($A601,土地清冊_匯入!$A$6:$A$1005,0)),""))</f>
        <v/>
      </c>
      <c r="E601" s="12">
        <f>IF($A601="","",IFERROR(INDEX(土地清冊_匯入!$Q$6:$Q$1005,MATCH($A601,土地清冊_匯入!$A$6:$A$1005,0)),""))</f>
        <v/>
      </c>
      <c r="F601" s="12">
        <f>IF($A601="","",IFERROR(INDEX(土地清冊_匯入!$R$6:$R$1005,MATCH($A601,土地清冊_匯入!$A$6:$A$1005,0)),""))</f>
        <v/>
      </c>
      <c r="G601" s="12">
        <f>IF($A601="","",IFERROR(INDEX(土地清冊_匯入!$S$6:$S$1005,MATCH($A601,土地清冊_匯入!$A$6:$A$1005,0)),""))</f>
        <v/>
      </c>
      <c r="H601" s="12">
        <f>IF($A601="","",IFERROR(INDEX(土地清冊_匯入!$T$6:$T$1005,MATCH($A601,土地清冊_匯入!$A$6:$A$1005,0)),""))</f>
        <v/>
      </c>
      <c r="I601" s="12">
        <f>IF($A601="","",IFERROR(INDEX(土地清冊_匯入!$V$6:$V$1005,MATCH($A601,土地清冊_匯入!$A$6:$A$1005,0)),""))</f>
        <v/>
      </c>
      <c r="J601" s="14" t="n"/>
      <c r="K601" s="7" t="n"/>
      <c r="L601" s="7" t="n"/>
      <c r="M601" s="7" t="n"/>
      <c r="N601" s="7" t="n"/>
      <c r="O601" s="7" t="n"/>
      <c r="P601" s="7" t="n"/>
      <c r="Q601" s="14" t="n"/>
      <c r="R601" s="7" t="n"/>
      <c r="S601" s="7" t="n"/>
      <c r="T601" s="7" t="n"/>
      <c r="U601" s="12">
        <f>IF(A601="","",IF(OR(J601="",L601=""),"建議補聯絡紀錄","") )</f>
        <v/>
      </c>
    </row>
    <row r="602" ht="24" customHeight="1">
      <c r="A602" s="7" t="n"/>
      <c r="B602" s="7" t="n"/>
      <c r="C602" s="12">
        <f>IF($A602="","",IFERROR(INDEX(土地清冊_匯入!$B$6:$B$1005,MATCH($A602,土地清冊_匯入!$A$6:$A$1005,0)),"查無資料"))</f>
        <v/>
      </c>
      <c r="D602" s="12">
        <f>IF($A602="","",IFERROR(INDEX(土地清冊_匯入!$P$6:$P$1005,MATCH($A602,土地清冊_匯入!$A$6:$A$1005,0)),""))</f>
        <v/>
      </c>
      <c r="E602" s="12">
        <f>IF($A602="","",IFERROR(INDEX(土地清冊_匯入!$Q$6:$Q$1005,MATCH($A602,土地清冊_匯入!$A$6:$A$1005,0)),""))</f>
        <v/>
      </c>
      <c r="F602" s="12">
        <f>IF($A602="","",IFERROR(INDEX(土地清冊_匯入!$R$6:$R$1005,MATCH($A602,土地清冊_匯入!$A$6:$A$1005,0)),""))</f>
        <v/>
      </c>
      <c r="G602" s="12">
        <f>IF($A602="","",IFERROR(INDEX(土地清冊_匯入!$S$6:$S$1005,MATCH($A602,土地清冊_匯入!$A$6:$A$1005,0)),""))</f>
        <v/>
      </c>
      <c r="H602" s="12">
        <f>IF($A602="","",IFERROR(INDEX(土地清冊_匯入!$T$6:$T$1005,MATCH($A602,土地清冊_匯入!$A$6:$A$1005,0)),""))</f>
        <v/>
      </c>
      <c r="I602" s="12">
        <f>IF($A602="","",IFERROR(INDEX(土地清冊_匯入!$V$6:$V$1005,MATCH($A602,土地清冊_匯入!$A$6:$A$1005,0)),""))</f>
        <v/>
      </c>
      <c r="J602" s="14" t="n"/>
      <c r="K602" s="7" t="n"/>
      <c r="L602" s="7" t="n"/>
      <c r="M602" s="7" t="n"/>
      <c r="N602" s="7" t="n"/>
      <c r="O602" s="7" t="n"/>
      <c r="P602" s="7" t="n"/>
      <c r="Q602" s="14" t="n"/>
      <c r="R602" s="7" t="n"/>
      <c r="S602" s="7" t="n"/>
      <c r="T602" s="7" t="n"/>
      <c r="U602" s="12">
        <f>IF(A602="","",IF(OR(J602="",L602=""),"建議補聯絡紀錄","") )</f>
        <v/>
      </c>
    </row>
    <row r="603" ht="24" customHeight="1">
      <c r="A603" s="7" t="n"/>
      <c r="B603" s="7" t="n"/>
      <c r="C603" s="12">
        <f>IF($A603="","",IFERROR(INDEX(土地清冊_匯入!$B$6:$B$1005,MATCH($A603,土地清冊_匯入!$A$6:$A$1005,0)),"查無資料"))</f>
        <v/>
      </c>
      <c r="D603" s="12">
        <f>IF($A603="","",IFERROR(INDEX(土地清冊_匯入!$P$6:$P$1005,MATCH($A603,土地清冊_匯入!$A$6:$A$1005,0)),""))</f>
        <v/>
      </c>
      <c r="E603" s="12">
        <f>IF($A603="","",IFERROR(INDEX(土地清冊_匯入!$Q$6:$Q$1005,MATCH($A603,土地清冊_匯入!$A$6:$A$1005,0)),""))</f>
        <v/>
      </c>
      <c r="F603" s="12">
        <f>IF($A603="","",IFERROR(INDEX(土地清冊_匯入!$R$6:$R$1005,MATCH($A603,土地清冊_匯入!$A$6:$A$1005,0)),""))</f>
        <v/>
      </c>
      <c r="G603" s="12">
        <f>IF($A603="","",IFERROR(INDEX(土地清冊_匯入!$S$6:$S$1005,MATCH($A603,土地清冊_匯入!$A$6:$A$1005,0)),""))</f>
        <v/>
      </c>
      <c r="H603" s="12">
        <f>IF($A603="","",IFERROR(INDEX(土地清冊_匯入!$T$6:$T$1005,MATCH($A603,土地清冊_匯入!$A$6:$A$1005,0)),""))</f>
        <v/>
      </c>
      <c r="I603" s="12">
        <f>IF($A603="","",IFERROR(INDEX(土地清冊_匯入!$V$6:$V$1005,MATCH($A603,土地清冊_匯入!$A$6:$A$1005,0)),""))</f>
        <v/>
      </c>
      <c r="J603" s="14" t="n"/>
      <c r="K603" s="7" t="n"/>
      <c r="L603" s="7" t="n"/>
      <c r="M603" s="7" t="n"/>
      <c r="N603" s="7" t="n"/>
      <c r="O603" s="7" t="n"/>
      <c r="P603" s="7" t="n"/>
      <c r="Q603" s="14" t="n"/>
      <c r="R603" s="7" t="n"/>
      <c r="S603" s="7" t="n"/>
      <c r="T603" s="7" t="n"/>
      <c r="U603" s="12">
        <f>IF(A603="","",IF(OR(J603="",L603=""),"建議補聯絡紀錄","") )</f>
        <v/>
      </c>
    </row>
    <row r="604" ht="24" customHeight="1">
      <c r="A604" s="7" t="n"/>
      <c r="B604" s="7" t="n"/>
      <c r="C604" s="12">
        <f>IF($A604="","",IFERROR(INDEX(土地清冊_匯入!$B$6:$B$1005,MATCH($A604,土地清冊_匯入!$A$6:$A$1005,0)),"查無資料"))</f>
        <v/>
      </c>
      <c r="D604" s="12">
        <f>IF($A604="","",IFERROR(INDEX(土地清冊_匯入!$P$6:$P$1005,MATCH($A604,土地清冊_匯入!$A$6:$A$1005,0)),""))</f>
        <v/>
      </c>
      <c r="E604" s="12">
        <f>IF($A604="","",IFERROR(INDEX(土地清冊_匯入!$Q$6:$Q$1005,MATCH($A604,土地清冊_匯入!$A$6:$A$1005,0)),""))</f>
        <v/>
      </c>
      <c r="F604" s="12">
        <f>IF($A604="","",IFERROR(INDEX(土地清冊_匯入!$R$6:$R$1005,MATCH($A604,土地清冊_匯入!$A$6:$A$1005,0)),""))</f>
        <v/>
      </c>
      <c r="G604" s="12">
        <f>IF($A604="","",IFERROR(INDEX(土地清冊_匯入!$S$6:$S$1005,MATCH($A604,土地清冊_匯入!$A$6:$A$1005,0)),""))</f>
        <v/>
      </c>
      <c r="H604" s="12">
        <f>IF($A604="","",IFERROR(INDEX(土地清冊_匯入!$T$6:$T$1005,MATCH($A604,土地清冊_匯入!$A$6:$A$1005,0)),""))</f>
        <v/>
      </c>
      <c r="I604" s="12">
        <f>IF($A604="","",IFERROR(INDEX(土地清冊_匯入!$V$6:$V$1005,MATCH($A604,土地清冊_匯入!$A$6:$A$1005,0)),""))</f>
        <v/>
      </c>
      <c r="J604" s="14" t="n"/>
      <c r="K604" s="7" t="n"/>
      <c r="L604" s="7" t="n"/>
      <c r="M604" s="7" t="n"/>
      <c r="N604" s="7" t="n"/>
      <c r="O604" s="7" t="n"/>
      <c r="P604" s="7" t="n"/>
      <c r="Q604" s="14" t="n"/>
      <c r="R604" s="7" t="n"/>
      <c r="S604" s="7" t="n"/>
      <c r="T604" s="7" t="n"/>
      <c r="U604" s="12">
        <f>IF(A604="","",IF(OR(J604="",L604=""),"建議補聯絡紀錄","") )</f>
        <v/>
      </c>
    </row>
    <row r="605" ht="24" customHeight="1">
      <c r="A605" s="7" t="n"/>
      <c r="B605" s="7" t="n"/>
      <c r="C605" s="12">
        <f>IF($A605="","",IFERROR(INDEX(土地清冊_匯入!$B$6:$B$1005,MATCH($A605,土地清冊_匯入!$A$6:$A$1005,0)),"查無資料"))</f>
        <v/>
      </c>
      <c r="D605" s="12">
        <f>IF($A605="","",IFERROR(INDEX(土地清冊_匯入!$P$6:$P$1005,MATCH($A605,土地清冊_匯入!$A$6:$A$1005,0)),""))</f>
        <v/>
      </c>
      <c r="E605" s="12">
        <f>IF($A605="","",IFERROR(INDEX(土地清冊_匯入!$Q$6:$Q$1005,MATCH($A605,土地清冊_匯入!$A$6:$A$1005,0)),""))</f>
        <v/>
      </c>
      <c r="F605" s="12">
        <f>IF($A605="","",IFERROR(INDEX(土地清冊_匯入!$R$6:$R$1005,MATCH($A605,土地清冊_匯入!$A$6:$A$1005,0)),""))</f>
        <v/>
      </c>
      <c r="G605" s="12">
        <f>IF($A605="","",IFERROR(INDEX(土地清冊_匯入!$S$6:$S$1005,MATCH($A605,土地清冊_匯入!$A$6:$A$1005,0)),""))</f>
        <v/>
      </c>
      <c r="H605" s="12">
        <f>IF($A605="","",IFERROR(INDEX(土地清冊_匯入!$T$6:$T$1005,MATCH($A605,土地清冊_匯入!$A$6:$A$1005,0)),""))</f>
        <v/>
      </c>
      <c r="I605" s="12">
        <f>IF($A605="","",IFERROR(INDEX(土地清冊_匯入!$V$6:$V$1005,MATCH($A605,土地清冊_匯入!$A$6:$A$1005,0)),""))</f>
        <v/>
      </c>
      <c r="J605" s="14" t="n"/>
      <c r="K605" s="7" t="n"/>
      <c r="L605" s="7" t="n"/>
      <c r="M605" s="7" t="n"/>
      <c r="N605" s="7" t="n"/>
      <c r="O605" s="7" t="n"/>
      <c r="P605" s="7" t="n"/>
      <c r="Q605" s="14" t="n"/>
      <c r="R605" s="7" t="n"/>
      <c r="S605" s="7" t="n"/>
      <c r="T605" s="7" t="n"/>
      <c r="U605" s="12">
        <f>IF(A605="","",IF(OR(J605="",L605=""),"建議補聯絡紀錄","") )</f>
        <v/>
      </c>
    </row>
    <row r="606" ht="24" customHeight="1">
      <c r="A606" s="7" t="n"/>
      <c r="B606" s="7" t="n"/>
      <c r="C606" s="12">
        <f>IF($A606="","",IFERROR(INDEX(土地清冊_匯入!$B$6:$B$1005,MATCH($A606,土地清冊_匯入!$A$6:$A$1005,0)),"查無資料"))</f>
        <v/>
      </c>
      <c r="D606" s="12">
        <f>IF($A606="","",IFERROR(INDEX(土地清冊_匯入!$P$6:$P$1005,MATCH($A606,土地清冊_匯入!$A$6:$A$1005,0)),""))</f>
        <v/>
      </c>
      <c r="E606" s="12">
        <f>IF($A606="","",IFERROR(INDEX(土地清冊_匯入!$Q$6:$Q$1005,MATCH($A606,土地清冊_匯入!$A$6:$A$1005,0)),""))</f>
        <v/>
      </c>
      <c r="F606" s="12">
        <f>IF($A606="","",IFERROR(INDEX(土地清冊_匯入!$R$6:$R$1005,MATCH($A606,土地清冊_匯入!$A$6:$A$1005,0)),""))</f>
        <v/>
      </c>
      <c r="G606" s="12">
        <f>IF($A606="","",IFERROR(INDEX(土地清冊_匯入!$S$6:$S$1005,MATCH($A606,土地清冊_匯入!$A$6:$A$1005,0)),""))</f>
        <v/>
      </c>
      <c r="H606" s="12">
        <f>IF($A606="","",IFERROR(INDEX(土地清冊_匯入!$T$6:$T$1005,MATCH($A606,土地清冊_匯入!$A$6:$A$1005,0)),""))</f>
        <v/>
      </c>
      <c r="I606" s="12">
        <f>IF($A606="","",IFERROR(INDEX(土地清冊_匯入!$V$6:$V$1005,MATCH($A606,土地清冊_匯入!$A$6:$A$1005,0)),""))</f>
        <v/>
      </c>
      <c r="J606" s="14" t="n"/>
      <c r="K606" s="7" t="n"/>
      <c r="L606" s="7" t="n"/>
      <c r="M606" s="7" t="n"/>
      <c r="N606" s="7" t="n"/>
      <c r="O606" s="7" t="n"/>
      <c r="P606" s="7" t="n"/>
      <c r="Q606" s="14" t="n"/>
      <c r="R606" s="7" t="n"/>
      <c r="S606" s="7" t="n"/>
      <c r="T606" s="7" t="n"/>
      <c r="U606" s="12">
        <f>IF(A606="","",IF(OR(J606="",L606=""),"建議補聯絡紀錄","") )</f>
        <v/>
      </c>
    </row>
    <row r="607" ht="24" customHeight="1">
      <c r="A607" s="7" t="n"/>
      <c r="B607" s="7" t="n"/>
      <c r="C607" s="12">
        <f>IF($A607="","",IFERROR(INDEX(土地清冊_匯入!$B$6:$B$1005,MATCH($A607,土地清冊_匯入!$A$6:$A$1005,0)),"查無資料"))</f>
        <v/>
      </c>
      <c r="D607" s="12">
        <f>IF($A607="","",IFERROR(INDEX(土地清冊_匯入!$P$6:$P$1005,MATCH($A607,土地清冊_匯入!$A$6:$A$1005,0)),""))</f>
        <v/>
      </c>
      <c r="E607" s="12">
        <f>IF($A607="","",IFERROR(INDEX(土地清冊_匯入!$Q$6:$Q$1005,MATCH($A607,土地清冊_匯入!$A$6:$A$1005,0)),""))</f>
        <v/>
      </c>
      <c r="F607" s="12">
        <f>IF($A607="","",IFERROR(INDEX(土地清冊_匯入!$R$6:$R$1005,MATCH($A607,土地清冊_匯入!$A$6:$A$1005,0)),""))</f>
        <v/>
      </c>
      <c r="G607" s="12">
        <f>IF($A607="","",IFERROR(INDEX(土地清冊_匯入!$S$6:$S$1005,MATCH($A607,土地清冊_匯入!$A$6:$A$1005,0)),""))</f>
        <v/>
      </c>
      <c r="H607" s="12">
        <f>IF($A607="","",IFERROR(INDEX(土地清冊_匯入!$T$6:$T$1005,MATCH($A607,土地清冊_匯入!$A$6:$A$1005,0)),""))</f>
        <v/>
      </c>
      <c r="I607" s="12">
        <f>IF($A607="","",IFERROR(INDEX(土地清冊_匯入!$V$6:$V$1005,MATCH($A607,土地清冊_匯入!$A$6:$A$1005,0)),""))</f>
        <v/>
      </c>
      <c r="J607" s="14" t="n"/>
      <c r="K607" s="7" t="n"/>
      <c r="L607" s="7" t="n"/>
      <c r="M607" s="7" t="n"/>
      <c r="N607" s="7" t="n"/>
      <c r="O607" s="7" t="n"/>
      <c r="P607" s="7" t="n"/>
      <c r="Q607" s="14" t="n"/>
      <c r="R607" s="7" t="n"/>
      <c r="S607" s="7" t="n"/>
      <c r="T607" s="7" t="n"/>
      <c r="U607" s="12">
        <f>IF(A607="","",IF(OR(J607="",L607=""),"建議補聯絡紀錄","") )</f>
        <v/>
      </c>
    </row>
    <row r="608" ht="24" customHeight="1">
      <c r="A608" s="7" t="n"/>
      <c r="B608" s="7" t="n"/>
      <c r="C608" s="12">
        <f>IF($A608="","",IFERROR(INDEX(土地清冊_匯入!$B$6:$B$1005,MATCH($A608,土地清冊_匯入!$A$6:$A$1005,0)),"查無資料"))</f>
        <v/>
      </c>
      <c r="D608" s="12">
        <f>IF($A608="","",IFERROR(INDEX(土地清冊_匯入!$P$6:$P$1005,MATCH($A608,土地清冊_匯入!$A$6:$A$1005,0)),""))</f>
        <v/>
      </c>
      <c r="E608" s="12">
        <f>IF($A608="","",IFERROR(INDEX(土地清冊_匯入!$Q$6:$Q$1005,MATCH($A608,土地清冊_匯入!$A$6:$A$1005,0)),""))</f>
        <v/>
      </c>
      <c r="F608" s="12">
        <f>IF($A608="","",IFERROR(INDEX(土地清冊_匯入!$R$6:$R$1005,MATCH($A608,土地清冊_匯入!$A$6:$A$1005,0)),""))</f>
        <v/>
      </c>
      <c r="G608" s="12">
        <f>IF($A608="","",IFERROR(INDEX(土地清冊_匯入!$S$6:$S$1005,MATCH($A608,土地清冊_匯入!$A$6:$A$1005,0)),""))</f>
        <v/>
      </c>
      <c r="H608" s="12">
        <f>IF($A608="","",IFERROR(INDEX(土地清冊_匯入!$T$6:$T$1005,MATCH($A608,土地清冊_匯入!$A$6:$A$1005,0)),""))</f>
        <v/>
      </c>
      <c r="I608" s="12">
        <f>IF($A608="","",IFERROR(INDEX(土地清冊_匯入!$V$6:$V$1005,MATCH($A608,土地清冊_匯入!$A$6:$A$1005,0)),""))</f>
        <v/>
      </c>
      <c r="J608" s="14" t="n"/>
      <c r="K608" s="7" t="n"/>
      <c r="L608" s="7" t="n"/>
      <c r="M608" s="7" t="n"/>
      <c r="N608" s="7" t="n"/>
      <c r="O608" s="7" t="n"/>
      <c r="P608" s="7" t="n"/>
      <c r="Q608" s="14" t="n"/>
      <c r="R608" s="7" t="n"/>
      <c r="S608" s="7" t="n"/>
      <c r="T608" s="7" t="n"/>
      <c r="U608" s="12">
        <f>IF(A608="","",IF(OR(J608="",L608=""),"建議補聯絡紀錄","") )</f>
        <v/>
      </c>
    </row>
    <row r="609" ht="24" customHeight="1">
      <c r="A609" s="7" t="n"/>
      <c r="B609" s="7" t="n"/>
      <c r="C609" s="12">
        <f>IF($A609="","",IFERROR(INDEX(土地清冊_匯入!$B$6:$B$1005,MATCH($A609,土地清冊_匯入!$A$6:$A$1005,0)),"查無資料"))</f>
        <v/>
      </c>
      <c r="D609" s="12">
        <f>IF($A609="","",IFERROR(INDEX(土地清冊_匯入!$P$6:$P$1005,MATCH($A609,土地清冊_匯入!$A$6:$A$1005,0)),""))</f>
        <v/>
      </c>
      <c r="E609" s="12">
        <f>IF($A609="","",IFERROR(INDEX(土地清冊_匯入!$Q$6:$Q$1005,MATCH($A609,土地清冊_匯入!$A$6:$A$1005,0)),""))</f>
        <v/>
      </c>
      <c r="F609" s="12">
        <f>IF($A609="","",IFERROR(INDEX(土地清冊_匯入!$R$6:$R$1005,MATCH($A609,土地清冊_匯入!$A$6:$A$1005,0)),""))</f>
        <v/>
      </c>
      <c r="G609" s="12">
        <f>IF($A609="","",IFERROR(INDEX(土地清冊_匯入!$S$6:$S$1005,MATCH($A609,土地清冊_匯入!$A$6:$A$1005,0)),""))</f>
        <v/>
      </c>
      <c r="H609" s="12">
        <f>IF($A609="","",IFERROR(INDEX(土地清冊_匯入!$T$6:$T$1005,MATCH($A609,土地清冊_匯入!$A$6:$A$1005,0)),""))</f>
        <v/>
      </c>
      <c r="I609" s="12">
        <f>IF($A609="","",IFERROR(INDEX(土地清冊_匯入!$V$6:$V$1005,MATCH($A609,土地清冊_匯入!$A$6:$A$1005,0)),""))</f>
        <v/>
      </c>
      <c r="J609" s="14" t="n"/>
      <c r="K609" s="7" t="n"/>
      <c r="L609" s="7" t="n"/>
      <c r="M609" s="7" t="n"/>
      <c r="N609" s="7" t="n"/>
      <c r="O609" s="7" t="n"/>
      <c r="P609" s="7" t="n"/>
      <c r="Q609" s="14" t="n"/>
      <c r="R609" s="7" t="n"/>
      <c r="S609" s="7" t="n"/>
      <c r="T609" s="7" t="n"/>
      <c r="U609" s="12">
        <f>IF(A609="","",IF(OR(J609="",L609=""),"建議補聯絡紀錄","") )</f>
        <v/>
      </c>
    </row>
    <row r="610" ht="24" customHeight="1">
      <c r="A610" s="7" t="n"/>
      <c r="B610" s="7" t="n"/>
      <c r="C610" s="12">
        <f>IF($A610="","",IFERROR(INDEX(土地清冊_匯入!$B$6:$B$1005,MATCH($A610,土地清冊_匯入!$A$6:$A$1005,0)),"查無資料"))</f>
        <v/>
      </c>
      <c r="D610" s="12">
        <f>IF($A610="","",IFERROR(INDEX(土地清冊_匯入!$P$6:$P$1005,MATCH($A610,土地清冊_匯入!$A$6:$A$1005,0)),""))</f>
        <v/>
      </c>
      <c r="E610" s="12">
        <f>IF($A610="","",IFERROR(INDEX(土地清冊_匯入!$Q$6:$Q$1005,MATCH($A610,土地清冊_匯入!$A$6:$A$1005,0)),""))</f>
        <v/>
      </c>
      <c r="F610" s="12">
        <f>IF($A610="","",IFERROR(INDEX(土地清冊_匯入!$R$6:$R$1005,MATCH($A610,土地清冊_匯入!$A$6:$A$1005,0)),""))</f>
        <v/>
      </c>
      <c r="G610" s="12">
        <f>IF($A610="","",IFERROR(INDEX(土地清冊_匯入!$S$6:$S$1005,MATCH($A610,土地清冊_匯入!$A$6:$A$1005,0)),""))</f>
        <v/>
      </c>
      <c r="H610" s="12">
        <f>IF($A610="","",IFERROR(INDEX(土地清冊_匯入!$T$6:$T$1005,MATCH($A610,土地清冊_匯入!$A$6:$A$1005,0)),""))</f>
        <v/>
      </c>
      <c r="I610" s="12">
        <f>IF($A610="","",IFERROR(INDEX(土地清冊_匯入!$V$6:$V$1005,MATCH($A610,土地清冊_匯入!$A$6:$A$1005,0)),""))</f>
        <v/>
      </c>
      <c r="J610" s="14" t="n"/>
      <c r="K610" s="7" t="n"/>
      <c r="L610" s="7" t="n"/>
      <c r="M610" s="7" t="n"/>
      <c r="N610" s="7" t="n"/>
      <c r="O610" s="7" t="n"/>
      <c r="P610" s="7" t="n"/>
      <c r="Q610" s="14" t="n"/>
      <c r="R610" s="7" t="n"/>
      <c r="S610" s="7" t="n"/>
      <c r="T610" s="7" t="n"/>
      <c r="U610" s="12">
        <f>IF(A610="","",IF(OR(J610="",L610=""),"建議補聯絡紀錄","") )</f>
        <v/>
      </c>
    </row>
    <row r="611" ht="24" customHeight="1">
      <c r="A611" s="7" t="n"/>
      <c r="B611" s="7" t="n"/>
      <c r="C611" s="12">
        <f>IF($A611="","",IFERROR(INDEX(土地清冊_匯入!$B$6:$B$1005,MATCH($A611,土地清冊_匯入!$A$6:$A$1005,0)),"查無資料"))</f>
        <v/>
      </c>
      <c r="D611" s="12">
        <f>IF($A611="","",IFERROR(INDEX(土地清冊_匯入!$P$6:$P$1005,MATCH($A611,土地清冊_匯入!$A$6:$A$1005,0)),""))</f>
        <v/>
      </c>
      <c r="E611" s="12">
        <f>IF($A611="","",IFERROR(INDEX(土地清冊_匯入!$Q$6:$Q$1005,MATCH($A611,土地清冊_匯入!$A$6:$A$1005,0)),""))</f>
        <v/>
      </c>
      <c r="F611" s="12">
        <f>IF($A611="","",IFERROR(INDEX(土地清冊_匯入!$R$6:$R$1005,MATCH($A611,土地清冊_匯入!$A$6:$A$1005,0)),""))</f>
        <v/>
      </c>
      <c r="G611" s="12">
        <f>IF($A611="","",IFERROR(INDEX(土地清冊_匯入!$S$6:$S$1005,MATCH($A611,土地清冊_匯入!$A$6:$A$1005,0)),""))</f>
        <v/>
      </c>
      <c r="H611" s="12">
        <f>IF($A611="","",IFERROR(INDEX(土地清冊_匯入!$T$6:$T$1005,MATCH($A611,土地清冊_匯入!$A$6:$A$1005,0)),""))</f>
        <v/>
      </c>
      <c r="I611" s="12">
        <f>IF($A611="","",IFERROR(INDEX(土地清冊_匯入!$V$6:$V$1005,MATCH($A611,土地清冊_匯入!$A$6:$A$1005,0)),""))</f>
        <v/>
      </c>
      <c r="J611" s="14" t="n"/>
      <c r="K611" s="7" t="n"/>
      <c r="L611" s="7" t="n"/>
      <c r="M611" s="7" t="n"/>
      <c r="N611" s="7" t="n"/>
      <c r="O611" s="7" t="n"/>
      <c r="P611" s="7" t="n"/>
      <c r="Q611" s="14" t="n"/>
      <c r="R611" s="7" t="n"/>
      <c r="S611" s="7" t="n"/>
      <c r="T611" s="7" t="n"/>
      <c r="U611" s="12">
        <f>IF(A611="","",IF(OR(J611="",L611=""),"建議補聯絡紀錄","") )</f>
        <v/>
      </c>
    </row>
    <row r="612" ht="24" customHeight="1">
      <c r="A612" s="7" t="n"/>
      <c r="B612" s="7" t="n"/>
      <c r="C612" s="12">
        <f>IF($A612="","",IFERROR(INDEX(土地清冊_匯入!$B$6:$B$1005,MATCH($A612,土地清冊_匯入!$A$6:$A$1005,0)),"查無資料"))</f>
        <v/>
      </c>
      <c r="D612" s="12">
        <f>IF($A612="","",IFERROR(INDEX(土地清冊_匯入!$P$6:$P$1005,MATCH($A612,土地清冊_匯入!$A$6:$A$1005,0)),""))</f>
        <v/>
      </c>
      <c r="E612" s="12">
        <f>IF($A612="","",IFERROR(INDEX(土地清冊_匯入!$Q$6:$Q$1005,MATCH($A612,土地清冊_匯入!$A$6:$A$1005,0)),""))</f>
        <v/>
      </c>
      <c r="F612" s="12">
        <f>IF($A612="","",IFERROR(INDEX(土地清冊_匯入!$R$6:$R$1005,MATCH($A612,土地清冊_匯入!$A$6:$A$1005,0)),""))</f>
        <v/>
      </c>
      <c r="G612" s="12">
        <f>IF($A612="","",IFERROR(INDEX(土地清冊_匯入!$S$6:$S$1005,MATCH($A612,土地清冊_匯入!$A$6:$A$1005,0)),""))</f>
        <v/>
      </c>
      <c r="H612" s="12">
        <f>IF($A612="","",IFERROR(INDEX(土地清冊_匯入!$T$6:$T$1005,MATCH($A612,土地清冊_匯入!$A$6:$A$1005,0)),""))</f>
        <v/>
      </c>
      <c r="I612" s="12">
        <f>IF($A612="","",IFERROR(INDEX(土地清冊_匯入!$V$6:$V$1005,MATCH($A612,土地清冊_匯入!$A$6:$A$1005,0)),""))</f>
        <v/>
      </c>
      <c r="J612" s="14" t="n"/>
      <c r="K612" s="7" t="n"/>
      <c r="L612" s="7" t="n"/>
      <c r="M612" s="7" t="n"/>
      <c r="N612" s="7" t="n"/>
      <c r="O612" s="7" t="n"/>
      <c r="P612" s="7" t="n"/>
      <c r="Q612" s="14" t="n"/>
      <c r="R612" s="7" t="n"/>
      <c r="S612" s="7" t="n"/>
      <c r="T612" s="7" t="n"/>
      <c r="U612" s="12">
        <f>IF(A612="","",IF(OR(J612="",L612=""),"建議補聯絡紀錄","") )</f>
        <v/>
      </c>
    </row>
    <row r="613" ht="24" customHeight="1">
      <c r="A613" s="7" t="n"/>
      <c r="B613" s="7" t="n"/>
      <c r="C613" s="12">
        <f>IF($A613="","",IFERROR(INDEX(土地清冊_匯入!$B$6:$B$1005,MATCH($A613,土地清冊_匯入!$A$6:$A$1005,0)),"查無資料"))</f>
        <v/>
      </c>
      <c r="D613" s="12">
        <f>IF($A613="","",IFERROR(INDEX(土地清冊_匯入!$P$6:$P$1005,MATCH($A613,土地清冊_匯入!$A$6:$A$1005,0)),""))</f>
        <v/>
      </c>
      <c r="E613" s="12">
        <f>IF($A613="","",IFERROR(INDEX(土地清冊_匯入!$Q$6:$Q$1005,MATCH($A613,土地清冊_匯入!$A$6:$A$1005,0)),""))</f>
        <v/>
      </c>
      <c r="F613" s="12">
        <f>IF($A613="","",IFERROR(INDEX(土地清冊_匯入!$R$6:$R$1005,MATCH($A613,土地清冊_匯入!$A$6:$A$1005,0)),""))</f>
        <v/>
      </c>
      <c r="G613" s="12">
        <f>IF($A613="","",IFERROR(INDEX(土地清冊_匯入!$S$6:$S$1005,MATCH($A613,土地清冊_匯入!$A$6:$A$1005,0)),""))</f>
        <v/>
      </c>
      <c r="H613" s="12">
        <f>IF($A613="","",IFERROR(INDEX(土地清冊_匯入!$T$6:$T$1005,MATCH($A613,土地清冊_匯入!$A$6:$A$1005,0)),""))</f>
        <v/>
      </c>
      <c r="I613" s="12">
        <f>IF($A613="","",IFERROR(INDEX(土地清冊_匯入!$V$6:$V$1005,MATCH($A613,土地清冊_匯入!$A$6:$A$1005,0)),""))</f>
        <v/>
      </c>
      <c r="J613" s="14" t="n"/>
      <c r="K613" s="7" t="n"/>
      <c r="L613" s="7" t="n"/>
      <c r="M613" s="7" t="n"/>
      <c r="N613" s="7" t="n"/>
      <c r="O613" s="7" t="n"/>
      <c r="P613" s="7" t="n"/>
      <c r="Q613" s="14" t="n"/>
      <c r="R613" s="7" t="n"/>
      <c r="S613" s="7" t="n"/>
      <c r="T613" s="7" t="n"/>
      <c r="U613" s="12">
        <f>IF(A613="","",IF(OR(J613="",L613=""),"建議補聯絡紀錄","") )</f>
        <v/>
      </c>
    </row>
    <row r="614" ht="24" customHeight="1">
      <c r="A614" s="7" t="n"/>
      <c r="B614" s="7" t="n"/>
      <c r="C614" s="12">
        <f>IF($A614="","",IFERROR(INDEX(土地清冊_匯入!$B$6:$B$1005,MATCH($A614,土地清冊_匯入!$A$6:$A$1005,0)),"查無資料"))</f>
        <v/>
      </c>
      <c r="D614" s="12">
        <f>IF($A614="","",IFERROR(INDEX(土地清冊_匯入!$P$6:$P$1005,MATCH($A614,土地清冊_匯入!$A$6:$A$1005,0)),""))</f>
        <v/>
      </c>
      <c r="E614" s="12">
        <f>IF($A614="","",IFERROR(INDEX(土地清冊_匯入!$Q$6:$Q$1005,MATCH($A614,土地清冊_匯入!$A$6:$A$1005,0)),""))</f>
        <v/>
      </c>
      <c r="F614" s="12">
        <f>IF($A614="","",IFERROR(INDEX(土地清冊_匯入!$R$6:$R$1005,MATCH($A614,土地清冊_匯入!$A$6:$A$1005,0)),""))</f>
        <v/>
      </c>
      <c r="G614" s="12">
        <f>IF($A614="","",IFERROR(INDEX(土地清冊_匯入!$S$6:$S$1005,MATCH($A614,土地清冊_匯入!$A$6:$A$1005,0)),""))</f>
        <v/>
      </c>
      <c r="H614" s="12">
        <f>IF($A614="","",IFERROR(INDEX(土地清冊_匯入!$T$6:$T$1005,MATCH($A614,土地清冊_匯入!$A$6:$A$1005,0)),""))</f>
        <v/>
      </c>
      <c r="I614" s="12">
        <f>IF($A614="","",IFERROR(INDEX(土地清冊_匯入!$V$6:$V$1005,MATCH($A614,土地清冊_匯入!$A$6:$A$1005,0)),""))</f>
        <v/>
      </c>
      <c r="J614" s="14" t="n"/>
      <c r="K614" s="7" t="n"/>
      <c r="L614" s="7" t="n"/>
      <c r="M614" s="7" t="n"/>
      <c r="N614" s="7" t="n"/>
      <c r="O614" s="7" t="n"/>
      <c r="P614" s="7" t="n"/>
      <c r="Q614" s="14" t="n"/>
      <c r="R614" s="7" t="n"/>
      <c r="S614" s="7" t="n"/>
      <c r="T614" s="7" t="n"/>
      <c r="U614" s="12">
        <f>IF(A614="","",IF(OR(J614="",L614=""),"建議補聯絡紀錄","") )</f>
        <v/>
      </c>
    </row>
    <row r="615" ht="24" customHeight="1">
      <c r="A615" s="7" t="n"/>
      <c r="B615" s="7" t="n"/>
      <c r="C615" s="12">
        <f>IF($A615="","",IFERROR(INDEX(土地清冊_匯入!$B$6:$B$1005,MATCH($A615,土地清冊_匯入!$A$6:$A$1005,0)),"查無資料"))</f>
        <v/>
      </c>
      <c r="D615" s="12">
        <f>IF($A615="","",IFERROR(INDEX(土地清冊_匯入!$P$6:$P$1005,MATCH($A615,土地清冊_匯入!$A$6:$A$1005,0)),""))</f>
        <v/>
      </c>
      <c r="E615" s="12">
        <f>IF($A615="","",IFERROR(INDEX(土地清冊_匯入!$Q$6:$Q$1005,MATCH($A615,土地清冊_匯入!$A$6:$A$1005,0)),""))</f>
        <v/>
      </c>
      <c r="F615" s="12">
        <f>IF($A615="","",IFERROR(INDEX(土地清冊_匯入!$R$6:$R$1005,MATCH($A615,土地清冊_匯入!$A$6:$A$1005,0)),""))</f>
        <v/>
      </c>
      <c r="G615" s="12">
        <f>IF($A615="","",IFERROR(INDEX(土地清冊_匯入!$S$6:$S$1005,MATCH($A615,土地清冊_匯入!$A$6:$A$1005,0)),""))</f>
        <v/>
      </c>
      <c r="H615" s="12">
        <f>IF($A615="","",IFERROR(INDEX(土地清冊_匯入!$T$6:$T$1005,MATCH($A615,土地清冊_匯入!$A$6:$A$1005,0)),""))</f>
        <v/>
      </c>
      <c r="I615" s="12">
        <f>IF($A615="","",IFERROR(INDEX(土地清冊_匯入!$V$6:$V$1005,MATCH($A615,土地清冊_匯入!$A$6:$A$1005,0)),""))</f>
        <v/>
      </c>
      <c r="J615" s="14" t="n"/>
      <c r="K615" s="7" t="n"/>
      <c r="L615" s="7" t="n"/>
      <c r="M615" s="7" t="n"/>
      <c r="N615" s="7" t="n"/>
      <c r="O615" s="7" t="n"/>
      <c r="P615" s="7" t="n"/>
      <c r="Q615" s="14" t="n"/>
      <c r="R615" s="7" t="n"/>
      <c r="S615" s="7" t="n"/>
      <c r="T615" s="7" t="n"/>
      <c r="U615" s="12">
        <f>IF(A615="","",IF(OR(J615="",L615=""),"建議補聯絡紀錄","") )</f>
        <v/>
      </c>
    </row>
    <row r="616" ht="24" customHeight="1">
      <c r="A616" s="7" t="n"/>
      <c r="B616" s="7" t="n"/>
      <c r="C616" s="12">
        <f>IF($A616="","",IFERROR(INDEX(土地清冊_匯入!$B$6:$B$1005,MATCH($A616,土地清冊_匯入!$A$6:$A$1005,0)),"查無資料"))</f>
        <v/>
      </c>
      <c r="D616" s="12">
        <f>IF($A616="","",IFERROR(INDEX(土地清冊_匯入!$P$6:$P$1005,MATCH($A616,土地清冊_匯入!$A$6:$A$1005,0)),""))</f>
        <v/>
      </c>
      <c r="E616" s="12">
        <f>IF($A616="","",IFERROR(INDEX(土地清冊_匯入!$Q$6:$Q$1005,MATCH($A616,土地清冊_匯入!$A$6:$A$1005,0)),""))</f>
        <v/>
      </c>
      <c r="F616" s="12">
        <f>IF($A616="","",IFERROR(INDEX(土地清冊_匯入!$R$6:$R$1005,MATCH($A616,土地清冊_匯入!$A$6:$A$1005,0)),""))</f>
        <v/>
      </c>
      <c r="G616" s="12">
        <f>IF($A616="","",IFERROR(INDEX(土地清冊_匯入!$S$6:$S$1005,MATCH($A616,土地清冊_匯入!$A$6:$A$1005,0)),""))</f>
        <v/>
      </c>
      <c r="H616" s="12">
        <f>IF($A616="","",IFERROR(INDEX(土地清冊_匯入!$T$6:$T$1005,MATCH($A616,土地清冊_匯入!$A$6:$A$1005,0)),""))</f>
        <v/>
      </c>
      <c r="I616" s="12">
        <f>IF($A616="","",IFERROR(INDEX(土地清冊_匯入!$V$6:$V$1005,MATCH($A616,土地清冊_匯入!$A$6:$A$1005,0)),""))</f>
        <v/>
      </c>
      <c r="J616" s="14" t="n"/>
      <c r="K616" s="7" t="n"/>
      <c r="L616" s="7" t="n"/>
      <c r="M616" s="7" t="n"/>
      <c r="N616" s="7" t="n"/>
      <c r="O616" s="7" t="n"/>
      <c r="P616" s="7" t="n"/>
      <c r="Q616" s="14" t="n"/>
      <c r="R616" s="7" t="n"/>
      <c r="S616" s="7" t="n"/>
      <c r="T616" s="7" t="n"/>
      <c r="U616" s="12">
        <f>IF(A616="","",IF(OR(J616="",L616=""),"建議補聯絡紀錄","") )</f>
        <v/>
      </c>
    </row>
    <row r="617" ht="24" customHeight="1">
      <c r="A617" s="7" t="n"/>
      <c r="B617" s="7" t="n"/>
      <c r="C617" s="12">
        <f>IF($A617="","",IFERROR(INDEX(土地清冊_匯入!$B$6:$B$1005,MATCH($A617,土地清冊_匯入!$A$6:$A$1005,0)),"查無資料"))</f>
        <v/>
      </c>
      <c r="D617" s="12">
        <f>IF($A617="","",IFERROR(INDEX(土地清冊_匯入!$P$6:$P$1005,MATCH($A617,土地清冊_匯入!$A$6:$A$1005,0)),""))</f>
        <v/>
      </c>
      <c r="E617" s="12">
        <f>IF($A617="","",IFERROR(INDEX(土地清冊_匯入!$Q$6:$Q$1005,MATCH($A617,土地清冊_匯入!$A$6:$A$1005,0)),""))</f>
        <v/>
      </c>
      <c r="F617" s="12">
        <f>IF($A617="","",IFERROR(INDEX(土地清冊_匯入!$R$6:$R$1005,MATCH($A617,土地清冊_匯入!$A$6:$A$1005,0)),""))</f>
        <v/>
      </c>
      <c r="G617" s="12">
        <f>IF($A617="","",IFERROR(INDEX(土地清冊_匯入!$S$6:$S$1005,MATCH($A617,土地清冊_匯入!$A$6:$A$1005,0)),""))</f>
        <v/>
      </c>
      <c r="H617" s="12">
        <f>IF($A617="","",IFERROR(INDEX(土地清冊_匯入!$T$6:$T$1005,MATCH($A617,土地清冊_匯入!$A$6:$A$1005,0)),""))</f>
        <v/>
      </c>
      <c r="I617" s="12">
        <f>IF($A617="","",IFERROR(INDEX(土地清冊_匯入!$V$6:$V$1005,MATCH($A617,土地清冊_匯入!$A$6:$A$1005,0)),""))</f>
        <v/>
      </c>
      <c r="J617" s="14" t="n"/>
      <c r="K617" s="7" t="n"/>
      <c r="L617" s="7" t="n"/>
      <c r="M617" s="7" t="n"/>
      <c r="N617" s="7" t="n"/>
      <c r="O617" s="7" t="n"/>
      <c r="P617" s="7" t="n"/>
      <c r="Q617" s="14" t="n"/>
      <c r="R617" s="7" t="n"/>
      <c r="S617" s="7" t="n"/>
      <c r="T617" s="7" t="n"/>
      <c r="U617" s="12">
        <f>IF(A617="","",IF(OR(J617="",L617=""),"建議補聯絡紀錄","") )</f>
        <v/>
      </c>
    </row>
    <row r="618" ht="24" customHeight="1">
      <c r="A618" s="7" t="n"/>
      <c r="B618" s="7" t="n"/>
      <c r="C618" s="12">
        <f>IF($A618="","",IFERROR(INDEX(土地清冊_匯入!$B$6:$B$1005,MATCH($A618,土地清冊_匯入!$A$6:$A$1005,0)),"查無資料"))</f>
        <v/>
      </c>
      <c r="D618" s="12">
        <f>IF($A618="","",IFERROR(INDEX(土地清冊_匯入!$P$6:$P$1005,MATCH($A618,土地清冊_匯入!$A$6:$A$1005,0)),""))</f>
        <v/>
      </c>
      <c r="E618" s="12">
        <f>IF($A618="","",IFERROR(INDEX(土地清冊_匯入!$Q$6:$Q$1005,MATCH($A618,土地清冊_匯入!$A$6:$A$1005,0)),""))</f>
        <v/>
      </c>
      <c r="F618" s="12">
        <f>IF($A618="","",IFERROR(INDEX(土地清冊_匯入!$R$6:$R$1005,MATCH($A618,土地清冊_匯入!$A$6:$A$1005,0)),""))</f>
        <v/>
      </c>
      <c r="G618" s="12">
        <f>IF($A618="","",IFERROR(INDEX(土地清冊_匯入!$S$6:$S$1005,MATCH($A618,土地清冊_匯入!$A$6:$A$1005,0)),""))</f>
        <v/>
      </c>
      <c r="H618" s="12">
        <f>IF($A618="","",IFERROR(INDEX(土地清冊_匯入!$T$6:$T$1005,MATCH($A618,土地清冊_匯入!$A$6:$A$1005,0)),""))</f>
        <v/>
      </c>
      <c r="I618" s="12">
        <f>IF($A618="","",IFERROR(INDEX(土地清冊_匯入!$V$6:$V$1005,MATCH($A618,土地清冊_匯入!$A$6:$A$1005,0)),""))</f>
        <v/>
      </c>
      <c r="J618" s="14" t="n"/>
      <c r="K618" s="7" t="n"/>
      <c r="L618" s="7" t="n"/>
      <c r="M618" s="7" t="n"/>
      <c r="N618" s="7" t="n"/>
      <c r="O618" s="7" t="n"/>
      <c r="P618" s="7" t="n"/>
      <c r="Q618" s="14" t="n"/>
      <c r="R618" s="7" t="n"/>
      <c r="S618" s="7" t="n"/>
      <c r="T618" s="7" t="n"/>
      <c r="U618" s="12">
        <f>IF(A618="","",IF(OR(J618="",L618=""),"建議補聯絡紀錄","") )</f>
        <v/>
      </c>
    </row>
    <row r="619" ht="24" customHeight="1">
      <c r="A619" s="7" t="n"/>
      <c r="B619" s="7" t="n"/>
      <c r="C619" s="12">
        <f>IF($A619="","",IFERROR(INDEX(土地清冊_匯入!$B$6:$B$1005,MATCH($A619,土地清冊_匯入!$A$6:$A$1005,0)),"查無資料"))</f>
        <v/>
      </c>
      <c r="D619" s="12">
        <f>IF($A619="","",IFERROR(INDEX(土地清冊_匯入!$P$6:$P$1005,MATCH($A619,土地清冊_匯入!$A$6:$A$1005,0)),""))</f>
        <v/>
      </c>
      <c r="E619" s="12">
        <f>IF($A619="","",IFERROR(INDEX(土地清冊_匯入!$Q$6:$Q$1005,MATCH($A619,土地清冊_匯入!$A$6:$A$1005,0)),""))</f>
        <v/>
      </c>
      <c r="F619" s="12">
        <f>IF($A619="","",IFERROR(INDEX(土地清冊_匯入!$R$6:$R$1005,MATCH($A619,土地清冊_匯入!$A$6:$A$1005,0)),""))</f>
        <v/>
      </c>
      <c r="G619" s="12">
        <f>IF($A619="","",IFERROR(INDEX(土地清冊_匯入!$S$6:$S$1005,MATCH($A619,土地清冊_匯入!$A$6:$A$1005,0)),""))</f>
        <v/>
      </c>
      <c r="H619" s="12">
        <f>IF($A619="","",IFERROR(INDEX(土地清冊_匯入!$T$6:$T$1005,MATCH($A619,土地清冊_匯入!$A$6:$A$1005,0)),""))</f>
        <v/>
      </c>
      <c r="I619" s="12">
        <f>IF($A619="","",IFERROR(INDEX(土地清冊_匯入!$V$6:$V$1005,MATCH($A619,土地清冊_匯入!$A$6:$A$1005,0)),""))</f>
        <v/>
      </c>
      <c r="J619" s="14" t="n"/>
      <c r="K619" s="7" t="n"/>
      <c r="L619" s="7" t="n"/>
      <c r="M619" s="7" t="n"/>
      <c r="N619" s="7" t="n"/>
      <c r="O619" s="7" t="n"/>
      <c r="P619" s="7" t="n"/>
      <c r="Q619" s="14" t="n"/>
      <c r="R619" s="7" t="n"/>
      <c r="S619" s="7" t="n"/>
      <c r="T619" s="7" t="n"/>
      <c r="U619" s="12">
        <f>IF(A619="","",IF(OR(J619="",L619=""),"建議補聯絡紀錄","") )</f>
        <v/>
      </c>
    </row>
    <row r="620" ht="24" customHeight="1">
      <c r="A620" s="7" t="n"/>
      <c r="B620" s="7" t="n"/>
      <c r="C620" s="12">
        <f>IF($A620="","",IFERROR(INDEX(土地清冊_匯入!$B$6:$B$1005,MATCH($A620,土地清冊_匯入!$A$6:$A$1005,0)),"查無資料"))</f>
        <v/>
      </c>
      <c r="D620" s="12">
        <f>IF($A620="","",IFERROR(INDEX(土地清冊_匯入!$P$6:$P$1005,MATCH($A620,土地清冊_匯入!$A$6:$A$1005,0)),""))</f>
        <v/>
      </c>
      <c r="E620" s="12">
        <f>IF($A620="","",IFERROR(INDEX(土地清冊_匯入!$Q$6:$Q$1005,MATCH($A620,土地清冊_匯入!$A$6:$A$1005,0)),""))</f>
        <v/>
      </c>
      <c r="F620" s="12">
        <f>IF($A620="","",IFERROR(INDEX(土地清冊_匯入!$R$6:$R$1005,MATCH($A620,土地清冊_匯入!$A$6:$A$1005,0)),""))</f>
        <v/>
      </c>
      <c r="G620" s="12">
        <f>IF($A620="","",IFERROR(INDEX(土地清冊_匯入!$S$6:$S$1005,MATCH($A620,土地清冊_匯入!$A$6:$A$1005,0)),""))</f>
        <v/>
      </c>
      <c r="H620" s="12">
        <f>IF($A620="","",IFERROR(INDEX(土地清冊_匯入!$T$6:$T$1005,MATCH($A620,土地清冊_匯入!$A$6:$A$1005,0)),""))</f>
        <v/>
      </c>
      <c r="I620" s="12">
        <f>IF($A620="","",IFERROR(INDEX(土地清冊_匯入!$V$6:$V$1005,MATCH($A620,土地清冊_匯入!$A$6:$A$1005,0)),""))</f>
        <v/>
      </c>
      <c r="J620" s="14" t="n"/>
      <c r="K620" s="7" t="n"/>
      <c r="L620" s="7" t="n"/>
      <c r="M620" s="7" t="n"/>
      <c r="N620" s="7" t="n"/>
      <c r="O620" s="7" t="n"/>
      <c r="P620" s="7" t="n"/>
      <c r="Q620" s="14" t="n"/>
      <c r="R620" s="7" t="n"/>
      <c r="S620" s="7" t="n"/>
      <c r="T620" s="7" t="n"/>
      <c r="U620" s="12">
        <f>IF(A620="","",IF(OR(J620="",L620=""),"建議補聯絡紀錄","") )</f>
        <v/>
      </c>
    </row>
    <row r="621" ht="24" customHeight="1">
      <c r="A621" s="7" t="n"/>
      <c r="B621" s="7" t="n"/>
      <c r="C621" s="12">
        <f>IF($A621="","",IFERROR(INDEX(土地清冊_匯入!$B$6:$B$1005,MATCH($A621,土地清冊_匯入!$A$6:$A$1005,0)),"查無資料"))</f>
        <v/>
      </c>
      <c r="D621" s="12">
        <f>IF($A621="","",IFERROR(INDEX(土地清冊_匯入!$P$6:$P$1005,MATCH($A621,土地清冊_匯入!$A$6:$A$1005,0)),""))</f>
        <v/>
      </c>
      <c r="E621" s="12">
        <f>IF($A621="","",IFERROR(INDEX(土地清冊_匯入!$Q$6:$Q$1005,MATCH($A621,土地清冊_匯入!$A$6:$A$1005,0)),""))</f>
        <v/>
      </c>
      <c r="F621" s="12">
        <f>IF($A621="","",IFERROR(INDEX(土地清冊_匯入!$R$6:$R$1005,MATCH($A621,土地清冊_匯入!$A$6:$A$1005,0)),""))</f>
        <v/>
      </c>
      <c r="G621" s="12">
        <f>IF($A621="","",IFERROR(INDEX(土地清冊_匯入!$S$6:$S$1005,MATCH($A621,土地清冊_匯入!$A$6:$A$1005,0)),""))</f>
        <v/>
      </c>
      <c r="H621" s="12">
        <f>IF($A621="","",IFERROR(INDEX(土地清冊_匯入!$T$6:$T$1005,MATCH($A621,土地清冊_匯入!$A$6:$A$1005,0)),""))</f>
        <v/>
      </c>
      <c r="I621" s="12">
        <f>IF($A621="","",IFERROR(INDEX(土地清冊_匯入!$V$6:$V$1005,MATCH($A621,土地清冊_匯入!$A$6:$A$1005,0)),""))</f>
        <v/>
      </c>
      <c r="J621" s="14" t="n"/>
      <c r="K621" s="7" t="n"/>
      <c r="L621" s="7" t="n"/>
      <c r="M621" s="7" t="n"/>
      <c r="N621" s="7" t="n"/>
      <c r="O621" s="7" t="n"/>
      <c r="P621" s="7" t="n"/>
      <c r="Q621" s="14" t="n"/>
      <c r="R621" s="7" t="n"/>
      <c r="S621" s="7" t="n"/>
      <c r="T621" s="7" t="n"/>
      <c r="U621" s="12">
        <f>IF(A621="","",IF(OR(J621="",L621=""),"建議補聯絡紀錄","") )</f>
        <v/>
      </c>
    </row>
    <row r="622" ht="24" customHeight="1">
      <c r="A622" s="7" t="n"/>
      <c r="B622" s="7" t="n"/>
      <c r="C622" s="12">
        <f>IF($A622="","",IFERROR(INDEX(土地清冊_匯入!$B$6:$B$1005,MATCH($A622,土地清冊_匯入!$A$6:$A$1005,0)),"查無資料"))</f>
        <v/>
      </c>
      <c r="D622" s="12">
        <f>IF($A622="","",IFERROR(INDEX(土地清冊_匯入!$P$6:$P$1005,MATCH($A622,土地清冊_匯入!$A$6:$A$1005,0)),""))</f>
        <v/>
      </c>
      <c r="E622" s="12">
        <f>IF($A622="","",IFERROR(INDEX(土地清冊_匯入!$Q$6:$Q$1005,MATCH($A622,土地清冊_匯入!$A$6:$A$1005,0)),""))</f>
        <v/>
      </c>
      <c r="F622" s="12">
        <f>IF($A622="","",IFERROR(INDEX(土地清冊_匯入!$R$6:$R$1005,MATCH($A622,土地清冊_匯入!$A$6:$A$1005,0)),""))</f>
        <v/>
      </c>
      <c r="G622" s="12">
        <f>IF($A622="","",IFERROR(INDEX(土地清冊_匯入!$S$6:$S$1005,MATCH($A622,土地清冊_匯入!$A$6:$A$1005,0)),""))</f>
        <v/>
      </c>
      <c r="H622" s="12">
        <f>IF($A622="","",IFERROR(INDEX(土地清冊_匯入!$T$6:$T$1005,MATCH($A622,土地清冊_匯入!$A$6:$A$1005,0)),""))</f>
        <v/>
      </c>
      <c r="I622" s="12">
        <f>IF($A622="","",IFERROR(INDEX(土地清冊_匯入!$V$6:$V$1005,MATCH($A622,土地清冊_匯入!$A$6:$A$1005,0)),""))</f>
        <v/>
      </c>
      <c r="J622" s="14" t="n"/>
      <c r="K622" s="7" t="n"/>
      <c r="L622" s="7" t="n"/>
      <c r="M622" s="7" t="n"/>
      <c r="N622" s="7" t="n"/>
      <c r="O622" s="7" t="n"/>
      <c r="P622" s="7" t="n"/>
      <c r="Q622" s="14" t="n"/>
      <c r="R622" s="7" t="n"/>
      <c r="S622" s="7" t="n"/>
      <c r="T622" s="7" t="n"/>
      <c r="U622" s="12">
        <f>IF(A622="","",IF(OR(J622="",L622=""),"建議補聯絡紀錄","") )</f>
        <v/>
      </c>
    </row>
    <row r="623" ht="24" customHeight="1">
      <c r="A623" s="7" t="n"/>
      <c r="B623" s="7" t="n"/>
      <c r="C623" s="12">
        <f>IF($A623="","",IFERROR(INDEX(土地清冊_匯入!$B$6:$B$1005,MATCH($A623,土地清冊_匯入!$A$6:$A$1005,0)),"查無資料"))</f>
        <v/>
      </c>
      <c r="D623" s="12">
        <f>IF($A623="","",IFERROR(INDEX(土地清冊_匯入!$P$6:$P$1005,MATCH($A623,土地清冊_匯入!$A$6:$A$1005,0)),""))</f>
        <v/>
      </c>
      <c r="E623" s="12">
        <f>IF($A623="","",IFERROR(INDEX(土地清冊_匯入!$Q$6:$Q$1005,MATCH($A623,土地清冊_匯入!$A$6:$A$1005,0)),""))</f>
        <v/>
      </c>
      <c r="F623" s="12">
        <f>IF($A623="","",IFERROR(INDEX(土地清冊_匯入!$R$6:$R$1005,MATCH($A623,土地清冊_匯入!$A$6:$A$1005,0)),""))</f>
        <v/>
      </c>
      <c r="G623" s="12">
        <f>IF($A623="","",IFERROR(INDEX(土地清冊_匯入!$S$6:$S$1005,MATCH($A623,土地清冊_匯入!$A$6:$A$1005,0)),""))</f>
        <v/>
      </c>
      <c r="H623" s="12">
        <f>IF($A623="","",IFERROR(INDEX(土地清冊_匯入!$T$6:$T$1005,MATCH($A623,土地清冊_匯入!$A$6:$A$1005,0)),""))</f>
        <v/>
      </c>
      <c r="I623" s="12">
        <f>IF($A623="","",IFERROR(INDEX(土地清冊_匯入!$V$6:$V$1005,MATCH($A623,土地清冊_匯入!$A$6:$A$1005,0)),""))</f>
        <v/>
      </c>
      <c r="J623" s="14" t="n"/>
      <c r="K623" s="7" t="n"/>
      <c r="L623" s="7" t="n"/>
      <c r="M623" s="7" t="n"/>
      <c r="N623" s="7" t="n"/>
      <c r="O623" s="7" t="n"/>
      <c r="P623" s="7" t="n"/>
      <c r="Q623" s="14" t="n"/>
      <c r="R623" s="7" t="n"/>
      <c r="S623" s="7" t="n"/>
      <c r="T623" s="7" t="n"/>
      <c r="U623" s="12">
        <f>IF(A623="","",IF(OR(J623="",L623=""),"建議補聯絡紀錄","") )</f>
        <v/>
      </c>
    </row>
    <row r="624" ht="24" customHeight="1">
      <c r="A624" s="7" t="n"/>
      <c r="B624" s="7" t="n"/>
      <c r="C624" s="12">
        <f>IF($A624="","",IFERROR(INDEX(土地清冊_匯入!$B$6:$B$1005,MATCH($A624,土地清冊_匯入!$A$6:$A$1005,0)),"查無資料"))</f>
        <v/>
      </c>
      <c r="D624" s="12">
        <f>IF($A624="","",IFERROR(INDEX(土地清冊_匯入!$P$6:$P$1005,MATCH($A624,土地清冊_匯入!$A$6:$A$1005,0)),""))</f>
        <v/>
      </c>
      <c r="E624" s="12">
        <f>IF($A624="","",IFERROR(INDEX(土地清冊_匯入!$Q$6:$Q$1005,MATCH($A624,土地清冊_匯入!$A$6:$A$1005,0)),""))</f>
        <v/>
      </c>
      <c r="F624" s="12">
        <f>IF($A624="","",IFERROR(INDEX(土地清冊_匯入!$R$6:$R$1005,MATCH($A624,土地清冊_匯入!$A$6:$A$1005,0)),""))</f>
        <v/>
      </c>
      <c r="G624" s="12">
        <f>IF($A624="","",IFERROR(INDEX(土地清冊_匯入!$S$6:$S$1005,MATCH($A624,土地清冊_匯入!$A$6:$A$1005,0)),""))</f>
        <v/>
      </c>
      <c r="H624" s="12">
        <f>IF($A624="","",IFERROR(INDEX(土地清冊_匯入!$T$6:$T$1005,MATCH($A624,土地清冊_匯入!$A$6:$A$1005,0)),""))</f>
        <v/>
      </c>
      <c r="I624" s="12">
        <f>IF($A624="","",IFERROR(INDEX(土地清冊_匯入!$V$6:$V$1005,MATCH($A624,土地清冊_匯入!$A$6:$A$1005,0)),""))</f>
        <v/>
      </c>
      <c r="J624" s="14" t="n"/>
      <c r="K624" s="7" t="n"/>
      <c r="L624" s="7" t="n"/>
      <c r="M624" s="7" t="n"/>
      <c r="N624" s="7" t="n"/>
      <c r="O624" s="7" t="n"/>
      <c r="P624" s="7" t="n"/>
      <c r="Q624" s="14" t="n"/>
      <c r="R624" s="7" t="n"/>
      <c r="S624" s="7" t="n"/>
      <c r="T624" s="7" t="n"/>
      <c r="U624" s="12">
        <f>IF(A624="","",IF(OR(J624="",L624=""),"建議補聯絡紀錄","") )</f>
        <v/>
      </c>
    </row>
    <row r="625" ht="24" customHeight="1">
      <c r="A625" s="7" t="n"/>
      <c r="B625" s="7" t="n"/>
      <c r="C625" s="12">
        <f>IF($A625="","",IFERROR(INDEX(土地清冊_匯入!$B$6:$B$1005,MATCH($A625,土地清冊_匯入!$A$6:$A$1005,0)),"查無資料"))</f>
        <v/>
      </c>
      <c r="D625" s="12">
        <f>IF($A625="","",IFERROR(INDEX(土地清冊_匯入!$P$6:$P$1005,MATCH($A625,土地清冊_匯入!$A$6:$A$1005,0)),""))</f>
        <v/>
      </c>
      <c r="E625" s="12">
        <f>IF($A625="","",IFERROR(INDEX(土地清冊_匯入!$Q$6:$Q$1005,MATCH($A625,土地清冊_匯入!$A$6:$A$1005,0)),""))</f>
        <v/>
      </c>
      <c r="F625" s="12">
        <f>IF($A625="","",IFERROR(INDEX(土地清冊_匯入!$R$6:$R$1005,MATCH($A625,土地清冊_匯入!$A$6:$A$1005,0)),""))</f>
        <v/>
      </c>
      <c r="G625" s="12">
        <f>IF($A625="","",IFERROR(INDEX(土地清冊_匯入!$S$6:$S$1005,MATCH($A625,土地清冊_匯入!$A$6:$A$1005,0)),""))</f>
        <v/>
      </c>
      <c r="H625" s="12">
        <f>IF($A625="","",IFERROR(INDEX(土地清冊_匯入!$T$6:$T$1005,MATCH($A625,土地清冊_匯入!$A$6:$A$1005,0)),""))</f>
        <v/>
      </c>
      <c r="I625" s="12">
        <f>IF($A625="","",IFERROR(INDEX(土地清冊_匯入!$V$6:$V$1005,MATCH($A625,土地清冊_匯入!$A$6:$A$1005,0)),""))</f>
        <v/>
      </c>
      <c r="J625" s="14" t="n"/>
      <c r="K625" s="7" t="n"/>
      <c r="L625" s="7" t="n"/>
      <c r="M625" s="7" t="n"/>
      <c r="N625" s="7" t="n"/>
      <c r="O625" s="7" t="n"/>
      <c r="P625" s="7" t="n"/>
      <c r="Q625" s="14" t="n"/>
      <c r="R625" s="7" t="n"/>
      <c r="S625" s="7" t="n"/>
      <c r="T625" s="7" t="n"/>
      <c r="U625" s="12">
        <f>IF(A625="","",IF(OR(J625="",L625=""),"建議補聯絡紀錄","") )</f>
        <v/>
      </c>
    </row>
    <row r="626" ht="24" customHeight="1">
      <c r="A626" s="7" t="n"/>
      <c r="B626" s="7" t="n"/>
      <c r="C626" s="12">
        <f>IF($A626="","",IFERROR(INDEX(土地清冊_匯入!$B$6:$B$1005,MATCH($A626,土地清冊_匯入!$A$6:$A$1005,0)),"查無資料"))</f>
        <v/>
      </c>
      <c r="D626" s="12">
        <f>IF($A626="","",IFERROR(INDEX(土地清冊_匯入!$P$6:$P$1005,MATCH($A626,土地清冊_匯入!$A$6:$A$1005,0)),""))</f>
        <v/>
      </c>
      <c r="E626" s="12">
        <f>IF($A626="","",IFERROR(INDEX(土地清冊_匯入!$Q$6:$Q$1005,MATCH($A626,土地清冊_匯入!$A$6:$A$1005,0)),""))</f>
        <v/>
      </c>
      <c r="F626" s="12">
        <f>IF($A626="","",IFERROR(INDEX(土地清冊_匯入!$R$6:$R$1005,MATCH($A626,土地清冊_匯入!$A$6:$A$1005,0)),""))</f>
        <v/>
      </c>
      <c r="G626" s="12">
        <f>IF($A626="","",IFERROR(INDEX(土地清冊_匯入!$S$6:$S$1005,MATCH($A626,土地清冊_匯入!$A$6:$A$1005,0)),""))</f>
        <v/>
      </c>
      <c r="H626" s="12">
        <f>IF($A626="","",IFERROR(INDEX(土地清冊_匯入!$T$6:$T$1005,MATCH($A626,土地清冊_匯入!$A$6:$A$1005,0)),""))</f>
        <v/>
      </c>
      <c r="I626" s="12">
        <f>IF($A626="","",IFERROR(INDEX(土地清冊_匯入!$V$6:$V$1005,MATCH($A626,土地清冊_匯入!$A$6:$A$1005,0)),""))</f>
        <v/>
      </c>
      <c r="J626" s="14" t="n"/>
      <c r="K626" s="7" t="n"/>
      <c r="L626" s="7" t="n"/>
      <c r="M626" s="7" t="n"/>
      <c r="N626" s="7" t="n"/>
      <c r="O626" s="7" t="n"/>
      <c r="P626" s="7" t="n"/>
      <c r="Q626" s="14" t="n"/>
      <c r="R626" s="7" t="n"/>
      <c r="S626" s="7" t="n"/>
      <c r="T626" s="7" t="n"/>
      <c r="U626" s="12">
        <f>IF(A626="","",IF(OR(J626="",L626=""),"建議補聯絡紀錄","") )</f>
        <v/>
      </c>
    </row>
    <row r="627" ht="24" customHeight="1">
      <c r="A627" s="7" t="n"/>
      <c r="B627" s="7" t="n"/>
      <c r="C627" s="12">
        <f>IF($A627="","",IFERROR(INDEX(土地清冊_匯入!$B$6:$B$1005,MATCH($A627,土地清冊_匯入!$A$6:$A$1005,0)),"查無資料"))</f>
        <v/>
      </c>
      <c r="D627" s="12">
        <f>IF($A627="","",IFERROR(INDEX(土地清冊_匯入!$P$6:$P$1005,MATCH($A627,土地清冊_匯入!$A$6:$A$1005,0)),""))</f>
        <v/>
      </c>
      <c r="E627" s="12">
        <f>IF($A627="","",IFERROR(INDEX(土地清冊_匯入!$Q$6:$Q$1005,MATCH($A627,土地清冊_匯入!$A$6:$A$1005,0)),""))</f>
        <v/>
      </c>
      <c r="F627" s="12">
        <f>IF($A627="","",IFERROR(INDEX(土地清冊_匯入!$R$6:$R$1005,MATCH($A627,土地清冊_匯入!$A$6:$A$1005,0)),""))</f>
        <v/>
      </c>
      <c r="G627" s="12">
        <f>IF($A627="","",IFERROR(INDEX(土地清冊_匯入!$S$6:$S$1005,MATCH($A627,土地清冊_匯入!$A$6:$A$1005,0)),""))</f>
        <v/>
      </c>
      <c r="H627" s="12">
        <f>IF($A627="","",IFERROR(INDEX(土地清冊_匯入!$T$6:$T$1005,MATCH($A627,土地清冊_匯入!$A$6:$A$1005,0)),""))</f>
        <v/>
      </c>
      <c r="I627" s="12">
        <f>IF($A627="","",IFERROR(INDEX(土地清冊_匯入!$V$6:$V$1005,MATCH($A627,土地清冊_匯入!$A$6:$A$1005,0)),""))</f>
        <v/>
      </c>
      <c r="J627" s="14" t="n"/>
      <c r="K627" s="7" t="n"/>
      <c r="L627" s="7" t="n"/>
      <c r="M627" s="7" t="n"/>
      <c r="N627" s="7" t="n"/>
      <c r="O627" s="7" t="n"/>
      <c r="P627" s="7" t="n"/>
      <c r="Q627" s="14" t="n"/>
      <c r="R627" s="7" t="n"/>
      <c r="S627" s="7" t="n"/>
      <c r="T627" s="7" t="n"/>
      <c r="U627" s="12">
        <f>IF(A627="","",IF(OR(J627="",L627=""),"建議補聯絡紀錄","") )</f>
        <v/>
      </c>
    </row>
    <row r="628" ht="24" customHeight="1">
      <c r="A628" s="7" t="n"/>
      <c r="B628" s="7" t="n"/>
      <c r="C628" s="12">
        <f>IF($A628="","",IFERROR(INDEX(土地清冊_匯入!$B$6:$B$1005,MATCH($A628,土地清冊_匯入!$A$6:$A$1005,0)),"查無資料"))</f>
        <v/>
      </c>
      <c r="D628" s="12">
        <f>IF($A628="","",IFERROR(INDEX(土地清冊_匯入!$P$6:$P$1005,MATCH($A628,土地清冊_匯入!$A$6:$A$1005,0)),""))</f>
        <v/>
      </c>
      <c r="E628" s="12">
        <f>IF($A628="","",IFERROR(INDEX(土地清冊_匯入!$Q$6:$Q$1005,MATCH($A628,土地清冊_匯入!$A$6:$A$1005,0)),""))</f>
        <v/>
      </c>
      <c r="F628" s="12">
        <f>IF($A628="","",IFERROR(INDEX(土地清冊_匯入!$R$6:$R$1005,MATCH($A628,土地清冊_匯入!$A$6:$A$1005,0)),""))</f>
        <v/>
      </c>
      <c r="G628" s="12">
        <f>IF($A628="","",IFERROR(INDEX(土地清冊_匯入!$S$6:$S$1005,MATCH($A628,土地清冊_匯入!$A$6:$A$1005,0)),""))</f>
        <v/>
      </c>
      <c r="H628" s="12">
        <f>IF($A628="","",IFERROR(INDEX(土地清冊_匯入!$T$6:$T$1005,MATCH($A628,土地清冊_匯入!$A$6:$A$1005,0)),""))</f>
        <v/>
      </c>
      <c r="I628" s="12">
        <f>IF($A628="","",IFERROR(INDEX(土地清冊_匯入!$V$6:$V$1005,MATCH($A628,土地清冊_匯入!$A$6:$A$1005,0)),""))</f>
        <v/>
      </c>
      <c r="J628" s="14" t="n"/>
      <c r="K628" s="7" t="n"/>
      <c r="L628" s="7" t="n"/>
      <c r="M628" s="7" t="n"/>
      <c r="N628" s="7" t="n"/>
      <c r="O628" s="7" t="n"/>
      <c r="P628" s="7" t="n"/>
      <c r="Q628" s="14" t="n"/>
      <c r="R628" s="7" t="n"/>
      <c r="S628" s="7" t="n"/>
      <c r="T628" s="7" t="n"/>
      <c r="U628" s="12">
        <f>IF(A628="","",IF(OR(J628="",L628=""),"建議補聯絡紀錄","") )</f>
        <v/>
      </c>
    </row>
    <row r="629" ht="24" customHeight="1">
      <c r="A629" s="7" t="n"/>
      <c r="B629" s="7" t="n"/>
      <c r="C629" s="12">
        <f>IF($A629="","",IFERROR(INDEX(土地清冊_匯入!$B$6:$B$1005,MATCH($A629,土地清冊_匯入!$A$6:$A$1005,0)),"查無資料"))</f>
        <v/>
      </c>
      <c r="D629" s="12">
        <f>IF($A629="","",IFERROR(INDEX(土地清冊_匯入!$P$6:$P$1005,MATCH($A629,土地清冊_匯入!$A$6:$A$1005,0)),""))</f>
        <v/>
      </c>
      <c r="E629" s="12">
        <f>IF($A629="","",IFERROR(INDEX(土地清冊_匯入!$Q$6:$Q$1005,MATCH($A629,土地清冊_匯入!$A$6:$A$1005,0)),""))</f>
        <v/>
      </c>
      <c r="F629" s="12">
        <f>IF($A629="","",IFERROR(INDEX(土地清冊_匯入!$R$6:$R$1005,MATCH($A629,土地清冊_匯入!$A$6:$A$1005,0)),""))</f>
        <v/>
      </c>
      <c r="G629" s="12">
        <f>IF($A629="","",IFERROR(INDEX(土地清冊_匯入!$S$6:$S$1005,MATCH($A629,土地清冊_匯入!$A$6:$A$1005,0)),""))</f>
        <v/>
      </c>
      <c r="H629" s="12">
        <f>IF($A629="","",IFERROR(INDEX(土地清冊_匯入!$T$6:$T$1005,MATCH($A629,土地清冊_匯入!$A$6:$A$1005,0)),""))</f>
        <v/>
      </c>
      <c r="I629" s="12">
        <f>IF($A629="","",IFERROR(INDEX(土地清冊_匯入!$V$6:$V$1005,MATCH($A629,土地清冊_匯入!$A$6:$A$1005,0)),""))</f>
        <v/>
      </c>
      <c r="J629" s="14" t="n"/>
      <c r="K629" s="7" t="n"/>
      <c r="L629" s="7" t="n"/>
      <c r="M629" s="7" t="n"/>
      <c r="N629" s="7" t="n"/>
      <c r="O629" s="7" t="n"/>
      <c r="P629" s="7" t="n"/>
      <c r="Q629" s="14" t="n"/>
      <c r="R629" s="7" t="n"/>
      <c r="S629" s="7" t="n"/>
      <c r="T629" s="7" t="n"/>
      <c r="U629" s="12">
        <f>IF(A629="","",IF(OR(J629="",L629=""),"建議補聯絡紀錄","") )</f>
        <v/>
      </c>
    </row>
    <row r="630" ht="24" customHeight="1">
      <c r="A630" s="7" t="n"/>
      <c r="B630" s="7" t="n"/>
      <c r="C630" s="12">
        <f>IF($A630="","",IFERROR(INDEX(土地清冊_匯入!$B$6:$B$1005,MATCH($A630,土地清冊_匯入!$A$6:$A$1005,0)),"查無資料"))</f>
        <v/>
      </c>
      <c r="D630" s="12">
        <f>IF($A630="","",IFERROR(INDEX(土地清冊_匯入!$P$6:$P$1005,MATCH($A630,土地清冊_匯入!$A$6:$A$1005,0)),""))</f>
        <v/>
      </c>
      <c r="E630" s="12">
        <f>IF($A630="","",IFERROR(INDEX(土地清冊_匯入!$Q$6:$Q$1005,MATCH($A630,土地清冊_匯入!$A$6:$A$1005,0)),""))</f>
        <v/>
      </c>
      <c r="F630" s="12">
        <f>IF($A630="","",IFERROR(INDEX(土地清冊_匯入!$R$6:$R$1005,MATCH($A630,土地清冊_匯入!$A$6:$A$1005,0)),""))</f>
        <v/>
      </c>
      <c r="G630" s="12">
        <f>IF($A630="","",IFERROR(INDEX(土地清冊_匯入!$S$6:$S$1005,MATCH($A630,土地清冊_匯入!$A$6:$A$1005,0)),""))</f>
        <v/>
      </c>
      <c r="H630" s="12">
        <f>IF($A630="","",IFERROR(INDEX(土地清冊_匯入!$T$6:$T$1005,MATCH($A630,土地清冊_匯入!$A$6:$A$1005,0)),""))</f>
        <v/>
      </c>
      <c r="I630" s="12">
        <f>IF($A630="","",IFERROR(INDEX(土地清冊_匯入!$V$6:$V$1005,MATCH($A630,土地清冊_匯入!$A$6:$A$1005,0)),""))</f>
        <v/>
      </c>
      <c r="J630" s="14" t="n"/>
      <c r="K630" s="7" t="n"/>
      <c r="L630" s="7" t="n"/>
      <c r="M630" s="7" t="n"/>
      <c r="N630" s="7" t="n"/>
      <c r="O630" s="7" t="n"/>
      <c r="P630" s="7" t="n"/>
      <c r="Q630" s="14" t="n"/>
      <c r="R630" s="7" t="n"/>
      <c r="S630" s="7" t="n"/>
      <c r="T630" s="7" t="n"/>
      <c r="U630" s="12">
        <f>IF(A630="","",IF(OR(J630="",L630=""),"建議補聯絡紀錄","") )</f>
        <v/>
      </c>
    </row>
    <row r="631" ht="24" customHeight="1">
      <c r="A631" s="7" t="n"/>
      <c r="B631" s="7" t="n"/>
      <c r="C631" s="12">
        <f>IF($A631="","",IFERROR(INDEX(土地清冊_匯入!$B$6:$B$1005,MATCH($A631,土地清冊_匯入!$A$6:$A$1005,0)),"查無資料"))</f>
        <v/>
      </c>
      <c r="D631" s="12">
        <f>IF($A631="","",IFERROR(INDEX(土地清冊_匯入!$P$6:$P$1005,MATCH($A631,土地清冊_匯入!$A$6:$A$1005,0)),""))</f>
        <v/>
      </c>
      <c r="E631" s="12">
        <f>IF($A631="","",IFERROR(INDEX(土地清冊_匯入!$Q$6:$Q$1005,MATCH($A631,土地清冊_匯入!$A$6:$A$1005,0)),""))</f>
        <v/>
      </c>
      <c r="F631" s="12">
        <f>IF($A631="","",IFERROR(INDEX(土地清冊_匯入!$R$6:$R$1005,MATCH($A631,土地清冊_匯入!$A$6:$A$1005,0)),""))</f>
        <v/>
      </c>
      <c r="G631" s="12">
        <f>IF($A631="","",IFERROR(INDEX(土地清冊_匯入!$S$6:$S$1005,MATCH($A631,土地清冊_匯入!$A$6:$A$1005,0)),""))</f>
        <v/>
      </c>
      <c r="H631" s="12">
        <f>IF($A631="","",IFERROR(INDEX(土地清冊_匯入!$T$6:$T$1005,MATCH($A631,土地清冊_匯入!$A$6:$A$1005,0)),""))</f>
        <v/>
      </c>
      <c r="I631" s="12">
        <f>IF($A631="","",IFERROR(INDEX(土地清冊_匯入!$V$6:$V$1005,MATCH($A631,土地清冊_匯入!$A$6:$A$1005,0)),""))</f>
        <v/>
      </c>
      <c r="J631" s="14" t="n"/>
      <c r="K631" s="7" t="n"/>
      <c r="L631" s="7" t="n"/>
      <c r="M631" s="7" t="n"/>
      <c r="N631" s="7" t="n"/>
      <c r="O631" s="7" t="n"/>
      <c r="P631" s="7" t="n"/>
      <c r="Q631" s="14" t="n"/>
      <c r="R631" s="7" t="n"/>
      <c r="S631" s="7" t="n"/>
      <c r="T631" s="7" t="n"/>
      <c r="U631" s="12">
        <f>IF(A631="","",IF(OR(J631="",L631=""),"建議補聯絡紀錄","") )</f>
        <v/>
      </c>
    </row>
    <row r="632" ht="24" customHeight="1">
      <c r="A632" s="7" t="n"/>
      <c r="B632" s="7" t="n"/>
      <c r="C632" s="12">
        <f>IF($A632="","",IFERROR(INDEX(土地清冊_匯入!$B$6:$B$1005,MATCH($A632,土地清冊_匯入!$A$6:$A$1005,0)),"查無資料"))</f>
        <v/>
      </c>
      <c r="D632" s="12">
        <f>IF($A632="","",IFERROR(INDEX(土地清冊_匯入!$P$6:$P$1005,MATCH($A632,土地清冊_匯入!$A$6:$A$1005,0)),""))</f>
        <v/>
      </c>
      <c r="E632" s="12">
        <f>IF($A632="","",IFERROR(INDEX(土地清冊_匯入!$Q$6:$Q$1005,MATCH($A632,土地清冊_匯入!$A$6:$A$1005,0)),""))</f>
        <v/>
      </c>
      <c r="F632" s="12">
        <f>IF($A632="","",IFERROR(INDEX(土地清冊_匯入!$R$6:$R$1005,MATCH($A632,土地清冊_匯入!$A$6:$A$1005,0)),""))</f>
        <v/>
      </c>
      <c r="G632" s="12">
        <f>IF($A632="","",IFERROR(INDEX(土地清冊_匯入!$S$6:$S$1005,MATCH($A632,土地清冊_匯入!$A$6:$A$1005,0)),""))</f>
        <v/>
      </c>
      <c r="H632" s="12">
        <f>IF($A632="","",IFERROR(INDEX(土地清冊_匯入!$T$6:$T$1005,MATCH($A632,土地清冊_匯入!$A$6:$A$1005,0)),""))</f>
        <v/>
      </c>
      <c r="I632" s="12">
        <f>IF($A632="","",IFERROR(INDEX(土地清冊_匯入!$V$6:$V$1005,MATCH($A632,土地清冊_匯入!$A$6:$A$1005,0)),""))</f>
        <v/>
      </c>
      <c r="J632" s="14" t="n"/>
      <c r="K632" s="7" t="n"/>
      <c r="L632" s="7" t="n"/>
      <c r="M632" s="7" t="n"/>
      <c r="N632" s="7" t="n"/>
      <c r="O632" s="7" t="n"/>
      <c r="P632" s="7" t="n"/>
      <c r="Q632" s="14" t="n"/>
      <c r="R632" s="7" t="n"/>
      <c r="S632" s="7" t="n"/>
      <c r="T632" s="7" t="n"/>
      <c r="U632" s="12">
        <f>IF(A632="","",IF(OR(J632="",L632=""),"建議補聯絡紀錄","") )</f>
        <v/>
      </c>
    </row>
    <row r="633" ht="24" customHeight="1">
      <c r="A633" s="7" t="n"/>
      <c r="B633" s="7" t="n"/>
      <c r="C633" s="12">
        <f>IF($A633="","",IFERROR(INDEX(土地清冊_匯入!$B$6:$B$1005,MATCH($A633,土地清冊_匯入!$A$6:$A$1005,0)),"查無資料"))</f>
        <v/>
      </c>
      <c r="D633" s="12">
        <f>IF($A633="","",IFERROR(INDEX(土地清冊_匯入!$P$6:$P$1005,MATCH($A633,土地清冊_匯入!$A$6:$A$1005,0)),""))</f>
        <v/>
      </c>
      <c r="E633" s="12">
        <f>IF($A633="","",IFERROR(INDEX(土地清冊_匯入!$Q$6:$Q$1005,MATCH($A633,土地清冊_匯入!$A$6:$A$1005,0)),""))</f>
        <v/>
      </c>
      <c r="F633" s="12">
        <f>IF($A633="","",IFERROR(INDEX(土地清冊_匯入!$R$6:$R$1005,MATCH($A633,土地清冊_匯入!$A$6:$A$1005,0)),""))</f>
        <v/>
      </c>
      <c r="G633" s="12">
        <f>IF($A633="","",IFERROR(INDEX(土地清冊_匯入!$S$6:$S$1005,MATCH($A633,土地清冊_匯入!$A$6:$A$1005,0)),""))</f>
        <v/>
      </c>
      <c r="H633" s="12">
        <f>IF($A633="","",IFERROR(INDEX(土地清冊_匯入!$T$6:$T$1005,MATCH($A633,土地清冊_匯入!$A$6:$A$1005,0)),""))</f>
        <v/>
      </c>
      <c r="I633" s="12">
        <f>IF($A633="","",IFERROR(INDEX(土地清冊_匯入!$V$6:$V$1005,MATCH($A633,土地清冊_匯入!$A$6:$A$1005,0)),""))</f>
        <v/>
      </c>
      <c r="J633" s="14" t="n"/>
      <c r="K633" s="7" t="n"/>
      <c r="L633" s="7" t="n"/>
      <c r="M633" s="7" t="n"/>
      <c r="N633" s="7" t="n"/>
      <c r="O633" s="7" t="n"/>
      <c r="P633" s="7" t="n"/>
      <c r="Q633" s="14" t="n"/>
      <c r="R633" s="7" t="n"/>
      <c r="S633" s="7" t="n"/>
      <c r="T633" s="7" t="n"/>
      <c r="U633" s="12">
        <f>IF(A633="","",IF(OR(J633="",L633=""),"建議補聯絡紀錄","") )</f>
        <v/>
      </c>
    </row>
    <row r="634" ht="24" customHeight="1">
      <c r="A634" s="7" t="n"/>
      <c r="B634" s="7" t="n"/>
      <c r="C634" s="12">
        <f>IF($A634="","",IFERROR(INDEX(土地清冊_匯入!$B$6:$B$1005,MATCH($A634,土地清冊_匯入!$A$6:$A$1005,0)),"查無資料"))</f>
        <v/>
      </c>
      <c r="D634" s="12">
        <f>IF($A634="","",IFERROR(INDEX(土地清冊_匯入!$P$6:$P$1005,MATCH($A634,土地清冊_匯入!$A$6:$A$1005,0)),""))</f>
        <v/>
      </c>
      <c r="E634" s="12">
        <f>IF($A634="","",IFERROR(INDEX(土地清冊_匯入!$Q$6:$Q$1005,MATCH($A634,土地清冊_匯入!$A$6:$A$1005,0)),""))</f>
        <v/>
      </c>
      <c r="F634" s="12">
        <f>IF($A634="","",IFERROR(INDEX(土地清冊_匯入!$R$6:$R$1005,MATCH($A634,土地清冊_匯入!$A$6:$A$1005,0)),""))</f>
        <v/>
      </c>
      <c r="G634" s="12">
        <f>IF($A634="","",IFERROR(INDEX(土地清冊_匯入!$S$6:$S$1005,MATCH($A634,土地清冊_匯入!$A$6:$A$1005,0)),""))</f>
        <v/>
      </c>
      <c r="H634" s="12">
        <f>IF($A634="","",IFERROR(INDEX(土地清冊_匯入!$T$6:$T$1005,MATCH($A634,土地清冊_匯入!$A$6:$A$1005,0)),""))</f>
        <v/>
      </c>
      <c r="I634" s="12">
        <f>IF($A634="","",IFERROR(INDEX(土地清冊_匯入!$V$6:$V$1005,MATCH($A634,土地清冊_匯入!$A$6:$A$1005,0)),""))</f>
        <v/>
      </c>
      <c r="J634" s="14" t="n"/>
      <c r="K634" s="7" t="n"/>
      <c r="L634" s="7" t="n"/>
      <c r="M634" s="7" t="n"/>
      <c r="N634" s="7" t="n"/>
      <c r="O634" s="7" t="n"/>
      <c r="P634" s="7" t="n"/>
      <c r="Q634" s="14" t="n"/>
      <c r="R634" s="7" t="n"/>
      <c r="S634" s="7" t="n"/>
      <c r="T634" s="7" t="n"/>
      <c r="U634" s="12">
        <f>IF(A634="","",IF(OR(J634="",L634=""),"建議補聯絡紀錄","") )</f>
        <v/>
      </c>
    </row>
    <row r="635" ht="24" customHeight="1">
      <c r="A635" s="7" t="n"/>
      <c r="B635" s="7" t="n"/>
      <c r="C635" s="12">
        <f>IF($A635="","",IFERROR(INDEX(土地清冊_匯入!$B$6:$B$1005,MATCH($A635,土地清冊_匯入!$A$6:$A$1005,0)),"查無資料"))</f>
        <v/>
      </c>
      <c r="D635" s="12">
        <f>IF($A635="","",IFERROR(INDEX(土地清冊_匯入!$P$6:$P$1005,MATCH($A635,土地清冊_匯入!$A$6:$A$1005,0)),""))</f>
        <v/>
      </c>
      <c r="E635" s="12">
        <f>IF($A635="","",IFERROR(INDEX(土地清冊_匯入!$Q$6:$Q$1005,MATCH($A635,土地清冊_匯入!$A$6:$A$1005,0)),""))</f>
        <v/>
      </c>
      <c r="F635" s="12">
        <f>IF($A635="","",IFERROR(INDEX(土地清冊_匯入!$R$6:$R$1005,MATCH($A635,土地清冊_匯入!$A$6:$A$1005,0)),""))</f>
        <v/>
      </c>
      <c r="G635" s="12">
        <f>IF($A635="","",IFERROR(INDEX(土地清冊_匯入!$S$6:$S$1005,MATCH($A635,土地清冊_匯入!$A$6:$A$1005,0)),""))</f>
        <v/>
      </c>
      <c r="H635" s="12">
        <f>IF($A635="","",IFERROR(INDEX(土地清冊_匯入!$T$6:$T$1005,MATCH($A635,土地清冊_匯入!$A$6:$A$1005,0)),""))</f>
        <v/>
      </c>
      <c r="I635" s="12">
        <f>IF($A635="","",IFERROR(INDEX(土地清冊_匯入!$V$6:$V$1005,MATCH($A635,土地清冊_匯入!$A$6:$A$1005,0)),""))</f>
        <v/>
      </c>
      <c r="J635" s="14" t="n"/>
      <c r="K635" s="7" t="n"/>
      <c r="L635" s="7" t="n"/>
      <c r="M635" s="7" t="n"/>
      <c r="N635" s="7" t="n"/>
      <c r="O635" s="7" t="n"/>
      <c r="P635" s="7" t="n"/>
      <c r="Q635" s="14" t="n"/>
      <c r="R635" s="7" t="n"/>
      <c r="S635" s="7" t="n"/>
      <c r="T635" s="7" t="n"/>
      <c r="U635" s="12">
        <f>IF(A635="","",IF(OR(J635="",L635=""),"建議補聯絡紀錄","") )</f>
        <v/>
      </c>
    </row>
    <row r="636" ht="24" customHeight="1">
      <c r="A636" s="7" t="n"/>
      <c r="B636" s="7" t="n"/>
      <c r="C636" s="12">
        <f>IF($A636="","",IFERROR(INDEX(土地清冊_匯入!$B$6:$B$1005,MATCH($A636,土地清冊_匯入!$A$6:$A$1005,0)),"查無資料"))</f>
        <v/>
      </c>
      <c r="D636" s="12">
        <f>IF($A636="","",IFERROR(INDEX(土地清冊_匯入!$P$6:$P$1005,MATCH($A636,土地清冊_匯入!$A$6:$A$1005,0)),""))</f>
        <v/>
      </c>
      <c r="E636" s="12">
        <f>IF($A636="","",IFERROR(INDEX(土地清冊_匯入!$Q$6:$Q$1005,MATCH($A636,土地清冊_匯入!$A$6:$A$1005,0)),""))</f>
        <v/>
      </c>
      <c r="F636" s="12">
        <f>IF($A636="","",IFERROR(INDEX(土地清冊_匯入!$R$6:$R$1005,MATCH($A636,土地清冊_匯入!$A$6:$A$1005,0)),""))</f>
        <v/>
      </c>
      <c r="G636" s="12">
        <f>IF($A636="","",IFERROR(INDEX(土地清冊_匯入!$S$6:$S$1005,MATCH($A636,土地清冊_匯入!$A$6:$A$1005,0)),""))</f>
        <v/>
      </c>
      <c r="H636" s="12">
        <f>IF($A636="","",IFERROR(INDEX(土地清冊_匯入!$T$6:$T$1005,MATCH($A636,土地清冊_匯入!$A$6:$A$1005,0)),""))</f>
        <v/>
      </c>
      <c r="I636" s="12">
        <f>IF($A636="","",IFERROR(INDEX(土地清冊_匯入!$V$6:$V$1005,MATCH($A636,土地清冊_匯入!$A$6:$A$1005,0)),""))</f>
        <v/>
      </c>
      <c r="J636" s="14" t="n"/>
      <c r="K636" s="7" t="n"/>
      <c r="L636" s="7" t="n"/>
      <c r="M636" s="7" t="n"/>
      <c r="N636" s="7" t="n"/>
      <c r="O636" s="7" t="n"/>
      <c r="P636" s="7" t="n"/>
      <c r="Q636" s="14" t="n"/>
      <c r="R636" s="7" t="n"/>
      <c r="S636" s="7" t="n"/>
      <c r="T636" s="7" t="n"/>
      <c r="U636" s="12">
        <f>IF(A636="","",IF(OR(J636="",L636=""),"建議補聯絡紀錄","") )</f>
        <v/>
      </c>
    </row>
    <row r="637" ht="24" customHeight="1">
      <c r="A637" s="7" t="n"/>
      <c r="B637" s="7" t="n"/>
      <c r="C637" s="12">
        <f>IF($A637="","",IFERROR(INDEX(土地清冊_匯入!$B$6:$B$1005,MATCH($A637,土地清冊_匯入!$A$6:$A$1005,0)),"查無資料"))</f>
        <v/>
      </c>
      <c r="D637" s="12">
        <f>IF($A637="","",IFERROR(INDEX(土地清冊_匯入!$P$6:$P$1005,MATCH($A637,土地清冊_匯入!$A$6:$A$1005,0)),""))</f>
        <v/>
      </c>
      <c r="E637" s="12">
        <f>IF($A637="","",IFERROR(INDEX(土地清冊_匯入!$Q$6:$Q$1005,MATCH($A637,土地清冊_匯入!$A$6:$A$1005,0)),""))</f>
        <v/>
      </c>
      <c r="F637" s="12">
        <f>IF($A637="","",IFERROR(INDEX(土地清冊_匯入!$R$6:$R$1005,MATCH($A637,土地清冊_匯入!$A$6:$A$1005,0)),""))</f>
        <v/>
      </c>
      <c r="G637" s="12">
        <f>IF($A637="","",IFERROR(INDEX(土地清冊_匯入!$S$6:$S$1005,MATCH($A637,土地清冊_匯入!$A$6:$A$1005,0)),""))</f>
        <v/>
      </c>
      <c r="H637" s="12">
        <f>IF($A637="","",IFERROR(INDEX(土地清冊_匯入!$T$6:$T$1005,MATCH($A637,土地清冊_匯入!$A$6:$A$1005,0)),""))</f>
        <v/>
      </c>
      <c r="I637" s="12">
        <f>IF($A637="","",IFERROR(INDEX(土地清冊_匯入!$V$6:$V$1005,MATCH($A637,土地清冊_匯入!$A$6:$A$1005,0)),""))</f>
        <v/>
      </c>
      <c r="J637" s="14" t="n"/>
      <c r="K637" s="7" t="n"/>
      <c r="L637" s="7" t="n"/>
      <c r="M637" s="7" t="n"/>
      <c r="N637" s="7" t="n"/>
      <c r="O637" s="7" t="n"/>
      <c r="P637" s="7" t="n"/>
      <c r="Q637" s="14" t="n"/>
      <c r="R637" s="7" t="n"/>
      <c r="S637" s="7" t="n"/>
      <c r="T637" s="7" t="n"/>
      <c r="U637" s="12">
        <f>IF(A637="","",IF(OR(J637="",L637=""),"建議補聯絡紀錄","") )</f>
        <v/>
      </c>
    </row>
    <row r="638" ht="24" customHeight="1">
      <c r="A638" s="7" t="n"/>
      <c r="B638" s="7" t="n"/>
      <c r="C638" s="12">
        <f>IF($A638="","",IFERROR(INDEX(土地清冊_匯入!$B$6:$B$1005,MATCH($A638,土地清冊_匯入!$A$6:$A$1005,0)),"查無資料"))</f>
        <v/>
      </c>
      <c r="D638" s="12">
        <f>IF($A638="","",IFERROR(INDEX(土地清冊_匯入!$P$6:$P$1005,MATCH($A638,土地清冊_匯入!$A$6:$A$1005,0)),""))</f>
        <v/>
      </c>
      <c r="E638" s="12">
        <f>IF($A638="","",IFERROR(INDEX(土地清冊_匯入!$Q$6:$Q$1005,MATCH($A638,土地清冊_匯入!$A$6:$A$1005,0)),""))</f>
        <v/>
      </c>
      <c r="F638" s="12">
        <f>IF($A638="","",IFERROR(INDEX(土地清冊_匯入!$R$6:$R$1005,MATCH($A638,土地清冊_匯入!$A$6:$A$1005,0)),""))</f>
        <v/>
      </c>
      <c r="G638" s="12">
        <f>IF($A638="","",IFERROR(INDEX(土地清冊_匯入!$S$6:$S$1005,MATCH($A638,土地清冊_匯入!$A$6:$A$1005,0)),""))</f>
        <v/>
      </c>
      <c r="H638" s="12">
        <f>IF($A638="","",IFERROR(INDEX(土地清冊_匯入!$T$6:$T$1005,MATCH($A638,土地清冊_匯入!$A$6:$A$1005,0)),""))</f>
        <v/>
      </c>
      <c r="I638" s="12">
        <f>IF($A638="","",IFERROR(INDEX(土地清冊_匯入!$V$6:$V$1005,MATCH($A638,土地清冊_匯入!$A$6:$A$1005,0)),""))</f>
        <v/>
      </c>
      <c r="J638" s="14" t="n"/>
      <c r="K638" s="7" t="n"/>
      <c r="L638" s="7" t="n"/>
      <c r="M638" s="7" t="n"/>
      <c r="N638" s="7" t="n"/>
      <c r="O638" s="7" t="n"/>
      <c r="P638" s="7" t="n"/>
      <c r="Q638" s="14" t="n"/>
      <c r="R638" s="7" t="n"/>
      <c r="S638" s="7" t="n"/>
      <c r="T638" s="7" t="n"/>
      <c r="U638" s="12">
        <f>IF(A638="","",IF(OR(J638="",L638=""),"建議補聯絡紀錄","") )</f>
        <v/>
      </c>
    </row>
    <row r="639" ht="24" customHeight="1">
      <c r="A639" s="7" t="n"/>
      <c r="B639" s="7" t="n"/>
      <c r="C639" s="12">
        <f>IF($A639="","",IFERROR(INDEX(土地清冊_匯入!$B$6:$B$1005,MATCH($A639,土地清冊_匯入!$A$6:$A$1005,0)),"查無資料"))</f>
        <v/>
      </c>
      <c r="D639" s="12">
        <f>IF($A639="","",IFERROR(INDEX(土地清冊_匯入!$P$6:$P$1005,MATCH($A639,土地清冊_匯入!$A$6:$A$1005,0)),""))</f>
        <v/>
      </c>
      <c r="E639" s="12">
        <f>IF($A639="","",IFERROR(INDEX(土地清冊_匯入!$Q$6:$Q$1005,MATCH($A639,土地清冊_匯入!$A$6:$A$1005,0)),""))</f>
        <v/>
      </c>
      <c r="F639" s="12">
        <f>IF($A639="","",IFERROR(INDEX(土地清冊_匯入!$R$6:$R$1005,MATCH($A639,土地清冊_匯入!$A$6:$A$1005,0)),""))</f>
        <v/>
      </c>
      <c r="G639" s="12">
        <f>IF($A639="","",IFERROR(INDEX(土地清冊_匯入!$S$6:$S$1005,MATCH($A639,土地清冊_匯入!$A$6:$A$1005,0)),""))</f>
        <v/>
      </c>
      <c r="H639" s="12">
        <f>IF($A639="","",IFERROR(INDEX(土地清冊_匯入!$T$6:$T$1005,MATCH($A639,土地清冊_匯入!$A$6:$A$1005,0)),""))</f>
        <v/>
      </c>
      <c r="I639" s="12">
        <f>IF($A639="","",IFERROR(INDEX(土地清冊_匯入!$V$6:$V$1005,MATCH($A639,土地清冊_匯入!$A$6:$A$1005,0)),""))</f>
        <v/>
      </c>
      <c r="J639" s="14" t="n"/>
      <c r="K639" s="7" t="n"/>
      <c r="L639" s="7" t="n"/>
      <c r="M639" s="7" t="n"/>
      <c r="N639" s="7" t="n"/>
      <c r="O639" s="7" t="n"/>
      <c r="P639" s="7" t="n"/>
      <c r="Q639" s="14" t="n"/>
      <c r="R639" s="7" t="n"/>
      <c r="S639" s="7" t="n"/>
      <c r="T639" s="7" t="n"/>
      <c r="U639" s="12">
        <f>IF(A639="","",IF(OR(J639="",L639=""),"建議補聯絡紀錄","") )</f>
        <v/>
      </c>
    </row>
    <row r="640" ht="24" customHeight="1">
      <c r="A640" s="7" t="n"/>
      <c r="B640" s="7" t="n"/>
      <c r="C640" s="12">
        <f>IF($A640="","",IFERROR(INDEX(土地清冊_匯入!$B$6:$B$1005,MATCH($A640,土地清冊_匯入!$A$6:$A$1005,0)),"查無資料"))</f>
        <v/>
      </c>
      <c r="D640" s="12">
        <f>IF($A640="","",IFERROR(INDEX(土地清冊_匯入!$P$6:$P$1005,MATCH($A640,土地清冊_匯入!$A$6:$A$1005,0)),""))</f>
        <v/>
      </c>
      <c r="E640" s="12">
        <f>IF($A640="","",IFERROR(INDEX(土地清冊_匯入!$Q$6:$Q$1005,MATCH($A640,土地清冊_匯入!$A$6:$A$1005,0)),""))</f>
        <v/>
      </c>
      <c r="F640" s="12">
        <f>IF($A640="","",IFERROR(INDEX(土地清冊_匯入!$R$6:$R$1005,MATCH($A640,土地清冊_匯入!$A$6:$A$1005,0)),""))</f>
        <v/>
      </c>
      <c r="G640" s="12">
        <f>IF($A640="","",IFERROR(INDEX(土地清冊_匯入!$S$6:$S$1005,MATCH($A640,土地清冊_匯入!$A$6:$A$1005,0)),""))</f>
        <v/>
      </c>
      <c r="H640" s="12">
        <f>IF($A640="","",IFERROR(INDEX(土地清冊_匯入!$T$6:$T$1005,MATCH($A640,土地清冊_匯入!$A$6:$A$1005,0)),""))</f>
        <v/>
      </c>
      <c r="I640" s="12">
        <f>IF($A640="","",IFERROR(INDEX(土地清冊_匯入!$V$6:$V$1005,MATCH($A640,土地清冊_匯入!$A$6:$A$1005,0)),""))</f>
        <v/>
      </c>
      <c r="J640" s="14" t="n"/>
      <c r="K640" s="7" t="n"/>
      <c r="L640" s="7" t="n"/>
      <c r="M640" s="7" t="n"/>
      <c r="N640" s="7" t="n"/>
      <c r="O640" s="7" t="n"/>
      <c r="P640" s="7" t="n"/>
      <c r="Q640" s="14" t="n"/>
      <c r="R640" s="7" t="n"/>
      <c r="S640" s="7" t="n"/>
      <c r="T640" s="7" t="n"/>
      <c r="U640" s="12">
        <f>IF(A640="","",IF(OR(J640="",L640=""),"建議補聯絡紀錄","") )</f>
        <v/>
      </c>
    </row>
    <row r="641" ht="24" customHeight="1">
      <c r="A641" s="7" t="n"/>
      <c r="B641" s="7" t="n"/>
      <c r="C641" s="12">
        <f>IF($A641="","",IFERROR(INDEX(土地清冊_匯入!$B$6:$B$1005,MATCH($A641,土地清冊_匯入!$A$6:$A$1005,0)),"查無資料"))</f>
        <v/>
      </c>
      <c r="D641" s="12">
        <f>IF($A641="","",IFERROR(INDEX(土地清冊_匯入!$P$6:$P$1005,MATCH($A641,土地清冊_匯入!$A$6:$A$1005,0)),""))</f>
        <v/>
      </c>
      <c r="E641" s="12">
        <f>IF($A641="","",IFERROR(INDEX(土地清冊_匯入!$Q$6:$Q$1005,MATCH($A641,土地清冊_匯入!$A$6:$A$1005,0)),""))</f>
        <v/>
      </c>
      <c r="F641" s="12">
        <f>IF($A641="","",IFERROR(INDEX(土地清冊_匯入!$R$6:$R$1005,MATCH($A641,土地清冊_匯入!$A$6:$A$1005,0)),""))</f>
        <v/>
      </c>
      <c r="G641" s="12">
        <f>IF($A641="","",IFERROR(INDEX(土地清冊_匯入!$S$6:$S$1005,MATCH($A641,土地清冊_匯入!$A$6:$A$1005,0)),""))</f>
        <v/>
      </c>
      <c r="H641" s="12">
        <f>IF($A641="","",IFERROR(INDEX(土地清冊_匯入!$T$6:$T$1005,MATCH($A641,土地清冊_匯入!$A$6:$A$1005,0)),""))</f>
        <v/>
      </c>
      <c r="I641" s="12">
        <f>IF($A641="","",IFERROR(INDEX(土地清冊_匯入!$V$6:$V$1005,MATCH($A641,土地清冊_匯入!$A$6:$A$1005,0)),""))</f>
        <v/>
      </c>
      <c r="J641" s="14" t="n"/>
      <c r="K641" s="7" t="n"/>
      <c r="L641" s="7" t="n"/>
      <c r="M641" s="7" t="n"/>
      <c r="N641" s="7" t="n"/>
      <c r="O641" s="7" t="n"/>
      <c r="P641" s="7" t="n"/>
      <c r="Q641" s="14" t="n"/>
      <c r="R641" s="7" t="n"/>
      <c r="S641" s="7" t="n"/>
      <c r="T641" s="7" t="n"/>
      <c r="U641" s="12">
        <f>IF(A641="","",IF(OR(J641="",L641=""),"建議補聯絡紀錄","") )</f>
        <v/>
      </c>
    </row>
    <row r="642" ht="24" customHeight="1">
      <c r="A642" s="7" t="n"/>
      <c r="B642" s="7" t="n"/>
      <c r="C642" s="12">
        <f>IF($A642="","",IFERROR(INDEX(土地清冊_匯入!$B$6:$B$1005,MATCH($A642,土地清冊_匯入!$A$6:$A$1005,0)),"查無資料"))</f>
        <v/>
      </c>
      <c r="D642" s="12">
        <f>IF($A642="","",IFERROR(INDEX(土地清冊_匯入!$P$6:$P$1005,MATCH($A642,土地清冊_匯入!$A$6:$A$1005,0)),""))</f>
        <v/>
      </c>
      <c r="E642" s="12">
        <f>IF($A642="","",IFERROR(INDEX(土地清冊_匯入!$Q$6:$Q$1005,MATCH($A642,土地清冊_匯入!$A$6:$A$1005,0)),""))</f>
        <v/>
      </c>
      <c r="F642" s="12">
        <f>IF($A642="","",IFERROR(INDEX(土地清冊_匯入!$R$6:$R$1005,MATCH($A642,土地清冊_匯入!$A$6:$A$1005,0)),""))</f>
        <v/>
      </c>
      <c r="G642" s="12">
        <f>IF($A642="","",IFERROR(INDEX(土地清冊_匯入!$S$6:$S$1005,MATCH($A642,土地清冊_匯入!$A$6:$A$1005,0)),""))</f>
        <v/>
      </c>
      <c r="H642" s="12">
        <f>IF($A642="","",IFERROR(INDEX(土地清冊_匯入!$T$6:$T$1005,MATCH($A642,土地清冊_匯入!$A$6:$A$1005,0)),""))</f>
        <v/>
      </c>
      <c r="I642" s="12">
        <f>IF($A642="","",IFERROR(INDEX(土地清冊_匯入!$V$6:$V$1005,MATCH($A642,土地清冊_匯入!$A$6:$A$1005,0)),""))</f>
        <v/>
      </c>
      <c r="J642" s="14" t="n"/>
      <c r="K642" s="7" t="n"/>
      <c r="L642" s="7" t="n"/>
      <c r="M642" s="7" t="n"/>
      <c r="N642" s="7" t="n"/>
      <c r="O642" s="7" t="n"/>
      <c r="P642" s="7" t="n"/>
      <c r="Q642" s="14" t="n"/>
      <c r="R642" s="7" t="n"/>
      <c r="S642" s="7" t="n"/>
      <c r="T642" s="7" t="n"/>
      <c r="U642" s="12">
        <f>IF(A642="","",IF(OR(J642="",L642=""),"建議補聯絡紀錄","") )</f>
        <v/>
      </c>
    </row>
    <row r="643" ht="24" customHeight="1">
      <c r="A643" s="7" t="n"/>
      <c r="B643" s="7" t="n"/>
      <c r="C643" s="12">
        <f>IF($A643="","",IFERROR(INDEX(土地清冊_匯入!$B$6:$B$1005,MATCH($A643,土地清冊_匯入!$A$6:$A$1005,0)),"查無資料"))</f>
        <v/>
      </c>
      <c r="D643" s="12">
        <f>IF($A643="","",IFERROR(INDEX(土地清冊_匯入!$P$6:$P$1005,MATCH($A643,土地清冊_匯入!$A$6:$A$1005,0)),""))</f>
        <v/>
      </c>
      <c r="E643" s="12">
        <f>IF($A643="","",IFERROR(INDEX(土地清冊_匯入!$Q$6:$Q$1005,MATCH($A643,土地清冊_匯入!$A$6:$A$1005,0)),""))</f>
        <v/>
      </c>
      <c r="F643" s="12">
        <f>IF($A643="","",IFERROR(INDEX(土地清冊_匯入!$R$6:$R$1005,MATCH($A643,土地清冊_匯入!$A$6:$A$1005,0)),""))</f>
        <v/>
      </c>
      <c r="G643" s="12">
        <f>IF($A643="","",IFERROR(INDEX(土地清冊_匯入!$S$6:$S$1005,MATCH($A643,土地清冊_匯入!$A$6:$A$1005,0)),""))</f>
        <v/>
      </c>
      <c r="H643" s="12">
        <f>IF($A643="","",IFERROR(INDEX(土地清冊_匯入!$T$6:$T$1005,MATCH($A643,土地清冊_匯入!$A$6:$A$1005,0)),""))</f>
        <v/>
      </c>
      <c r="I643" s="12">
        <f>IF($A643="","",IFERROR(INDEX(土地清冊_匯入!$V$6:$V$1005,MATCH($A643,土地清冊_匯入!$A$6:$A$1005,0)),""))</f>
        <v/>
      </c>
      <c r="J643" s="14" t="n"/>
      <c r="K643" s="7" t="n"/>
      <c r="L643" s="7" t="n"/>
      <c r="M643" s="7" t="n"/>
      <c r="N643" s="7" t="n"/>
      <c r="O643" s="7" t="n"/>
      <c r="P643" s="7" t="n"/>
      <c r="Q643" s="14" t="n"/>
      <c r="R643" s="7" t="n"/>
      <c r="S643" s="7" t="n"/>
      <c r="T643" s="7" t="n"/>
      <c r="U643" s="12">
        <f>IF(A643="","",IF(OR(J643="",L643=""),"建議補聯絡紀錄","") )</f>
        <v/>
      </c>
    </row>
    <row r="644" ht="24" customHeight="1">
      <c r="A644" s="7" t="n"/>
      <c r="B644" s="7" t="n"/>
      <c r="C644" s="12">
        <f>IF($A644="","",IFERROR(INDEX(土地清冊_匯入!$B$6:$B$1005,MATCH($A644,土地清冊_匯入!$A$6:$A$1005,0)),"查無資料"))</f>
        <v/>
      </c>
      <c r="D644" s="12">
        <f>IF($A644="","",IFERROR(INDEX(土地清冊_匯入!$P$6:$P$1005,MATCH($A644,土地清冊_匯入!$A$6:$A$1005,0)),""))</f>
        <v/>
      </c>
      <c r="E644" s="12">
        <f>IF($A644="","",IFERROR(INDEX(土地清冊_匯入!$Q$6:$Q$1005,MATCH($A644,土地清冊_匯入!$A$6:$A$1005,0)),""))</f>
        <v/>
      </c>
      <c r="F644" s="12">
        <f>IF($A644="","",IFERROR(INDEX(土地清冊_匯入!$R$6:$R$1005,MATCH($A644,土地清冊_匯入!$A$6:$A$1005,0)),""))</f>
        <v/>
      </c>
      <c r="G644" s="12">
        <f>IF($A644="","",IFERROR(INDEX(土地清冊_匯入!$S$6:$S$1005,MATCH($A644,土地清冊_匯入!$A$6:$A$1005,0)),""))</f>
        <v/>
      </c>
      <c r="H644" s="12">
        <f>IF($A644="","",IFERROR(INDEX(土地清冊_匯入!$T$6:$T$1005,MATCH($A644,土地清冊_匯入!$A$6:$A$1005,0)),""))</f>
        <v/>
      </c>
      <c r="I644" s="12">
        <f>IF($A644="","",IFERROR(INDEX(土地清冊_匯入!$V$6:$V$1005,MATCH($A644,土地清冊_匯入!$A$6:$A$1005,0)),""))</f>
        <v/>
      </c>
      <c r="J644" s="14" t="n"/>
      <c r="K644" s="7" t="n"/>
      <c r="L644" s="7" t="n"/>
      <c r="M644" s="7" t="n"/>
      <c r="N644" s="7" t="n"/>
      <c r="O644" s="7" t="n"/>
      <c r="P644" s="7" t="n"/>
      <c r="Q644" s="14" t="n"/>
      <c r="R644" s="7" t="n"/>
      <c r="S644" s="7" t="n"/>
      <c r="T644" s="7" t="n"/>
      <c r="U644" s="12">
        <f>IF(A644="","",IF(OR(J644="",L644=""),"建議補聯絡紀錄","") )</f>
        <v/>
      </c>
    </row>
    <row r="645" ht="24" customHeight="1">
      <c r="A645" s="7" t="n"/>
      <c r="B645" s="7" t="n"/>
      <c r="C645" s="12">
        <f>IF($A645="","",IFERROR(INDEX(土地清冊_匯入!$B$6:$B$1005,MATCH($A645,土地清冊_匯入!$A$6:$A$1005,0)),"查無資料"))</f>
        <v/>
      </c>
      <c r="D645" s="12">
        <f>IF($A645="","",IFERROR(INDEX(土地清冊_匯入!$P$6:$P$1005,MATCH($A645,土地清冊_匯入!$A$6:$A$1005,0)),""))</f>
        <v/>
      </c>
      <c r="E645" s="12">
        <f>IF($A645="","",IFERROR(INDEX(土地清冊_匯入!$Q$6:$Q$1005,MATCH($A645,土地清冊_匯入!$A$6:$A$1005,0)),""))</f>
        <v/>
      </c>
      <c r="F645" s="12">
        <f>IF($A645="","",IFERROR(INDEX(土地清冊_匯入!$R$6:$R$1005,MATCH($A645,土地清冊_匯入!$A$6:$A$1005,0)),""))</f>
        <v/>
      </c>
      <c r="G645" s="12">
        <f>IF($A645="","",IFERROR(INDEX(土地清冊_匯入!$S$6:$S$1005,MATCH($A645,土地清冊_匯入!$A$6:$A$1005,0)),""))</f>
        <v/>
      </c>
      <c r="H645" s="12">
        <f>IF($A645="","",IFERROR(INDEX(土地清冊_匯入!$T$6:$T$1005,MATCH($A645,土地清冊_匯入!$A$6:$A$1005,0)),""))</f>
        <v/>
      </c>
      <c r="I645" s="12">
        <f>IF($A645="","",IFERROR(INDEX(土地清冊_匯入!$V$6:$V$1005,MATCH($A645,土地清冊_匯入!$A$6:$A$1005,0)),""))</f>
        <v/>
      </c>
      <c r="J645" s="14" t="n"/>
      <c r="K645" s="7" t="n"/>
      <c r="L645" s="7" t="n"/>
      <c r="M645" s="7" t="n"/>
      <c r="N645" s="7" t="n"/>
      <c r="O645" s="7" t="n"/>
      <c r="P645" s="7" t="n"/>
      <c r="Q645" s="14" t="n"/>
      <c r="R645" s="7" t="n"/>
      <c r="S645" s="7" t="n"/>
      <c r="T645" s="7" t="n"/>
      <c r="U645" s="12">
        <f>IF(A645="","",IF(OR(J645="",L645=""),"建議補聯絡紀錄","") )</f>
        <v/>
      </c>
    </row>
    <row r="646" ht="24" customHeight="1">
      <c r="A646" s="7" t="n"/>
      <c r="B646" s="7" t="n"/>
      <c r="C646" s="12">
        <f>IF($A646="","",IFERROR(INDEX(土地清冊_匯入!$B$6:$B$1005,MATCH($A646,土地清冊_匯入!$A$6:$A$1005,0)),"查無資料"))</f>
        <v/>
      </c>
      <c r="D646" s="12">
        <f>IF($A646="","",IFERROR(INDEX(土地清冊_匯入!$P$6:$P$1005,MATCH($A646,土地清冊_匯入!$A$6:$A$1005,0)),""))</f>
        <v/>
      </c>
      <c r="E646" s="12">
        <f>IF($A646="","",IFERROR(INDEX(土地清冊_匯入!$Q$6:$Q$1005,MATCH($A646,土地清冊_匯入!$A$6:$A$1005,0)),""))</f>
        <v/>
      </c>
      <c r="F646" s="12">
        <f>IF($A646="","",IFERROR(INDEX(土地清冊_匯入!$R$6:$R$1005,MATCH($A646,土地清冊_匯入!$A$6:$A$1005,0)),""))</f>
        <v/>
      </c>
      <c r="G646" s="12">
        <f>IF($A646="","",IFERROR(INDEX(土地清冊_匯入!$S$6:$S$1005,MATCH($A646,土地清冊_匯入!$A$6:$A$1005,0)),""))</f>
        <v/>
      </c>
      <c r="H646" s="12">
        <f>IF($A646="","",IFERROR(INDEX(土地清冊_匯入!$T$6:$T$1005,MATCH($A646,土地清冊_匯入!$A$6:$A$1005,0)),""))</f>
        <v/>
      </c>
      <c r="I646" s="12">
        <f>IF($A646="","",IFERROR(INDEX(土地清冊_匯入!$V$6:$V$1005,MATCH($A646,土地清冊_匯入!$A$6:$A$1005,0)),""))</f>
        <v/>
      </c>
      <c r="J646" s="14" t="n"/>
      <c r="K646" s="7" t="n"/>
      <c r="L646" s="7" t="n"/>
      <c r="M646" s="7" t="n"/>
      <c r="N646" s="7" t="n"/>
      <c r="O646" s="7" t="n"/>
      <c r="P646" s="7" t="n"/>
      <c r="Q646" s="14" t="n"/>
      <c r="R646" s="7" t="n"/>
      <c r="S646" s="7" t="n"/>
      <c r="T646" s="7" t="n"/>
      <c r="U646" s="12">
        <f>IF(A646="","",IF(OR(J646="",L646=""),"建議補聯絡紀錄","") )</f>
        <v/>
      </c>
    </row>
    <row r="647" ht="24" customHeight="1">
      <c r="A647" s="7" t="n"/>
      <c r="B647" s="7" t="n"/>
      <c r="C647" s="12">
        <f>IF($A647="","",IFERROR(INDEX(土地清冊_匯入!$B$6:$B$1005,MATCH($A647,土地清冊_匯入!$A$6:$A$1005,0)),"查無資料"))</f>
        <v/>
      </c>
      <c r="D647" s="12">
        <f>IF($A647="","",IFERROR(INDEX(土地清冊_匯入!$P$6:$P$1005,MATCH($A647,土地清冊_匯入!$A$6:$A$1005,0)),""))</f>
        <v/>
      </c>
      <c r="E647" s="12">
        <f>IF($A647="","",IFERROR(INDEX(土地清冊_匯入!$Q$6:$Q$1005,MATCH($A647,土地清冊_匯入!$A$6:$A$1005,0)),""))</f>
        <v/>
      </c>
      <c r="F647" s="12">
        <f>IF($A647="","",IFERROR(INDEX(土地清冊_匯入!$R$6:$R$1005,MATCH($A647,土地清冊_匯入!$A$6:$A$1005,0)),""))</f>
        <v/>
      </c>
      <c r="G647" s="12">
        <f>IF($A647="","",IFERROR(INDEX(土地清冊_匯入!$S$6:$S$1005,MATCH($A647,土地清冊_匯入!$A$6:$A$1005,0)),""))</f>
        <v/>
      </c>
      <c r="H647" s="12">
        <f>IF($A647="","",IFERROR(INDEX(土地清冊_匯入!$T$6:$T$1005,MATCH($A647,土地清冊_匯入!$A$6:$A$1005,0)),""))</f>
        <v/>
      </c>
      <c r="I647" s="12">
        <f>IF($A647="","",IFERROR(INDEX(土地清冊_匯入!$V$6:$V$1005,MATCH($A647,土地清冊_匯入!$A$6:$A$1005,0)),""))</f>
        <v/>
      </c>
      <c r="J647" s="14" t="n"/>
      <c r="K647" s="7" t="n"/>
      <c r="L647" s="7" t="n"/>
      <c r="M647" s="7" t="n"/>
      <c r="N647" s="7" t="n"/>
      <c r="O647" s="7" t="n"/>
      <c r="P647" s="7" t="n"/>
      <c r="Q647" s="14" t="n"/>
      <c r="R647" s="7" t="n"/>
      <c r="S647" s="7" t="n"/>
      <c r="T647" s="7" t="n"/>
      <c r="U647" s="12">
        <f>IF(A647="","",IF(OR(J647="",L647=""),"建議補聯絡紀錄","") )</f>
        <v/>
      </c>
    </row>
    <row r="648" ht="24" customHeight="1">
      <c r="A648" s="7" t="n"/>
      <c r="B648" s="7" t="n"/>
      <c r="C648" s="12">
        <f>IF($A648="","",IFERROR(INDEX(土地清冊_匯入!$B$6:$B$1005,MATCH($A648,土地清冊_匯入!$A$6:$A$1005,0)),"查無資料"))</f>
        <v/>
      </c>
      <c r="D648" s="12">
        <f>IF($A648="","",IFERROR(INDEX(土地清冊_匯入!$P$6:$P$1005,MATCH($A648,土地清冊_匯入!$A$6:$A$1005,0)),""))</f>
        <v/>
      </c>
      <c r="E648" s="12">
        <f>IF($A648="","",IFERROR(INDEX(土地清冊_匯入!$Q$6:$Q$1005,MATCH($A648,土地清冊_匯入!$A$6:$A$1005,0)),""))</f>
        <v/>
      </c>
      <c r="F648" s="12">
        <f>IF($A648="","",IFERROR(INDEX(土地清冊_匯入!$R$6:$R$1005,MATCH($A648,土地清冊_匯入!$A$6:$A$1005,0)),""))</f>
        <v/>
      </c>
      <c r="G648" s="12">
        <f>IF($A648="","",IFERROR(INDEX(土地清冊_匯入!$S$6:$S$1005,MATCH($A648,土地清冊_匯入!$A$6:$A$1005,0)),""))</f>
        <v/>
      </c>
      <c r="H648" s="12">
        <f>IF($A648="","",IFERROR(INDEX(土地清冊_匯入!$T$6:$T$1005,MATCH($A648,土地清冊_匯入!$A$6:$A$1005,0)),""))</f>
        <v/>
      </c>
      <c r="I648" s="12">
        <f>IF($A648="","",IFERROR(INDEX(土地清冊_匯入!$V$6:$V$1005,MATCH($A648,土地清冊_匯入!$A$6:$A$1005,0)),""))</f>
        <v/>
      </c>
      <c r="J648" s="14" t="n"/>
      <c r="K648" s="7" t="n"/>
      <c r="L648" s="7" t="n"/>
      <c r="M648" s="7" t="n"/>
      <c r="N648" s="7" t="n"/>
      <c r="O648" s="7" t="n"/>
      <c r="P648" s="7" t="n"/>
      <c r="Q648" s="14" t="n"/>
      <c r="R648" s="7" t="n"/>
      <c r="S648" s="7" t="n"/>
      <c r="T648" s="7" t="n"/>
      <c r="U648" s="12">
        <f>IF(A648="","",IF(OR(J648="",L648=""),"建議補聯絡紀錄","") )</f>
        <v/>
      </c>
    </row>
    <row r="649" ht="24" customHeight="1">
      <c r="A649" s="7" t="n"/>
      <c r="B649" s="7" t="n"/>
      <c r="C649" s="12">
        <f>IF($A649="","",IFERROR(INDEX(土地清冊_匯入!$B$6:$B$1005,MATCH($A649,土地清冊_匯入!$A$6:$A$1005,0)),"查無資料"))</f>
        <v/>
      </c>
      <c r="D649" s="12">
        <f>IF($A649="","",IFERROR(INDEX(土地清冊_匯入!$P$6:$P$1005,MATCH($A649,土地清冊_匯入!$A$6:$A$1005,0)),""))</f>
        <v/>
      </c>
      <c r="E649" s="12">
        <f>IF($A649="","",IFERROR(INDEX(土地清冊_匯入!$Q$6:$Q$1005,MATCH($A649,土地清冊_匯入!$A$6:$A$1005,0)),""))</f>
        <v/>
      </c>
      <c r="F649" s="12">
        <f>IF($A649="","",IFERROR(INDEX(土地清冊_匯入!$R$6:$R$1005,MATCH($A649,土地清冊_匯入!$A$6:$A$1005,0)),""))</f>
        <v/>
      </c>
      <c r="G649" s="12">
        <f>IF($A649="","",IFERROR(INDEX(土地清冊_匯入!$S$6:$S$1005,MATCH($A649,土地清冊_匯入!$A$6:$A$1005,0)),""))</f>
        <v/>
      </c>
      <c r="H649" s="12">
        <f>IF($A649="","",IFERROR(INDEX(土地清冊_匯入!$T$6:$T$1005,MATCH($A649,土地清冊_匯入!$A$6:$A$1005,0)),""))</f>
        <v/>
      </c>
      <c r="I649" s="12">
        <f>IF($A649="","",IFERROR(INDEX(土地清冊_匯入!$V$6:$V$1005,MATCH($A649,土地清冊_匯入!$A$6:$A$1005,0)),""))</f>
        <v/>
      </c>
      <c r="J649" s="14" t="n"/>
      <c r="K649" s="7" t="n"/>
      <c r="L649" s="7" t="n"/>
      <c r="M649" s="7" t="n"/>
      <c r="N649" s="7" t="n"/>
      <c r="O649" s="7" t="n"/>
      <c r="P649" s="7" t="n"/>
      <c r="Q649" s="14" t="n"/>
      <c r="R649" s="7" t="n"/>
      <c r="S649" s="7" t="n"/>
      <c r="T649" s="7" t="n"/>
      <c r="U649" s="12">
        <f>IF(A649="","",IF(OR(J649="",L649=""),"建議補聯絡紀錄","") )</f>
        <v/>
      </c>
    </row>
    <row r="650" ht="24" customHeight="1">
      <c r="A650" s="7" t="n"/>
      <c r="B650" s="7" t="n"/>
      <c r="C650" s="12">
        <f>IF($A650="","",IFERROR(INDEX(土地清冊_匯入!$B$6:$B$1005,MATCH($A650,土地清冊_匯入!$A$6:$A$1005,0)),"查無資料"))</f>
        <v/>
      </c>
      <c r="D650" s="12">
        <f>IF($A650="","",IFERROR(INDEX(土地清冊_匯入!$P$6:$P$1005,MATCH($A650,土地清冊_匯入!$A$6:$A$1005,0)),""))</f>
        <v/>
      </c>
      <c r="E650" s="12">
        <f>IF($A650="","",IFERROR(INDEX(土地清冊_匯入!$Q$6:$Q$1005,MATCH($A650,土地清冊_匯入!$A$6:$A$1005,0)),""))</f>
        <v/>
      </c>
      <c r="F650" s="12">
        <f>IF($A650="","",IFERROR(INDEX(土地清冊_匯入!$R$6:$R$1005,MATCH($A650,土地清冊_匯入!$A$6:$A$1005,0)),""))</f>
        <v/>
      </c>
      <c r="G650" s="12">
        <f>IF($A650="","",IFERROR(INDEX(土地清冊_匯入!$S$6:$S$1005,MATCH($A650,土地清冊_匯入!$A$6:$A$1005,0)),""))</f>
        <v/>
      </c>
      <c r="H650" s="12">
        <f>IF($A650="","",IFERROR(INDEX(土地清冊_匯入!$T$6:$T$1005,MATCH($A650,土地清冊_匯入!$A$6:$A$1005,0)),""))</f>
        <v/>
      </c>
      <c r="I650" s="12">
        <f>IF($A650="","",IFERROR(INDEX(土地清冊_匯入!$V$6:$V$1005,MATCH($A650,土地清冊_匯入!$A$6:$A$1005,0)),""))</f>
        <v/>
      </c>
      <c r="J650" s="14" t="n"/>
      <c r="K650" s="7" t="n"/>
      <c r="L650" s="7" t="n"/>
      <c r="M650" s="7" t="n"/>
      <c r="N650" s="7" t="n"/>
      <c r="O650" s="7" t="n"/>
      <c r="P650" s="7" t="n"/>
      <c r="Q650" s="14" t="n"/>
      <c r="R650" s="7" t="n"/>
      <c r="S650" s="7" t="n"/>
      <c r="T650" s="7" t="n"/>
      <c r="U650" s="12">
        <f>IF(A650="","",IF(OR(J650="",L650=""),"建議補聯絡紀錄","") )</f>
        <v/>
      </c>
    </row>
    <row r="651" ht="24" customHeight="1">
      <c r="A651" s="7" t="n"/>
      <c r="B651" s="7" t="n"/>
      <c r="C651" s="12">
        <f>IF($A651="","",IFERROR(INDEX(土地清冊_匯入!$B$6:$B$1005,MATCH($A651,土地清冊_匯入!$A$6:$A$1005,0)),"查無資料"))</f>
        <v/>
      </c>
      <c r="D651" s="12">
        <f>IF($A651="","",IFERROR(INDEX(土地清冊_匯入!$P$6:$P$1005,MATCH($A651,土地清冊_匯入!$A$6:$A$1005,0)),""))</f>
        <v/>
      </c>
      <c r="E651" s="12">
        <f>IF($A651="","",IFERROR(INDEX(土地清冊_匯入!$Q$6:$Q$1005,MATCH($A651,土地清冊_匯入!$A$6:$A$1005,0)),""))</f>
        <v/>
      </c>
      <c r="F651" s="12">
        <f>IF($A651="","",IFERROR(INDEX(土地清冊_匯入!$R$6:$R$1005,MATCH($A651,土地清冊_匯入!$A$6:$A$1005,0)),""))</f>
        <v/>
      </c>
      <c r="G651" s="12">
        <f>IF($A651="","",IFERROR(INDEX(土地清冊_匯入!$S$6:$S$1005,MATCH($A651,土地清冊_匯入!$A$6:$A$1005,0)),""))</f>
        <v/>
      </c>
      <c r="H651" s="12">
        <f>IF($A651="","",IFERROR(INDEX(土地清冊_匯入!$T$6:$T$1005,MATCH($A651,土地清冊_匯入!$A$6:$A$1005,0)),""))</f>
        <v/>
      </c>
      <c r="I651" s="12">
        <f>IF($A651="","",IFERROR(INDEX(土地清冊_匯入!$V$6:$V$1005,MATCH($A651,土地清冊_匯入!$A$6:$A$1005,0)),""))</f>
        <v/>
      </c>
      <c r="J651" s="14" t="n"/>
      <c r="K651" s="7" t="n"/>
      <c r="L651" s="7" t="n"/>
      <c r="M651" s="7" t="n"/>
      <c r="N651" s="7" t="n"/>
      <c r="O651" s="7" t="n"/>
      <c r="P651" s="7" t="n"/>
      <c r="Q651" s="14" t="n"/>
      <c r="R651" s="7" t="n"/>
      <c r="S651" s="7" t="n"/>
      <c r="T651" s="7" t="n"/>
      <c r="U651" s="12">
        <f>IF(A651="","",IF(OR(J651="",L651=""),"建議補聯絡紀錄","") )</f>
        <v/>
      </c>
    </row>
    <row r="652" ht="24" customHeight="1">
      <c r="A652" s="7" t="n"/>
      <c r="B652" s="7" t="n"/>
      <c r="C652" s="12">
        <f>IF($A652="","",IFERROR(INDEX(土地清冊_匯入!$B$6:$B$1005,MATCH($A652,土地清冊_匯入!$A$6:$A$1005,0)),"查無資料"))</f>
        <v/>
      </c>
      <c r="D652" s="12">
        <f>IF($A652="","",IFERROR(INDEX(土地清冊_匯入!$P$6:$P$1005,MATCH($A652,土地清冊_匯入!$A$6:$A$1005,0)),""))</f>
        <v/>
      </c>
      <c r="E652" s="12">
        <f>IF($A652="","",IFERROR(INDEX(土地清冊_匯入!$Q$6:$Q$1005,MATCH($A652,土地清冊_匯入!$A$6:$A$1005,0)),""))</f>
        <v/>
      </c>
      <c r="F652" s="12">
        <f>IF($A652="","",IFERROR(INDEX(土地清冊_匯入!$R$6:$R$1005,MATCH($A652,土地清冊_匯入!$A$6:$A$1005,0)),""))</f>
        <v/>
      </c>
      <c r="G652" s="12">
        <f>IF($A652="","",IFERROR(INDEX(土地清冊_匯入!$S$6:$S$1005,MATCH($A652,土地清冊_匯入!$A$6:$A$1005,0)),""))</f>
        <v/>
      </c>
      <c r="H652" s="12">
        <f>IF($A652="","",IFERROR(INDEX(土地清冊_匯入!$T$6:$T$1005,MATCH($A652,土地清冊_匯入!$A$6:$A$1005,0)),""))</f>
        <v/>
      </c>
      <c r="I652" s="12">
        <f>IF($A652="","",IFERROR(INDEX(土地清冊_匯入!$V$6:$V$1005,MATCH($A652,土地清冊_匯入!$A$6:$A$1005,0)),""))</f>
        <v/>
      </c>
      <c r="J652" s="14" t="n"/>
      <c r="K652" s="7" t="n"/>
      <c r="L652" s="7" t="n"/>
      <c r="M652" s="7" t="n"/>
      <c r="N652" s="7" t="n"/>
      <c r="O652" s="7" t="n"/>
      <c r="P652" s="7" t="n"/>
      <c r="Q652" s="14" t="n"/>
      <c r="R652" s="7" t="n"/>
      <c r="S652" s="7" t="n"/>
      <c r="T652" s="7" t="n"/>
      <c r="U652" s="12">
        <f>IF(A652="","",IF(OR(J652="",L652=""),"建議補聯絡紀錄","") )</f>
        <v/>
      </c>
    </row>
    <row r="653" ht="24" customHeight="1">
      <c r="A653" s="7" t="n"/>
      <c r="B653" s="7" t="n"/>
      <c r="C653" s="12">
        <f>IF($A653="","",IFERROR(INDEX(土地清冊_匯入!$B$6:$B$1005,MATCH($A653,土地清冊_匯入!$A$6:$A$1005,0)),"查無資料"))</f>
        <v/>
      </c>
      <c r="D653" s="12">
        <f>IF($A653="","",IFERROR(INDEX(土地清冊_匯入!$P$6:$P$1005,MATCH($A653,土地清冊_匯入!$A$6:$A$1005,0)),""))</f>
        <v/>
      </c>
      <c r="E653" s="12">
        <f>IF($A653="","",IFERROR(INDEX(土地清冊_匯入!$Q$6:$Q$1005,MATCH($A653,土地清冊_匯入!$A$6:$A$1005,0)),""))</f>
        <v/>
      </c>
      <c r="F653" s="12">
        <f>IF($A653="","",IFERROR(INDEX(土地清冊_匯入!$R$6:$R$1005,MATCH($A653,土地清冊_匯入!$A$6:$A$1005,0)),""))</f>
        <v/>
      </c>
      <c r="G653" s="12">
        <f>IF($A653="","",IFERROR(INDEX(土地清冊_匯入!$S$6:$S$1005,MATCH($A653,土地清冊_匯入!$A$6:$A$1005,0)),""))</f>
        <v/>
      </c>
      <c r="H653" s="12">
        <f>IF($A653="","",IFERROR(INDEX(土地清冊_匯入!$T$6:$T$1005,MATCH($A653,土地清冊_匯入!$A$6:$A$1005,0)),""))</f>
        <v/>
      </c>
      <c r="I653" s="12">
        <f>IF($A653="","",IFERROR(INDEX(土地清冊_匯入!$V$6:$V$1005,MATCH($A653,土地清冊_匯入!$A$6:$A$1005,0)),""))</f>
        <v/>
      </c>
      <c r="J653" s="14" t="n"/>
      <c r="K653" s="7" t="n"/>
      <c r="L653" s="7" t="n"/>
      <c r="M653" s="7" t="n"/>
      <c r="N653" s="7" t="n"/>
      <c r="O653" s="7" t="n"/>
      <c r="P653" s="7" t="n"/>
      <c r="Q653" s="14" t="n"/>
      <c r="R653" s="7" t="n"/>
      <c r="S653" s="7" t="n"/>
      <c r="T653" s="7" t="n"/>
      <c r="U653" s="12">
        <f>IF(A653="","",IF(OR(J653="",L653=""),"建議補聯絡紀錄","") )</f>
        <v/>
      </c>
    </row>
    <row r="654" ht="24" customHeight="1">
      <c r="A654" s="7" t="n"/>
      <c r="B654" s="7" t="n"/>
      <c r="C654" s="12">
        <f>IF($A654="","",IFERROR(INDEX(土地清冊_匯入!$B$6:$B$1005,MATCH($A654,土地清冊_匯入!$A$6:$A$1005,0)),"查無資料"))</f>
        <v/>
      </c>
      <c r="D654" s="12">
        <f>IF($A654="","",IFERROR(INDEX(土地清冊_匯入!$P$6:$P$1005,MATCH($A654,土地清冊_匯入!$A$6:$A$1005,0)),""))</f>
        <v/>
      </c>
      <c r="E654" s="12">
        <f>IF($A654="","",IFERROR(INDEX(土地清冊_匯入!$Q$6:$Q$1005,MATCH($A654,土地清冊_匯入!$A$6:$A$1005,0)),""))</f>
        <v/>
      </c>
      <c r="F654" s="12">
        <f>IF($A654="","",IFERROR(INDEX(土地清冊_匯入!$R$6:$R$1005,MATCH($A654,土地清冊_匯入!$A$6:$A$1005,0)),""))</f>
        <v/>
      </c>
      <c r="G654" s="12">
        <f>IF($A654="","",IFERROR(INDEX(土地清冊_匯入!$S$6:$S$1005,MATCH($A654,土地清冊_匯入!$A$6:$A$1005,0)),""))</f>
        <v/>
      </c>
      <c r="H654" s="12">
        <f>IF($A654="","",IFERROR(INDEX(土地清冊_匯入!$T$6:$T$1005,MATCH($A654,土地清冊_匯入!$A$6:$A$1005,0)),""))</f>
        <v/>
      </c>
      <c r="I654" s="12">
        <f>IF($A654="","",IFERROR(INDEX(土地清冊_匯入!$V$6:$V$1005,MATCH($A654,土地清冊_匯入!$A$6:$A$1005,0)),""))</f>
        <v/>
      </c>
      <c r="J654" s="14" t="n"/>
      <c r="K654" s="7" t="n"/>
      <c r="L654" s="7" t="n"/>
      <c r="M654" s="7" t="n"/>
      <c r="N654" s="7" t="n"/>
      <c r="O654" s="7" t="n"/>
      <c r="P654" s="7" t="n"/>
      <c r="Q654" s="14" t="n"/>
      <c r="R654" s="7" t="n"/>
      <c r="S654" s="7" t="n"/>
      <c r="T654" s="7" t="n"/>
      <c r="U654" s="12">
        <f>IF(A654="","",IF(OR(J654="",L654=""),"建議補聯絡紀錄","") )</f>
        <v/>
      </c>
    </row>
    <row r="655" ht="24" customHeight="1">
      <c r="A655" s="7" t="n"/>
      <c r="B655" s="7" t="n"/>
      <c r="C655" s="12">
        <f>IF($A655="","",IFERROR(INDEX(土地清冊_匯入!$B$6:$B$1005,MATCH($A655,土地清冊_匯入!$A$6:$A$1005,0)),"查無資料"))</f>
        <v/>
      </c>
      <c r="D655" s="12">
        <f>IF($A655="","",IFERROR(INDEX(土地清冊_匯入!$P$6:$P$1005,MATCH($A655,土地清冊_匯入!$A$6:$A$1005,0)),""))</f>
        <v/>
      </c>
      <c r="E655" s="12">
        <f>IF($A655="","",IFERROR(INDEX(土地清冊_匯入!$Q$6:$Q$1005,MATCH($A655,土地清冊_匯入!$A$6:$A$1005,0)),""))</f>
        <v/>
      </c>
      <c r="F655" s="12">
        <f>IF($A655="","",IFERROR(INDEX(土地清冊_匯入!$R$6:$R$1005,MATCH($A655,土地清冊_匯入!$A$6:$A$1005,0)),""))</f>
        <v/>
      </c>
      <c r="G655" s="12">
        <f>IF($A655="","",IFERROR(INDEX(土地清冊_匯入!$S$6:$S$1005,MATCH($A655,土地清冊_匯入!$A$6:$A$1005,0)),""))</f>
        <v/>
      </c>
      <c r="H655" s="12">
        <f>IF($A655="","",IFERROR(INDEX(土地清冊_匯入!$T$6:$T$1005,MATCH($A655,土地清冊_匯入!$A$6:$A$1005,0)),""))</f>
        <v/>
      </c>
      <c r="I655" s="12">
        <f>IF($A655="","",IFERROR(INDEX(土地清冊_匯入!$V$6:$V$1005,MATCH($A655,土地清冊_匯入!$A$6:$A$1005,0)),""))</f>
        <v/>
      </c>
      <c r="J655" s="14" t="n"/>
      <c r="K655" s="7" t="n"/>
      <c r="L655" s="7" t="n"/>
      <c r="M655" s="7" t="n"/>
      <c r="N655" s="7" t="n"/>
      <c r="O655" s="7" t="n"/>
      <c r="P655" s="7" t="n"/>
      <c r="Q655" s="14" t="n"/>
      <c r="R655" s="7" t="n"/>
      <c r="S655" s="7" t="n"/>
      <c r="T655" s="7" t="n"/>
      <c r="U655" s="12">
        <f>IF(A655="","",IF(OR(J655="",L655=""),"建議補聯絡紀錄","") )</f>
        <v/>
      </c>
    </row>
    <row r="656" ht="24" customHeight="1">
      <c r="A656" s="7" t="n"/>
      <c r="B656" s="7" t="n"/>
      <c r="C656" s="12">
        <f>IF($A656="","",IFERROR(INDEX(土地清冊_匯入!$B$6:$B$1005,MATCH($A656,土地清冊_匯入!$A$6:$A$1005,0)),"查無資料"))</f>
        <v/>
      </c>
      <c r="D656" s="12">
        <f>IF($A656="","",IFERROR(INDEX(土地清冊_匯入!$P$6:$P$1005,MATCH($A656,土地清冊_匯入!$A$6:$A$1005,0)),""))</f>
        <v/>
      </c>
      <c r="E656" s="12">
        <f>IF($A656="","",IFERROR(INDEX(土地清冊_匯入!$Q$6:$Q$1005,MATCH($A656,土地清冊_匯入!$A$6:$A$1005,0)),""))</f>
        <v/>
      </c>
      <c r="F656" s="12">
        <f>IF($A656="","",IFERROR(INDEX(土地清冊_匯入!$R$6:$R$1005,MATCH($A656,土地清冊_匯入!$A$6:$A$1005,0)),""))</f>
        <v/>
      </c>
      <c r="G656" s="12">
        <f>IF($A656="","",IFERROR(INDEX(土地清冊_匯入!$S$6:$S$1005,MATCH($A656,土地清冊_匯入!$A$6:$A$1005,0)),""))</f>
        <v/>
      </c>
      <c r="H656" s="12">
        <f>IF($A656="","",IFERROR(INDEX(土地清冊_匯入!$T$6:$T$1005,MATCH($A656,土地清冊_匯入!$A$6:$A$1005,0)),""))</f>
        <v/>
      </c>
      <c r="I656" s="12">
        <f>IF($A656="","",IFERROR(INDEX(土地清冊_匯入!$V$6:$V$1005,MATCH($A656,土地清冊_匯入!$A$6:$A$1005,0)),""))</f>
        <v/>
      </c>
      <c r="J656" s="14" t="n"/>
      <c r="K656" s="7" t="n"/>
      <c r="L656" s="7" t="n"/>
      <c r="M656" s="7" t="n"/>
      <c r="N656" s="7" t="n"/>
      <c r="O656" s="7" t="n"/>
      <c r="P656" s="7" t="n"/>
      <c r="Q656" s="14" t="n"/>
      <c r="R656" s="7" t="n"/>
      <c r="S656" s="7" t="n"/>
      <c r="T656" s="7" t="n"/>
      <c r="U656" s="12">
        <f>IF(A656="","",IF(OR(J656="",L656=""),"建議補聯絡紀錄","") )</f>
        <v/>
      </c>
    </row>
    <row r="657" ht="24" customHeight="1">
      <c r="A657" s="7" t="n"/>
      <c r="B657" s="7" t="n"/>
      <c r="C657" s="12">
        <f>IF($A657="","",IFERROR(INDEX(土地清冊_匯入!$B$6:$B$1005,MATCH($A657,土地清冊_匯入!$A$6:$A$1005,0)),"查無資料"))</f>
        <v/>
      </c>
      <c r="D657" s="12">
        <f>IF($A657="","",IFERROR(INDEX(土地清冊_匯入!$P$6:$P$1005,MATCH($A657,土地清冊_匯入!$A$6:$A$1005,0)),""))</f>
        <v/>
      </c>
      <c r="E657" s="12">
        <f>IF($A657="","",IFERROR(INDEX(土地清冊_匯入!$Q$6:$Q$1005,MATCH($A657,土地清冊_匯入!$A$6:$A$1005,0)),""))</f>
        <v/>
      </c>
      <c r="F657" s="12">
        <f>IF($A657="","",IFERROR(INDEX(土地清冊_匯入!$R$6:$R$1005,MATCH($A657,土地清冊_匯入!$A$6:$A$1005,0)),""))</f>
        <v/>
      </c>
      <c r="G657" s="12">
        <f>IF($A657="","",IFERROR(INDEX(土地清冊_匯入!$S$6:$S$1005,MATCH($A657,土地清冊_匯入!$A$6:$A$1005,0)),""))</f>
        <v/>
      </c>
      <c r="H657" s="12">
        <f>IF($A657="","",IFERROR(INDEX(土地清冊_匯入!$T$6:$T$1005,MATCH($A657,土地清冊_匯入!$A$6:$A$1005,0)),""))</f>
        <v/>
      </c>
      <c r="I657" s="12">
        <f>IF($A657="","",IFERROR(INDEX(土地清冊_匯入!$V$6:$V$1005,MATCH($A657,土地清冊_匯入!$A$6:$A$1005,0)),""))</f>
        <v/>
      </c>
      <c r="J657" s="14" t="n"/>
      <c r="K657" s="7" t="n"/>
      <c r="L657" s="7" t="n"/>
      <c r="M657" s="7" t="n"/>
      <c r="N657" s="7" t="n"/>
      <c r="O657" s="7" t="n"/>
      <c r="P657" s="7" t="n"/>
      <c r="Q657" s="14" t="n"/>
      <c r="R657" s="7" t="n"/>
      <c r="S657" s="7" t="n"/>
      <c r="T657" s="7" t="n"/>
      <c r="U657" s="12">
        <f>IF(A657="","",IF(OR(J657="",L657=""),"建議補聯絡紀錄","") )</f>
        <v/>
      </c>
    </row>
    <row r="658" ht="24" customHeight="1">
      <c r="A658" s="7" t="n"/>
      <c r="B658" s="7" t="n"/>
      <c r="C658" s="12">
        <f>IF($A658="","",IFERROR(INDEX(土地清冊_匯入!$B$6:$B$1005,MATCH($A658,土地清冊_匯入!$A$6:$A$1005,0)),"查無資料"))</f>
        <v/>
      </c>
      <c r="D658" s="12">
        <f>IF($A658="","",IFERROR(INDEX(土地清冊_匯入!$P$6:$P$1005,MATCH($A658,土地清冊_匯入!$A$6:$A$1005,0)),""))</f>
        <v/>
      </c>
      <c r="E658" s="12">
        <f>IF($A658="","",IFERROR(INDEX(土地清冊_匯入!$Q$6:$Q$1005,MATCH($A658,土地清冊_匯入!$A$6:$A$1005,0)),""))</f>
        <v/>
      </c>
      <c r="F658" s="12">
        <f>IF($A658="","",IFERROR(INDEX(土地清冊_匯入!$R$6:$R$1005,MATCH($A658,土地清冊_匯入!$A$6:$A$1005,0)),""))</f>
        <v/>
      </c>
      <c r="G658" s="12">
        <f>IF($A658="","",IFERROR(INDEX(土地清冊_匯入!$S$6:$S$1005,MATCH($A658,土地清冊_匯入!$A$6:$A$1005,0)),""))</f>
        <v/>
      </c>
      <c r="H658" s="12">
        <f>IF($A658="","",IFERROR(INDEX(土地清冊_匯入!$T$6:$T$1005,MATCH($A658,土地清冊_匯入!$A$6:$A$1005,0)),""))</f>
        <v/>
      </c>
      <c r="I658" s="12">
        <f>IF($A658="","",IFERROR(INDEX(土地清冊_匯入!$V$6:$V$1005,MATCH($A658,土地清冊_匯入!$A$6:$A$1005,0)),""))</f>
        <v/>
      </c>
      <c r="J658" s="14" t="n"/>
      <c r="K658" s="7" t="n"/>
      <c r="L658" s="7" t="n"/>
      <c r="M658" s="7" t="n"/>
      <c r="N658" s="7" t="n"/>
      <c r="O658" s="7" t="n"/>
      <c r="P658" s="7" t="n"/>
      <c r="Q658" s="14" t="n"/>
      <c r="R658" s="7" t="n"/>
      <c r="S658" s="7" t="n"/>
      <c r="T658" s="7" t="n"/>
      <c r="U658" s="12">
        <f>IF(A658="","",IF(OR(J658="",L658=""),"建議補聯絡紀錄","") )</f>
        <v/>
      </c>
    </row>
    <row r="659" ht="24" customHeight="1">
      <c r="A659" s="7" t="n"/>
      <c r="B659" s="7" t="n"/>
      <c r="C659" s="12">
        <f>IF($A659="","",IFERROR(INDEX(土地清冊_匯入!$B$6:$B$1005,MATCH($A659,土地清冊_匯入!$A$6:$A$1005,0)),"查無資料"))</f>
        <v/>
      </c>
      <c r="D659" s="12">
        <f>IF($A659="","",IFERROR(INDEX(土地清冊_匯入!$P$6:$P$1005,MATCH($A659,土地清冊_匯入!$A$6:$A$1005,0)),""))</f>
        <v/>
      </c>
      <c r="E659" s="12">
        <f>IF($A659="","",IFERROR(INDEX(土地清冊_匯入!$Q$6:$Q$1005,MATCH($A659,土地清冊_匯入!$A$6:$A$1005,0)),""))</f>
        <v/>
      </c>
      <c r="F659" s="12">
        <f>IF($A659="","",IFERROR(INDEX(土地清冊_匯入!$R$6:$R$1005,MATCH($A659,土地清冊_匯入!$A$6:$A$1005,0)),""))</f>
        <v/>
      </c>
      <c r="G659" s="12">
        <f>IF($A659="","",IFERROR(INDEX(土地清冊_匯入!$S$6:$S$1005,MATCH($A659,土地清冊_匯入!$A$6:$A$1005,0)),""))</f>
        <v/>
      </c>
      <c r="H659" s="12">
        <f>IF($A659="","",IFERROR(INDEX(土地清冊_匯入!$T$6:$T$1005,MATCH($A659,土地清冊_匯入!$A$6:$A$1005,0)),""))</f>
        <v/>
      </c>
      <c r="I659" s="12">
        <f>IF($A659="","",IFERROR(INDEX(土地清冊_匯入!$V$6:$V$1005,MATCH($A659,土地清冊_匯入!$A$6:$A$1005,0)),""))</f>
        <v/>
      </c>
      <c r="J659" s="14" t="n"/>
      <c r="K659" s="7" t="n"/>
      <c r="L659" s="7" t="n"/>
      <c r="M659" s="7" t="n"/>
      <c r="N659" s="7" t="n"/>
      <c r="O659" s="7" t="n"/>
      <c r="P659" s="7" t="n"/>
      <c r="Q659" s="14" t="n"/>
      <c r="R659" s="7" t="n"/>
      <c r="S659" s="7" t="n"/>
      <c r="T659" s="7" t="n"/>
      <c r="U659" s="12">
        <f>IF(A659="","",IF(OR(J659="",L659=""),"建議補聯絡紀錄","") )</f>
        <v/>
      </c>
    </row>
    <row r="660" ht="24" customHeight="1">
      <c r="A660" s="7" t="n"/>
      <c r="B660" s="7" t="n"/>
      <c r="C660" s="12">
        <f>IF($A660="","",IFERROR(INDEX(土地清冊_匯入!$B$6:$B$1005,MATCH($A660,土地清冊_匯入!$A$6:$A$1005,0)),"查無資料"))</f>
        <v/>
      </c>
      <c r="D660" s="12">
        <f>IF($A660="","",IFERROR(INDEX(土地清冊_匯入!$P$6:$P$1005,MATCH($A660,土地清冊_匯入!$A$6:$A$1005,0)),""))</f>
        <v/>
      </c>
      <c r="E660" s="12">
        <f>IF($A660="","",IFERROR(INDEX(土地清冊_匯入!$Q$6:$Q$1005,MATCH($A660,土地清冊_匯入!$A$6:$A$1005,0)),""))</f>
        <v/>
      </c>
      <c r="F660" s="12">
        <f>IF($A660="","",IFERROR(INDEX(土地清冊_匯入!$R$6:$R$1005,MATCH($A660,土地清冊_匯入!$A$6:$A$1005,0)),""))</f>
        <v/>
      </c>
      <c r="G660" s="12">
        <f>IF($A660="","",IFERROR(INDEX(土地清冊_匯入!$S$6:$S$1005,MATCH($A660,土地清冊_匯入!$A$6:$A$1005,0)),""))</f>
        <v/>
      </c>
      <c r="H660" s="12">
        <f>IF($A660="","",IFERROR(INDEX(土地清冊_匯入!$T$6:$T$1005,MATCH($A660,土地清冊_匯入!$A$6:$A$1005,0)),""))</f>
        <v/>
      </c>
      <c r="I660" s="12">
        <f>IF($A660="","",IFERROR(INDEX(土地清冊_匯入!$V$6:$V$1005,MATCH($A660,土地清冊_匯入!$A$6:$A$1005,0)),""))</f>
        <v/>
      </c>
      <c r="J660" s="14" t="n"/>
      <c r="K660" s="7" t="n"/>
      <c r="L660" s="7" t="n"/>
      <c r="M660" s="7" t="n"/>
      <c r="N660" s="7" t="n"/>
      <c r="O660" s="7" t="n"/>
      <c r="P660" s="7" t="n"/>
      <c r="Q660" s="14" t="n"/>
      <c r="R660" s="7" t="n"/>
      <c r="S660" s="7" t="n"/>
      <c r="T660" s="7" t="n"/>
      <c r="U660" s="12">
        <f>IF(A660="","",IF(OR(J660="",L660=""),"建議補聯絡紀錄","") )</f>
        <v/>
      </c>
    </row>
    <row r="661" ht="24" customHeight="1">
      <c r="A661" s="7" t="n"/>
      <c r="B661" s="7" t="n"/>
      <c r="C661" s="12">
        <f>IF($A661="","",IFERROR(INDEX(土地清冊_匯入!$B$6:$B$1005,MATCH($A661,土地清冊_匯入!$A$6:$A$1005,0)),"查無資料"))</f>
        <v/>
      </c>
      <c r="D661" s="12">
        <f>IF($A661="","",IFERROR(INDEX(土地清冊_匯入!$P$6:$P$1005,MATCH($A661,土地清冊_匯入!$A$6:$A$1005,0)),""))</f>
        <v/>
      </c>
      <c r="E661" s="12">
        <f>IF($A661="","",IFERROR(INDEX(土地清冊_匯入!$Q$6:$Q$1005,MATCH($A661,土地清冊_匯入!$A$6:$A$1005,0)),""))</f>
        <v/>
      </c>
      <c r="F661" s="12">
        <f>IF($A661="","",IFERROR(INDEX(土地清冊_匯入!$R$6:$R$1005,MATCH($A661,土地清冊_匯入!$A$6:$A$1005,0)),""))</f>
        <v/>
      </c>
      <c r="G661" s="12">
        <f>IF($A661="","",IFERROR(INDEX(土地清冊_匯入!$S$6:$S$1005,MATCH($A661,土地清冊_匯入!$A$6:$A$1005,0)),""))</f>
        <v/>
      </c>
      <c r="H661" s="12">
        <f>IF($A661="","",IFERROR(INDEX(土地清冊_匯入!$T$6:$T$1005,MATCH($A661,土地清冊_匯入!$A$6:$A$1005,0)),""))</f>
        <v/>
      </c>
      <c r="I661" s="12">
        <f>IF($A661="","",IFERROR(INDEX(土地清冊_匯入!$V$6:$V$1005,MATCH($A661,土地清冊_匯入!$A$6:$A$1005,0)),""))</f>
        <v/>
      </c>
      <c r="J661" s="14" t="n"/>
      <c r="K661" s="7" t="n"/>
      <c r="L661" s="7" t="n"/>
      <c r="M661" s="7" t="n"/>
      <c r="N661" s="7" t="n"/>
      <c r="O661" s="7" t="n"/>
      <c r="P661" s="7" t="n"/>
      <c r="Q661" s="14" t="n"/>
      <c r="R661" s="7" t="n"/>
      <c r="S661" s="7" t="n"/>
      <c r="T661" s="7" t="n"/>
      <c r="U661" s="12">
        <f>IF(A661="","",IF(OR(J661="",L661=""),"建議補聯絡紀錄","") )</f>
        <v/>
      </c>
    </row>
    <row r="662" ht="24" customHeight="1">
      <c r="A662" s="7" t="n"/>
      <c r="B662" s="7" t="n"/>
      <c r="C662" s="12">
        <f>IF($A662="","",IFERROR(INDEX(土地清冊_匯入!$B$6:$B$1005,MATCH($A662,土地清冊_匯入!$A$6:$A$1005,0)),"查無資料"))</f>
        <v/>
      </c>
      <c r="D662" s="12">
        <f>IF($A662="","",IFERROR(INDEX(土地清冊_匯入!$P$6:$P$1005,MATCH($A662,土地清冊_匯入!$A$6:$A$1005,0)),""))</f>
        <v/>
      </c>
      <c r="E662" s="12">
        <f>IF($A662="","",IFERROR(INDEX(土地清冊_匯入!$Q$6:$Q$1005,MATCH($A662,土地清冊_匯入!$A$6:$A$1005,0)),""))</f>
        <v/>
      </c>
      <c r="F662" s="12">
        <f>IF($A662="","",IFERROR(INDEX(土地清冊_匯入!$R$6:$R$1005,MATCH($A662,土地清冊_匯入!$A$6:$A$1005,0)),""))</f>
        <v/>
      </c>
      <c r="G662" s="12">
        <f>IF($A662="","",IFERROR(INDEX(土地清冊_匯入!$S$6:$S$1005,MATCH($A662,土地清冊_匯入!$A$6:$A$1005,0)),""))</f>
        <v/>
      </c>
      <c r="H662" s="12">
        <f>IF($A662="","",IFERROR(INDEX(土地清冊_匯入!$T$6:$T$1005,MATCH($A662,土地清冊_匯入!$A$6:$A$1005,0)),""))</f>
        <v/>
      </c>
      <c r="I662" s="12">
        <f>IF($A662="","",IFERROR(INDEX(土地清冊_匯入!$V$6:$V$1005,MATCH($A662,土地清冊_匯入!$A$6:$A$1005,0)),""))</f>
        <v/>
      </c>
      <c r="J662" s="14" t="n"/>
      <c r="K662" s="7" t="n"/>
      <c r="L662" s="7" t="n"/>
      <c r="M662" s="7" t="n"/>
      <c r="N662" s="7" t="n"/>
      <c r="O662" s="7" t="n"/>
      <c r="P662" s="7" t="n"/>
      <c r="Q662" s="14" t="n"/>
      <c r="R662" s="7" t="n"/>
      <c r="S662" s="7" t="n"/>
      <c r="T662" s="7" t="n"/>
      <c r="U662" s="12">
        <f>IF(A662="","",IF(OR(J662="",L662=""),"建議補聯絡紀錄","") )</f>
        <v/>
      </c>
    </row>
    <row r="663" ht="24" customHeight="1">
      <c r="A663" s="7" t="n"/>
      <c r="B663" s="7" t="n"/>
      <c r="C663" s="12">
        <f>IF($A663="","",IFERROR(INDEX(土地清冊_匯入!$B$6:$B$1005,MATCH($A663,土地清冊_匯入!$A$6:$A$1005,0)),"查無資料"))</f>
        <v/>
      </c>
      <c r="D663" s="12">
        <f>IF($A663="","",IFERROR(INDEX(土地清冊_匯入!$P$6:$P$1005,MATCH($A663,土地清冊_匯入!$A$6:$A$1005,0)),""))</f>
        <v/>
      </c>
      <c r="E663" s="12">
        <f>IF($A663="","",IFERROR(INDEX(土地清冊_匯入!$Q$6:$Q$1005,MATCH($A663,土地清冊_匯入!$A$6:$A$1005,0)),""))</f>
        <v/>
      </c>
      <c r="F663" s="12">
        <f>IF($A663="","",IFERROR(INDEX(土地清冊_匯入!$R$6:$R$1005,MATCH($A663,土地清冊_匯入!$A$6:$A$1005,0)),""))</f>
        <v/>
      </c>
      <c r="G663" s="12">
        <f>IF($A663="","",IFERROR(INDEX(土地清冊_匯入!$S$6:$S$1005,MATCH($A663,土地清冊_匯入!$A$6:$A$1005,0)),""))</f>
        <v/>
      </c>
      <c r="H663" s="12">
        <f>IF($A663="","",IFERROR(INDEX(土地清冊_匯入!$T$6:$T$1005,MATCH($A663,土地清冊_匯入!$A$6:$A$1005,0)),""))</f>
        <v/>
      </c>
      <c r="I663" s="12">
        <f>IF($A663="","",IFERROR(INDEX(土地清冊_匯入!$V$6:$V$1005,MATCH($A663,土地清冊_匯入!$A$6:$A$1005,0)),""))</f>
        <v/>
      </c>
      <c r="J663" s="14" t="n"/>
      <c r="K663" s="7" t="n"/>
      <c r="L663" s="7" t="n"/>
      <c r="M663" s="7" t="n"/>
      <c r="N663" s="7" t="n"/>
      <c r="O663" s="7" t="n"/>
      <c r="P663" s="7" t="n"/>
      <c r="Q663" s="14" t="n"/>
      <c r="R663" s="7" t="n"/>
      <c r="S663" s="7" t="n"/>
      <c r="T663" s="7" t="n"/>
      <c r="U663" s="12">
        <f>IF(A663="","",IF(OR(J663="",L663=""),"建議補聯絡紀錄","") )</f>
        <v/>
      </c>
    </row>
    <row r="664" ht="24" customHeight="1">
      <c r="A664" s="7" t="n"/>
      <c r="B664" s="7" t="n"/>
      <c r="C664" s="12">
        <f>IF($A664="","",IFERROR(INDEX(土地清冊_匯入!$B$6:$B$1005,MATCH($A664,土地清冊_匯入!$A$6:$A$1005,0)),"查無資料"))</f>
        <v/>
      </c>
      <c r="D664" s="12">
        <f>IF($A664="","",IFERROR(INDEX(土地清冊_匯入!$P$6:$P$1005,MATCH($A664,土地清冊_匯入!$A$6:$A$1005,0)),""))</f>
        <v/>
      </c>
      <c r="E664" s="12">
        <f>IF($A664="","",IFERROR(INDEX(土地清冊_匯入!$Q$6:$Q$1005,MATCH($A664,土地清冊_匯入!$A$6:$A$1005,0)),""))</f>
        <v/>
      </c>
      <c r="F664" s="12">
        <f>IF($A664="","",IFERROR(INDEX(土地清冊_匯入!$R$6:$R$1005,MATCH($A664,土地清冊_匯入!$A$6:$A$1005,0)),""))</f>
        <v/>
      </c>
      <c r="G664" s="12">
        <f>IF($A664="","",IFERROR(INDEX(土地清冊_匯入!$S$6:$S$1005,MATCH($A664,土地清冊_匯入!$A$6:$A$1005,0)),""))</f>
        <v/>
      </c>
      <c r="H664" s="12">
        <f>IF($A664="","",IFERROR(INDEX(土地清冊_匯入!$T$6:$T$1005,MATCH($A664,土地清冊_匯入!$A$6:$A$1005,0)),""))</f>
        <v/>
      </c>
      <c r="I664" s="12">
        <f>IF($A664="","",IFERROR(INDEX(土地清冊_匯入!$V$6:$V$1005,MATCH($A664,土地清冊_匯入!$A$6:$A$1005,0)),""))</f>
        <v/>
      </c>
      <c r="J664" s="14" t="n"/>
      <c r="K664" s="7" t="n"/>
      <c r="L664" s="7" t="n"/>
      <c r="M664" s="7" t="n"/>
      <c r="N664" s="7" t="n"/>
      <c r="O664" s="7" t="n"/>
      <c r="P664" s="7" t="n"/>
      <c r="Q664" s="14" t="n"/>
      <c r="R664" s="7" t="n"/>
      <c r="S664" s="7" t="n"/>
      <c r="T664" s="7" t="n"/>
      <c r="U664" s="12">
        <f>IF(A664="","",IF(OR(J664="",L664=""),"建議補聯絡紀錄","") )</f>
        <v/>
      </c>
    </row>
    <row r="665" ht="24" customHeight="1">
      <c r="A665" s="7" t="n"/>
      <c r="B665" s="7" t="n"/>
      <c r="C665" s="12">
        <f>IF($A665="","",IFERROR(INDEX(土地清冊_匯入!$B$6:$B$1005,MATCH($A665,土地清冊_匯入!$A$6:$A$1005,0)),"查無資料"))</f>
        <v/>
      </c>
      <c r="D665" s="12">
        <f>IF($A665="","",IFERROR(INDEX(土地清冊_匯入!$P$6:$P$1005,MATCH($A665,土地清冊_匯入!$A$6:$A$1005,0)),""))</f>
        <v/>
      </c>
      <c r="E665" s="12">
        <f>IF($A665="","",IFERROR(INDEX(土地清冊_匯入!$Q$6:$Q$1005,MATCH($A665,土地清冊_匯入!$A$6:$A$1005,0)),""))</f>
        <v/>
      </c>
      <c r="F665" s="12">
        <f>IF($A665="","",IFERROR(INDEX(土地清冊_匯入!$R$6:$R$1005,MATCH($A665,土地清冊_匯入!$A$6:$A$1005,0)),""))</f>
        <v/>
      </c>
      <c r="G665" s="12">
        <f>IF($A665="","",IFERROR(INDEX(土地清冊_匯入!$S$6:$S$1005,MATCH($A665,土地清冊_匯入!$A$6:$A$1005,0)),""))</f>
        <v/>
      </c>
      <c r="H665" s="12">
        <f>IF($A665="","",IFERROR(INDEX(土地清冊_匯入!$T$6:$T$1005,MATCH($A665,土地清冊_匯入!$A$6:$A$1005,0)),""))</f>
        <v/>
      </c>
      <c r="I665" s="12">
        <f>IF($A665="","",IFERROR(INDEX(土地清冊_匯入!$V$6:$V$1005,MATCH($A665,土地清冊_匯入!$A$6:$A$1005,0)),""))</f>
        <v/>
      </c>
      <c r="J665" s="14" t="n"/>
      <c r="K665" s="7" t="n"/>
      <c r="L665" s="7" t="n"/>
      <c r="M665" s="7" t="n"/>
      <c r="N665" s="7" t="n"/>
      <c r="O665" s="7" t="n"/>
      <c r="P665" s="7" t="n"/>
      <c r="Q665" s="14" t="n"/>
      <c r="R665" s="7" t="n"/>
      <c r="S665" s="7" t="n"/>
      <c r="T665" s="7" t="n"/>
      <c r="U665" s="12">
        <f>IF(A665="","",IF(OR(J665="",L665=""),"建議補聯絡紀錄","") )</f>
        <v/>
      </c>
    </row>
    <row r="666" ht="24" customHeight="1">
      <c r="A666" s="7" t="n"/>
      <c r="B666" s="7" t="n"/>
      <c r="C666" s="12">
        <f>IF($A666="","",IFERROR(INDEX(土地清冊_匯入!$B$6:$B$1005,MATCH($A666,土地清冊_匯入!$A$6:$A$1005,0)),"查無資料"))</f>
        <v/>
      </c>
      <c r="D666" s="12">
        <f>IF($A666="","",IFERROR(INDEX(土地清冊_匯入!$P$6:$P$1005,MATCH($A666,土地清冊_匯入!$A$6:$A$1005,0)),""))</f>
        <v/>
      </c>
      <c r="E666" s="12">
        <f>IF($A666="","",IFERROR(INDEX(土地清冊_匯入!$Q$6:$Q$1005,MATCH($A666,土地清冊_匯入!$A$6:$A$1005,0)),""))</f>
        <v/>
      </c>
      <c r="F666" s="12">
        <f>IF($A666="","",IFERROR(INDEX(土地清冊_匯入!$R$6:$R$1005,MATCH($A666,土地清冊_匯入!$A$6:$A$1005,0)),""))</f>
        <v/>
      </c>
      <c r="G666" s="12">
        <f>IF($A666="","",IFERROR(INDEX(土地清冊_匯入!$S$6:$S$1005,MATCH($A666,土地清冊_匯入!$A$6:$A$1005,0)),""))</f>
        <v/>
      </c>
      <c r="H666" s="12">
        <f>IF($A666="","",IFERROR(INDEX(土地清冊_匯入!$T$6:$T$1005,MATCH($A666,土地清冊_匯入!$A$6:$A$1005,0)),""))</f>
        <v/>
      </c>
      <c r="I666" s="12">
        <f>IF($A666="","",IFERROR(INDEX(土地清冊_匯入!$V$6:$V$1005,MATCH($A666,土地清冊_匯入!$A$6:$A$1005,0)),""))</f>
        <v/>
      </c>
      <c r="J666" s="14" t="n"/>
      <c r="K666" s="7" t="n"/>
      <c r="L666" s="7" t="n"/>
      <c r="M666" s="7" t="n"/>
      <c r="N666" s="7" t="n"/>
      <c r="O666" s="7" t="n"/>
      <c r="P666" s="7" t="n"/>
      <c r="Q666" s="14" t="n"/>
      <c r="R666" s="7" t="n"/>
      <c r="S666" s="7" t="n"/>
      <c r="T666" s="7" t="n"/>
      <c r="U666" s="12">
        <f>IF(A666="","",IF(OR(J666="",L666=""),"建議補聯絡紀錄","") )</f>
        <v/>
      </c>
    </row>
    <row r="667" ht="24" customHeight="1">
      <c r="A667" s="7" t="n"/>
      <c r="B667" s="7" t="n"/>
      <c r="C667" s="12">
        <f>IF($A667="","",IFERROR(INDEX(土地清冊_匯入!$B$6:$B$1005,MATCH($A667,土地清冊_匯入!$A$6:$A$1005,0)),"查無資料"))</f>
        <v/>
      </c>
      <c r="D667" s="12">
        <f>IF($A667="","",IFERROR(INDEX(土地清冊_匯入!$P$6:$P$1005,MATCH($A667,土地清冊_匯入!$A$6:$A$1005,0)),""))</f>
        <v/>
      </c>
      <c r="E667" s="12">
        <f>IF($A667="","",IFERROR(INDEX(土地清冊_匯入!$Q$6:$Q$1005,MATCH($A667,土地清冊_匯入!$A$6:$A$1005,0)),""))</f>
        <v/>
      </c>
      <c r="F667" s="12">
        <f>IF($A667="","",IFERROR(INDEX(土地清冊_匯入!$R$6:$R$1005,MATCH($A667,土地清冊_匯入!$A$6:$A$1005,0)),""))</f>
        <v/>
      </c>
      <c r="G667" s="12">
        <f>IF($A667="","",IFERROR(INDEX(土地清冊_匯入!$S$6:$S$1005,MATCH($A667,土地清冊_匯入!$A$6:$A$1005,0)),""))</f>
        <v/>
      </c>
      <c r="H667" s="12">
        <f>IF($A667="","",IFERROR(INDEX(土地清冊_匯入!$T$6:$T$1005,MATCH($A667,土地清冊_匯入!$A$6:$A$1005,0)),""))</f>
        <v/>
      </c>
      <c r="I667" s="12">
        <f>IF($A667="","",IFERROR(INDEX(土地清冊_匯入!$V$6:$V$1005,MATCH($A667,土地清冊_匯入!$A$6:$A$1005,0)),""))</f>
        <v/>
      </c>
      <c r="J667" s="14" t="n"/>
      <c r="K667" s="7" t="n"/>
      <c r="L667" s="7" t="n"/>
      <c r="M667" s="7" t="n"/>
      <c r="N667" s="7" t="n"/>
      <c r="O667" s="7" t="n"/>
      <c r="P667" s="7" t="n"/>
      <c r="Q667" s="14" t="n"/>
      <c r="R667" s="7" t="n"/>
      <c r="S667" s="7" t="n"/>
      <c r="T667" s="7" t="n"/>
      <c r="U667" s="12">
        <f>IF(A667="","",IF(OR(J667="",L667=""),"建議補聯絡紀錄","") )</f>
        <v/>
      </c>
    </row>
    <row r="668" ht="24" customHeight="1">
      <c r="A668" s="7" t="n"/>
      <c r="B668" s="7" t="n"/>
      <c r="C668" s="12">
        <f>IF($A668="","",IFERROR(INDEX(土地清冊_匯入!$B$6:$B$1005,MATCH($A668,土地清冊_匯入!$A$6:$A$1005,0)),"查無資料"))</f>
        <v/>
      </c>
      <c r="D668" s="12">
        <f>IF($A668="","",IFERROR(INDEX(土地清冊_匯入!$P$6:$P$1005,MATCH($A668,土地清冊_匯入!$A$6:$A$1005,0)),""))</f>
        <v/>
      </c>
      <c r="E668" s="12">
        <f>IF($A668="","",IFERROR(INDEX(土地清冊_匯入!$Q$6:$Q$1005,MATCH($A668,土地清冊_匯入!$A$6:$A$1005,0)),""))</f>
        <v/>
      </c>
      <c r="F668" s="12">
        <f>IF($A668="","",IFERROR(INDEX(土地清冊_匯入!$R$6:$R$1005,MATCH($A668,土地清冊_匯入!$A$6:$A$1005,0)),""))</f>
        <v/>
      </c>
      <c r="G668" s="12">
        <f>IF($A668="","",IFERROR(INDEX(土地清冊_匯入!$S$6:$S$1005,MATCH($A668,土地清冊_匯入!$A$6:$A$1005,0)),""))</f>
        <v/>
      </c>
      <c r="H668" s="12">
        <f>IF($A668="","",IFERROR(INDEX(土地清冊_匯入!$T$6:$T$1005,MATCH($A668,土地清冊_匯入!$A$6:$A$1005,0)),""))</f>
        <v/>
      </c>
      <c r="I668" s="12">
        <f>IF($A668="","",IFERROR(INDEX(土地清冊_匯入!$V$6:$V$1005,MATCH($A668,土地清冊_匯入!$A$6:$A$1005,0)),""))</f>
        <v/>
      </c>
      <c r="J668" s="14" t="n"/>
      <c r="K668" s="7" t="n"/>
      <c r="L668" s="7" t="n"/>
      <c r="M668" s="7" t="n"/>
      <c r="N668" s="7" t="n"/>
      <c r="O668" s="7" t="n"/>
      <c r="P668" s="7" t="n"/>
      <c r="Q668" s="14" t="n"/>
      <c r="R668" s="7" t="n"/>
      <c r="S668" s="7" t="n"/>
      <c r="T668" s="7" t="n"/>
      <c r="U668" s="12">
        <f>IF(A668="","",IF(OR(J668="",L668=""),"建議補聯絡紀錄","") )</f>
        <v/>
      </c>
    </row>
    <row r="669" ht="24" customHeight="1">
      <c r="A669" s="7" t="n"/>
      <c r="B669" s="7" t="n"/>
      <c r="C669" s="12">
        <f>IF($A669="","",IFERROR(INDEX(土地清冊_匯入!$B$6:$B$1005,MATCH($A669,土地清冊_匯入!$A$6:$A$1005,0)),"查無資料"))</f>
        <v/>
      </c>
      <c r="D669" s="12">
        <f>IF($A669="","",IFERROR(INDEX(土地清冊_匯入!$P$6:$P$1005,MATCH($A669,土地清冊_匯入!$A$6:$A$1005,0)),""))</f>
        <v/>
      </c>
      <c r="E669" s="12">
        <f>IF($A669="","",IFERROR(INDEX(土地清冊_匯入!$Q$6:$Q$1005,MATCH($A669,土地清冊_匯入!$A$6:$A$1005,0)),""))</f>
        <v/>
      </c>
      <c r="F669" s="12">
        <f>IF($A669="","",IFERROR(INDEX(土地清冊_匯入!$R$6:$R$1005,MATCH($A669,土地清冊_匯入!$A$6:$A$1005,0)),""))</f>
        <v/>
      </c>
      <c r="G669" s="12">
        <f>IF($A669="","",IFERROR(INDEX(土地清冊_匯入!$S$6:$S$1005,MATCH($A669,土地清冊_匯入!$A$6:$A$1005,0)),""))</f>
        <v/>
      </c>
      <c r="H669" s="12">
        <f>IF($A669="","",IFERROR(INDEX(土地清冊_匯入!$T$6:$T$1005,MATCH($A669,土地清冊_匯入!$A$6:$A$1005,0)),""))</f>
        <v/>
      </c>
      <c r="I669" s="12">
        <f>IF($A669="","",IFERROR(INDEX(土地清冊_匯入!$V$6:$V$1005,MATCH($A669,土地清冊_匯入!$A$6:$A$1005,0)),""))</f>
        <v/>
      </c>
      <c r="J669" s="14" t="n"/>
      <c r="K669" s="7" t="n"/>
      <c r="L669" s="7" t="n"/>
      <c r="M669" s="7" t="n"/>
      <c r="N669" s="7" t="n"/>
      <c r="O669" s="7" t="n"/>
      <c r="P669" s="7" t="n"/>
      <c r="Q669" s="14" t="n"/>
      <c r="R669" s="7" t="n"/>
      <c r="S669" s="7" t="n"/>
      <c r="T669" s="7" t="n"/>
      <c r="U669" s="12">
        <f>IF(A669="","",IF(OR(J669="",L669=""),"建議補聯絡紀錄","") )</f>
        <v/>
      </c>
    </row>
    <row r="670" ht="24" customHeight="1">
      <c r="A670" s="7" t="n"/>
      <c r="B670" s="7" t="n"/>
      <c r="C670" s="12">
        <f>IF($A670="","",IFERROR(INDEX(土地清冊_匯入!$B$6:$B$1005,MATCH($A670,土地清冊_匯入!$A$6:$A$1005,0)),"查無資料"))</f>
        <v/>
      </c>
      <c r="D670" s="12">
        <f>IF($A670="","",IFERROR(INDEX(土地清冊_匯入!$P$6:$P$1005,MATCH($A670,土地清冊_匯入!$A$6:$A$1005,0)),""))</f>
        <v/>
      </c>
      <c r="E670" s="12">
        <f>IF($A670="","",IFERROR(INDEX(土地清冊_匯入!$Q$6:$Q$1005,MATCH($A670,土地清冊_匯入!$A$6:$A$1005,0)),""))</f>
        <v/>
      </c>
      <c r="F670" s="12">
        <f>IF($A670="","",IFERROR(INDEX(土地清冊_匯入!$R$6:$R$1005,MATCH($A670,土地清冊_匯入!$A$6:$A$1005,0)),""))</f>
        <v/>
      </c>
      <c r="G670" s="12">
        <f>IF($A670="","",IFERROR(INDEX(土地清冊_匯入!$S$6:$S$1005,MATCH($A670,土地清冊_匯入!$A$6:$A$1005,0)),""))</f>
        <v/>
      </c>
      <c r="H670" s="12">
        <f>IF($A670="","",IFERROR(INDEX(土地清冊_匯入!$T$6:$T$1005,MATCH($A670,土地清冊_匯入!$A$6:$A$1005,0)),""))</f>
        <v/>
      </c>
      <c r="I670" s="12">
        <f>IF($A670="","",IFERROR(INDEX(土地清冊_匯入!$V$6:$V$1005,MATCH($A670,土地清冊_匯入!$A$6:$A$1005,0)),""))</f>
        <v/>
      </c>
      <c r="J670" s="14" t="n"/>
      <c r="K670" s="7" t="n"/>
      <c r="L670" s="7" t="n"/>
      <c r="M670" s="7" t="n"/>
      <c r="N670" s="7" t="n"/>
      <c r="O670" s="7" t="n"/>
      <c r="P670" s="7" t="n"/>
      <c r="Q670" s="14" t="n"/>
      <c r="R670" s="7" t="n"/>
      <c r="S670" s="7" t="n"/>
      <c r="T670" s="7" t="n"/>
      <c r="U670" s="12">
        <f>IF(A670="","",IF(OR(J670="",L670=""),"建議補聯絡紀錄","") )</f>
        <v/>
      </c>
    </row>
    <row r="671" ht="24" customHeight="1">
      <c r="A671" s="7" t="n"/>
      <c r="B671" s="7" t="n"/>
      <c r="C671" s="12">
        <f>IF($A671="","",IFERROR(INDEX(土地清冊_匯入!$B$6:$B$1005,MATCH($A671,土地清冊_匯入!$A$6:$A$1005,0)),"查無資料"))</f>
        <v/>
      </c>
      <c r="D671" s="12">
        <f>IF($A671="","",IFERROR(INDEX(土地清冊_匯入!$P$6:$P$1005,MATCH($A671,土地清冊_匯入!$A$6:$A$1005,0)),""))</f>
        <v/>
      </c>
      <c r="E671" s="12">
        <f>IF($A671="","",IFERROR(INDEX(土地清冊_匯入!$Q$6:$Q$1005,MATCH($A671,土地清冊_匯入!$A$6:$A$1005,0)),""))</f>
        <v/>
      </c>
      <c r="F671" s="12">
        <f>IF($A671="","",IFERROR(INDEX(土地清冊_匯入!$R$6:$R$1005,MATCH($A671,土地清冊_匯入!$A$6:$A$1005,0)),""))</f>
        <v/>
      </c>
      <c r="G671" s="12">
        <f>IF($A671="","",IFERROR(INDEX(土地清冊_匯入!$S$6:$S$1005,MATCH($A671,土地清冊_匯入!$A$6:$A$1005,0)),""))</f>
        <v/>
      </c>
      <c r="H671" s="12">
        <f>IF($A671="","",IFERROR(INDEX(土地清冊_匯入!$T$6:$T$1005,MATCH($A671,土地清冊_匯入!$A$6:$A$1005,0)),""))</f>
        <v/>
      </c>
      <c r="I671" s="12">
        <f>IF($A671="","",IFERROR(INDEX(土地清冊_匯入!$V$6:$V$1005,MATCH($A671,土地清冊_匯入!$A$6:$A$1005,0)),""))</f>
        <v/>
      </c>
      <c r="J671" s="14" t="n"/>
      <c r="K671" s="7" t="n"/>
      <c r="L671" s="7" t="n"/>
      <c r="M671" s="7" t="n"/>
      <c r="N671" s="7" t="n"/>
      <c r="O671" s="7" t="n"/>
      <c r="P671" s="7" t="n"/>
      <c r="Q671" s="14" t="n"/>
      <c r="R671" s="7" t="n"/>
      <c r="S671" s="7" t="n"/>
      <c r="T671" s="7" t="n"/>
      <c r="U671" s="12">
        <f>IF(A671="","",IF(OR(J671="",L671=""),"建議補聯絡紀錄","") )</f>
        <v/>
      </c>
    </row>
    <row r="672" ht="24" customHeight="1">
      <c r="A672" s="7" t="n"/>
      <c r="B672" s="7" t="n"/>
      <c r="C672" s="12">
        <f>IF($A672="","",IFERROR(INDEX(土地清冊_匯入!$B$6:$B$1005,MATCH($A672,土地清冊_匯入!$A$6:$A$1005,0)),"查無資料"))</f>
        <v/>
      </c>
      <c r="D672" s="12">
        <f>IF($A672="","",IFERROR(INDEX(土地清冊_匯入!$P$6:$P$1005,MATCH($A672,土地清冊_匯入!$A$6:$A$1005,0)),""))</f>
        <v/>
      </c>
      <c r="E672" s="12">
        <f>IF($A672="","",IFERROR(INDEX(土地清冊_匯入!$Q$6:$Q$1005,MATCH($A672,土地清冊_匯入!$A$6:$A$1005,0)),""))</f>
        <v/>
      </c>
      <c r="F672" s="12">
        <f>IF($A672="","",IFERROR(INDEX(土地清冊_匯入!$R$6:$R$1005,MATCH($A672,土地清冊_匯入!$A$6:$A$1005,0)),""))</f>
        <v/>
      </c>
      <c r="G672" s="12">
        <f>IF($A672="","",IFERROR(INDEX(土地清冊_匯入!$S$6:$S$1005,MATCH($A672,土地清冊_匯入!$A$6:$A$1005,0)),""))</f>
        <v/>
      </c>
      <c r="H672" s="12">
        <f>IF($A672="","",IFERROR(INDEX(土地清冊_匯入!$T$6:$T$1005,MATCH($A672,土地清冊_匯入!$A$6:$A$1005,0)),""))</f>
        <v/>
      </c>
      <c r="I672" s="12">
        <f>IF($A672="","",IFERROR(INDEX(土地清冊_匯入!$V$6:$V$1005,MATCH($A672,土地清冊_匯入!$A$6:$A$1005,0)),""))</f>
        <v/>
      </c>
      <c r="J672" s="14" t="n"/>
      <c r="K672" s="7" t="n"/>
      <c r="L672" s="7" t="n"/>
      <c r="M672" s="7" t="n"/>
      <c r="N672" s="7" t="n"/>
      <c r="O672" s="7" t="n"/>
      <c r="P672" s="7" t="n"/>
      <c r="Q672" s="14" t="n"/>
      <c r="R672" s="7" t="n"/>
      <c r="S672" s="7" t="n"/>
      <c r="T672" s="7" t="n"/>
      <c r="U672" s="12">
        <f>IF(A672="","",IF(OR(J672="",L672=""),"建議補聯絡紀錄","") )</f>
        <v/>
      </c>
    </row>
    <row r="673" ht="24" customHeight="1">
      <c r="A673" s="7" t="n"/>
      <c r="B673" s="7" t="n"/>
      <c r="C673" s="12">
        <f>IF($A673="","",IFERROR(INDEX(土地清冊_匯入!$B$6:$B$1005,MATCH($A673,土地清冊_匯入!$A$6:$A$1005,0)),"查無資料"))</f>
        <v/>
      </c>
      <c r="D673" s="12">
        <f>IF($A673="","",IFERROR(INDEX(土地清冊_匯入!$P$6:$P$1005,MATCH($A673,土地清冊_匯入!$A$6:$A$1005,0)),""))</f>
        <v/>
      </c>
      <c r="E673" s="12">
        <f>IF($A673="","",IFERROR(INDEX(土地清冊_匯入!$Q$6:$Q$1005,MATCH($A673,土地清冊_匯入!$A$6:$A$1005,0)),""))</f>
        <v/>
      </c>
      <c r="F673" s="12">
        <f>IF($A673="","",IFERROR(INDEX(土地清冊_匯入!$R$6:$R$1005,MATCH($A673,土地清冊_匯入!$A$6:$A$1005,0)),""))</f>
        <v/>
      </c>
      <c r="G673" s="12">
        <f>IF($A673="","",IFERROR(INDEX(土地清冊_匯入!$S$6:$S$1005,MATCH($A673,土地清冊_匯入!$A$6:$A$1005,0)),""))</f>
        <v/>
      </c>
      <c r="H673" s="12">
        <f>IF($A673="","",IFERROR(INDEX(土地清冊_匯入!$T$6:$T$1005,MATCH($A673,土地清冊_匯入!$A$6:$A$1005,0)),""))</f>
        <v/>
      </c>
      <c r="I673" s="12">
        <f>IF($A673="","",IFERROR(INDEX(土地清冊_匯入!$V$6:$V$1005,MATCH($A673,土地清冊_匯入!$A$6:$A$1005,0)),""))</f>
        <v/>
      </c>
      <c r="J673" s="14" t="n"/>
      <c r="K673" s="7" t="n"/>
      <c r="L673" s="7" t="n"/>
      <c r="M673" s="7" t="n"/>
      <c r="N673" s="7" t="n"/>
      <c r="O673" s="7" t="n"/>
      <c r="P673" s="7" t="n"/>
      <c r="Q673" s="14" t="n"/>
      <c r="R673" s="7" t="n"/>
      <c r="S673" s="7" t="n"/>
      <c r="T673" s="7" t="n"/>
      <c r="U673" s="12">
        <f>IF(A673="","",IF(OR(J673="",L673=""),"建議補聯絡紀錄","") )</f>
        <v/>
      </c>
    </row>
    <row r="674" ht="24" customHeight="1">
      <c r="A674" s="7" t="n"/>
      <c r="B674" s="7" t="n"/>
      <c r="C674" s="12">
        <f>IF($A674="","",IFERROR(INDEX(土地清冊_匯入!$B$6:$B$1005,MATCH($A674,土地清冊_匯入!$A$6:$A$1005,0)),"查無資料"))</f>
        <v/>
      </c>
      <c r="D674" s="12">
        <f>IF($A674="","",IFERROR(INDEX(土地清冊_匯入!$P$6:$P$1005,MATCH($A674,土地清冊_匯入!$A$6:$A$1005,0)),""))</f>
        <v/>
      </c>
      <c r="E674" s="12">
        <f>IF($A674="","",IFERROR(INDEX(土地清冊_匯入!$Q$6:$Q$1005,MATCH($A674,土地清冊_匯入!$A$6:$A$1005,0)),""))</f>
        <v/>
      </c>
      <c r="F674" s="12">
        <f>IF($A674="","",IFERROR(INDEX(土地清冊_匯入!$R$6:$R$1005,MATCH($A674,土地清冊_匯入!$A$6:$A$1005,0)),""))</f>
        <v/>
      </c>
      <c r="G674" s="12">
        <f>IF($A674="","",IFERROR(INDEX(土地清冊_匯入!$S$6:$S$1005,MATCH($A674,土地清冊_匯入!$A$6:$A$1005,0)),""))</f>
        <v/>
      </c>
      <c r="H674" s="12">
        <f>IF($A674="","",IFERROR(INDEX(土地清冊_匯入!$T$6:$T$1005,MATCH($A674,土地清冊_匯入!$A$6:$A$1005,0)),""))</f>
        <v/>
      </c>
      <c r="I674" s="12">
        <f>IF($A674="","",IFERROR(INDEX(土地清冊_匯入!$V$6:$V$1005,MATCH($A674,土地清冊_匯入!$A$6:$A$1005,0)),""))</f>
        <v/>
      </c>
      <c r="J674" s="14" t="n"/>
      <c r="K674" s="7" t="n"/>
      <c r="L674" s="7" t="n"/>
      <c r="M674" s="7" t="n"/>
      <c r="N674" s="7" t="n"/>
      <c r="O674" s="7" t="n"/>
      <c r="P674" s="7" t="n"/>
      <c r="Q674" s="14" t="n"/>
      <c r="R674" s="7" t="n"/>
      <c r="S674" s="7" t="n"/>
      <c r="T674" s="7" t="n"/>
      <c r="U674" s="12">
        <f>IF(A674="","",IF(OR(J674="",L674=""),"建議補聯絡紀錄","") )</f>
        <v/>
      </c>
    </row>
    <row r="675" ht="24" customHeight="1">
      <c r="A675" s="7" t="n"/>
      <c r="B675" s="7" t="n"/>
      <c r="C675" s="12">
        <f>IF($A675="","",IFERROR(INDEX(土地清冊_匯入!$B$6:$B$1005,MATCH($A675,土地清冊_匯入!$A$6:$A$1005,0)),"查無資料"))</f>
        <v/>
      </c>
      <c r="D675" s="12">
        <f>IF($A675="","",IFERROR(INDEX(土地清冊_匯入!$P$6:$P$1005,MATCH($A675,土地清冊_匯入!$A$6:$A$1005,0)),""))</f>
        <v/>
      </c>
      <c r="E675" s="12">
        <f>IF($A675="","",IFERROR(INDEX(土地清冊_匯入!$Q$6:$Q$1005,MATCH($A675,土地清冊_匯入!$A$6:$A$1005,0)),""))</f>
        <v/>
      </c>
      <c r="F675" s="12">
        <f>IF($A675="","",IFERROR(INDEX(土地清冊_匯入!$R$6:$R$1005,MATCH($A675,土地清冊_匯入!$A$6:$A$1005,0)),""))</f>
        <v/>
      </c>
      <c r="G675" s="12">
        <f>IF($A675="","",IFERROR(INDEX(土地清冊_匯入!$S$6:$S$1005,MATCH($A675,土地清冊_匯入!$A$6:$A$1005,0)),""))</f>
        <v/>
      </c>
      <c r="H675" s="12">
        <f>IF($A675="","",IFERROR(INDEX(土地清冊_匯入!$T$6:$T$1005,MATCH($A675,土地清冊_匯入!$A$6:$A$1005,0)),""))</f>
        <v/>
      </c>
      <c r="I675" s="12">
        <f>IF($A675="","",IFERROR(INDEX(土地清冊_匯入!$V$6:$V$1005,MATCH($A675,土地清冊_匯入!$A$6:$A$1005,0)),""))</f>
        <v/>
      </c>
      <c r="J675" s="14" t="n"/>
      <c r="K675" s="7" t="n"/>
      <c r="L675" s="7" t="n"/>
      <c r="M675" s="7" t="n"/>
      <c r="N675" s="7" t="n"/>
      <c r="O675" s="7" t="n"/>
      <c r="P675" s="7" t="n"/>
      <c r="Q675" s="14" t="n"/>
      <c r="R675" s="7" t="n"/>
      <c r="S675" s="7" t="n"/>
      <c r="T675" s="7" t="n"/>
      <c r="U675" s="12">
        <f>IF(A675="","",IF(OR(J675="",L675=""),"建議補聯絡紀錄","") )</f>
        <v/>
      </c>
    </row>
    <row r="676" ht="24" customHeight="1">
      <c r="A676" s="7" t="n"/>
      <c r="B676" s="7" t="n"/>
      <c r="C676" s="12">
        <f>IF($A676="","",IFERROR(INDEX(土地清冊_匯入!$B$6:$B$1005,MATCH($A676,土地清冊_匯入!$A$6:$A$1005,0)),"查無資料"))</f>
        <v/>
      </c>
      <c r="D676" s="12">
        <f>IF($A676="","",IFERROR(INDEX(土地清冊_匯入!$P$6:$P$1005,MATCH($A676,土地清冊_匯入!$A$6:$A$1005,0)),""))</f>
        <v/>
      </c>
      <c r="E676" s="12">
        <f>IF($A676="","",IFERROR(INDEX(土地清冊_匯入!$Q$6:$Q$1005,MATCH($A676,土地清冊_匯入!$A$6:$A$1005,0)),""))</f>
        <v/>
      </c>
      <c r="F676" s="12">
        <f>IF($A676="","",IFERROR(INDEX(土地清冊_匯入!$R$6:$R$1005,MATCH($A676,土地清冊_匯入!$A$6:$A$1005,0)),""))</f>
        <v/>
      </c>
      <c r="G676" s="12">
        <f>IF($A676="","",IFERROR(INDEX(土地清冊_匯入!$S$6:$S$1005,MATCH($A676,土地清冊_匯入!$A$6:$A$1005,0)),""))</f>
        <v/>
      </c>
      <c r="H676" s="12">
        <f>IF($A676="","",IFERROR(INDEX(土地清冊_匯入!$T$6:$T$1005,MATCH($A676,土地清冊_匯入!$A$6:$A$1005,0)),""))</f>
        <v/>
      </c>
      <c r="I676" s="12">
        <f>IF($A676="","",IFERROR(INDEX(土地清冊_匯入!$V$6:$V$1005,MATCH($A676,土地清冊_匯入!$A$6:$A$1005,0)),""))</f>
        <v/>
      </c>
      <c r="J676" s="14" t="n"/>
      <c r="K676" s="7" t="n"/>
      <c r="L676" s="7" t="n"/>
      <c r="M676" s="7" t="n"/>
      <c r="N676" s="7" t="n"/>
      <c r="O676" s="7" t="n"/>
      <c r="P676" s="7" t="n"/>
      <c r="Q676" s="14" t="n"/>
      <c r="R676" s="7" t="n"/>
      <c r="S676" s="7" t="n"/>
      <c r="T676" s="7" t="n"/>
      <c r="U676" s="12">
        <f>IF(A676="","",IF(OR(J676="",L676=""),"建議補聯絡紀錄","") )</f>
        <v/>
      </c>
    </row>
    <row r="677" ht="24" customHeight="1">
      <c r="A677" s="7" t="n"/>
      <c r="B677" s="7" t="n"/>
      <c r="C677" s="12">
        <f>IF($A677="","",IFERROR(INDEX(土地清冊_匯入!$B$6:$B$1005,MATCH($A677,土地清冊_匯入!$A$6:$A$1005,0)),"查無資料"))</f>
        <v/>
      </c>
      <c r="D677" s="12">
        <f>IF($A677="","",IFERROR(INDEX(土地清冊_匯入!$P$6:$P$1005,MATCH($A677,土地清冊_匯入!$A$6:$A$1005,0)),""))</f>
        <v/>
      </c>
      <c r="E677" s="12">
        <f>IF($A677="","",IFERROR(INDEX(土地清冊_匯入!$Q$6:$Q$1005,MATCH($A677,土地清冊_匯入!$A$6:$A$1005,0)),""))</f>
        <v/>
      </c>
      <c r="F677" s="12">
        <f>IF($A677="","",IFERROR(INDEX(土地清冊_匯入!$R$6:$R$1005,MATCH($A677,土地清冊_匯入!$A$6:$A$1005,0)),""))</f>
        <v/>
      </c>
      <c r="G677" s="12">
        <f>IF($A677="","",IFERROR(INDEX(土地清冊_匯入!$S$6:$S$1005,MATCH($A677,土地清冊_匯入!$A$6:$A$1005,0)),""))</f>
        <v/>
      </c>
      <c r="H677" s="12">
        <f>IF($A677="","",IFERROR(INDEX(土地清冊_匯入!$T$6:$T$1005,MATCH($A677,土地清冊_匯入!$A$6:$A$1005,0)),""))</f>
        <v/>
      </c>
      <c r="I677" s="12">
        <f>IF($A677="","",IFERROR(INDEX(土地清冊_匯入!$V$6:$V$1005,MATCH($A677,土地清冊_匯入!$A$6:$A$1005,0)),""))</f>
        <v/>
      </c>
      <c r="J677" s="14" t="n"/>
      <c r="K677" s="7" t="n"/>
      <c r="L677" s="7" t="n"/>
      <c r="M677" s="7" t="n"/>
      <c r="N677" s="7" t="n"/>
      <c r="O677" s="7" t="n"/>
      <c r="P677" s="7" t="n"/>
      <c r="Q677" s="14" t="n"/>
      <c r="R677" s="7" t="n"/>
      <c r="S677" s="7" t="n"/>
      <c r="T677" s="7" t="n"/>
      <c r="U677" s="12">
        <f>IF(A677="","",IF(OR(J677="",L677=""),"建議補聯絡紀錄","") )</f>
        <v/>
      </c>
    </row>
    <row r="678" ht="24" customHeight="1">
      <c r="A678" s="7" t="n"/>
      <c r="B678" s="7" t="n"/>
      <c r="C678" s="12">
        <f>IF($A678="","",IFERROR(INDEX(土地清冊_匯入!$B$6:$B$1005,MATCH($A678,土地清冊_匯入!$A$6:$A$1005,0)),"查無資料"))</f>
        <v/>
      </c>
      <c r="D678" s="12">
        <f>IF($A678="","",IFERROR(INDEX(土地清冊_匯入!$P$6:$P$1005,MATCH($A678,土地清冊_匯入!$A$6:$A$1005,0)),""))</f>
        <v/>
      </c>
      <c r="E678" s="12">
        <f>IF($A678="","",IFERROR(INDEX(土地清冊_匯入!$Q$6:$Q$1005,MATCH($A678,土地清冊_匯入!$A$6:$A$1005,0)),""))</f>
        <v/>
      </c>
      <c r="F678" s="12">
        <f>IF($A678="","",IFERROR(INDEX(土地清冊_匯入!$R$6:$R$1005,MATCH($A678,土地清冊_匯入!$A$6:$A$1005,0)),""))</f>
        <v/>
      </c>
      <c r="G678" s="12">
        <f>IF($A678="","",IFERROR(INDEX(土地清冊_匯入!$S$6:$S$1005,MATCH($A678,土地清冊_匯入!$A$6:$A$1005,0)),""))</f>
        <v/>
      </c>
      <c r="H678" s="12">
        <f>IF($A678="","",IFERROR(INDEX(土地清冊_匯入!$T$6:$T$1005,MATCH($A678,土地清冊_匯入!$A$6:$A$1005,0)),""))</f>
        <v/>
      </c>
      <c r="I678" s="12">
        <f>IF($A678="","",IFERROR(INDEX(土地清冊_匯入!$V$6:$V$1005,MATCH($A678,土地清冊_匯入!$A$6:$A$1005,0)),""))</f>
        <v/>
      </c>
      <c r="J678" s="14" t="n"/>
      <c r="K678" s="7" t="n"/>
      <c r="L678" s="7" t="n"/>
      <c r="M678" s="7" t="n"/>
      <c r="N678" s="7" t="n"/>
      <c r="O678" s="7" t="n"/>
      <c r="P678" s="7" t="n"/>
      <c r="Q678" s="14" t="n"/>
      <c r="R678" s="7" t="n"/>
      <c r="S678" s="7" t="n"/>
      <c r="T678" s="7" t="n"/>
      <c r="U678" s="12">
        <f>IF(A678="","",IF(OR(J678="",L678=""),"建議補聯絡紀錄","") )</f>
        <v/>
      </c>
    </row>
    <row r="679" ht="24" customHeight="1">
      <c r="A679" s="7" t="n"/>
      <c r="B679" s="7" t="n"/>
      <c r="C679" s="12">
        <f>IF($A679="","",IFERROR(INDEX(土地清冊_匯入!$B$6:$B$1005,MATCH($A679,土地清冊_匯入!$A$6:$A$1005,0)),"查無資料"))</f>
        <v/>
      </c>
      <c r="D679" s="12">
        <f>IF($A679="","",IFERROR(INDEX(土地清冊_匯入!$P$6:$P$1005,MATCH($A679,土地清冊_匯入!$A$6:$A$1005,0)),""))</f>
        <v/>
      </c>
      <c r="E679" s="12">
        <f>IF($A679="","",IFERROR(INDEX(土地清冊_匯入!$Q$6:$Q$1005,MATCH($A679,土地清冊_匯入!$A$6:$A$1005,0)),""))</f>
        <v/>
      </c>
      <c r="F679" s="12">
        <f>IF($A679="","",IFERROR(INDEX(土地清冊_匯入!$R$6:$R$1005,MATCH($A679,土地清冊_匯入!$A$6:$A$1005,0)),""))</f>
        <v/>
      </c>
      <c r="G679" s="12">
        <f>IF($A679="","",IFERROR(INDEX(土地清冊_匯入!$S$6:$S$1005,MATCH($A679,土地清冊_匯入!$A$6:$A$1005,0)),""))</f>
        <v/>
      </c>
      <c r="H679" s="12">
        <f>IF($A679="","",IFERROR(INDEX(土地清冊_匯入!$T$6:$T$1005,MATCH($A679,土地清冊_匯入!$A$6:$A$1005,0)),""))</f>
        <v/>
      </c>
      <c r="I679" s="12">
        <f>IF($A679="","",IFERROR(INDEX(土地清冊_匯入!$V$6:$V$1005,MATCH($A679,土地清冊_匯入!$A$6:$A$1005,0)),""))</f>
        <v/>
      </c>
      <c r="J679" s="14" t="n"/>
      <c r="K679" s="7" t="n"/>
      <c r="L679" s="7" t="n"/>
      <c r="M679" s="7" t="n"/>
      <c r="N679" s="7" t="n"/>
      <c r="O679" s="7" t="n"/>
      <c r="P679" s="7" t="n"/>
      <c r="Q679" s="14" t="n"/>
      <c r="R679" s="7" t="n"/>
      <c r="S679" s="7" t="n"/>
      <c r="T679" s="7" t="n"/>
      <c r="U679" s="12">
        <f>IF(A679="","",IF(OR(J679="",L679=""),"建議補聯絡紀錄","") )</f>
        <v/>
      </c>
    </row>
    <row r="680" ht="24" customHeight="1">
      <c r="A680" s="7" t="n"/>
      <c r="B680" s="7" t="n"/>
      <c r="C680" s="12">
        <f>IF($A680="","",IFERROR(INDEX(土地清冊_匯入!$B$6:$B$1005,MATCH($A680,土地清冊_匯入!$A$6:$A$1005,0)),"查無資料"))</f>
        <v/>
      </c>
      <c r="D680" s="12">
        <f>IF($A680="","",IFERROR(INDEX(土地清冊_匯入!$P$6:$P$1005,MATCH($A680,土地清冊_匯入!$A$6:$A$1005,0)),""))</f>
        <v/>
      </c>
      <c r="E680" s="12">
        <f>IF($A680="","",IFERROR(INDEX(土地清冊_匯入!$Q$6:$Q$1005,MATCH($A680,土地清冊_匯入!$A$6:$A$1005,0)),""))</f>
        <v/>
      </c>
      <c r="F680" s="12">
        <f>IF($A680="","",IFERROR(INDEX(土地清冊_匯入!$R$6:$R$1005,MATCH($A680,土地清冊_匯入!$A$6:$A$1005,0)),""))</f>
        <v/>
      </c>
      <c r="G680" s="12">
        <f>IF($A680="","",IFERROR(INDEX(土地清冊_匯入!$S$6:$S$1005,MATCH($A680,土地清冊_匯入!$A$6:$A$1005,0)),""))</f>
        <v/>
      </c>
      <c r="H680" s="12">
        <f>IF($A680="","",IFERROR(INDEX(土地清冊_匯入!$T$6:$T$1005,MATCH($A680,土地清冊_匯入!$A$6:$A$1005,0)),""))</f>
        <v/>
      </c>
      <c r="I680" s="12">
        <f>IF($A680="","",IFERROR(INDEX(土地清冊_匯入!$V$6:$V$1005,MATCH($A680,土地清冊_匯入!$A$6:$A$1005,0)),""))</f>
        <v/>
      </c>
      <c r="J680" s="14" t="n"/>
      <c r="K680" s="7" t="n"/>
      <c r="L680" s="7" t="n"/>
      <c r="M680" s="7" t="n"/>
      <c r="N680" s="7" t="n"/>
      <c r="O680" s="7" t="n"/>
      <c r="P680" s="7" t="n"/>
      <c r="Q680" s="14" t="n"/>
      <c r="R680" s="7" t="n"/>
      <c r="S680" s="7" t="n"/>
      <c r="T680" s="7" t="n"/>
      <c r="U680" s="12">
        <f>IF(A680="","",IF(OR(J680="",L680=""),"建議補聯絡紀錄","") )</f>
        <v/>
      </c>
    </row>
    <row r="681" ht="24" customHeight="1">
      <c r="A681" s="7" t="n"/>
      <c r="B681" s="7" t="n"/>
      <c r="C681" s="12">
        <f>IF($A681="","",IFERROR(INDEX(土地清冊_匯入!$B$6:$B$1005,MATCH($A681,土地清冊_匯入!$A$6:$A$1005,0)),"查無資料"))</f>
        <v/>
      </c>
      <c r="D681" s="12">
        <f>IF($A681="","",IFERROR(INDEX(土地清冊_匯入!$P$6:$P$1005,MATCH($A681,土地清冊_匯入!$A$6:$A$1005,0)),""))</f>
        <v/>
      </c>
      <c r="E681" s="12">
        <f>IF($A681="","",IFERROR(INDEX(土地清冊_匯入!$Q$6:$Q$1005,MATCH($A681,土地清冊_匯入!$A$6:$A$1005,0)),""))</f>
        <v/>
      </c>
      <c r="F681" s="12">
        <f>IF($A681="","",IFERROR(INDEX(土地清冊_匯入!$R$6:$R$1005,MATCH($A681,土地清冊_匯入!$A$6:$A$1005,0)),""))</f>
        <v/>
      </c>
      <c r="G681" s="12">
        <f>IF($A681="","",IFERROR(INDEX(土地清冊_匯入!$S$6:$S$1005,MATCH($A681,土地清冊_匯入!$A$6:$A$1005,0)),""))</f>
        <v/>
      </c>
      <c r="H681" s="12">
        <f>IF($A681="","",IFERROR(INDEX(土地清冊_匯入!$T$6:$T$1005,MATCH($A681,土地清冊_匯入!$A$6:$A$1005,0)),""))</f>
        <v/>
      </c>
      <c r="I681" s="12">
        <f>IF($A681="","",IFERROR(INDEX(土地清冊_匯入!$V$6:$V$1005,MATCH($A681,土地清冊_匯入!$A$6:$A$1005,0)),""))</f>
        <v/>
      </c>
      <c r="J681" s="14" t="n"/>
      <c r="K681" s="7" t="n"/>
      <c r="L681" s="7" t="n"/>
      <c r="M681" s="7" t="n"/>
      <c r="N681" s="7" t="n"/>
      <c r="O681" s="7" t="n"/>
      <c r="P681" s="7" t="n"/>
      <c r="Q681" s="14" t="n"/>
      <c r="R681" s="7" t="n"/>
      <c r="S681" s="7" t="n"/>
      <c r="T681" s="7" t="n"/>
      <c r="U681" s="12">
        <f>IF(A681="","",IF(OR(J681="",L681=""),"建議補聯絡紀錄","") )</f>
        <v/>
      </c>
    </row>
    <row r="682" ht="24" customHeight="1">
      <c r="A682" s="7" t="n"/>
      <c r="B682" s="7" t="n"/>
      <c r="C682" s="12">
        <f>IF($A682="","",IFERROR(INDEX(土地清冊_匯入!$B$6:$B$1005,MATCH($A682,土地清冊_匯入!$A$6:$A$1005,0)),"查無資料"))</f>
        <v/>
      </c>
      <c r="D682" s="12">
        <f>IF($A682="","",IFERROR(INDEX(土地清冊_匯入!$P$6:$P$1005,MATCH($A682,土地清冊_匯入!$A$6:$A$1005,0)),""))</f>
        <v/>
      </c>
      <c r="E682" s="12">
        <f>IF($A682="","",IFERROR(INDEX(土地清冊_匯入!$Q$6:$Q$1005,MATCH($A682,土地清冊_匯入!$A$6:$A$1005,0)),""))</f>
        <v/>
      </c>
      <c r="F682" s="12">
        <f>IF($A682="","",IFERROR(INDEX(土地清冊_匯入!$R$6:$R$1005,MATCH($A682,土地清冊_匯入!$A$6:$A$1005,0)),""))</f>
        <v/>
      </c>
      <c r="G682" s="12">
        <f>IF($A682="","",IFERROR(INDEX(土地清冊_匯入!$S$6:$S$1005,MATCH($A682,土地清冊_匯入!$A$6:$A$1005,0)),""))</f>
        <v/>
      </c>
      <c r="H682" s="12">
        <f>IF($A682="","",IFERROR(INDEX(土地清冊_匯入!$T$6:$T$1005,MATCH($A682,土地清冊_匯入!$A$6:$A$1005,0)),""))</f>
        <v/>
      </c>
      <c r="I682" s="12">
        <f>IF($A682="","",IFERROR(INDEX(土地清冊_匯入!$V$6:$V$1005,MATCH($A682,土地清冊_匯入!$A$6:$A$1005,0)),""))</f>
        <v/>
      </c>
      <c r="J682" s="14" t="n"/>
      <c r="K682" s="7" t="n"/>
      <c r="L682" s="7" t="n"/>
      <c r="M682" s="7" t="n"/>
      <c r="N682" s="7" t="n"/>
      <c r="O682" s="7" t="n"/>
      <c r="P682" s="7" t="n"/>
      <c r="Q682" s="14" t="n"/>
      <c r="R682" s="7" t="n"/>
      <c r="S682" s="7" t="n"/>
      <c r="T682" s="7" t="n"/>
      <c r="U682" s="12">
        <f>IF(A682="","",IF(OR(J682="",L682=""),"建議補聯絡紀錄","") )</f>
        <v/>
      </c>
    </row>
    <row r="683" ht="24" customHeight="1">
      <c r="A683" s="7" t="n"/>
      <c r="B683" s="7" t="n"/>
      <c r="C683" s="12">
        <f>IF($A683="","",IFERROR(INDEX(土地清冊_匯入!$B$6:$B$1005,MATCH($A683,土地清冊_匯入!$A$6:$A$1005,0)),"查無資料"))</f>
        <v/>
      </c>
      <c r="D683" s="12">
        <f>IF($A683="","",IFERROR(INDEX(土地清冊_匯入!$P$6:$P$1005,MATCH($A683,土地清冊_匯入!$A$6:$A$1005,0)),""))</f>
        <v/>
      </c>
      <c r="E683" s="12">
        <f>IF($A683="","",IFERROR(INDEX(土地清冊_匯入!$Q$6:$Q$1005,MATCH($A683,土地清冊_匯入!$A$6:$A$1005,0)),""))</f>
        <v/>
      </c>
      <c r="F683" s="12">
        <f>IF($A683="","",IFERROR(INDEX(土地清冊_匯入!$R$6:$R$1005,MATCH($A683,土地清冊_匯入!$A$6:$A$1005,0)),""))</f>
        <v/>
      </c>
      <c r="G683" s="12">
        <f>IF($A683="","",IFERROR(INDEX(土地清冊_匯入!$S$6:$S$1005,MATCH($A683,土地清冊_匯入!$A$6:$A$1005,0)),""))</f>
        <v/>
      </c>
      <c r="H683" s="12">
        <f>IF($A683="","",IFERROR(INDEX(土地清冊_匯入!$T$6:$T$1005,MATCH($A683,土地清冊_匯入!$A$6:$A$1005,0)),""))</f>
        <v/>
      </c>
      <c r="I683" s="12">
        <f>IF($A683="","",IFERROR(INDEX(土地清冊_匯入!$V$6:$V$1005,MATCH($A683,土地清冊_匯入!$A$6:$A$1005,0)),""))</f>
        <v/>
      </c>
      <c r="J683" s="14" t="n"/>
      <c r="K683" s="7" t="n"/>
      <c r="L683" s="7" t="n"/>
      <c r="M683" s="7" t="n"/>
      <c r="N683" s="7" t="n"/>
      <c r="O683" s="7" t="n"/>
      <c r="P683" s="7" t="n"/>
      <c r="Q683" s="14" t="n"/>
      <c r="R683" s="7" t="n"/>
      <c r="S683" s="7" t="n"/>
      <c r="T683" s="7" t="n"/>
      <c r="U683" s="12">
        <f>IF(A683="","",IF(OR(J683="",L683=""),"建議補聯絡紀錄","") )</f>
        <v/>
      </c>
    </row>
    <row r="684" ht="24" customHeight="1">
      <c r="A684" s="7" t="n"/>
      <c r="B684" s="7" t="n"/>
      <c r="C684" s="12">
        <f>IF($A684="","",IFERROR(INDEX(土地清冊_匯入!$B$6:$B$1005,MATCH($A684,土地清冊_匯入!$A$6:$A$1005,0)),"查無資料"))</f>
        <v/>
      </c>
      <c r="D684" s="12">
        <f>IF($A684="","",IFERROR(INDEX(土地清冊_匯入!$P$6:$P$1005,MATCH($A684,土地清冊_匯入!$A$6:$A$1005,0)),""))</f>
        <v/>
      </c>
      <c r="E684" s="12">
        <f>IF($A684="","",IFERROR(INDEX(土地清冊_匯入!$Q$6:$Q$1005,MATCH($A684,土地清冊_匯入!$A$6:$A$1005,0)),""))</f>
        <v/>
      </c>
      <c r="F684" s="12">
        <f>IF($A684="","",IFERROR(INDEX(土地清冊_匯入!$R$6:$R$1005,MATCH($A684,土地清冊_匯入!$A$6:$A$1005,0)),""))</f>
        <v/>
      </c>
      <c r="G684" s="12">
        <f>IF($A684="","",IFERROR(INDEX(土地清冊_匯入!$S$6:$S$1005,MATCH($A684,土地清冊_匯入!$A$6:$A$1005,0)),""))</f>
        <v/>
      </c>
      <c r="H684" s="12">
        <f>IF($A684="","",IFERROR(INDEX(土地清冊_匯入!$T$6:$T$1005,MATCH($A684,土地清冊_匯入!$A$6:$A$1005,0)),""))</f>
        <v/>
      </c>
      <c r="I684" s="12">
        <f>IF($A684="","",IFERROR(INDEX(土地清冊_匯入!$V$6:$V$1005,MATCH($A684,土地清冊_匯入!$A$6:$A$1005,0)),""))</f>
        <v/>
      </c>
      <c r="J684" s="14" t="n"/>
      <c r="K684" s="7" t="n"/>
      <c r="L684" s="7" t="n"/>
      <c r="M684" s="7" t="n"/>
      <c r="N684" s="7" t="n"/>
      <c r="O684" s="7" t="n"/>
      <c r="P684" s="7" t="n"/>
      <c r="Q684" s="14" t="n"/>
      <c r="R684" s="7" t="n"/>
      <c r="S684" s="7" t="n"/>
      <c r="T684" s="7" t="n"/>
      <c r="U684" s="12">
        <f>IF(A684="","",IF(OR(J684="",L684=""),"建議補聯絡紀錄","") )</f>
        <v/>
      </c>
    </row>
    <row r="685" ht="24" customHeight="1">
      <c r="A685" s="7" t="n"/>
      <c r="B685" s="7" t="n"/>
      <c r="C685" s="12">
        <f>IF($A685="","",IFERROR(INDEX(土地清冊_匯入!$B$6:$B$1005,MATCH($A685,土地清冊_匯入!$A$6:$A$1005,0)),"查無資料"))</f>
        <v/>
      </c>
      <c r="D685" s="12">
        <f>IF($A685="","",IFERROR(INDEX(土地清冊_匯入!$P$6:$P$1005,MATCH($A685,土地清冊_匯入!$A$6:$A$1005,0)),""))</f>
        <v/>
      </c>
      <c r="E685" s="12">
        <f>IF($A685="","",IFERROR(INDEX(土地清冊_匯入!$Q$6:$Q$1005,MATCH($A685,土地清冊_匯入!$A$6:$A$1005,0)),""))</f>
        <v/>
      </c>
      <c r="F685" s="12">
        <f>IF($A685="","",IFERROR(INDEX(土地清冊_匯入!$R$6:$R$1005,MATCH($A685,土地清冊_匯入!$A$6:$A$1005,0)),""))</f>
        <v/>
      </c>
      <c r="G685" s="12">
        <f>IF($A685="","",IFERROR(INDEX(土地清冊_匯入!$S$6:$S$1005,MATCH($A685,土地清冊_匯入!$A$6:$A$1005,0)),""))</f>
        <v/>
      </c>
      <c r="H685" s="12">
        <f>IF($A685="","",IFERROR(INDEX(土地清冊_匯入!$T$6:$T$1005,MATCH($A685,土地清冊_匯入!$A$6:$A$1005,0)),""))</f>
        <v/>
      </c>
      <c r="I685" s="12">
        <f>IF($A685="","",IFERROR(INDEX(土地清冊_匯入!$V$6:$V$1005,MATCH($A685,土地清冊_匯入!$A$6:$A$1005,0)),""))</f>
        <v/>
      </c>
      <c r="J685" s="14" t="n"/>
      <c r="K685" s="7" t="n"/>
      <c r="L685" s="7" t="n"/>
      <c r="M685" s="7" t="n"/>
      <c r="N685" s="7" t="n"/>
      <c r="O685" s="7" t="n"/>
      <c r="P685" s="7" t="n"/>
      <c r="Q685" s="14" t="n"/>
      <c r="R685" s="7" t="n"/>
      <c r="S685" s="7" t="n"/>
      <c r="T685" s="7" t="n"/>
      <c r="U685" s="12">
        <f>IF(A685="","",IF(OR(J685="",L685=""),"建議補聯絡紀錄","") )</f>
        <v/>
      </c>
    </row>
    <row r="686" ht="24" customHeight="1">
      <c r="A686" s="7" t="n"/>
      <c r="B686" s="7" t="n"/>
      <c r="C686" s="12">
        <f>IF($A686="","",IFERROR(INDEX(土地清冊_匯入!$B$6:$B$1005,MATCH($A686,土地清冊_匯入!$A$6:$A$1005,0)),"查無資料"))</f>
        <v/>
      </c>
      <c r="D686" s="12">
        <f>IF($A686="","",IFERROR(INDEX(土地清冊_匯入!$P$6:$P$1005,MATCH($A686,土地清冊_匯入!$A$6:$A$1005,0)),""))</f>
        <v/>
      </c>
      <c r="E686" s="12">
        <f>IF($A686="","",IFERROR(INDEX(土地清冊_匯入!$Q$6:$Q$1005,MATCH($A686,土地清冊_匯入!$A$6:$A$1005,0)),""))</f>
        <v/>
      </c>
      <c r="F686" s="12">
        <f>IF($A686="","",IFERROR(INDEX(土地清冊_匯入!$R$6:$R$1005,MATCH($A686,土地清冊_匯入!$A$6:$A$1005,0)),""))</f>
        <v/>
      </c>
      <c r="G686" s="12">
        <f>IF($A686="","",IFERROR(INDEX(土地清冊_匯入!$S$6:$S$1005,MATCH($A686,土地清冊_匯入!$A$6:$A$1005,0)),""))</f>
        <v/>
      </c>
      <c r="H686" s="12">
        <f>IF($A686="","",IFERROR(INDEX(土地清冊_匯入!$T$6:$T$1005,MATCH($A686,土地清冊_匯入!$A$6:$A$1005,0)),""))</f>
        <v/>
      </c>
      <c r="I686" s="12">
        <f>IF($A686="","",IFERROR(INDEX(土地清冊_匯入!$V$6:$V$1005,MATCH($A686,土地清冊_匯入!$A$6:$A$1005,0)),""))</f>
        <v/>
      </c>
      <c r="J686" s="14" t="n"/>
      <c r="K686" s="7" t="n"/>
      <c r="L686" s="7" t="n"/>
      <c r="M686" s="7" t="n"/>
      <c r="N686" s="7" t="n"/>
      <c r="O686" s="7" t="n"/>
      <c r="P686" s="7" t="n"/>
      <c r="Q686" s="14" t="n"/>
      <c r="R686" s="7" t="n"/>
      <c r="S686" s="7" t="n"/>
      <c r="T686" s="7" t="n"/>
      <c r="U686" s="12">
        <f>IF(A686="","",IF(OR(J686="",L686=""),"建議補聯絡紀錄","") )</f>
        <v/>
      </c>
    </row>
    <row r="687" ht="24" customHeight="1">
      <c r="A687" s="7" t="n"/>
      <c r="B687" s="7" t="n"/>
      <c r="C687" s="12">
        <f>IF($A687="","",IFERROR(INDEX(土地清冊_匯入!$B$6:$B$1005,MATCH($A687,土地清冊_匯入!$A$6:$A$1005,0)),"查無資料"))</f>
        <v/>
      </c>
      <c r="D687" s="12">
        <f>IF($A687="","",IFERROR(INDEX(土地清冊_匯入!$P$6:$P$1005,MATCH($A687,土地清冊_匯入!$A$6:$A$1005,0)),""))</f>
        <v/>
      </c>
      <c r="E687" s="12">
        <f>IF($A687="","",IFERROR(INDEX(土地清冊_匯入!$Q$6:$Q$1005,MATCH($A687,土地清冊_匯入!$A$6:$A$1005,0)),""))</f>
        <v/>
      </c>
      <c r="F687" s="12">
        <f>IF($A687="","",IFERROR(INDEX(土地清冊_匯入!$R$6:$R$1005,MATCH($A687,土地清冊_匯入!$A$6:$A$1005,0)),""))</f>
        <v/>
      </c>
      <c r="G687" s="12">
        <f>IF($A687="","",IFERROR(INDEX(土地清冊_匯入!$S$6:$S$1005,MATCH($A687,土地清冊_匯入!$A$6:$A$1005,0)),""))</f>
        <v/>
      </c>
      <c r="H687" s="12">
        <f>IF($A687="","",IFERROR(INDEX(土地清冊_匯入!$T$6:$T$1005,MATCH($A687,土地清冊_匯入!$A$6:$A$1005,0)),""))</f>
        <v/>
      </c>
      <c r="I687" s="12">
        <f>IF($A687="","",IFERROR(INDEX(土地清冊_匯入!$V$6:$V$1005,MATCH($A687,土地清冊_匯入!$A$6:$A$1005,0)),""))</f>
        <v/>
      </c>
      <c r="J687" s="14" t="n"/>
      <c r="K687" s="7" t="n"/>
      <c r="L687" s="7" t="n"/>
      <c r="M687" s="7" t="n"/>
      <c r="N687" s="7" t="n"/>
      <c r="O687" s="7" t="n"/>
      <c r="P687" s="7" t="n"/>
      <c r="Q687" s="14" t="n"/>
      <c r="R687" s="7" t="n"/>
      <c r="S687" s="7" t="n"/>
      <c r="T687" s="7" t="n"/>
      <c r="U687" s="12">
        <f>IF(A687="","",IF(OR(J687="",L687=""),"建議補聯絡紀錄","") )</f>
        <v/>
      </c>
    </row>
    <row r="688" ht="24" customHeight="1">
      <c r="A688" s="7" t="n"/>
      <c r="B688" s="7" t="n"/>
      <c r="C688" s="12">
        <f>IF($A688="","",IFERROR(INDEX(土地清冊_匯入!$B$6:$B$1005,MATCH($A688,土地清冊_匯入!$A$6:$A$1005,0)),"查無資料"))</f>
        <v/>
      </c>
      <c r="D688" s="12">
        <f>IF($A688="","",IFERROR(INDEX(土地清冊_匯入!$P$6:$P$1005,MATCH($A688,土地清冊_匯入!$A$6:$A$1005,0)),""))</f>
        <v/>
      </c>
      <c r="E688" s="12">
        <f>IF($A688="","",IFERROR(INDEX(土地清冊_匯入!$Q$6:$Q$1005,MATCH($A688,土地清冊_匯入!$A$6:$A$1005,0)),""))</f>
        <v/>
      </c>
      <c r="F688" s="12">
        <f>IF($A688="","",IFERROR(INDEX(土地清冊_匯入!$R$6:$R$1005,MATCH($A688,土地清冊_匯入!$A$6:$A$1005,0)),""))</f>
        <v/>
      </c>
      <c r="G688" s="12">
        <f>IF($A688="","",IFERROR(INDEX(土地清冊_匯入!$S$6:$S$1005,MATCH($A688,土地清冊_匯入!$A$6:$A$1005,0)),""))</f>
        <v/>
      </c>
      <c r="H688" s="12">
        <f>IF($A688="","",IFERROR(INDEX(土地清冊_匯入!$T$6:$T$1005,MATCH($A688,土地清冊_匯入!$A$6:$A$1005,0)),""))</f>
        <v/>
      </c>
      <c r="I688" s="12">
        <f>IF($A688="","",IFERROR(INDEX(土地清冊_匯入!$V$6:$V$1005,MATCH($A688,土地清冊_匯入!$A$6:$A$1005,0)),""))</f>
        <v/>
      </c>
      <c r="J688" s="14" t="n"/>
      <c r="K688" s="7" t="n"/>
      <c r="L688" s="7" t="n"/>
      <c r="M688" s="7" t="n"/>
      <c r="N688" s="7" t="n"/>
      <c r="O688" s="7" t="n"/>
      <c r="P688" s="7" t="n"/>
      <c r="Q688" s="14" t="n"/>
      <c r="R688" s="7" t="n"/>
      <c r="S688" s="7" t="n"/>
      <c r="T688" s="7" t="n"/>
      <c r="U688" s="12">
        <f>IF(A688="","",IF(OR(J688="",L688=""),"建議補聯絡紀錄","") )</f>
        <v/>
      </c>
    </row>
    <row r="689" ht="24" customHeight="1">
      <c r="A689" s="7" t="n"/>
      <c r="B689" s="7" t="n"/>
      <c r="C689" s="12">
        <f>IF($A689="","",IFERROR(INDEX(土地清冊_匯入!$B$6:$B$1005,MATCH($A689,土地清冊_匯入!$A$6:$A$1005,0)),"查無資料"))</f>
        <v/>
      </c>
      <c r="D689" s="12">
        <f>IF($A689="","",IFERROR(INDEX(土地清冊_匯入!$P$6:$P$1005,MATCH($A689,土地清冊_匯入!$A$6:$A$1005,0)),""))</f>
        <v/>
      </c>
      <c r="E689" s="12">
        <f>IF($A689="","",IFERROR(INDEX(土地清冊_匯入!$Q$6:$Q$1005,MATCH($A689,土地清冊_匯入!$A$6:$A$1005,0)),""))</f>
        <v/>
      </c>
      <c r="F689" s="12">
        <f>IF($A689="","",IFERROR(INDEX(土地清冊_匯入!$R$6:$R$1005,MATCH($A689,土地清冊_匯入!$A$6:$A$1005,0)),""))</f>
        <v/>
      </c>
      <c r="G689" s="12">
        <f>IF($A689="","",IFERROR(INDEX(土地清冊_匯入!$S$6:$S$1005,MATCH($A689,土地清冊_匯入!$A$6:$A$1005,0)),""))</f>
        <v/>
      </c>
      <c r="H689" s="12">
        <f>IF($A689="","",IFERROR(INDEX(土地清冊_匯入!$T$6:$T$1005,MATCH($A689,土地清冊_匯入!$A$6:$A$1005,0)),""))</f>
        <v/>
      </c>
      <c r="I689" s="12">
        <f>IF($A689="","",IFERROR(INDEX(土地清冊_匯入!$V$6:$V$1005,MATCH($A689,土地清冊_匯入!$A$6:$A$1005,0)),""))</f>
        <v/>
      </c>
      <c r="J689" s="14" t="n"/>
      <c r="K689" s="7" t="n"/>
      <c r="L689" s="7" t="n"/>
      <c r="M689" s="7" t="n"/>
      <c r="N689" s="7" t="n"/>
      <c r="O689" s="7" t="n"/>
      <c r="P689" s="7" t="n"/>
      <c r="Q689" s="14" t="n"/>
      <c r="R689" s="7" t="n"/>
      <c r="S689" s="7" t="n"/>
      <c r="T689" s="7" t="n"/>
      <c r="U689" s="12">
        <f>IF(A689="","",IF(OR(J689="",L689=""),"建議補聯絡紀錄","") )</f>
        <v/>
      </c>
    </row>
    <row r="690" ht="24" customHeight="1">
      <c r="A690" s="7" t="n"/>
      <c r="B690" s="7" t="n"/>
      <c r="C690" s="12">
        <f>IF($A690="","",IFERROR(INDEX(土地清冊_匯入!$B$6:$B$1005,MATCH($A690,土地清冊_匯入!$A$6:$A$1005,0)),"查無資料"))</f>
        <v/>
      </c>
      <c r="D690" s="12">
        <f>IF($A690="","",IFERROR(INDEX(土地清冊_匯入!$P$6:$P$1005,MATCH($A690,土地清冊_匯入!$A$6:$A$1005,0)),""))</f>
        <v/>
      </c>
      <c r="E690" s="12">
        <f>IF($A690="","",IFERROR(INDEX(土地清冊_匯入!$Q$6:$Q$1005,MATCH($A690,土地清冊_匯入!$A$6:$A$1005,0)),""))</f>
        <v/>
      </c>
      <c r="F690" s="12">
        <f>IF($A690="","",IFERROR(INDEX(土地清冊_匯入!$R$6:$R$1005,MATCH($A690,土地清冊_匯入!$A$6:$A$1005,0)),""))</f>
        <v/>
      </c>
      <c r="G690" s="12">
        <f>IF($A690="","",IFERROR(INDEX(土地清冊_匯入!$S$6:$S$1005,MATCH($A690,土地清冊_匯入!$A$6:$A$1005,0)),""))</f>
        <v/>
      </c>
      <c r="H690" s="12">
        <f>IF($A690="","",IFERROR(INDEX(土地清冊_匯入!$T$6:$T$1005,MATCH($A690,土地清冊_匯入!$A$6:$A$1005,0)),""))</f>
        <v/>
      </c>
      <c r="I690" s="12">
        <f>IF($A690="","",IFERROR(INDEX(土地清冊_匯入!$V$6:$V$1005,MATCH($A690,土地清冊_匯入!$A$6:$A$1005,0)),""))</f>
        <v/>
      </c>
      <c r="J690" s="14" t="n"/>
      <c r="K690" s="7" t="n"/>
      <c r="L690" s="7" t="n"/>
      <c r="M690" s="7" t="n"/>
      <c r="N690" s="7" t="n"/>
      <c r="O690" s="7" t="n"/>
      <c r="P690" s="7" t="n"/>
      <c r="Q690" s="14" t="n"/>
      <c r="R690" s="7" t="n"/>
      <c r="S690" s="7" t="n"/>
      <c r="T690" s="7" t="n"/>
      <c r="U690" s="12">
        <f>IF(A690="","",IF(OR(J690="",L690=""),"建議補聯絡紀錄","") )</f>
        <v/>
      </c>
    </row>
    <row r="691" ht="24" customHeight="1">
      <c r="A691" s="7" t="n"/>
      <c r="B691" s="7" t="n"/>
      <c r="C691" s="12">
        <f>IF($A691="","",IFERROR(INDEX(土地清冊_匯入!$B$6:$B$1005,MATCH($A691,土地清冊_匯入!$A$6:$A$1005,0)),"查無資料"))</f>
        <v/>
      </c>
      <c r="D691" s="12">
        <f>IF($A691="","",IFERROR(INDEX(土地清冊_匯入!$P$6:$P$1005,MATCH($A691,土地清冊_匯入!$A$6:$A$1005,0)),""))</f>
        <v/>
      </c>
      <c r="E691" s="12">
        <f>IF($A691="","",IFERROR(INDEX(土地清冊_匯入!$Q$6:$Q$1005,MATCH($A691,土地清冊_匯入!$A$6:$A$1005,0)),""))</f>
        <v/>
      </c>
      <c r="F691" s="12">
        <f>IF($A691="","",IFERROR(INDEX(土地清冊_匯入!$R$6:$R$1005,MATCH($A691,土地清冊_匯入!$A$6:$A$1005,0)),""))</f>
        <v/>
      </c>
      <c r="G691" s="12">
        <f>IF($A691="","",IFERROR(INDEX(土地清冊_匯入!$S$6:$S$1005,MATCH($A691,土地清冊_匯入!$A$6:$A$1005,0)),""))</f>
        <v/>
      </c>
      <c r="H691" s="12">
        <f>IF($A691="","",IFERROR(INDEX(土地清冊_匯入!$T$6:$T$1005,MATCH($A691,土地清冊_匯入!$A$6:$A$1005,0)),""))</f>
        <v/>
      </c>
      <c r="I691" s="12">
        <f>IF($A691="","",IFERROR(INDEX(土地清冊_匯入!$V$6:$V$1005,MATCH($A691,土地清冊_匯入!$A$6:$A$1005,0)),""))</f>
        <v/>
      </c>
      <c r="J691" s="14" t="n"/>
      <c r="K691" s="7" t="n"/>
      <c r="L691" s="7" t="n"/>
      <c r="M691" s="7" t="n"/>
      <c r="N691" s="7" t="n"/>
      <c r="O691" s="7" t="n"/>
      <c r="P691" s="7" t="n"/>
      <c r="Q691" s="14" t="n"/>
      <c r="R691" s="7" t="n"/>
      <c r="S691" s="7" t="n"/>
      <c r="T691" s="7" t="n"/>
      <c r="U691" s="12">
        <f>IF(A691="","",IF(OR(J691="",L691=""),"建議補聯絡紀錄","") )</f>
        <v/>
      </c>
    </row>
    <row r="692" ht="24" customHeight="1">
      <c r="A692" s="7" t="n"/>
      <c r="B692" s="7" t="n"/>
      <c r="C692" s="12">
        <f>IF($A692="","",IFERROR(INDEX(土地清冊_匯入!$B$6:$B$1005,MATCH($A692,土地清冊_匯入!$A$6:$A$1005,0)),"查無資料"))</f>
        <v/>
      </c>
      <c r="D692" s="12">
        <f>IF($A692="","",IFERROR(INDEX(土地清冊_匯入!$P$6:$P$1005,MATCH($A692,土地清冊_匯入!$A$6:$A$1005,0)),""))</f>
        <v/>
      </c>
      <c r="E692" s="12">
        <f>IF($A692="","",IFERROR(INDEX(土地清冊_匯入!$Q$6:$Q$1005,MATCH($A692,土地清冊_匯入!$A$6:$A$1005,0)),""))</f>
        <v/>
      </c>
      <c r="F692" s="12">
        <f>IF($A692="","",IFERROR(INDEX(土地清冊_匯入!$R$6:$R$1005,MATCH($A692,土地清冊_匯入!$A$6:$A$1005,0)),""))</f>
        <v/>
      </c>
      <c r="G692" s="12">
        <f>IF($A692="","",IFERROR(INDEX(土地清冊_匯入!$S$6:$S$1005,MATCH($A692,土地清冊_匯入!$A$6:$A$1005,0)),""))</f>
        <v/>
      </c>
      <c r="H692" s="12">
        <f>IF($A692="","",IFERROR(INDEX(土地清冊_匯入!$T$6:$T$1005,MATCH($A692,土地清冊_匯入!$A$6:$A$1005,0)),""))</f>
        <v/>
      </c>
      <c r="I692" s="12">
        <f>IF($A692="","",IFERROR(INDEX(土地清冊_匯入!$V$6:$V$1005,MATCH($A692,土地清冊_匯入!$A$6:$A$1005,0)),""))</f>
        <v/>
      </c>
      <c r="J692" s="14" t="n"/>
      <c r="K692" s="7" t="n"/>
      <c r="L692" s="7" t="n"/>
      <c r="M692" s="7" t="n"/>
      <c r="N692" s="7" t="n"/>
      <c r="O692" s="7" t="n"/>
      <c r="P692" s="7" t="n"/>
      <c r="Q692" s="14" t="n"/>
      <c r="R692" s="7" t="n"/>
      <c r="S692" s="7" t="n"/>
      <c r="T692" s="7" t="n"/>
      <c r="U692" s="12">
        <f>IF(A692="","",IF(OR(J692="",L692=""),"建議補聯絡紀錄","") )</f>
        <v/>
      </c>
    </row>
    <row r="693" ht="24" customHeight="1">
      <c r="A693" s="7" t="n"/>
      <c r="B693" s="7" t="n"/>
      <c r="C693" s="12">
        <f>IF($A693="","",IFERROR(INDEX(土地清冊_匯入!$B$6:$B$1005,MATCH($A693,土地清冊_匯入!$A$6:$A$1005,0)),"查無資料"))</f>
        <v/>
      </c>
      <c r="D693" s="12">
        <f>IF($A693="","",IFERROR(INDEX(土地清冊_匯入!$P$6:$P$1005,MATCH($A693,土地清冊_匯入!$A$6:$A$1005,0)),""))</f>
        <v/>
      </c>
      <c r="E693" s="12">
        <f>IF($A693="","",IFERROR(INDEX(土地清冊_匯入!$Q$6:$Q$1005,MATCH($A693,土地清冊_匯入!$A$6:$A$1005,0)),""))</f>
        <v/>
      </c>
      <c r="F693" s="12">
        <f>IF($A693="","",IFERROR(INDEX(土地清冊_匯入!$R$6:$R$1005,MATCH($A693,土地清冊_匯入!$A$6:$A$1005,0)),""))</f>
        <v/>
      </c>
      <c r="G693" s="12">
        <f>IF($A693="","",IFERROR(INDEX(土地清冊_匯入!$S$6:$S$1005,MATCH($A693,土地清冊_匯入!$A$6:$A$1005,0)),""))</f>
        <v/>
      </c>
      <c r="H693" s="12">
        <f>IF($A693="","",IFERROR(INDEX(土地清冊_匯入!$T$6:$T$1005,MATCH($A693,土地清冊_匯入!$A$6:$A$1005,0)),""))</f>
        <v/>
      </c>
      <c r="I693" s="12">
        <f>IF($A693="","",IFERROR(INDEX(土地清冊_匯入!$V$6:$V$1005,MATCH($A693,土地清冊_匯入!$A$6:$A$1005,0)),""))</f>
        <v/>
      </c>
      <c r="J693" s="14" t="n"/>
      <c r="K693" s="7" t="n"/>
      <c r="L693" s="7" t="n"/>
      <c r="M693" s="7" t="n"/>
      <c r="N693" s="7" t="n"/>
      <c r="O693" s="7" t="n"/>
      <c r="P693" s="7" t="n"/>
      <c r="Q693" s="14" t="n"/>
      <c r="R693" s="7" t="n"/>
      <c r="S693" s="7" t="n"/>
      <c r="T693" s="7" t="n"/>
      <c r="U693" s="12">
        <f>IF(A693="","",IF(OR(J693="",L693=""),"建議補聯絡紀錄","") )</f>
        <v/>
      </c>
    </row>
    <row r="694" ht="24" customHeight="1">
      <c r="A694" s="7" t="n"/>
      <c r="B694" s="7" t="n"/>
      <c r="C694" s="12">
        <f>IF($A694="","",IFERROR(INDEX(土地清冊_匯入!$B$6:$B$1005,MATCH($A694,土地清冊_匯入!$A$6:$A$1005,0)),"查無資料"))</f>
        <v/>
      </c>
      <c r="D694" s="12">
        <f>IF($A694="","",IFERROR(INDEX(土地清冊_匯入!$P$6:$P$1005,MATCH($A694,土地清冊_匯入!$A$6:$A$1005,0)),""))</f>
        <v/>
      </c>
      <c r="E694" s="12">
        <f>IF($A694="","",IFERROR(INDEX(土地清冊_匯入!$Q$6:$Q$1005,MATCH($A694,土地清冊_匯入!$A$6:$A$1005,0)),""))</f>
        <v/>
      </c>
      <c r="F694" s="12">
        <f>IF($A694="","",IFERROR(INDEX(土地清冊_匯入!$R$6:$R$1005,MATCH($A694,土地清冊_匯入!$A$6:$A$1005,0)),""))</f>
        <v/>
      </c>
      <c r="G694" s="12">
        <f>IF($A694="","",IFERROR(INDEX(土地清冊_匯入!$S$6:$S$1005,MATCH($A694,土地清冊_匯入!$A$6:$A$1005,0)),""))</f>
        <v/>
      </c>
      <c r="H694" s="12">
        <f>IF($A694="","",IFERROR(INDEX(土地清冊_匯入!$T$6:$T$1005,MATCH($A694,土地清冊_匯入!$A$6:$A$1005,0)),""))</f>
        <v/>
      </c>
      <c r="I694" s="12">
        <f>IF($A694="","",IFERROR(INDEX(土地清冊_匯入!$V$6:$V$1005,MATCH($A694,土地清冊_匯入!$A$6:$A$1005,0)),""))</f>
        <v/>
      </c>
      <c r="J694" s="14" t="n"/>
      <c r="K694" s="7" t="n"/>
      <c r="L694" s="7" t="n"/>
      <c r="M694" s="7" t="n"/>
      <c r="N694" s="7" t="n"/>
      <c r="O694" s="7" t="n"/>
      <c r="P694" s="7" t="n"/>
      <c r="Q694" s="14" t="n"/>
      <c r="R694" s="7" t="n"/>
      <c r="S694" s="7" t="n"/>
      <c r="T694" s="7" t="n"/>
      <c r="U694" s="12">
        <f>IF(A694="","",IF(OR(J694="",L694=""),"建議補聯絡紀錄","") )</f>
        <v/>
      </c>
    </row>
    <row r="695" ht="24" customHeight="1">
      <c r="A695" s="7" t="n"/>
      <c r="B695" s="7" t="n"/>
      <c r="C695" s="12">
        <f>IF($A695="","",IFERROR(INDEX(土地清冊_匯入!$B$6:$B$1005,MATCH($A695,土地清冊_匯入!$A$6:$A$1005,0)),"查無資料"))</f>
        <v/>
      </c>
      <c r="D695" s="12">
        <f>IF($A695="","",IFERROR(INDEX(土地清冊_匯入!$P$6:$P$1005,MATCH($A695,土地清冊_匯入!$A$6:$A$1005,0)),""))</f>
        <v/>
      </c>
      <c r="E695" s="12">
        <f>IF($A695="","",IFERROR(INDEX(土地清冊_匯入!$Q$6:$Q$1005,MATCH($A695,土地清冊_匯入!$A$6:$A$1005,0)),""))</f>
        <v/>
      </c>
      <c r="F695" s="12">
        <f>IF($A695="","",IFERROR(INDEX(土地清冊_匯入!$R$6:$R$1005,MATCH($A695,土地清冊_匯入!$A$6:$A$1005,0)),""))</f>
        <v/>
      </c>
      <c r="G695" s="12">
        <f>IF($A695="","",IFERROR(INDEX(土地清冊_匯入!$S$6:$S$1005,MATCH($A695,土地清冊_匯入!$A$6:$A$1005,0)),""))</f>
        <v/>
      </c>
      <c r="H695" s="12">
        <f>IF($A695="","",IFERROR(INDEX(土地清冊_匯入!$T$6:$T$1005,MATCH($A695,土地清冊_匯入!$A$6:$A$1005,0)),""))</f>
        <v/>
      </c>
      <c r="I695" s="12">
        <f>IF($A695="","",IFERROR(INDEX(土地清冊_匯入!$V$6:$V$1005,MATCH($A695,土地清冊_匯入!$A$6:$A$1005,0)),""))</f>
        <v/>
      </c>
      <c r="J695" s="14" t="n"/>
      <c r="K695" s="7" t="n"/>
      <c r="L695" s="7" t="n"/>
      <c r="M695" s="7" t="n"/>
      <c r="N695" s="7" t="n"/>
      <c r="O695" s="7" t="n"/>
      <c r="P695" s="7" t="n"/>
      <c r="Q695" s="14" t="n"/>
      <c r="R695" s="7" t="n"/>
      <c r="S695" s="7" t="n"/>
      <c r="T695" s="7" t="n"/>
      <c r="U695" s="12">
        <f>IF(A695="","",IF(OR(J695="",L695=""),"建議補聯絡紀錄","") )</f>
        <v/>
      </c>
    </row>
    <row r="696" ht="24" customHeight="1">
      <c r="A696" s="7" t="n"/>
      <c r="B696" s="7" t="n"/>
      <c r="C696" s="12">
        <f>IF($A696="","",IFERROR(INDEX(土地清冊_匯入!$B$6:$B$1005,MATCH($A696,土地清冊_匯入!$A$6:$A$1005,0)),"查無資料"))</f>
        <v/>
      </c>
      <c r="D696" s="12">
        <f>IF($A696="","",IFERROR(INDEX(土地清冊_匯入!$P$6:$P$1005,MATCH($A696,土地清冊_匯入!$A$6:$A$1005,0)),""))</f>
        <v/>
      </c>
      <c r="E696" s="12">
        <f>IF($A696="","",IFERROR(INDEX(土地清冊_匯入!$Q$6:$Q$1005,MATCH($A696,土地清冊_匯入!$A$6:$A$1005,0)),""))</f>
        <v/>
      </c>
      <c r="F696" s="12">
        <f>IF($A696="","",IFERROR(INDEX(土地清冊_匯入!$R$6:$R$1005,MATCH($A696,土地清冊_匯入!$A$6:$A$1005,0)),""))</f>
        <v/>
      </c>
      <c r="G696" s="12">
        <f>IF($A696="","",IFERROR(INDEX(土地清冊_匯入!$S$6:$S$1005,MATCH($A696,土地清冊_匯入!$A$6:$A$1005,0)),""))</f>
        <v/>
      </c>
      <c r="H696" s="12">
        <f>IF($A696="","",IFERROR(INDEX(土地清冊_匯入!$T$6:$T$1005,MATCH($A696,土地清冊_匯入!$A$6:$A$1005,0)),""))</f>
        <v/>
      </c>
      <c r="I696" s="12">
        <f>IF($A696="","",IFERROR(INDEX(土地清冊_匯入!$V$6:$V$1005,MATCH($A696,土地清冊_匯入!$A$6:$A$1005,0)),""))</f>
        <v/>
      </c>
      <c r="J696" s="14" t="n"/>
      <c r="K696" s="7" t="n"/>
      <c r="L696" s="7" t="n"/>
      <c r="M696" s="7" t="n"/>
      <c r="N696" s="7" t="n"/>
      <c r="O696" s="7" t="n"/>
      <c r="P696" s="7" t="n"/>
      <c r="Q696" s="14" t="n"/>
      <c r="R696" s="7" t="n"/>
      <c r="S696" s="7" t="n"/>
      <c r="T696" s="7" t="n"/>
      <c r="U696" s="12">
        <f>IF(A696="","",IF(OR(J696="",L696=""),"建議補聯絡紀錄","") )</f>
        <v/>
      </c>
    </row>
    <row r="697" ht="24" customHeight="1">
      <c r="A697" s="7" t="n"/>
      <c r="B697" s="7" t="n"/>
      <c r="C697" s="12">
        <f>IF($A697="","",IFERROR(INDEX(土地清冊_匯入!$B$6:$B$1005,MATCH($A697,土地清冊_匯入!$A$6:$A$1005,0)),"查無資料"))</f>
        <v/>
      </c>
      <c r="D697" s="12">
        <f>IF($A697="","",IFERROR(INDEX(土地清冊_匯入!$P$6:$P$1005,MATCH($A697,土地清冊_匯入!$A$6:$A$1005,0)),""))</f>
        <v/>
      </c>
      <c r="E697" s="12">
        <f>IF($A697="","",IFERROR(INDEX(土地清冊_匯入!$Q$6:$Q$1005,MATCH($A697,土地清冊_匯入!$A$6:$A$1005,0)),""))</f>
        <v/>
      </c>
      <c r="F697" s="12">
        <f>IF($A697="","",IFERROR(INDEX(土地清冊_匯入!$R$6:$R$1005,MATCH($A697,土地清冊_匯入!$A$6:$A$1005,0)),""))</f>
        <v/>
      </c>
      <c r="G697" s="12">
        <f>IF($A697="","",IFERROR(INDEX(土地清冊_匯入!$S$6:$S$1005,MATCH($A697,土地清冊_匯入!$A$6:$A$1005,0)),""))</f>
        <v/>
      </c>
      <c r="H697" s="12">
        <f>IF($A697="","",IFERROR(INDEX(土地清冊_匯入!$T$6:$T$1005,MATCH($A697,土地清冊_匯入!$A$6:$A$1005,0)),""))</f>
        <v/>
      </c>
      <c r="I697" s="12">
        <f>IF($A697="","",IFERROR(INDEX(土地清冊_匯入!$V$6:$V$1005,MATCH($A697,土地清冊_匯入!$A$6:$A$1005,0)),""))</f>
        <v/>
      </c>
      <c r="J697" s="14" t="n"/>
      <c r="K697" s="7" t="n"/>
      <c r="L697" s="7" t="n"/>
      <c r="M697" s="7" t="n"/>
      <c r="N697" s="7" t="n"/>
      <c r="O697" s="7" t="n"/>
      <c r="P697" s="7" t="n"/>
      <c r="Q697" s="14" t="n"/>
      <c r="R697" s="7" t="n"/>
      <c r="S697" s="7" t="n"/>
      <c r="T697" s="7" t="n"/>
      <c r="U697" s="12">
        <f>IF(A697="","",IF(OR(J697="",L697=""),"建議補聯絡紀錄","") )</f>
        <v/>
      </c>
    </row>
    <row r="698" ht="24" customHeight="1">
      <c r="A698" s="7" t="n"/>
      <c r="B698" s="7" t="n"/>
      <c r="C698" s="12">
        <f>IF($A698="","",IFERROR(INDEX(土地清冊_匯入!$B$6:$B$1005,MATCH($A698,土地清冊_匯入!$A$6:$A$1005,0)),"查無資料"))</f>
        <v/>
      </c>
      <c r="D698" s="12">
        <f>IF($A698="","",IFERROR(INDEX(土地清冊_匯入!$P$6:$P$1005,MATCH($A698,土地清冊_匯入!$A$6:$A$1005,0)),""))</f>
        <v/>
      </c>
      <c r="E698" s="12">
        <f>IF($A698="","",IFERROR(INDEX(土地清冊_匯入!$Q$6:$Q$1005,MATCH($A698,土地清冊_匯入!$A$6:$A$1005,0)),""))</f>
        <v/>
      </c>
      <c r="F698" s="12">
        <f>IF($A698="","",IFERROR(INDEX(土地清冊_匯入!$R$6:$R$1005,MATCH($A698,土地清冊_匯入!$A$6:$A$1005,0)),""))</f>
        <v/>
      </c>
      <c r="G698" s="12">
        <f>IF($A698="","",IFERROR(INDEX(土地清冊_匯入!$S$6:$S$1005,MATCH($A698,土地清冊_匯入!$A$6:$A$1005,0)),""))</f>
        <v/>
      </c>
      <c r="H698" s="12">
        <f>IF($A698="","",IFERROR(INDEX(土地清冊_匯入!$T$6:$T$1005,MATCH($A698,土地清冊_匯入!$A$6:$A$1005,0)),""))</f>
        <v/>
      </c>
      <c r="I698" s="12">
        <f>IF($A698="","",IFERROR(INDEX(土地清冊_匯入!$V$6:$V$1005,MATCH($A698,土地清冊_匯入!$A$6:$A$1005,0)),""))</f>
        <v/>
      </c>
      <c r="J698" s="14" t="n"/>
      <c r="K698" s="7" t="n"/>
      <c r="L698" s="7" t="n"/>
      <c r="M698" s="7" t="n"/>
      <c r="N698" s="7" t="n"/>
      <c r="O698" s="7" t="n"/>
      <c r="P698" s="7" t="n"/>
      <c r="Q698" s="14" t="n"/>
      <c r="R698" s="7" t="n"/>
      <c r="S698" s="7" t="n"/>
      <c r="T698" s="7" t="n"/>
      <c r="U698" s="12">
        <f>IF(A698="","",IF(OR(J698="",L698=""),"建議補聯絡紀錄","") )</f>
        <v/>
      </c>
    </row>
    <row r="699" ht="24" customHeight="1">
      <c r="A699" s="7" t="n"/>
      <c r="B699" s="7" t="n"/>
      <c r="C699" s="12">
        <f>IF($A699="","",IFERROR(INDEX(土地清冊_匯入!$B$6:$B$1005,MATCH($A699,土地清冊_匯入!$A$6:$A$1005,0)),"查無資料"))</f>
        <v/>
      </c>
      <c r="D699" s="12">
        <f>IF($A699="","",IFERROR(INDEX(土地清冊_匯入!$P$6:$P$1005,MATCH($A699,土地清冊_匯入!$A$6:$A$1005,0)),""))</f>
        <v/>
      </c>
      <c r="E699" s="12">
        <f>IF($A699="","",IFERROR(INDEX(土地清冊_匯入!$Q$6:$Q$1005,MATCH($A699,土地清冊_匯入!$A$6:$A$1005,0)),""))</f>
        <v/>
      </c>
      <c r="F699" s="12">
        <f>IF($A699="","",IFERROR(INDEX(土地清冊_匯入!$R$6:$R$1005,MATCH($A699,土地清冊_匯入!$A$6:$A$1005,0)),""))</f>
        <v/>
      </c>
      <c r="G699" s="12">
        <f>IF($A699="","",IFERROR(INDEX(土地清冊_匯入!$S$6:$S$1005,MATCH($A699,土地清冊_匯入!$A$6:$A$1005,0)),""))</f>
        <v/>
      </c>
      <c r="H699" s="12">
        <f>IF($A699="","",IFERROR(INDEX(土地清冊_匯入!$T$6:$T$1005,MATCH($A699,土地清冊_匯入!$A$6:$A$1005,0)),""))</f>
        <v/>
      </c>
      <c r="I699" s="12">
        <f>IF($A699="","",IFERROR(INDEX(土地清冊_匯入!$V$6:$V$1005,MATCH($A699,土地清冊_匯入!$A$6:$A$1005,0)),""))</f>
        <v/>
      </c>
      <c r="J699" s="14" t="n"/>
      <c r="K699" s="7" t="n"/>
      <c r="L699" s="7" t="n"/>
      <c r="M699" s="7" t="n"/>
      <c r="N699" s="7" t="n"/>
      <c r="O699" s="7" t="n"/>
      <c r="P699" s="7" t="n"/>
      <c r="Q699" s="14" t="n"/>
      <c r="R699" s="7" t="n"/>
      <c r="S699" s="7" t="n"/>
      <c r="T699" s="7" t="n"/>
      <c r="U699" s="12">
        <f>IF(A699="","",IF(OR(J699="",L699=""),"建議補聯絡紀錄","") )</f>
        <v/>
      </c>
    </row>
    <row r="700" ht="24" customHeight="1">
      <c r="A700" s="7" t="n"/>
      <c r="B700" s="7" t="n"/>
      <c r="C700" s="12">
        <f>IF($A700="","",IFERROR(INDEX(土地清冊_匯入!$B$6:$B$1005,MATCH($A700,土地清冊_匯入!$A$6:$A$1005,0)),"查無資料"))</f>
        <v/>
      </c>
      <c r="D700" s="12">
        <f>IF($A700="","",IFERROR(INDEX(土地清冊_匯入!$P$6:$P$1005,MATCH($A700,土地清冊_匯入!$A$6:$A$1005,0)),""))</f>
        <v/>
      </c>
      <c r="E700" s="12">
        <f>IF($A700="","",IFERROR(INDEX(土地清冊_匯入!$Q$6:$Q$1005,MATCH($A700,土地清冊_匯入!$A$6:$A$1005,0)),""))</f>
        <v/>
      </c>
      <c r="F700" s="12">
        <f>IF($A700="","",IFERROR(INDEX(土地清冊_匯入!$R$6:$R$1005,MATCH($A700,土地清冊_匯入!$A$6:$A$1005,0)),""))</f>
        <v/>
      </c>
      <c r="G700" s="12">
        <f>IF($A700="","",IFERROR(INDEX(土地清冊_匯入!$S$6:$S$1005,MATCH($A700,土地清冊_匯入!$A$6:$A$1005,0)),""))</f>
        <v/>
      </c>
      <c r="H700" s="12">
        <f>IF($A700="","",IFERROR(INDEX(土地清冊_匯入!$T$6:$T$1005,MATCH($A700,土地清冊_匯入!$A$6:$A$1005,0)),""))</f>
        <v/>
      </c>
      <c r="I700" s="12">
        <f>IF($A700="","",IFERROR(INDEX(土地清冊_匯入!$V$6:$V$1005,MATCH($A700,土地清冊_匯入!$A$6:$A$1005,0)),""))</f>
        <v/>
      </c>
      <c r="J700" s="14" t="n"/>
      <c r="K700" s="7" t="n"/>
      <c r="L700" s="7" t="n"/>
      <c r="M700" s="7" t="n"/>
      <c r="N700" s="7" t="n"/>
      <c r="O700" s="7" t="n"/>
      <c r="P700" s="7" t="n"/>
      <c r="Q700" s="14" t="n"/>
      <c r="R700" s="7" t="n"/>
      <c r="S700" s="7" t="n"/>
      <c r="T700" s="7" t="n"/>
      <c r="U700" s="12">
        <f>IF(A700="","",IF(OR(J700="",L700=""),"建議補聯絡紀錄","") )</f>
        <v/>
      </c>
    </row>
    <row r="701" ht="24" customHeight="1">
      <c r="A701" s="7" t="n"/>
      <c r="B701" s="7" t="n"/>
      <c r="C701" s="12">
        <f>IF($A701="","",IFERROR(INDEX(土地清冊_匯入!$B$6:$B$1005,MATCH($A701,土地清冊_匯入!$A$6:$A$1005,0)),"查無資料"))</f>
        <v/>
      </c>
      <c r="D701" s="12">
        <f>IF($A701="","",IFERROR(INDEX(土地清冊_匯入!$P$6:$P$1005,MATCH($A701,土地清冊_匯入!$A$6:$A$1005,0)),""))</f>
        <v/>
      </c>
      <c r="E701" s="12">
        <f>IF($A701="","",IFERROR(INDEX(土地清冊_匯入!$Q$6:$Q$1005,MATCH($A701,土地清冊_匯入!$A$6:$A$1005,0)),""))</f>
        <v/>
      </c>
      <c r="F701" s="12">
        <f>IF($A701="","",IFERROR(INDEX(土地清冊_匯入!$R$6:$R$1005,MATCH($A701,土地清冊_匯入!$A$6:$A$1005,0)),""))</f>
        <v/>
      </c>
      <c r="G701" s="12">
        <f>IF($A701="","",IFERROR(INDEX(土地清冊_匯入!$S$6:$S$1005,MATCH($A701,土地清冊_匯入!$A$6:$A$1005,0)),""))</f>
        <v/>
      </c>
      <c r="H701" s="12">
        <f>IF($A701="","",IFERROR(INDEX(土地清冊_匯入!$T$6:$T$1005,MATCH($A701,土地清冊_匯入!$A$6:$A$1005,0)),""))</f>
        <v/>
      </c>
      <c r="I701" s="12">
        <f>IF($A701="","",IFERROR(INDEX(土地清冊_匯入!$V$6:$V$1005,MATCH($A701,土地清冊_匯入!$A$6:$A$1005,0)),""))</f>
        <v/>
      </c>
      <c r="J701" s="14" t="n"/>
      <c r="K701" s="7" t="n"/>
      <c r="L701" s="7" t="n"/>
      <c r="M701" s="7" t="n"/>
      <c r="N701" s="7" t="n"/>
      <c r="O701" s="7" t="n"/>
      <c r="P701" s="7" t="n"/>
      <c r="Q701" s="14" t="n"/>
      <c r="R701" s="7" t="n"/>
      <c r="S701" s="7" t="n"/>
      <c r="T701" s="7" t="n"/>
      <c r="U701" s="12">
        <f>IF(A701="","",IF(OR(J701="",L701=""),"建議補聯絡紀錄","") )</f>
        <v/>
      </c>
    </row>
    <row r="702" ht="24" customHeight="1">
      <c r="A702" s="7" t="n"/>
      <c r="B702" s="7" t="n"/>
      <c r="C702" s="12">
        <f>IF($A702="","",IFERROR(INDEX(土地清冊_匯入!$B$6:$B$1005,MATCH($A702,土地清冊_匯入!$A$6:$A$1005,0)),"查無資料"))</f>
        <v/>
      </c>
      <c r="D702" s="12">
        <f>IF($A702="","",IFERROR(INDEX(土地清冊_匯入!$P$6:$P$1005,MATCH($A702,土地清冊_匯入!$A$6:$A$1005,0)),""))</f>
        <v/>
      </c>
      <c r="E702" s="12">
        <f>IF($A702="","",IFERROR(INDEX(土地清冊_匯入!$Q$6:$Q$1005,MATCH($A702,土地清冊_匯入!$A$6:$A$1005,0)),""))</f>
        <v/>
      </c>
      <c r="F702" s="12">
        <f>IF($A702="","",IFERROR(INDEX(土地清冊_匯入!$R$6:$R$1005,MATCH($A702,土地清冊_匯入!$A$6:$A$1005,0)),""))</f>
        <v/>
      </c>
      <c r="G702" s="12">
        <f>IF($A702="","",IFERROR(INDEX(土地清冊_匯入!$S$6:$S$1005,MATCH($A702,土地清冊_匯入!$A$6:$A$1005,0)),""))</f>
        <v/>
      </c>
      <c r="H702" s="12">
        <f>IF($A702="","",IFERROR(INDEX(土地清冊_匯入!$T$6:$T$1005,MATCH($A702,土地清冊_匯入!$A$6:$A$1005,0)),""))</f>
        <v/>
      </c>
      <c r="I702" s="12">
        <f>IF($A702="","",IFERROR(INDEX(土地清冊_匯入!$V$6:$V$1005,MATCH($A702,土地清冊_匯入!$A$6:$A$1005,0)),""))</f>
        <v/>
      </c>
      <c r="J702" s="14" t="n"/>
      <c r="K702" s="7" t="n"/>
      <c r="L702" s="7" t="n"/>
      <c r="M702" s="7" t="n"/>
      <c r="N702" s="7" t="n"/>
      <c r="O702" s="7" t="n"/>
      <c r="P702" s="7" t="n"/>
      <c r="Q702" s="14" t="n"/>
      <c r="R702" s="7" t="n"/>
      <c r="S702" s="7" t="n"/>
      <c r="T702" s="7" t="n"/>
      <c r="U702" s="12">
        <f>IF(A702="","",IF(OR(J702="",L702=""),"建議補聯絡紀錄","") )</f>
        <v/>
      </c>
    </row>
    <row r="703" ht="24" customHeight="1">
      <c r="A703" s="7" t="n"/>
      <c r="B703" s="7" t="n"/>
      <c r="C703" s="12">
        <f>IF($A703="","",IFERROR(INDEX(土地清冊_匯入!$B$6:$B$1005,MATCH($A703,土地清冊_匯入!$A$6:$A$1005,0)),"查無資料"))</f>
        <v/>
      </c>
      <c r="D703" s="12">
        <f>IF($A703="","",IFERROR(INDEX(土地清冊_匯入!$P$6:$P$1005,MATCH($A703,土地清冊_匯入!$A$6:$A$1005,0)),""))</f>
        <v/>
      </c>
      <c r="E703" s="12">
        <f>IF($A703="","",IFERROR(INDEX(土地清冊_匯入!$Q$6:$Q$1005,MATCH($A703,土地清冊_匯入!$A$6:$A$1005,0)),""))</f>
        <v/>
      </c>
      <c r="F703" s="12">
        <f>IF($A703="","",IFERROR(INDEX(土地清冊_匯入!$R$6:$R$1005,MATCH($A703,土地清冊_匯入!$A$6:$A$1005,0)),""))</f>
        <v/>
      </c>
      <c r="G703" s="12">
        <f>IF($A703="","",IFERROR(INDEX(土地清冊_匯入!$S$6:$S$1005,MATCH($A703,土地清冊_匯入!$A$6:$A$1005,0)),""))</f>
        <v/>
      </c>
      <c r="H703" s="12">
        <f>IF($A703="","",IFERROR(INDEX(土地清冊_匯入!$T$6:$T$1005,MATCH($A703,土地清冊_匯入!$A$6:$A$1005,0)),""))</f>
        <v/>
      </c>
      <c r="I703" s="12">
        <f>IF($A703="","",IFERROR(INDEX(土地清冊_匯入!$V$6:$V$1005,MATCH($A703,土地清冊_匯入!$A$6:$A$1005,0)),""))</f>
        <v/>
      </c>
      <c r="J703" s="14" t="n"/>
      <c r="K703" s="7" t="n"/>
      <c r="L703" s="7" t="n"/>
      <c r="M703" s="7" t="n"/>
      <c r="N703" s="7" t="n"/>
      <c r="O703" s="7" t="n"/>
      <c r="P703" s="7" t="n"/>
      <c r="Q703" s="14" t="n"/>
      <c r="R703" s="7" t="n"/>
      <c r="S703" s="7" t="n"/>
      <c r="T703" s="7" t="n"/>
      <c r="U703" s="12">
        <f>IF(A703="","",IF(OR(J703="",L703=""),"建議補聯絡紀錄","") )</f>
        <v/>
      </c>
    </row>
    <row r="704" ht="24" customHeight="1">
      <c r="A704" s="7" t="n"/>
      <c r="B704" s="7" t="n"/>
      <c r="C704" s="12">
        <f>IF($A704="","",IFERROR(INDEX(土地清冊_匯入!$B$6:$B$1005,MATCH($A704,土地清冊_匯入!$A$6:$A$1005,0)),"查無資料"))</f>
        <v/>
      </c>
      <c r="D704" s="12">
        <f>IF($A704="","",IFERROR(INDEX(土地清冊_匯入!$P$6:$P$1005,MATCH($A704,土地清冊_匯入!$A$6:$A$1005,0)),""))</f>
        <v/>
      </c>
      <c r="E704" s="12">
        <f>IF($A704="","",IFERROR(INDEX(土地清冊_匯入!$Q$6:$Q$1005,MATCH($A704,土地清冊_匯入!$A$6:$A$1005,0)),""))</f>
        <v/>
      </c>
      <c r="F704" s="12">
        <f>IF($A704="","",IFERROR(INDEX(土地清冊_匯入!$R$6:$R$1005,MATCH($A704,土地清冊_匯入!$A$6:$A$1005,0)),""))</f>
        <v/>
      </c>
      <c r="G704" s="12">
        <f>IF($A704="","",IFERROR(INDEX(土地清冊_匯入!$S$6:$S$1005,MATCH($A704,土地清冊_匯入!$A$6:$A$1005,0)),""))</f>
        <v/>
      </c>
      <c r="H704" s="12">
        <f>IF($A704="","",IFERROR(INDEX(土地清冊_匯入!$T$6:$T$1005,MATCH($A704,土地清冊_匯入!$A$6:$A$1005,0)),""))</f>
        <v/>
      </c>
      <c r="I704" s="12">
        <f>IF($A704="","",IFERROR(INDEX(土地清冊_匯入!$V$6:$V$1005,MATCH($A704,土地清冊_匯入!$A$6:$A$1005,0)),""))</f>
        <v/>
      </c>
      <c r="J704" s="14" t="n"/>
      <c r="K704" s="7" t="n"/>
      <c r="L704" s="7" t="n"/>
      <c r="M704" s="7" t="n"/>
      <c r="N704" s="7" t="n"/>
      <c r="O704" s="7" t="n"/>
      <c r="P704" s="7" t="n"/>
      <c r="Q704" s="14" t="n"/>
      <c r="R704" s="7" t="n"/>
      <c r="S704" s="7" t="n"/>
      <c r="T704" s="7" t="n"/>
      <c r="U704" s="12">
        <f>IF(A704="","",IF(OR(J704="",L704=""),"建議補聯絡紀錄","") )</f>
        <v/>
      </c>
    </row>
    <row r="705" ht="24" customHeight="1">
      <c r="A705" s="7" t="n"/>
      <c r="B705" s="7" t="n"/>
      <c r="C705" s="12">
        <f>IF($A705="","",IFERROR(INDEX(土地清冊_匯入!$B$6:$B$1005,MATCH($A705,土地清冊_匯入!$A$6:$A$1005,0)),"查無資料"))</f>
        <v/>
      </c>
      <c r="D705" s="12">
        <f>IF($A705="","",IFERROR(INDEX(土地清冊_匯入!$P$6:$P$1005,MATCH($A705,土地清冊_匯入!$A$6:$A$1005,0)),""))</f>
        <v/>
      </c>
      <c r="E705" s="12">
        <f>IF($A705="","",IFERROR(INDEX(土地清冊_匯入!$Q$6:$Q$1005,MATCH($A705,土地清冊_匯入!$A$6:$A$1005,0)),""))</f>
        <v/>
      </c>
      <c r="F705" s="12">
        <f>IF($A705="","",IFERROR(INDEX(土地清冊_匯入!$R$6:$R$1005,MATCH($A705,土地清冊_匯入!$A$6:$A$1005,0)),""))</f>
        <v/>
      </c>
      <c r="G705" s="12">
        <f>IF($A705="","",IFERROR(INDEX(土地清冊_匯入!$S$6:$S$1005,MATCH($A705,土地清冊_匯入!$A$6:$A$1005,0)),""))</f>
        <v/>
      </c>
      <c r="H705" s="12">
        <f>IF($A705="","",IFERROR(INDEX(土地清冊_匯入!$T$6:$T$1005,MATCH($A705,土地清冊_匯入!$A$6:$A$1005,0)),""))</f>
        <v/>
      </c>
      <c r="I705" s="12">
        <f>IF($A705="","",IFERROR(INDEX(土地清冊_匯入!$V$6:$V$1005,MATCH($A705,土地清冊_匯入!$A$6:$A$1005,0)),""))</f>
        <v/>
      </c>
      <c r="J705" s="14" t="n"/>
      <c r="K705" s="7" t="n"/>
      <c r="L705" s="7" t="n"/>
      <c r="M705" s="7" t="n"/>
      <c r="N705" s="7" t="n"/>
      <c r="O705" s="7" t="n"/>
      <c r="P705" s="7" t="n"/>
      <c r="Q705" s="14" t="n"/>
      <c r="R705" s="7" t="n"/>
      <c r="S705" s="7" t="n"/>
      <c r="T705" s="7" t="n"/>
      <c r="U705" s="12">
        <f>IF(A705="","",IF(OR(J705="",L705=""),"建議補聯絡紀錄","") )</f>
        <v/>
      </c>
    </row>
    <row r="706" ht="24" customHeight="1">
      <c r="A706" s="7" t="n"/>
      <c r="B706" s="7" t="n"/>
      <c r="C706" s="12">
        <f>IF($A706="","",IFERROR(INDEX(土地清冊_匯入!$B$6:$B$1005,MATCH($A706,土地清冊_匯入!$A$6:$A$1005,0)),"查無資料"))</f>
        <v/>
      </c>
      <c r="D706" s="12">
        <f>IF($A706="","",IFERROR(INDEX(土地清冊_匯入!$P$6:$P$1005,MATCH($A706,土地清冊_匯入!$A$6:$A$1005,0)),""))</f>
        <v/>
      </c>
      <c r="E706" s="12">
        <f>IF($A706="","",IFERROR(INDEX(土地清冊_匯入!$Q$6:$Q$1005,MATCH($A706,土地清冊_匯入!$A$6:$A$1005,0)),""))</f>
        <v/>
      </c>
      <c r="F706" s="12">
        <f>IF($A706="","",IFERROR(INDEX(土地清冊_匯入!$R$6:$R$1005,MATCH($A706,土地清冊_匯入!$A$6:$A$1005,0)),""))</f>
        <v/>
      </c>
      <c r="G706" s="12">
        <f>IF($A706="","",IFERROR(INDEX(土地清冊_匯入!$S$6:$S$1005,MATCH($A706,土地清冊_匯入!$A$6:$A$1005,0)),""))</f>
        <v/>
      </c>
      <c r="H706" s="12">
        <f>IF($A706="","",IFERROR(INDEX(土地清冊_匯入!$T$6:$T$1005,MATCH($A706,土地清冊_匯入!$A$6:$A$1005,0)),""))</f>
        <v/>
      </c>
      <c r="I706" s="12">
        <f>IF($A706="","",IFERROR(INDEX(土地清冊_匯入!$V$6:$V$1005,MATCH($A706,土地清冊_匯入!$A$6:$A$1005,0)),""))</f>
        <v/>
      </c>
      <c r="J706" s="14" t="n"/>
      <c r="K706" s="7" t="n"/>
      <c r="L706" s="7" t="n"/>
      <c r="M706" s="7" t="n"/>
      <c r="N706" s="7" t="n"/>
      <c r="O706" s="7" t="n"/>
      <c r="P706" s="7" t="n"/>
      <c r="Q706" s="14" t="n"/>
      <c r="R706" s="7" t="n"/>
      <c r="S706" s="7" t="n"/>
      <c r="T706" s="7" t="n"/>
      <c r="U706" s="12">
        <f>IF(A706="","",IF(OR(J706="",L706=""),"建議補聯絡紀錄","") )</f>
        <v/>
      </c>
    </row>
    <row r="707" ht="24" customHeight="1">
      <c r="A707" s="7" t="n"/>
      <c r="B707" s="7" t="n"/>
      <c r="C707" s="12">
        <f>IF($A707="","",IFERROR(INDEX(土地清冊_匯入!$B$6:$B$1005,MATCH($A707,土地清冊_匯入!$A$6:$A$1005,0)),"查無資料"))</f>
        <v/>
      </c>
      <c r="D707" s="12">
        <f>IF($A707="","",IFERROR(INDEX(土地清冊_匯入!$P$6:$P$1005,MATCH($A707,土地清冊_匯入!$A$6:$A$1005,0)),""))</f>
        <v/>
      </c>
      <c r="E707" s="12">
        <f>IF($A707="","",IFERROR(INDEX(土地清冊_匯入!$Q$6:$Q$1005,MATCH($A707,土地清冊_匯入!$A$6:$A$1005,0)),""))</f>
        <v/>
      </c>
      <c r="F707" s="12">
        <f>IF($A707="","",IFERROR(INDEX(土地清冊_匯入!$R$6:$R$1005,MATCH($A707,土地清冊_匯入!$A$6:$A$1005,0)),""))</f>
        <v/>
      </c>
      <c r="G707" s="12">
        <f>IF($A707="","",IFERROR(INDEX(土地清冊_匯入!$S$6:$S$1005,MATCH($A707,土地清冊_匯入!$A$6:$A$1005,0)),""))</f>
        <v/>
      </c>
      <c r="H707" s="12">
        <f>IF($A707="","",IFERROR(INDEX(土地清冊_匯入!$T$6:$T$1005,MATCH($A707,土地清冊_匯入!$A$6:$A$1005,0)),""))</f>
        <v/>
      </c>
      <c r="I707" s="12">
        <f>IF($A707="","",IFERROR(INDEX(土地清冊_匯入!$V$6:$V$1005,MATCH($A707,土地清冊_匯入!$A$6:$A$1005,0)),""))</f>
        <v/>
      </c>
      <c r="J707" s="14" t="n"/>
      <c r="K707" s="7" t="n"/>
      <c r="L707" s="7" t="n"/>
      <c r="M707" s="7" t="n"/>
      <c r="N707" s="7" t="n"/>
      <c r="O707" s="7" t="n"/>
      <c r="P707" s="7" t="n"/>
      <c r="Q707" s="14" t="n"/>
      <c r="R707" s="7" t="n"/>
      <c r="S707" s="7" t="n"/>
      <c r="T707" s="7" t="n"/>
      <c r="U707" s="12">
        <f>IF(A707="","",IF(OR(J707="",L707=""),"建議補聯絡紀錄","") )</f>
        <v/>
      </c>
    </row>
    <row r="708" ht="24" customHeight="1">
      <c r="A708" s="7" t="n"/>
      <c r="B708" s="7" t="n"/>
      <c r="C708" s="12">
        <f>IF($A708="","",IFERROR(INDEX(土地清冊_匯入!$B$6:$B$1005,MATCH($A708,土地清冊_匯入!$A$6:$A$1005,0)),"查無資料"))</f>
        <v/>
      </c>
      <c r="D708" s="12">
        <f>IF($A708="","",IFERROR(INDEX(土地清冊_匯入!$P$6:$P$1005,MATCH($A708,土地清冊_匯入!$A$6:$A$1005,0)),""))</f>
        <v/>
      </c>
      <c r="E708" s="12">
        <f>IF($A708="","",IFERROR(INDEX(土地清冊_匯入!$Q$6:$Q$1005,MATCH($A708,土地清冊_匯入!$A$6:$A$1005,0)),""))</f>
        <v/>
      </c>
      <c r="F708" s="12">
        <f>IF($A708="","",IFERROR(INDEX(土地清冊_匯入!$R$6:$R$1005,MATCH($A708,土地清冊_匯入!$A$6:$A$1005,0)),""))</f>
        <v/>
      </c>
      <c r="G708" s="12">
        <f>IF($A708="","",IFERROR(INDEX(土地清冊_匯入!$S$6:$S$1005,MATCH($A708,土地清冊_匯入!$A$6:$A$1005,0)),""))</f>
        <v/>
      </c>
      <c r="H708" s="12">
        <f>IF($A708="","",IFERROR(INDEX(土地清冊_匯入!$T$6:$T$1005,MATCH($A708,土地清冊_匯入!$A$6:$A$1005,0)),""))</f>
        <v/>
      </c>
      <c r="I708" s="12">
        <f>IF($A708="","",IFERROR(INDEX(土地清冊_匯入!$V$6:$V$1005,MATCH($A708,土地清冊_匯入!$A$6:$A$1005,0)),""))</f>
        <v/>
      </c>
      <c r="J708" s="14" t="n"/>
      <c r="K708" s="7" t="n"/>
      <c r="L708" s="7" t="n"/>
      <c r="M708" s="7" t="n"/>
      <c r="N708" s="7" t="n"/>
      <c r="O708" s="7" t="n"/>
      <c r="P708" s="7" t="n"/>
      <c r="Q708" s="14" t="n"/>
      <c r="R708" s="7" t="n"/>
      <c r="S708" s="7" t="n"/>
      <c r="T708" s="7" t="n"/>
      <c r="U708" s="12">
        <f>IF(A708="","",IF(OR(J708="",L708=""),"建議補聯絡紀錄","") )</f>
        <v/>
      </c>
    </row>
    <row r="709" ht="24" customHeight="1">
      <c r="A709" s="7" t="n"/>
      <c r="B709" s="7" t="n"/>
      <c r="C709" s="12">
        <f>IF($A709="","",IFERROR(INDEX(土地清冊_匯入!$B$6:$B$1005,MATCH($A709,土地清冊_匯入!$A$6:$A$1005,0)),"查無資料"))</f>
        <v/>
      </c>
      <c r="D709" s="12">
        <f>IF($A709="","",IFERROR(INDEX(土地清冊_匯入!$P$6:$P$1005,MATCH($A709,土地清冊_匯入!$A$6:$A$1005,0)),""))</f>
        <v/>
      </c>
      <c r="E709" s="12">
        <f>IF($A709="","",IFERROR(INDEX(土地清冊_匯入!$Q$6:$Q$1005,MATCH($A709,土地清冊_匯入!$A$6:$A$1005,0)),""))</f>
        <v/>
      </c>
      <c r="F709" s="12">
        <f>IF($A709="","",IFERROR(INDEX(土地清冊_匯入!$R$6:$R$1005,MATCH($A709,土地清冊_匯入!$A$6:$A$1005,0)),""))</f>
        <v/>
      </c>
      <c r="G709" s="12">
        <f>IF($A709="","",IFERROR(INDEX(土地清冊_匯入!$S$6:$S$1005,MATCH($A709,土地清冊_匯入!$A$6:$A$1005,0)),""))</f>
        <v/>
      </c>
      <c r="H709" s="12">
        <f>IF($A709="","",IFERROR(INDEX(土地清冊_匯入!$T$6:$T$1005,MATCH($A709,土地清冊_匯入!$A$6:$A$1005,0)),""))</f>
        <v/>
      </c>
      <c r="I709" s="12">
        <f>IF($A709="","",IFERROR(INDEX(土地清冊_匯入!$V$6:$V$1005,MATCH($A709,土地清冊_匯入!$A$6:$A$1005,0)),""))</f>
        <v/>
      </c>
      <c r="J709" s="14" t="n"/>
      <c r="K709" s="7" t="n"/>
      <c r="L709" s="7" t="n"/>
      <c r="M709" s="7" t="n"/>
      <c r="N709" s="7" t="n"/>
      <c r="O709" s="7" t="n"/>
      <c r="P709" s="7" t="n"/>
      <c r="Q709" s="14" t="n"/>
      <c r="R709" s="7" t="n"/>
      <c r="S709" s="7" t="n"/>
      <c r="T709" s="7" t="n"/>
      <c r="U709" s="12">
        <f>IF(A709="","",IF(OR(J709="",L709=""),"建議補聯絡紀錄","") )</f>
        <v/>
      </c>
    </row>
    <row r="710" ht="24" customHeight="1">
      <c r="A710" s="7" t="n"/>
      <c r="B710" s="7" t="n"/>
      <c r="C710" s="12">
        <f>IF($A710="","",IFERROR(INDEX(土地清冊_匯入!$B$6:$B$1005,MATCH($A710,土地清冊_匯入!$A$6:$A$1005,0)),"查無資料"))</f>
        <v/>
      </c>
      <c r="D710" s="12">
        <f>IF($A710="","",IFERROR(INDEX(土地清冊_匯入!$P$6:$P$1005,MATCH($A710,土地清冊_匯入!$A$6:$A$1005,0)),""))</f>
        <v/>
      </c>
      <c r="E710" s="12">
        <f>IF($A710="","",IFERROR(INDEX(土地清冊_匯入!$Q$6:$Q$1005,MATCH($A710,土地清冊_匯入!$A$6:$A$1005,0)),""))</f>
        <v/>
      </c>
      <c r="F710" s="12">
        <f>IF($A710="","",IFERROR(INDEX(土地清冊_匯入!$R$6:$R$1005,MATCH($A710,土地清冊_匯入!$A$6:$A$1005,0)),""))</f>
        <v/>
      </c>
      <c r="G710" s="12">
        <f>IF($A710="","",IFERROR(INDEX(土地清冊_匯入!$S$6:$S$1005,MATCH($A710,土地清冊_匯入!$A$6:$A$1005,0)),""))</f>
        <v/>
      </c>
      <c r="H710" s="12">
        <f>IF($A710="","",IFERROR(INDEX(土地清冊_匯入!$T$6:$T$1005,MATCH($A710,土地清冊_匯入!$A$6:$A$1005,0)),""))</f>
        <v/>
      </c>
      <c r="I710" s="12">
        <f>IF($A710="","",IFERROR(INDEX(土地清冊_匯入!$V$6:$V$1005,MATCH($A710,土地清冊_匯入!$A$6:$A$1005,0)),""))</f>
        <v/>
      </c>
      <c r="J710" s="14" t="n"/>
      <c r="K710" s="7" t="n"/>
      <c r="L710" s="7" t="n"/>
      <c r="M710" s="7" t="n"/>
      <c r="N710" s="7" t="n"/>
      <c r="O710" s="7" t="n"/>
      <c r="P710" s="7" t="n"/>
      <c r="Q710" s="14" t="n"/>
      <c r="R710" s="7" t="n"/>
      <c r="S710" s="7" t="n"/>
      <c r="T710" s="7" t="n"/>
      <c r="U710" s="12">
        <f>IF(A710="","",IF(OR(J710="",L710=""),"建議補聯絡紀錄","") )</f>
        <v/>
      </c>
    </row>
    <row r="711" ht="24" customHeight="1">
      <c r="A711" s="7" t="n"/>
      <c r="B711" s="7" t="n"/>
      <c r="C711" s="12">
        <f>IF($A711="","",IFERROR(INDEX(土地清冊_匯入!$B$6:$B$1005,MATCH($A711,土地清冊_匯入!$A$6:$A$1005,0)),"查無資料"))</f>
        <v/>
      </c>
      <c r="D711" s="12">
        <f>IF($A711="","",IFERROR(INDEX(土地清冊_匯入!$P$6:$P$1005,MATCH($A711,土地清冊_匯入!$A$6:$A$1005,0)),""))</f>
        <v/>
      </c>
      <c r="E711" s="12">
        <f>IF($A711="","",IFERROR(INDEX(土地清冊_匯入!$Q$6:$Q$1005,MATCH($A711,土地清冊_匯入!$A$6:$A$1005,0)),""))</f>
        <v/>
      </c>
      <c r="F711" s="12">
        <f>IF($A711="","",IFERROR(INDEX(土地清冊_匯入!$R$6:$R$1005,MATCH($A711,土地清冊_匯入!$A$6:$A$1005,0)),""))</f>
        <v/>
      </c>
      <c r="G711" s="12">
        <f>IF($A711="","",IFERROR(INDEX(土地清冊_匯入!$S$6:$S$1005,MATCH($A711,土地清冊_匯入!$A$6:$A$1005,0)),""))</f>
        <v/>
      </c>
      <c r="H711" s="12">
        <f>IF($A711="","",IFERROR(INDEX(土地清冊_匯入!$T$6:$T$1005,MATCH($A711,土地清冊_匯入!$A$6:$A$1005,0)),""))</f>
        <v/>
      </c>
      <c r="I711" s="12">
        <f>IF($A711="","",IFERROR(INDEX(土地清冊_匯入!$V$6:$V$1005,MATCH($A711,土地清冊_匯入!$A$6:$A$1005,0)),""))</f>
        <v/>
      </c>
      <c r="J711" s="14" t="n"/>
      <c r="K711" s="7" t="n"/>
      <c r="L711" s="7" t="n"/>
      <c r="M711" s="7" t="n"/>
      <c r="N711" s="7" t="n"/>
      <c r="O711" s="7" t="n"/>
      <c r="P711" s="7" t="n"/>
      <c r="Q711" s="14" t="n"/>
      <c r="R711" s="7" t="n"/>
      <c r="S711" s="7" t="n"/>
      <c r="T711" s="7" t="n"/>
      <c r="U711" s="12">
        <f>IF(A711="","",IF(OR(J711="",L711=""),"建議補聯絡紀錄","") )</f>
        <v/>
      </c>
    </row>
    <row r="712" ht="24" customHeight="1">
      <c r="A712" s="7" t="n"/>
      <c r="B712" s="7" t="n"/>
      <c r="C712" s="12">
        <f>IF($A712="","",IFERROR(INDEX(土地清冊_匯入!$B$6:$B$1005,MATCH($A712,土地清冊_匯入!$A$6:$A$1005,0)),"查無資料"))</f>
        <v/>
      </c>
      <c r="D712" s="12">
        <f>IF($A712="","",IFERROR(INDEX(土地清冊_匯入!$P$6:$P$1005,MATCH($A712,土地清冊_匯入!$A$6:$A$1005,0)),""))</f>
        <v/>
      </c>
      <c r="E712" s="12">
        <f>IF($A712="","",IFERROR(INDEX(土地清冊_匯入!$Q$6:$Q$1005,MATCH($A712,土地清冊_匯入!$A$6:$A$1005,0)),""))</f>
        <v/>
      </c>
      <c r="F712" s="12">
        <f>IF($A712="","",IFERROR(INDEX(土地清冊_匯入!$R$6:$R$1005,MATCH($A712,土地清冊_匯入!$A$6:$A$1005,0)),""))</f>
        <v/>
      </c>
      <c r="G712" s="12">
        <f>IF($A712="","",IFERROR(INDEX(土地清冊_匯入!$S$6:$S$1005,MATCH($A712,土地清冊_匯入!$A$6:$A$1005,0)),""))</f>
        <v/>
      </c>
      <c r="H712" s="12">
        <f>IF($A712="","",IFERROR(INDEX(土地清冊_匯入!$T$6:$T$1005,MATCH($A712,土地清冊_匯入!$A$6:$A$1005,0)),""))</f>
        <v/>
      </c>
      <c r="I712" s="12">
        <f>IF($A712="","",IFERROR(INDEX(土地清冊_匯入!$V$6:$V$1005,MATCH($A712,土地清冊_匯入!$A$6:$A$1005,0)),""))</f>
        <v/>
      </c>
      <c r="J712" s="14" t="n"/>
      <c r="K712" s="7" t="n"/>
      <c r="L712" s="7" t="n"/>
      <c r="M712" s="7" t="n"/>
      <c r="N712" s="7" t="n"/>
      <c r="O712" s="7" t="n"/>
      <c r="P712" s="7" t="n"/>
      <c r="Q712" s="14" t="n"/>
      <c r="R712" s="7" t="n"/>
      <c r="S712" s="7" t="n"/>
      <c r="T712" s="7" t="n"/>
      <c r="U712" s="12">
        <f>IF(A712="","",IF(OR(J712="",L712=""),"建議補聯絡紀錄","") )</f>
        <v/>
      </c>
    </row>
    <row r="713" ht="24" customHeight="1">
      <c r="A713" s="7" t="n"/>
      <c r="B713" s="7" t="n"/>
      <c r="C713" s="12">
        <f>IF($A713="","",IFERROR(INDEX(土地清冊_匯入!$B$6:$B$1005,MATCH($A713,土地清冊_匯入!$A$6:$A$1005,0)),"查無資料"))</f>
        <v/>
      </c>
      <c r="D713" s="12">
        <f>IF($A713="","",IFERROR(INDEX(土地清冊_匯入!$P$6:$P$1005,MATCH($A713,土地清冊_匯入!$A$6:$A$1005,0)),""))</f>
        <v/>
      </c>
      <c r="E713" s="12">
        <f>IF($A713="","",IFERROR(INDEX(土地清冊_匯入!$Q$6:$Q$1005,MATCH($A713,土地清冊_匯入!$A$6:$A$1005,0)),""))</f>
        <v/>
      </c>
      <c r="F713" s="12">
        <f>IF($A713="","",IFERROR(INDEX(土地清冊_匯入!$R$6:$R$1005,MATCH($A713,土地清冊_匯入!$A$6:$A$1005,0)),""))</f>
        <v/>
      </c>
      <c r="G713" s="12">
        <f>IF($A713="","",IFERROR(INDEX(土地清冊_匯入!$S$6:$S$1005,MATCH($A713,土地清冊_匯入!$A$6:$A$1005,0)),""))</f>
        <v/>
      </c>
      <c r="H713" s="12">
        <f>IF($A713="","",IFERROR(INDEX(土地清冊_匯入!$T$6:$T$1005,MATCH($A713,土地清冊_匯入!$A$6:$A$1005,0)),""))</f>
        <v/>
      </c>
      <c r="I713" s="12">
        <f>IF($A713="","",IFERROR(INDEX(土地清冊_匯入!$V$6:$V$1005,MATCH($A713,土地清冊_匯入!$A$6:$A$1005,0)),""))</f>
        <v/>
      </c>
      <c r="J713" s="14" t="n"/>
      <c r="K713" s="7" t="n"/>
      <c r="L713" s="7" t="n"/>
      <c r="M713" s="7" t="n"/>
      <c r="N713" s="7" t="n"/>
      <c r="O713" s="7" t="n"/>
      <c r="P713" s="7" t="n"/>
      <c r="Q713" s="14" t="n"/>
      <c r="R713" s="7" t="n"/>
      <c r="S713" s="7" t="n"/>
      <c r="T713" s="7" t="n"/>
      <c r="U713" s="12">
        <f>IF(A713="","",IF(OR(J713="",L713=""),"建議補聯絡紀錄","") )</f>
        <v/>
      </c>
    </row>
    <row r="714" ht="24" customHeight="1">
      <c r="A714" s="7" t="n"/>
      <c r="B714" s="7" t="n"/>
      <c r="C714" s="12">
        <f>IF($A714="","",IFERROR(INDEX(土地清冊_匯入!$B$6:$B$1005,MATCH($A714,土地清冊_匯入!$A$6:$A$1005,0)),"查無資料"))</f>
        <v/>
      </c>
      <c r="D714" s="12">
        <f>IF($A714="","",IFERROR(INDEX(土地清冊_匯入!$P$6:$P$1005,MATCH($A714,土地清冊_匯入!$A$6:$A$1005,0)),""))</f>
        <v/>
      </c>
      <c r="E714" s="12">
        <f>IF($A714="","",IFERROR(INDEX(土地清冊_匯入!$Q$6:$Q$1005,MATCH($A714,土地清冊_匯入!$A$6:$A$1005,0)),""))</f>
        <v/>
      </c>
      <c r="F714" s="12">
        <f>IF($A714="","",IFERROR(INDEX(土地清冊_匯入!$R$6:$R$1005,MATCH($A714,土地清冊_匯入!$A$6:$A$1005,0)),""))</f>
        <v/>
      </c>
      <c r="G714" s="12">
        <f>IF($A714="","",IFERROR(INDEX(土地清冊_匯入!$S$6:$S$1005,MATCH($A714,土地清冊_匯入!$A$6:$A$1005,0)),""))</f>
        <v/>
      </c>
      <c r="H714" s="12">
        <f>IF($A714="","",IFERROR(INDEX(土地清冊_匯入!$T$6:$T$1005,MATCH($A714,土地清冊_匯入!$A$6:$A$1005,0)),""))</f>
        <v/>
      </c>
      <c r="I714" s="12">
        <f>IF($A714="","",IFERROR(INDEX(土地清冊_匯入!$V$6:$V$1005,MATCH($A714,土地清冊_匯入!$A$6:$A$1005,0)),""))</f>
        <v/>
      </c>
      <c r="J714" s="14" t="n"/>
      <c r="K714" s="7" t="n"/>
      <c r="L714" s="7" t="n"/>
      <c r="M714" s="7" t="n"/>
      <c r="N714" s="7" t="n"/>
      <c r="O714" s="7" t="n"/>
      <c r="P714" s="7" t="n"/>
      <c r="Q714" s="14" t="n"/>
      <c r="R714" s="7" t="n"/>
      <c r="S714" s="7" t="n"/>
      <c r="T714" s="7" t="n"/>
      <c r="U714" s="12">
        <f>IF(A714="","",IF(OR(J714="",L714=""),"建議補聯絡紀錄","") )</f>
        <v/>
      </c>
    </row>
    <row r="715" ht="24" customHeight="1">
      <c r="A715" s="7" t="n"/>
      <c r="B715" s="7" t="n"/>
      <c r="C715" s="12">
        <f>IF($A715="","",IFERROR(INDEX(土地清冊_匯入!$B$6:$B$1005,MATCH($A715,土地清冊_匯入!$A$6:$A$1005,0)),"查無資料"))</f>
        <v/>
      </c>
      <c r="D715" s="12">
        <f>IF($A715="","",IFERROR(INDEX(土地清冊_匯入!$P$6:$P$1005,MATCH($A715,土地清冊_匯入!$A$6:$A$1005,0)),""))</f>
        <v/>
      </c>
      <c r="E715" s="12">
        <f>IF($A715="","",IFERROR(INDEX(土地清冊_匯入!$Q$6:$Q$1005,MATCH($A715,土地清冊_匯入!$A$6:$A$1005,0)),""))</f>
        <v/>
      </c>
      <c r="F715" s="12">
        <f>IF($A715="","",IFERROR(INDEX(土地清冊_匯入!$R$6:$R$1005,MATCH($A715,土地清冊_匯入!$A$6:$A$1005,0)),""))</f>
        <v/>
      </c>
      <c r="G715" s="12">
        <f>IF($A715="","",IFERROR(INDEX(土地清冊_匯入!$S$6:$S$1005,MATCH($A715,土地清冊_匯入!$A$6:$A$1005,0)),""))</f>
        <v/>
      </c>
      <c r="H715" s="12">
        <f>IF($A715="","",IFERROR(INDEX(土地清冊_匯入!$T$6:$T$1005,MATCH($A715,土地清冊_匯入!$A$6:$A$1005,0)),""))</f>
        <v/>
      </c>
      <c r="I715" s="12">
        <f>IF($A715="","",IFERROR(INDEX(土地清冊_匯入!$V$6:$V$1005,MATCH($A715,土地清冊_匯入!$A$6:$A$1005,0)),""))</f>
        <v/>
      </c>
      <c r="J715" s="14" t="n"/>
      <c r="K715" s="7" t="n"/>
      <c r="L715" s="7" t="n"/>
      <c r="M715" s="7" t="n"/>
      <c r="N715" s="7" t="n"/>
      <c r="O715" s="7" t="n"/>
      <c r="P715" s="7" t="n"/>
      <c r="Q715" s="14" t="n"/>
      <c r="R715" s="7" t="n"/>
      <c r="S715" s="7" t="n"/>
      <c r="T715" s="7" t="n"/>
      <c r="U715" s="12">
        <f>IF(A715="","",IF(OR(J715="",L715=""),"建議補聯絡紀錄","") )</f>
        <v/>
      </c>
    </row>
    <row r="716" ht="24" customHeight="1">
      <c r="A716" s="7" t="n"/>
      <c r="B716" s="7" t="n"/>
      <c r="C716" s="12">
        <f>IF($A716="","",IFERROR(INDEX(土地清冊_匯入!$B$6:$B$1005,MATCH($A716,土地清冊_匯入!$A$6:$A$1005,0)),"查無資料"))</f>
        <v/>
      </c>
      <c r="D716" s="12">
        <f>IF($A716="","",IFERROR(INDEX(土地清冊_匯入!$P$6:$P$1005,MATCH($A716,土地清冊_匯入!$A$6:$A$1005,0)),""))</f>
        <v/>
      </c>
      <c r="E716" s="12">
        <f>IF($A716="","",IFERROR(INDEX(土地清冊_匯入!$Q$6:$Q$1005,MATCH($A716,土地清冊_匯入!$A$6:$A$1005,0)),""))</f>
        <v/>
      </c>
      <c r="F716" s="12">
        <f>IF($A716="","",IFERROR(INDEX(土地清冊_匯入!$R$6:$R$1005,MATCH($A716,土地清冊_匯入!$A$6:$A$1005,0)),""))</f>
        <v/>
      </c>
      <c r="G716" s="12">
        <f>IF($A716="","",IFERROR(INDEX(土地清冊_匯入!$S$6:$S$1005,MATCH($A716,土地清冊_匯入!$A$6:$A$1005,0)),""))</f>
        <v/>
      </c>
      <c r="H716" s="12">
        <f>IF($A716="","",IFERROR(INDEX(土地清冊_匯入!$T$6:$T$1005,MATCH($A716,土地清冊_匯入!$A$6:$A$1005,0)),""))</f>
        <v/>
      </c>
      <c r="I716" s="12">
        <f>IF($A716="","",IFERROR(INDEX(土地清冊_匯入!$V$6:$V$1005,MATCH($A716,土地清冊_匯入!$A$6:$A$1005,0)),""))</f>
        <v/>
      </c>
      <c r="J716" s="14" t="n"/>
      <c r="K716" s="7" t="n"/>
      <c r="L716" s="7" t="n"/>
      <c r="M716" s="7" t="n"/>
      <c r="N716" s="7" t="n"/>
      <c r="O716" s="7" t="n"/>
      <c r="P716" s="7" t="n"/>
      <c r="Q716" s="14" t="n"/>
      <c r="R716" s="7" t="n"/>
      <c r="S716" s="7" t="n"/>
      <c r="T716" s="7" t="n"/>
      <c r="U716" s="12">
        <f>IF(A716="","",IF(OR(J716="",L716=""),"建議補聯絡紀錄","") )</f>
        <v/>
      </c>
    </row>
    <row r="717" ht="24" customHeight="1">
      <c r="A717" s="7" t="n"/>
      <c r="B717" s="7" t="n"/>
      <c r="C717" s="12">
        <f>IF($A717="","",IFERROR(INDEX(土地清冊_匯入!$B$6:$B$1005,MATCH($A717,土地清冊_匯入!$A$6:$A$1005,0)),"查無資料"))</f>
        <v/>
      </c>
      <c r="D717" s="12">
        <f>IF($A717="","",IFERROR(INDEX(土地清冊_匯入!$P$6:$P$1005,MATCH($A717,土地清冊_匯入!$A$6:$A$1005,0)),""))</f>
        <v/>
      </c>
      <c r="E717" s="12">
        <f>IF($A717="","",IFERROR(INDEX(土地清冊_匯入!$Q$6:$Q$1005,MATCH($A717,土地清冊_匯入!$A$6:$A$1005,0)),""))</f>
        <v/>
      </c>
      <c r="F717" s="12">
        <f>IF($A717="","",IFERROR(INDEX(土地清冊_匯入!$R$6:$R$1005,MATCH($A717,土地清冊_匯入!$A$6:$A$1005,0)),""))</f>
        <v/>
      </c>
      <c r="G717" s="12">
        <f>IF($A717="","",IFERROR(INDEX(土地清冊_匯入!$S$6:$S$1005,MATCH($A717,土地清冊_匯入!$A$6:$A$1005,0)),""))</f>
        <v/>
      </c>
      <c r="H717" s="12">
        <f>IF($A717="","",IFERROR(INDEX(土地清冊_匯入!$T$6:$T$1005,MATCH($A717,土地清冊_匯入!$A$6:$A$1005,0)),""))</f>
        <v/>
      </c>
      <c r="I717" s="12">
        <f>IF($A717="","",IFERROR(INDEX(土地清冊_匯入!$V$6:$V$1005,MATCH($A717,土地清冊_匯入!$A$6:$A$1005,0)),""))</f>
        <v/>
      </c>
      <c r="J717" s="14" t="n"/>
      <c r="K717" s="7" t="n"/>
      <c r="L717" s="7" t="n"/>
      <c r="M717" s="7" t="n"/>
      <c r="N717" s="7" t="n"/>
      <c r="O717" s="7" t="n"/>
      <c r="P717" s="7" t="n"/>
      <c r="Q717" s="14" t="n"/>
      <c r="R717" s="7" t="n"/>
      <c r="S717" s="7" t="n"/>
      <c r="T717" s="7" t="n"/>
      <c r="U717" s="12">
        <f>IF(A717="","",IF(OR(J717="",L717=""),"建議補聯絡紀錄","") )</f>
        <v/>
      </c>
    </row>
    <row r="718" ht="24" customHeight="1">
      <c r="A718" s="7" t="n"/>
      <c r="B718" s="7" t="n"/>
      <c r="C718" s="12">
        <f>IF($A718="","",IFERROR(INDEX(土地清冊_匯入!$B$6:$B$1005,MATCH($A718,土地清冊_匯入!$A$6:$A$1005,0)),"查無資料"))</f>
        <v/>
      </c>
      <c r="D718" s="12">
        <f>IF($A718="","",IFERROR(INDEX(土地清冊_匯入!$P$6:$P$1005,MATCH($A718,土地清冊_匯入!$A$6:$A$1005,0)),""))</f>
        <v/>
      </c>
      <c r="E718" s="12">
        <f>IF($A718="","",IFERROR(INDEX(土地清冊_匯入!$Q$6:$Q$1005,MATCH($A718,土地清冊_匯入!$A$6:$A$1005,0)),""))</f>
        <v/>
      </c>
      <c r="F718" s="12">
        <f>IF($A718="","",IFERROR(INDEX(土地清冊_匯入!$R$6:$R$1005,MATCH($A718,土地清冊_匯入!$A$6:$A$1005,0)),""))</f>
        <v/>
      </c>
      <c r="G718" s="12">
        <f>IF($A718="","",IFERROR(INDEX(土地清冊_匯入!$S$6:$S$1005,MATCH($A718,土地清冊_匯入!$A$6:$A$1005,0)),""))</f>
        <v/>
      </c>
      <c r="H718" s="12">
        <f>IF($A718="","",IFERROR(INDEX(土地清冊_匯入!$T$6:$T$1005,MATCH($A718,土地清冊_匯入!$A$6:$A$1005,0)),""))</f>
        <v/>
      </c>
      <c r="I718" s="12">
        <f>IF($A718="","",IFERROR(INDEX(土地清冊_匯入!$V$6:$V$1005,MATCH($A718,土地清冊_匯入!$A$6:$A$1005,0)),""))</f>
        <v/>
      </c>
      <c r="J718" s="14" t="n"/>
      <c r="K718" s="7" t="n"/>
      <c r="L718" s="7" t="n"/>
      <c r="M718" s="7" t="n"/>
      <c r="N718" s="7" t="n"/>
      <c r="O718" s="7" t="n"/>
      <c r="P718" s="7" t="n"/>
      <c r="Q718" s="14" t="n"/>
      <c r="R718" s="7" t="n"/>
      <c r="S718" s="7" t="n"/>
      <c r="T718" s="7" t="n"/>
      <c r="U718" s="12">
        <f>IF(A718="","",IF(OR(J718="",L718=""),"建議補聯絡紀錄","") )</f>
        <v/>
      </c>
    </row>
    <row r="719" ht="24" customHeight="1">
      <c r="A719" s="7" t="n"/>
      <c r="B719" s="7" t="n"/>
      <c r="C719" s="12">
        <f>IF($A719="","",IFERROR(INDEX(土地清冊_匯入!$B$6:$B$1005,MATCH($A719,土地清冊_匯入!$A$6:$A$1005,0)),"查無資料"))</f>
        <v/>
      </c>
      <c r="D719" s="12">
        <f>IF($A719="","",IFERROR(INDEX(土地清冊_匯入!$P$6:$P$1005,MATCH($A719,土地清冊_匯入!$A$6:$A$1005,0)),""))</f>
        <v/>
      </c>
      <c r="E719" s="12">
        <f>IF($A719="","",IFERROR(INDEX(土地清冊_匯入!$Q$6:$Q$1005,MATCH($A719,土地清冊_匯入!$A$6:$A$1005,0)),""))</f>
        <v/>
      </c>
      <c r="F719" s="12">
        <f>IF($A719="","",IFERROR(INDEX(土地清冊_匯入!$R$6:$R$1005,MATCH($A719,土地清冊_匯入!$A$6:$A$1005,0)),""))</f>
        <v/>
      </c>
      <c r="G719" s="12">
        <f>IF($A719="","",IFERROR(INDEX(土地清冊_匯入!$S$6:$S$1005,MATCH($A719,土地清冊_匯入!$A$6:$A$1005,0)),""))</f>
        <v/>
      </c>
      <c r="H719" s="12">
        <f>IF($A719="","",IFERROR(INDEX(土地清冊_匯入!$T$6:$T$1005,MATCH($A719,土地清冊_匯入!$A$6:$A$1005,0)),""))</f>
        <v/>
      </c>
      <c r="I719" s="12">
        <f>IF($A719="","",IFERROR(INDEX(土地清冊_匯入!$V$6:$V$1005,MATCH($A719,土地清冊_匯入!$A$6:$A$1005,0)),""))</f>
        <v/>
      </c>
      <c r="J719" s="14" t="n"/>
      <c r="K719" s="7" t="n"/>
      <c r="L719" s="7" t="n"/>
      <c r="M719" s="7" t="n"/>
      <c r="N719" s="7" t="n"/>
      <c r="O719" s="7" t="n"/>
      <c r="P719" s="7" t="n"/>
      <c r="Q719" s="14" t="n"/>
      <c r="R719" s="7" t="n"/>
      <c r="S719" s="7" t="n"/>
      <c r="T719" s="7" t="n"/>
      <c r="U719" s="12">
        <f>IF(A719="","",IF(OR(J719="",L719=""),"建議補聯絡紀錄","") )</f>
        <v/>
      </c>
    </row>
    <row r="720" ht="24" customHeight="1">
      <c r="A720" s="7" t="n"/>
      <c r="B720" s="7" t="n"/>
      <c r="C720" s="12">
        <f>IF($A720="","",IFERROR(INDEX(土地清冊_匯入!$B$6:$B$1005,MATCH($A720,土地清冊_匯入!$A$6:$A$1005,0)),"查無資料"))</f>
        <v/>
      </c>
      <c r="D720" s="12">
        <f>IF($A720="","",IFERROR(INDEX(土地清冊_匯入!$P$6:$P$1005,MATCH($A720,土地清冊_匯入!$A$6:$A$1005,0)),""))</f>
        <v/>
      </c>
      <c r="E720" s="12">
        <f>IF($A720="","",IFERROR(INDEX(土地清冊_匯入!$Q$6:$Q$1005,MATCH($A720,土地清冊_匯入!$A$6:$A$1005,0)),""))</f>
        <v/>
      </c>
      <c r="F720" s="12">
        <f>IF($A720="","",IFERROR(INDEX(土地清冊_匯入!$R$6:$R$1005,MATCH($A720,土地清冊_匯入!$A$6:$A$1005,0)),""))</f>
        <v/>
      </c>
      <c r="G720" s="12">
        <f>IF($A720="","",IFERROR(INDEX(土地清冊_匯入!$S$6:$S$1005,MATCH($A720,土地清冊_匯入!$A$6:$A$1005,0)),""))</f>
        <v/>
      </c>
      <c r="H720" s="12">
        <f>IF($A720="","",IFERROR(INDEX(土地清冊_匯入!$T$6:$T$1005,MATCH($A720,土地清冊_匯入!$A$6:$A$1005,0)),""))</f>
        <v/>
      </c>
      <c r="I720" s="12">
        <f>IF($A720="","",IFERROR(INDEX(土地清冊_匯入!$V$6:$V$1005,MATCH($A720,土地清冊_匯入!$A$6:$A$1005,0)),""))</f>
        <v/>
      </c>
      <c r="J720" s="14" t="n"/>
      <c r="K720" s="7" t="n"/>
      <c r="L720" s="7" t="n"/>
      <c r="M720" s="7" t="n"/>
      <c r="N720" s="7" t="n"/>
      <c r="O720" s="7" t="n"/>
      <c r="P720" s="7" t="n"/>
      <c r="Q720" s="14" t="n"/>
      <c r="R720" s="7" t="n"/>
      <c r="S720" s="7" t="n"/>
      <c r="T720" s="7" t="n"/>
      <c r="U720" s="12">
        <f>IF(A720="","",IF(OR(J720="",L720=""),"建議補聯絡紀錄","") )</f>
        <v/>
      </c>
    </row>
    <row r="721" ht="24" customHeight="1">
      <c r="A721" s="7" t="n"/>
      <c r="B721" s="7" t="n"/>
      <c r="C721" s="12">
        <f>IF($A721="","",IFERROR(INDEX(土地清冊_匯入!$B$6:$B$1005,MATCH($A721,土地清冊_匯入!$A$6:$A$1005,0)),"查無資料"))</f>
        <v/>
      </c>
      <c r="D721" s="12">
        <f>IF($A721="","",IFERROR(INDEX(土地清冊_匯入!$P$6:$P$1005,MATCH($A721,土地清冊_匯入!$A$6:$A$1005,0)),""))</f>
        <v/>
      </c>
      <c r="E721" s="12">
        <f>IF($A721="","",IFERROR(INDEX(土地清冊_匯入!$Q$6:$Q$1005,MATCH($A721,土地清冊_匯入!$A$6:$A$1005,0)),""))</f>
        <v/>
      </c>
      <c r="F721" s="12">
        <f>IF($A721="","",IFERROR(INDEX(土地清冊_匯入!$R$6:$R$1005,MATCH($A721,土地清冊_匯入!$A$6:$A$1005,0)),""))</f>
        <v/>
      </c>
      <c r="G721" s="12">
        <f>IF($A721="","",IFERROR(INDEX(土地清冊_匯入!$S$6:$S$1005,MATCH($A721,土地清冊_匯入!$A$6:$A$1005,0)),""))</f>
        <v/>
      </c>
      <c r="H721" s="12">
        <f>IF($A721="","",IFERROR(INDEX(土地清冊_匯入!$T$6:$T$1005,MATCH($A721,土地清冊_匯入!$A$6:$A$1005,0)),""))</f>
        <v/>
      </c>
      <c r="I721" s="12">
        <f>IF($A721="","",IFERROR(INDEX(土地清冊_匯入!$V$6:$V$1005,MATCH($A721,土地清冊_匯入!$A$6:$A$1005,0)),""))</f>
        <v/>
      </c>
      <c r="J721" s="14" t="n"/>
      <c r="K721" s="7" t="n"/>
      <c r="L721" s="7" t="n"/>
      <c r="M721" s="7" t="n"/>
      <c r="N721" s="7" t="n"/>
      <c r="O721" s="7" t="n"/>
      <c r="P721" s="7" t="n"/>
      <c r="Q721" s="14" t="n"/>
      <c r="R721" s="7" t="n"/>
      <c r="S721" s="7" t="n"/>
      <c r="T721" s="7" t="n"/>
      <c r="U721" s="12">
        <f>IF(A721="","",IF(OR(J721="",L721=""),"建議補聯絡紀錄","") )</f>
        <v/>
      </c>
    </row>
    <row r="722" ht="24" customHeight="1">
      <c r="A722" s="7" t="n"/>
      <c r="B722" s="7" t="n"/>
      <c r="C722" s="12">
        <f>IF($A722="","",IFERROR(INDEX(土地清冊_匯入!$B$6:$B$1005,MATCH($A722,土地清冊_匯入!$A$6:$A$1005,0)),"查無資料"))</f>
        <v/>
      </c>
      <c r="D722" s="12">
        <f>IF($A722="","",IFERROR(INDEX(土地清冊_匯入!$P$6:$P$1005,MATCH($A722,土地清冊_匯入!$A$6:$A$1005,0)),""))</f>
        <v/>
      </c>
      <c r="E722" s="12">
        <f>IF($A722="","",IFERROR(INDEX(土地清冊_匯入!$Q$6:$Q$1005,MATCH($A722,土地清冊_匯入!$A$6:$A$1005,0)),""))</f>
        <v/>
      </c>
      <c r="F722" s="12">
        <f>IF($A722="","",IFERROR(INDEX(土地清冊_匯入!$R$6:$R$1005,MATCH($A722,土地清冊_匯入!$A$6:$A$1005,0)),""))</f>
        <v/>
      </c>
      <c r="G722" s="12">
        <f>IF($A722="","",IFERROR(INDEX(土地清冊_匯入!$S$6:$S$1005,MATCH($A722,土地清冊_匯入!$A$6:$A$1005,0)),""))</f>
        <v/>
      </c>
      <c r="H722" s="12">
        <f>IF($A722="","",IFERROR(INDEX(土地清冊_匯入!$T$6:$T$1005,MATCH($A722,土地清冊_匯入!$A$6:$A$1005,0)),""))</f>
        <v/>
      </c>
      <c r="I722" s="12">
        <f>IF($A722="","",IFERROR(INDEX(土地清冊_匯入!$V$6:$V$1005,MATCH($A722,土地清冊_匯入!$A$6:$A$1005,0)),""))</f>
        <v/>
      </c>
      <c r="J722" s="14" t="n"/>
      <c r="K722" s="7" t="n"/>
      <c r="L722" s="7" t="n"/>
      <c r="M722" s="7" t="n"/>
      <c r="N722" s="7" t="n"/>
      <c r="O722" s="7" t="n"/>
      <c r="P722" s="7" t="n"/>
      <c r="Q722" s="14" t="n"/>
      <c r="R722" s="7" t="n"/>
      <c r="S722" s="7" t="n"/>
      <c r="T722" s="7" t="n"/>
      <c r="U722" s="12">
        <f>IF(A722="","",IF(OR(J722="",L722=""),"建議補聯絡紀錄","") )</f>
        <v/>
      </c>
    </row>
    <row r="723" ht="24" customHeight="1">
      <c r="A723" s="7" t="n"/>
      <c r="B723" s="7" t="n"/>
      <c r="C723" s="12">
        <f>IF($A723="","",IFERROR(INDEX(土地清冊_匯入!$B$6:$B$1005,MATCH($A723,土地清冊_匯入!$A$6:$A$1005,0)),"查無資料"))</f>
        <v/>
      </c>
      <c r="D723" s="12">
        <f>IF($A723="","",IFERROR(INDEX(土地清冊_匯入!$P$6:$P$1005,MATCH($A723,土地清冊_匯入!$A$6:$A$1005,0)),""))</f>
        <v/>
      </c>
      <c r="E723" s="12">
        <f>IF($A723="","",IFERROR(INDEX(土地清冊_匯入!$Q$6:$Q$1005,MATCH($A723,土地清冊_匯入!$A$6:$A$1005,0)),""))</f>
        <v/>
      </c>
      <c r="F723" s="12">
        <f>IF($A723="","",IFERROR(INDEX(土地清冊_匯入!$R$6:$R$1005,MATCH($A723,土地清冊_匯入!$A$6:$A$1005,0)),""))</f>
        <v/>
      </c>
      <c r="G723" s="12">
        <f>IF($A723="","",IFERROR(INDEX(土地清冊_匯入!$S$6:$S$1005,MATCH($A723,土地清冊_匯入!$A$6:$A$1005,0)),""))</f>
        <v/>
      </c>
      <c r="H723" s="12">
        <f>IF($A723="","",IFERROR(INDEX(土地清冊_匯入!$T$6:$T$1005,MATCH($A723,土地清冊_匯入!$A$6:$A$1005,0)),""))</f>
        <v/>
      </c>
      <c r="I723" s="12">
        <f>IF($A723="","",IFERROR(INDEX(土地清冊_匯入!$V$6:$V$1005,MATCH($A723,土地清冊_匯入!$A$6:$A$1005,0)),""))</f>
        <v/>
      </c>
      <c r="J723" s="14" t="n"/>
      <c r="K723" s="7" t="n"/>
      <c r="L723" s="7" t="n"/>
      <c r="M723" s="7" t="n"/>
      <c r="N723" s="7" t="n"/>
      <c r="O723" s="7" t="n"/>
      <c r="P723" s="7" t="n"/>
      <c r="Q723" s="14" t="n"/>
      <c r="R723" s="7" t="n"/>
      <c r="S723" s="7" t="n"/>
      <c r="T723" s="7" t="n"/>
      <c r="U723" s="12">
        <f>IF(A723="","",IF(OR(J723="",L723=""),"建議補聯絡紀錄","") )</f>
        <v/>
      </c>
    </row>
    <row r="724" ht="24" customHeight="1">
      <c r="A724" s="7" t="n"/>
      <c r="B724" s="7" t="n"/>
      <c r="C724" s="12">
        <f>IF($A724="","",IFERROR(INDEX(土地清冊_匯入!$B$6:$B$1005,MATCH($A724,土地清冊_匯入!$A$6:$A$1005,0)),"查無資料"))</f>
        <v/>
      </c>
      <c r="D724" s="12">
        <f>IF($A724="","",IFERROR(INDEX(土地清冊_匯入!$P$6:$P$1005,MATCH($A724,土地清冊_匯入!$A$6:$A$1005,0)),""))</f>
        <v/>
      </c>
      <c r="E724" s="12">
        <f>IF($A724="","",IFERROR(INDEX(土地清冊_匯入!$Q$6:$Q$1005,MATCH($A724,土地清冊_匯入!$A$6:$A$1005,0)),""))</f>
        <v/>
      </c>
      <c r="F724" s="12">
        <f>IF($A724="","",IFERROR(INDEX(土地清冊_匯入!$R$6:$R$1005,MATCH($A724,土地清冊_匯入!$A$6:$A$1005,0)),""))</f>
        <v/>
      </c>
      <c r="G724" s="12">
        <f>IF($A724="","",IFERROR(INDEX(土地清冊_匯入!$S$6:$S$1005,MATCH($A724,土地清冊_匯入!$A$6:$A$1005,0)),""))</f>
        <v/>
      </c>
      <c r="H724" s="12">
        <f>IF($A724="","",IFERROR(INDEX(土地清冊_匯入!$T$6:$T$1005,MATCH($A724,土地清冊_匯入!$A$6:$A$1005,0)),""))</f>
        <v/>
      </c>
      <c r="I724" s="12">
        <f>IF($A724="","",IFERROR(INDEX(土地清冊_匯入!$V$6:$V$1005,MATCH($A724,土地清冊_匯入!$A$6:$A$1005,0)),""))</f>
        <v/>
      </c>
      <c r="J724" s="14" t="n"/>
      <c r="K724" s="7" t="n"/>
      <c r="L724" s="7" t="n"/>
      <c r="M724" s="7" t="n"/>
      <c r="N724" s="7" t="n"/>
      <c r="O724" s="7" t="n"/>
      <c r="P724" s="7" t="n"/>
      <c r="Q724" s="14" t="n"/>
      <c r="R724" s="7" t="n"/>
      <c r="S724" s="7" t="n"/>
      <c r="T724" s="7" t="n"/>
      <c r="U724" s="12">
        <f>IF(A724="","",IF(OR(J724="",L724=""),"建議補聯絡紀錄","") )</f>
        <v/>
      </c>
    </row>
    <row r="725" ht="24" customHeight="1">
      <c r="A725" s="7" t="n"/>
      <c r="B725" s="7" t="n"/>
      <c r="C725" s="12">
        <f>IF($A725="","",IFERROR(INDEX(土地清冊_匯入!$B$6:$B$1005,MATCH($A725,土地清冊_匯入!$A$6:$A$1005,0)),"查無資料"))</f>
        <v/>
      </c>
      <c r="D725" s="12">
        <f>IF($A725="","",IFERROR(INDEX(土地清冊_匯入!$P$6:$P$1005,MATCH($A725,土地清冊_匯入!$A$6:$A$1005,0)),""))</f>
        <v/>
      </c>
      <c r="E725" s="12">
        <f>IF($A725="","",IFERROR(INDEX(土地清冊_匯入!$Q$6:$Q$1005,MATCH($A725,土地清冊_匯入!$A$6:$A$1005,0)),""))</f>
        <v/>
      </c>
      <c r="F725" s="12">
        <f>IF($A725="","",IFERROR(INDEX(土地清冊_匯入!$R$6:$R$1005,MATCH($A725,土地清冊_匯入!$A$6:$A$1005,0)),""))</f>
        <v/>
      </c>
      <c r="G725" s="12">
        <f>IF($A725="","",IFERROR(INDEX(土地清冊_匯入!$S$6:$S$1005,MATCH($A725,土地清冊_匯入!$A$6:$A$1005,0)),""))</f>
        <v/>
      </c>
      <c r="H725" s="12">
        <f>IF($A725="","",IFERROR(INDEX(土地清冊_匯入!$T$6:$T$1005,MATCH($A725,土地清冊_匯入!$A$6:$A$1005,0)),""))</f>
        <v/>
      </c>
      <c r="I725" s="12">
        <f>IF($A725="","",IFERROR(INDEX(土地清冊_匯入!$V$6:$V$1005,MATCH($A725,土地清冊_匯入!$A$6:$A$1005,0)),""))</f>
        <v/>
      </c>
      <c r="J725" s="14" t="n"/>
      <c r="K725" s="7" t="n"/>
      <c r="L725" s="7" t="n"/>
      <c r="M725" s="7" t="n"/>
      <c r="N725" s="7" t="n"/>
      <c r="O725" s="7" t="n"/>
      <c r="P725" s="7" t="n"/>
      <c r="Q725" s="14" t="n"/>
      <c r="R725" s="7" t="n"/>
      <c r="S725" s="7" t="n"/>
      <c r="T725" s="7" t="n"/>
      <c r="U725" s="12">
        <f>IF(A725="","",IF(OR(J725="",L725=""),"建議補聯絡紀錄","") )</f>
        <v/>
      </c>
    </row>
    <row r="726" ht="24" customHeight="1">
      <c r="A726" s="7" t="n"/>
      <c r="B726" s="7" t="n"/>
      <c r="C726" s="12">
        <f>IF($A726="","",IFERROR(INDEX(土地清冊_匯入!$B$6:$B$1005,MATCH($A726,土地清冊_匯入!$A$6:$A$1005,0)),"查無資料"))</f>
        <v/>
      </c>
      <c r="D726" s="12">
        <f>IF($A726="","",IFERROR(INDEX(土地清冊_匯入!$P$6:$P$1005,MATCH($A726,土地清冊_匯入!$A$6:$A$1005,0)),""))</f>
        <v/>
      </c>
      <c r="E726" s="12">
        <f>IF($A726="","",IFERROR(INDEX(土地清冊_匯入!$Q$6:$Q$1005,MATCH($A726,土地清冊_匯入!$A$6:$A$1005,0)),""))</f>
        <v/>
      </c>
      <c r="F726" s="12">
        <f>IF($A726="","",IFERROR(INDEX(土地清冊_匯入!$R$6:$R$1005,MATCH($A726,土地清冊_匯入!$A$6:$A$1005,0)),""))</f>
        <v/>
      </c>
      <c r="G726" s="12">
        <f>IF($A726="","",IFERROR(INDEX(土地清冊_匯入!$S$6:$S$1005,MATCH($A726,土地清冊_匯入!$A$6:$A$1005,0)),""))</f>
        <v/>
      </c>
      <c r="H726" s="12">
        <f>IF($A726="","",IFERROR(INDEX(土地清冊_匯入!$T$6:$T$1005,MATCH($A726,土地清冊_匯入!$A$6:$A$1005,0)),""))</f>
        <v/>
      </c>
      <c r="I726" s="12">
        <f>IF($A726="","",IFERROR(INDEX(土地清冊_匯入!$V$6:$V$1005,MATCH($A726,土地清冊_匯入!$A$6:$A$1005,0)),""))</f>
        <v/>
      </c>
      <c r="J726" s="14" t="n"/>
      <c r="K726" s="7" t="n"/>
      <c r="L726" s="7" t="n"/>
      <c r="M726" s="7" t="n"/>
      <c r="N726" s="7" t="n"/>
      <c r="O726" s="7" t="n"/>
      <c r="P726" s="7" t="n"/>
      <c r="Q726" s="14" t="n"/>
      <c r="R726" s="7" t="n"/>
      <c r="S726" s="7" t="n"/>
      <c r="T726" s="7" t="n"/>
      <c r="U726" s="12">
        <f>IF(A726="","",IF(OR(J726="",L726=""),"建議補聯絡紀錄","") )</f>
        <v/>
      </c>
    </row>
    <row r="727" ht="24" customHeight="1">
      <c r="A727" s="7" t="n"/>
      <c r="B727" s="7" t="n"/>
      <c r="C727" s="12">
        <f>IF($A727="","",IFERROR(INDEX(土地清冊_匯入!$B$6:$B$1005,MATCH($A727,土地清冊_匯入!$A$6:$A$1005,0)),"查無資料"))</f>
        <v/>
      </c>
      <c r="D727" s="12">
        <f>IF($A727="","",IFERROR(INDEX(土地清冊_匯入!$P$6:$P$1005,MATCH($A727,土地清冊_匯入!$A$6:$A$1005,0)),""))</f>
        <v/>
      </c>
      <c r="E727" s="12">
        <f>IF($A727="","",IFERROR(INDEX(土地清冊_匯入!$Q$6:$Q$1005,MATCH($A727,土地清冊_匯入!$A$6:$A$1005,0)),""))</f>
        <v/>
      </c>
      <c r="F727" s="12">
        <f>IF($A727="","",IFERROR(INDEX(土地清冊_匯入!$R$6:$R$1005,MATCH($A727,土地清冊_匯入!$A$6:$A$1005,0)),""))</f>
        <v/>
      </c>
      <c r="G727" s="12">
        <f>IF($A727="","",IFERROR(INDEX(土地清冊_匯入!$S$6:$S$1005,MATCH($A727,土地清冊_匯入!$A$6:$A$1005,0)),""))</f>
        <v/>
      </c>
      <c r="H727" s="12">
        <f>IF($A727="","",IFERROR(INDEX(土地清冊_匯入!$T$6:$T$1005,MATCH($A727,土地清冊_匯入!$A$6:$A$1005,0)),""))</f>
        <v/>
      </c>
      <c r="I727" s="12">
        <f>IF($A727="","",IFERROR(INDEX(土地清冊_匯入!$V$6:$V$1005,MATCH($A727,土地清冊_匯入!$A$6:$A$1005,0)),""))</f>
        <v/>
      </c>
      <c r="J727" s="14" t="n"/>
      <c r="K727" s="7" t="n"/>
      <c r="L727" s="7" t="n"/>
      <c r="M727" s="7" t="n"/>
      <c r="N727" s="7" t="n"/>
      <c r="O727" s="7" t="n"/>
      <c r="P727" s="7" t="n"/>
      <c r="Q727" s="14" t="n"/>
      <c r="R727" s="7" t="n"/>
      <c r="S727" s="7" t="n"/>
      <c r="T727" s="7" t="n"/>
      <c r="U727" s="12">
        <f>IF(A727="","",IF(OR(J727="",L727=""),"建議補聯絡紀錄","") )</f>
        <v/>
      </c>
    </row>
    <row r="728" ht="24" customHeight="1">
      <c r="A728" s="7" t="n"/>
      <c r="B728" s="7" t="n"/>
      <c r="C728" s="12">
        <f>IF($A728="","",IFERROR(INDEX(土地清冊_匯入!$B$6:$B$1005,MATCH($A728,土地清冊_匯入!$A$6:$A$1005,0)),"查無資料"))</f>
        <v/>
      </c>
      <c r="D728" s="12">
        <f>IF($A728="","",IFERROR(INDEX(土地清冊_匯入!$P$6:$P$1005,MATCH($A728,土地清冊_匯入!$A$6:$A$1005,0)),""))</f>
        <v/>
      </c>
      <c r="E728" s="12">
        <f>IF($A728="","",IFERROR(INDEX(土地清冊_匯入!$Q$6:$Q$1005,MATCH($A728,土地清冊_匯入!$A$6:$A$1005,0)),""))</f>
        <v/>
      </c>
      <c r="F728" s="12">
        <f>IF($A728="","",IFERROR(INDEX(土地清冊_匯入!$R$6:$R$1005,MATCH($A728,土地清冊_匯入!$A$6:$A$1005,0)),""))</f>
        <v/>
      </c>
      <c r="G728" s="12">
        <f>IF($A728="","",IFERROR(INDEX(土地清冊_匯入!$S$6:$S$1005,MATCH($A728,土地清冊_匯入!$A$6:$A$1005,0)),""))</f>
        <v/>
      </c>
      <c r="H728" s="12">
        <f>IF($A728="","",IFERROR(INDEX(土地清冊_匯入!$T$6:$T$1005,MATCH($A728,土地清冊_匯入!$A$6:$A$1005,0)),""))</f>
        <v/>
      </c>
      <c r="I728" s="12">
        <f>IF($A728="","",IFERROR(INDEX(土地清冊_匯入!$V$6:$V$1005,MATCH($A728,土地清冊_匯入!$A$6:$A$1005,0)),""))</f>
        <v/>
      </c>
      <c r="J728" s="14" t="n"/>
      <c r="K728" s="7" t="n"/>
      <c r="L728" s="7" t="n"/>
      <c r="M728" s="7" t="n"/>
      <c r="N728" s="7" t="n"/>
      <c r="O728" s="7" t="n"/>
      <c r="P728" s="7" t="n"/>
      <c r="Q728" s="14" t="n"/>
      <c r="R728" s="7" t="n"/>
      <c r="S728" s="7" t="n"/>
      <c r="T728" s="7" t="n"/>
      <c r="U728" s="12">
        <f>IF(A728="","",IF(OR(J728="",L728=""),"建議補聯絡紀錄","") )</f>
        <v/>
      </c>
    </row>
    <row r="729" ht="24" customHeight="1">
      <c r="A729" s="7" t="n"/>
      <c r="B729" s="7" t="n"/>
      <c r="C729" s="12">
        <f>IF($A729="","",IFERROR(INDEX(土地清冊_匯入!$B$6:$B$1005,MATCH($A729,土地清冊_匯入!$A$6:$A$1005,0)),"查無資料"))</f>
        <v/>
      </c>
      <c r="D729" s="12">
        <f>IF($A729="","",IFERROR(INDEX(土地清冊_匯入!$P$6:$P$1005,MATCH($A729,土地清冊_匯入!$A$6:$A$1005,0)),""))</f>
        <v/>
      </c>
      <c r="E729" s="12">
        <f>IF($A729="","",IFERROR(INDEX(土地清冊_匯入!$Q$6:$Q$1005,MATCH($A729,土地清冊_匯入!$A$6:$A$1005,0)),""))</f>
        <v/>
      </c>
      <c r="F729" s="12">
        <f>IF($A729="","",IFERROR(INDEX(土地清冊_匯入!$R$6:$R$1005,MATCH($A729,土地清冊_匯入!$A$6:$A$1005,0)),""))</f>
        <v/>
      </c>
      <c r="G729" s="12">
        <f>IF($A729="","",IFERROR(INDEX(土地清冊_匯入!$S$6:$S$1005,MATCH($A729,土地清冊_匯入!$A$6:$A$1005,0)),""))</f>
        <v/>
      </c>
      <c r="H729" s="12">
        <f>IF($A729="","",IFERROR(INDEX(土地清冊_匯入!$T$6:$T$1005,MATCH($A729,土地清冊_匯入!$A$6:$A$1005,0)),""))</f>
        <v/>
      </c>
      <c r="I729" s="12">
        <f>IF($A729="","",IFERROR(INDEX(土地清冊_匯入!$V$6:$V$1005,MATCH($A729,土地清冊_匯入!$A$6:$A$1005,0)),""))</f>
        <v/>
      </c>
      <c r="J729" s="14" t="n"/>
      <c r="K729" s="7" t="n"/>
      <c r="L729" s="7" t="n"/>
      <c r="M729" s="7" t="n"/>
      <c r="N729" s="7" t="n"/>
      <c r="O729" s="7" t="n"/>
      <c r="P729" s="7" t="n"/>
      <c r="Q729" s="14" t="n"/>
      <c r="R729" s="7" t="n"/>
      <c r="S729" s="7" t="n"/>
      <c r="T729" s="7" t="n"/>
      <c r="U729" s="12">
        <f>IF(A729="","",IF(OR(J729="",L729=""),"建議補聯絡紀錄","") )</f>
        <v/>
      </c>
    </row>
    <row r="730" ht="24" customHeight="1">
      <c r="A730" s="7" t="n"/>
      <c r="B730" s="7" t="n"/>
      <c r="C730" s="12">
        <f>IF($A730="","",IFERROR(INDEX(土地清冊_匯入!$B$6:$B$1005,MATCH($A730,土地清冊_匯入!$A$6:$A$1005,0)),"查無資料"))</f>
        <v/>
      </c>
      <c r="D730" s="12">
        <f>IF($A730="","",IFERROR(INDEX(土地清冊_匯入!$P$6:$P$1005,MATCH($A730,土地清冊_匯入!$A$6:$A$1005,0)),""))</f>
        <v/>
      </c>
      <c r="E730" s="12">
        <f>IF($A730="","",IFERROR(INDEX(土地清冊_匯入!$Q$6:$Q$1005,MATCH($A730,土地清冊_匯入!$A$6:$A$1005,0)),""))</f>
        <v/>
      </c>
      <c r="F730" s="12">
        <f>IF($A730="","",IFERROR(INDEX(土地清冊_匯入!$R$6:$R$1005,MATCH($A730,土地清冊_匯入!$A$6:$A$1005,0)),""))</f>
        <v/>
      </c>
      <c r="G730" s="12">
        <f>IF($A730="","",IFERROR(INDEX(土地清冊_匯入!$S$6:$S$1005,MATCH($A730,土地清冊_匯入!$A$6:$A$1005,0)),""))</f>
        <v/>
      </c>
      <c r="H730" s="12">
        <f>IF($A730="","",IFERROR(INDEX(土地清冊_匯入!$T$6:$T$1005,MATCH($A730,土地清冊_匯入!$A$6:$A$1005,0)),""))</f>
        <v/>
      </c>
      <c r="I730" s="12">
        <f>IF($A730="","",IFERROR(INDEX(土地清冊_匯入!$V$6:$V$1005,MATCH($A730,土地清冊_匯入!$A$6:$A$1005,0)),""))</f>
        <v/>
      </c>
      <c r="J730" s="14" t="n"/>
      <c r="K730" s="7" t="n"/>
      <c r="L730" s="7" t="n"/>
      <c r="M730" s="7" t="n"/>
      <c r="N730" s="7" t="n"/>
      <c r="O730" s="7" t="n"/>
      <c r="P730" s="7" t="n"/>
      <c r="Q730" s="14" t="n"/>
      <c r="R730" s="7" t="n"/>
      <c r="S730" s="7" t="n"/>
      <c r="T730" s="7" t="n"/>
      <c r="U730" s="12">
        <f>IF(A730="","",IF(OR(J730="",L730=""),"建議補聯絡紀錄","") )</f>
        <v/>
      </c>
    </row>
    <row r="731" ht="24" customHeight="1">
      <c r="A731" s="7" t="n"/>
      <c r="B731" s="7" t="n"/>
      <c r="C731" s="12">
        <f>IF($A731="","",IFERROR(INDEX(土地清冊_匯入!$B$6:$B$1005,MATCH($A731,土地清冊_匯入!$A$6:$A$1005,0)),"查無資料"))</f>
        <v/>
      </c>
      <c r="D731" s="12">
        <f>IF($A731="","",IFERROR(INDEX(土地清冊_匯入!$P$6:$P$1005,MATCH($A731,土地清冊_匯入!$A$6:$A$1005,0)),""))</f>
        <v/>
      </c>
      <c r="E731" s="12">
        <f>IF($A731="","",IFERROR(INDEX(土地清冊_匯入!$Q$6:$Q$1005,MATCH($A731,土地清冊_匯入!$A$6:$A$1005,0)),""))</f>
        <v/>
      </c>
      <c r="F731" s="12">
        <f>IF($A731="","",IFERROR(INDEX(土地清冊_匯入!$R$6:$R$1005,MATCH($A731,土地清冊_匯入!$A$6:$A$1005,0)),""))</f>
        <v/>
      </c>
      <c r="G731" s="12">
        <f>IF($A731="","",IFERROR(INDEX(土地清冊_匯入!$S$6:$S$1005,MATCH($A731,土地清冊_匯入!$A$6:$A$1005,0)),""))</f>
        <v/>
      </c>
      <c r="H731" s="12">
        <f>IF($A731="","",IFERROR(INDEX(土地清冊_匯入!$T$6:$T$1005,MATCH($A731,土地清冊_匯入!$A$6:$A$1005,0)),""))</f>
        <v/>
      </c>
      <c r="I731" s="12">
        <f>IF($A731="","",IFERROR(INDEX(土地清冊_匯入!$V$6:$V$1005,MATCH($A731,土地清冊_匯入!$A$6:$A$1005,0)),""))</f>
        <v/>
      </c>
      <c r="J731" s="14" t="n"/>
      <c r="K731" s="7" t="n"/>
      <c r="L731" s="7" t="n"/>
      <c r="M731" s="7" t="n"/>
      <c r="N731" s="7" t="n"/>
      <c r="O731" s="7" t="n"/>
      <c r="P731" s="7" t="n"/>
      <c r="Q731" s="14" t="n"/>
      <c r="R731" s="7" t="n"/>
      <c r="S731" s="7" t="n"/>
      <c r="T731" s="7" t="n"/>
      <c r="U731" s="12">
        <f>IF(A731="","",IF(OR(J731="",L731=""),"建議補聯絡紀錄","") )</f>
        <v/>
      </c>
    </row>
    <row r="732" ht="24" customHeight="1">
      <c r="A732" s="7" t="n"/>
      <c r="B732" s="7" t="n"/>
      <c r="C732" s="12">
        <f>IF($A732="","",IFERROR(INDEX(土地清冊_匯入!$B$6:$B$1005,MATCH($A732,土地清冊_匯入!$A$6:$A$1005,0)),"查無資料"))</f>
        <v/>
      </c>
      <c r="D732" s="12">
        <f>IF($A732="","",IFERROR(INDEX(土地清冊_匯入!$P$6:$P$1005,MATCH($A732,土地清冊_匯入!$A$6:$A$1005,0)),""))</f>
        <v/>
      </c>
      <c r="E732" s="12">
        <f>IF($A732="","",IFERROR(INDEX(土地清冊_匯入!$Q$6:$Q$1005,MATCH($A732,土地清冊_匯入!$A$6:$A$1005,0)),""))</f>
        <v/>
      </c>
      <c r="F732" s="12">
        <f>IF($A732="","",IFERROR(INDEX(土地清冊_匯入!$R$6:$R$1005,MATCH($A732,土地清冊_匯入!$A$6:$A$1005,0)),""))</f>
        <v/>
      </c>
      <c r="G732" s="12">
        <f>IF($A732="","",IFERROR(INDEX(土地清冊_匯入!$S$6:$S$1005,MATCH($A732,土地清冊_匯入!$A$6:$A$1005,0)),""))</f>
        <v/>
      </c>
      <c r="H732" s="12">
        <f>IF($A732="","",IFERROR(INDEX(土地清冊_匯入!$T$6:$T$1005,MATCH($A732,土地清冊_匯入!$A$6:$A$1005,0)),""))</f>
        <v/>
      </c>
      <c r="I732" s="12">
        <f>IF($A732="","",IFERROR(INDEX(土地清冊_匯入!$V$6:$V$1005,MATCH($A732,土地清冊_匯入!$A$6:$A$1005,0)),""))</f>
        <v/>
      </c>
      <c r="J732" s="14" t="n"/>
      <c r="K732" s="7" t="n"/>
      <c r="L732" s="7" t="n"/>
      <c r="M732" s="7" t="n"/>
      <c r="N732" s="7" t="n"/>
      <c r="O732" s="7" t="n"/>
      <c r="P732" s="7" t="n"/>
      <c r="Q732" s="14" t="n"/>
      <c r="R732" s="7" t="n"/>
      <c r="S732" s="7" t="n"/>
      <c r="T732" s="7" t="n"/>
      <c r="U732" s="12">
        <f>IF(A732="","",IF(OR(J732="",L732=""),"建議補聯絡紀錄","") )</f>
        <v/>
      </c>
    </row>
    <row r="733" ht="24" customHeight="1">
      <c r="A733" s="7" t="n"/>
      <c r="B733" s="7" t="n"/>
      <c r="C733" s="12">
        <f>IF($A733="","",IFERROR(INDEX(土地清冊_匯入!$B$6:$B$1005,MATCH($A733,土地清冊_匯入!$A$6:$A$1005,0)),"查無資料"))</f>
        <v/>
      </c>
      <c r="D733" s="12">
        <f>IF($A733="","",IFERROR(INDEX(土地清冊_匯入!$P$6:$P$1005,MATCH($A733,土地清冊_匯入!$A$6:$A$1005,0)),""))</f>
        <v/>
      </c>
      <c r="E733" s="12">
        <f>IF($A733="","",IFERROR(INDEX(土地清冊_匯入!$Q$6:$Q$1005,MATCH($A733,土地清冊_匯入!$A$6:$A$1005,0)),""))</f>
        <v/>
      </c>
      <c r="F733" s="12">
        <f>IF($A733="","",IFERROR(INDEX(土地清冊_匯入!$R$6:$R$1005,MATCH($A733,土地清冊_匯入!$A$6:$A$1005,0)),""))</f>
        <v/>
      </c>
      <c r="G733" s="12">
        <f>IF($A733="","",IFERROR(INDEX(土地清冊_匯入!$S$6:$S$1005,MATCH($A733,土地清冊_匯入!$A$6:$A$1005,0)),""))</f>
        <v/>
      </c>
      <c r="H733" s="12">
        <f>IF($A733="","",IFERROR(INDEX(土地清冊_匯入!$T$6:$T$1005,MATCH($A733,土地清冊_匯入!$A$6:$A$1005,0)),""))</f>
        <v/>
      </c>
      <c r="I733" s="12">
        <f>IF($A733="","",IFERROR(INDEX(土地清冊_匯入!$V$6:$V$1005,MATCH($A733,土地清冊_匯入!$A$6:$A$1005,0)),""))</f>
        <v/>
      </c>
      <c r="J733" s="14" t="n"/>
      <c r="K733" s="7" t="n"/>
      <c r="L733" s="7" t="n"/>
      <c r="M733" s="7" t="n"/>
      <c r="N733" s="7" t="n"/>
      <c r="O733" s="7" t="n"/>
      <c r="P733" s="7" t="n"/>
      <c r="Q733" s="14" t="n"/>
      <c r="R733" s="7" t="n"/>
      <c r="S733" s="7" t="n"/>
      <c r="T733" s="7" t="n"/>
      <c r="U733" s="12">
        <f>IF(A733="","",IF(OR(J733="",L733=""),"建議補聯絡紀錄","") )</f>
        <v/>
      </c>
    </row>
    <row r="734" ht="24" customHeight="1">
      <c r="A734" s="7" t="n"/>
      <c r="B734" s="7" t="n"/>
      <c r="C734" s="12">
        <f>IF($A734="","",IFERROR(INDEX(土地清冊_匯入!$B$6:$B$1005,MATCH($A734,土地清冊_匯入!$A$6:$A$1005,0)),"查無資料"))</f>
        <v/>
      </c>
      <c r="D734" s="12">
        <f>IF($A734="","",IFERROR(INDEX(土地清冊_匯入!$P$6:$P$1005,MATCH($A734,土地清冊_匯入!$A$6:$A$1005,0)),""))</f>
        <v/>
      </c>
      <c r="E734" s="12">
        <f>IF($A734="","",IFERROR(INDEX(土地清冊_匯入!$Q$6:$Q$1005,MATCH($A734,土地清冊_匯入!$A$6:$A$1005,0)),""))</f>
        <v/>
      </c>
      <c r="F734" s="12">
        <f>IF($A734="","",IFERROR(INDEX(土地清冊_匯入!$R$6:$R$1005,MATCH($A734,土地清冊_匯入!$A$6:$A$1005,0)),""))</f>
        <v/>
      </c>
      <c r="G734" s="12">
        <f>IF($A734="","",IFERROR(INDEX(土地清冊_匯入!$S$6:$S$1005,MATCH($A734,土地清冊_匯入!$A$6:$A$1005,0)),""))</f>
        <v/>
      </c>
      <c r="H734" s="12">
        <f>IF($A734="","",IFERROR(INDEX(土地清冊_匯入!$T$6:$T$1005,MATCH($A734,土地清冊_匯入!$A$6:$A$1005,0)),""))</f>
        <v/>
      </c>
      <c r="I734" s="12">
        <f>IF($A734="","",IFERROR(INDEX(土地清冊_匯入!$V$6:$V$1005,MATCH($A734,土地清冊_匯入!$A$6:$A$1005,0)),""))</f>
        <v/>
      </c>
      <c r="J734" s="14" t="n"/>
      <c r="K734" s="7" t="n"/>
      <c r="L734" s="7" t="n"/>
      <c r="M734" s="7" t="n"/>
      <c r="N734" s="7" t="n"/>
      <c r="O734" s="7" t="n"/>
      <c r="P734" s="7" t="n"/>
      <c r="Q734" s="14" t="n"/>
      <c r="R734" s="7" t="n"/>
      <c r="S734" s="7" t="n"/>
      <c r="T734" s="7" t="n"/>
      <c r="U734" s="12">
        <f>IF(A734="","",IF(OR(J734="",L734=""),"建議補聯絡紀錄","") )</f>
        <v/>
      </c>
    </row>
    <row r="735" ht="24" customHeight="1">
      <c r="A735" s="7" t="n"/>
      <c r="B735" s="7" t="n"/>
      <c r="C735" s="12">
        <f>IF($A735="","",IFERROR(INDEX(土地清冊_匯入!$B$6:$B$1005,MATCH($A735,土地清冊_匯入!$A$6:$A$1005,0)),"查無資料"))</f>
        <v/>
      </c>
      <c r="D735" s="12">
        <f>IF($A735="","",IFERROR(INDEX(土地清冊_匯入!$P$6:$P$1005,MATCH($A735,土地清冊_匯入!$A$6:$A$1005,0)),""))</f>
        <v/>
      </c>
      <c r="E735" s="12">
        <f>IF($A735="","",IFERROR(INDEX(土地清冊_匯入!$Q$6:$Q$1005,MATCH($A735,土地清冊_匯入!$A$6:$A$1005,0)),""))</f>
        <v/>
      </c>
      <c r="F735" s="12">
        <f>IF($A735="","",IFERROR(INDEX(土地清冊_匯入!$R$6:$R$1005,MATCH($A735,土地清冊_匯入!$A$6:$A$1005,0)),""))</f>
        <v/>
      </c>
      <c r="G735" s="12">
        <f>IF($A735="","",IFERROR(INDEX(土地清冊_匯入!$S$6:$S$1005,MATCH($A735,土地清冊_匯入!$A$6:$A$1005,0)),""))</f>
        <v/>
      </c>
      <c r="H735" s="12">
        <f>IF($A735="","",IFERROR(INDEX(土地清冊_匯入!$T$6:$T$1005,MATCH($A735,土地清冊_匯入!$A$6:$A$1005,0)),""))</f>
        <v/>
      </c>
      <c r="I735" s="12">
        <f>IF($A735="","",IFERROR(INDEX(土地清冊_匯入!$V$6:$V$1005,MATCH($A735,土地清冊_匯入!$A$6:$A$1005,0)),""))</f>
        <v/>
      </c>
      <c r="J735" s="14" t="n"/>
      <c r="K735" s="7" t="n"/>
      <c r="L735" s="7" t="n"/>
      <c r="M735" s="7" t="n"/>
      <c r="N735" s="7" t="n"/>
      <c r="O735" s="7" t="n"/>
      <c r="P735" s="7" t="n"/>
      <c r="Q735" s="14" t="n"/>
      <c r="R735" s="7" t="n"/>
      <c r="S735" s="7" t="n"/>
      <c r="T735" s="7" t="n"/>
      <c r="U735" s="12">
        <f>IF(A735="","",IF(OR(J735="",L735=""),"建議補聯絡紀錄","") )</f>
        <v/>
      </c>
    </row>
    <row r="736" ht="24" customHeight="1">
      <c r="A736" s="7" t="n"/>
      <c r="B736" s="7" t="n"/>
      <c r="C736" s="12">
        <f>IF($A736="","",IFERROR(INDEX(土地清冊_匯入!$B$6:$B$1005,MATCH($A736,土地清冊_匯入!$A$6:$A$1005,0)),"查無資料"))</f>
        <v/>
      </c>
      <c r="D736" s="12">
        <f>IF($A736="","",IFERROR(INDEX(土地清冊_匯入!$P$6:$P$1005,MATCH($A736,土地清冊_匯入!$A$6:$A$1005,0)),""))</f>
        <v/>
      </c>
      <c r="E736" s="12">
        <f>IF($A736="","",IFERROR(INDEX(土地清冊_匯入!$Q$6:$Q$1005,MATCH($A736,土地清冊_匯入!$A$6:$A$1005,0)),""))</f>
        <v/>
      </c>
      <c r="F736" s="12">
        <f>IF($A736="","",IFERROR(INDEX(土地清冊_匯入!$R$6:$R$1005,MATCH($A736,土地清冊_匯入!$A$6:$A$1005,0)),""))</f>
        <v/>
      </c>
      <c r="G736" s="12">
        <f>IF($A736="","",IFERROR(INDEX(土地清冊_匯入!$S$6:$S$1005,MATCH($A736,土地清冊_匯入!$A$6:$A$1005,0)),""))</f>
        <v/>
      </c>
      <c r="H736" s="12">
        <f>IF($A736="","",IFERROR(INDEX(土地清冊_匯入!$T$6:$T$1005,MATCH($A736,土地清冊_匯入!$A$6:$A$1005,0)),""))</f>
        <v/>
      </c>
      <c r="I736" s="12">
        <f>IF($A736="","",IFERROR(INDEX(土地清冊_匯入!$V$6:$V$1005,MATCH($A736,土地清冊_匯入!$A$6:$A$1005,0)),""))</f>
        <v/>
      </c>
      <c r="J736" s="14" t="n"/>
      <c r="K736" s="7" t="n"/>
      <c r="L736" s="7" t="n"/>
      <c r="M736" s="7" t="n"/>
      <c r="N736" s="7" t="n"/>
      <c r="O736" s="7" t="n"/>
      <c r="P736" s="7" t="n"/>
      <c r="Q736" s="14" t="n"/>
      <c r="R736" s="7" t="n"/>
      <c r="S736" s="7" t="n"/>
      <c r="T736" s="7" t="n"/>
      <c r="U736" s="12">
        <f>IF(A736="","",IF(OR(J736="",L736=""),"建議補聯絡紀錄","") )</f>
        <v/>
      </c>
    </row>
    <row r="737" ht="24" customHeight="1">
      <c r="A737" s="7" t="n"/>
      <c r="B737" s="7" t="n"/>
      <c r="C737" s="12">
        <f>IF($A737="","",IFERROR(INDEX(土地清冊_匯入!$B$6:$B$1005,MATCH($A737,土地清冊_匯入!$A$6:$A$1005,0)),"查無資料"))</f>
        <v/>
      </c>
      <c r="D737" s="12">
        <f>IF($A737="","",IFERROR(INDEX(土地清冊_匯入!$P$6:$P$1005,MATCH($A737,土地清冊_匯入!$A$6:$A$1005,0)),""))</f>
        <v/>
      </c>
      <c r="E737" s="12">
        <f>IF($A737="","",IFERROR(INDEX(土地清冊_匯入!$Q$6:$Q$1005,MATCH($A737,土地清冊_匯入!$A$6:$A$1005,0)),""))</f>
        <v/>
      </c>
      <c r="F737" s="12">
        <f>IF($A737="","",IFERROR(INDEX(土地清冊_匯入!$R$6:$R$1005,MATCH($A737,土地清冊_匯入!$A$6:$A$1005,0)),""))</f>
        <v/>
      </c>
      <c r="G737" s="12">
        <f>IF($A737="","",IFERROR(INDEX(土地清冊_匯入!$S$6:$S$1005,MATCH($A737,土地清冊_匯入!$A$6:$A$1005,0)),""))</f>
        <v/>
      </c>
      <c r="H737" s="12">
        <f>IF($A737="","",IFERROR(INDEX(土地清冊_匯入!$T$6:$T$1005,MATCH($A737,土地清冊_匯入!$A$6:$A$1005,0)),""))</f>
        <v/>
      </c>
      <c r="I737" s="12">
        <f>IF($A737="","",IFERROR(INDEX(土地清冊_匯入!$V$6:$V$1005,MATCH($A737,土地清冊_匯入!$A$6:$A$1005,0)),""))</f>
        <v/>
      </c>
      <c r="J737" s="14" t="n"/>
      <c r="K737" s="7" t="n"/>
      <c r="L737" s="7" t="n"/>
      <c r="M737" s="7" t="n"/>
      <c r="N737" s="7" t="n"/>
      <c r="O737" s="7" t="n"/>
      <c r="P737" s="7" t="n"/>
      <c r="Q737" s="14" t="n"/>
      <c r="R737" s="7" t="n"/>
      <c r="S737" s="7" t="n"/>
      <c r="T737" s="7" t="n"/>
      <c r="U737" s="12">
        <f>IF(A737="","",IF(OR(J737="",L737=""),"建議補聯絡紀錄","") )</f>
        <v/>
      </c>
    </row>
    <row r="738" ht="24" customHeight="1">
      <c r="A738" s="7" t="n"/>
      <c r="B738" s="7" t="n"/>
      <c r="C738" s="12">
        <f>IF($A738="","",IFERROR(INDEX(土地清冊_匯入!$B$6:$B$1005,MATCH($A738,土地清冊_匯入!$A$6:$A$1005,0)),"查無資料"))</f>
        <v/>
      </c>
      <c r="D738" s="12">
        <f>IF($A738="","",IFERROR(INDEX(土地清冊_匯入!$P$6:$P$1005,MATCH($A738,土地清冊_匯入!$A$6:$A$1005,0)),""))</f>
        <v/>
      </c>
      <c r="E738" s="12">
        <f>IF($A738="","",IFERROR(INDEX(土地清冊_匯入!$Q$6:$Q$1005,MATCH($A738,土地清冊_匯入!$A$6:$A$1005,0)),""))</f>
        <v/>
      </c>
      <c r="F738" s="12">
        <f>IF($A738="","",IFERROR(INDEX(土地清冊_匯入!$R$6:$R$1005,MATCH($A738,土地清冊_匯入!$A$6:$A$1005,0)),""))</f>
        <v/>
      </c>
      <c r="G738" s="12">
        <f>IF($A738="","",IFERROR(INDEX(土地清冊_匯入!$S$6:$S$1005,MATCH($A738,土地清冊_匯入!$A$6:$A$1005,0)),""))</f>
        <v/>
      </c>
      <c r="H738" s="12">
        <f>IF($A738="","",IFERROR(INDEX(土地清冊_匯入!$T$6:$T$1005,MATCH($A738,土地清冊_匯入!$A$6:$A$1005,0)),""))</f>
        <v/>
      </c>
      <c r="I738" s="12">
        <f>IF($A738="","",IFERROR(INDEX(土地清冊_匯入!$V$6:$V$1005,MATCH($A738,土地清冊_匯入!$A$6:$A$1005,0)),""))</f>
        <v/>
      </c>
      <c r="J738" s="14" t="n"/>
      <c r="K738" s="7" t="n"/>
      <c r="L738" s="7" t="n"/>
      <c r="M738" s="7" t="n"/>
      <c r="N738" s="7" t="n"/>
      <c r="O738" s="7" t="n"/>
      <c r="P738" s="7" t="n"/>
      <c r="Q738" s="14" t="n"/>
      <c r="R738" s="7" t="n"/>
      <c r="S738" s="7" t="n"/>
      <c r="T738" s="7" t="n"/>
      <c r="U738" s="12">
        <f>IF(A738="","",IF(OR(J738="",L738=""),"建議補聯絡紀錄","") )</f>
        <v/>
      </c>
    </row>
    <row r="739" ht="24" customHeight="1">
      <c r="A739" s="7" t="n"/>
      <c r="B739" s="7" t="n"/>
      <c r="C739" s="12">
        <f>IF($A739="","",IFERROR(INDEX(土地清冊_匯入!$B$6:$B$1005,MATCH($A739,土地清冊_匯入!$A$6:$A$1005,0)),"查無資料"))</f>
        <v/>
      </c>
      <c r="D739" s="12">
        <f>IF($A739="","",IFERROR(INDEX(土地清冊_匯入!$P$6:$P$1005,MATCH($A739,土地清冊_匯入!$A$6:$A$1005,0)),""))</f>
        <v/>
      </c>
      <c r="E739" s="12">
        <f>IF($A739="","",IFERROR(INDEX(土地清冊_匯入!$Q$6:$Q$1005,MATCH($A739,土地清冊_匯入!$A$6:$A$1005,0)),""))</f>
        <v/>
      </c>
      <c r="F739" s="12">
        <f>IF($A739="","",IFERROR(INDEX(土地清冊_匯入!$R$6:$R$1005,MATCH($A739,土地清冊_匯入!$A$6:$A$1005,0)),""))</f>
        <v/>
      </c>
      <c r="G739" s="12">
        <f>IF($A739="","",IFERROR(INDEX(土地清冊_匯入!$S$6:$S$1005,MATCH($A739,土地清冊_匯入!$A$6:$A$1005,0)),""))</f>
        <v/>
      </c>
      <c r="H739" s="12">
        <f>IF($A739="","",IFERROR(INDEX(土地清冊_匯入!$T$6:$T$1005,MATCH($A739,土地清冊_匯入!$A$6:$A$1005,0)),""))</f>
        <v/>
      </c>
      <c r="I739" s="12">
        <f>IF($A739="","",IFERROR(INDEX(土地清冊_匯入!$V$6:$V$1005,MATCH($A739,土地清冊_匯入!$A$6:$A$1005,0)),""))</f>
        <v/>
      </c>
      <c r="J739" s="14" t="n"/>
      <c r="K739" s="7" t="n"/>
      <c r="L739" s="7" t="n"/>
      <c r="M739" s="7" t="n"/>
      <c r="N739" s="7" t="n"/>
      <c r="O739" s="7" t="n"/>
      <c r="P739" s="7" t="n"/>
      <c r="Q739" s="14" t="n"/>
      <c r="R739" s="7" t="n"/>
      <c r="S739" s="7" t="n"/>
      <c r="T739" s="7" t="n"/>
      <c r="U739" s="12">
        <f>IF(A739="","",IF(OR(J739="",L739=""),"建議補聯絡紀錄","") )</f>
        <v/>
      </c>
    </row>
    <row r="740" ht="24" customHeight="1">
      <c r="A740" s="7" t="n"/>
      <c r="B740" s="7" t="n"/>
      <c r="C740" s="12">
        <f>IF($A740="","",IFERROR(INDEX(土地清冊_匯入!$B$6:$B$1005,MATCH($A740,土地清冊_匯入!$A$6:$A$1005,0)),"查無資料"))</f>
        <v/>
      </c>
      <c r="D740" s="12">
        <f>IF($A740="","",IFERROR(INDEX(土地清冊_匯入!$P$6:$P$1005,MATCH($A740,土地清冊_匯入!$A$6:$A$1005,0)),""))</f>
        <v/>
      </c>
      <c r="E740" s="12">
        <f>IF($A740="","",IFERROR(INDEX(土地清冊_匯入!$Q$6:$Q$1005,MATCH($A740,土地清冊_匯入!$A$6:$A$1005,0)),""))</f>
        <v/>
      </c>
      <c r="F740" s="12">
        <f>IF($A740="","",IFERROR(INDEX(土地清冊_匯入!$R$6:$R$1005,MATCH($A740,土地清冊_匯入!$A$6:$A$1005,0)),""))</f>
        <v/>
      </c>
      <c r="G740" s="12">
        <f>IF($A740="","",IFERROR(INDEX(土地清冊_匯入!$S$6:$S$1005,MATCH($A740,土地清冊_匯入!$A$6:$A$1005,0)),""))</f>
        <v/>
      </c>
      <c r="H740" s="12">
        <f>IF($A740="","",IFERROR(INDEX(土地清冊_匯入!$T$6:$T$1005,MATCH($A740,土地清冊_匯入!$A$6:$A$1005,0)),""))</f>
        <v/>
      </c>
      <c r="I740" s="12">
        <f>IF($A740="","",IFERROR(INDEX(土地清冊_匯入!$V$6:$V$1005,MATCH($A740,土地清冊_匯入!$A$6:$A$1005,0)),""))</f>
        <v/>
      </c>
      <c r="J740" s="14" t="n"/>
      <c r="K740" s="7" t="n"/>
      <c r="L740" s="7" t="n"/>
      <c r="M740" s="7" t="n"/>
      <c r="N740" s="7" t="n"/>
      <c r="O740" s="7" t="n"/>
      <c r="P740" s="7" t="n"/>
      <c r="Q740" s="14" t="n"/>
      <c r="R740" s="7" t="n"/>
      <c r="S740" s="7" t="n"/>
      <c r="T740" s="7" t="n"/>
      <c r="U740" s="12">
        <f>IF(A740="","",IF(OR(J740="",L740=""),"建議補聯絡紀錄","") )</f>
        <v/>
      </c>
    </row>
    <row r="741" ht="24" customHeight="1">
      <c r="A741" s="7" t="n"/>
      <c r="B741" s="7" t="n"/>
      <c r="C741" s="12">
        <f>IF($A741="","",IFERROR(INDEX(土地清冊_匯入!$B$6:$B$1005,MATCH($A741,土地清冊_匯入!$A$6:$A$1005,0)),"查無資料"))</f>
        <v/>
      </c>
      <c r="D741" s="12">
        <f>IF($A741="","",IFERROR(INDEX(土地清冊_匯入!$P$6:$P$1005,MATCH($A741,土地清冊_匯入!$A$6:$A$1005,0)),""))</f>
        <v/>
      </c>
      <c r="E741" s="12">
        <f>IF($A741="","",IFERROR(INDEX(土地清冊_匯入!$Q$6:$Q$1005,MATCH($A741,土地清冊_匯入!$A$6:$A$1005,0)),""))</f>
        <v/>
      </c>
      <c r="F741" s="12">
        <f>IF($A741="","",IFERROR(INDEX(土地清冊_匯入!$R$6:$R$1005,MATCH($A741,土地清冊_匯入!$A$6:$A$1005,0)),""))</f>
        <v/>
      </c>
      <c r="G741" s="12">
        <f>IF($A741="","",IFERROR(INDEX(土地清冊_匯入!$S$6:$S$1005,MATCH($A741,土地清冊_匯入!$A$6:$A$1005,0)),""))</f>
        <v/>
      </c>
      <c r="H741" s="12">
        <f>IF($A741="","",IFERROR(INDEX(土地清冊_匯入!$T$6:$T$1005,MATCH($A741,土地清冊_匯入!$A$6:$A$1005,0)),""))</f>
        <v/>
      </c>
      <c r="I741" s="12">
        <f>IF($A741="","",IFERROR(INDEX(土地清冊_匯入!$V$6:$V$1005,MATCH($A741,土地清冊_匯入!$A$6:$A$1005,0)),""))</f>
        <v/>
      </c>
      <c r="J741" s="14" t="n"/>
      <c r="K741" s="7" t="n"/>
      <c r="L741" s="7" t="n"/>
      <c r="M741" s="7" t="n"/>
      <c r="N741" s="7" t="n"/>
      <c r="O741" s="7" t="n"/>
      <c r="P741" s="7" t="n"/>
      <c r="Q741" s="14" t="n"/>
      <c r="R741" s="7" t="n"/>
      <c r="S741" s="7" t="n"/>
      <c r="T741" s="7" t="n"/>
      <c r="U741" s="12">
        <f>IF(A741="","",IF(OR(J741="",L741=""),"建議補聯絡紀錄","") )</f>
        <v/>
      </c>
    </row>
    <row r="742" ht="24" customHeight="1">
      <c r="A742" s="7" t="n"/>
      <c r="B742" s="7" t="n"/>
      <c r="C742" s="12">
        <f>IF($A742="","",IFERROR(INDEX(土地清冊_匯入!$B$6:$B$1005,MATCH($A742,土地清冊_匯入!$A$6:$A$1005,0)),"查無資料"))</f>
        <v/>
      </c>
      <c r="D742" s="12">
        <f>IF($A742="","",IFERROR(INDEX(土地清冊_匯入!$P$6:$P$1005,MATCH($A742,土地清冊_匯入!$A$6:$A$1005,0)),""))</f>
        <v/>
      </c>
      <c r="E742" s="12">
        <f>IF($A742="","",IFERROR(INDEX(土地清冊_匯入!$Q$6:$Q$1005,MATCH($A742,土地清冊_匯入!$A$6:$A$1005,0)),""))</f>
        <v/>
      </c>
      <c r="F742" s="12">
        <f>IF($A742="","",IFERROR(INDEX(土地清冊_匯入!$R$6:$R$1005,MATCH($A742,土地清冊_匯入!$A$6:$A$1005,0)),""))</f>
        <v/>
      </c>
      <c r="G742" s="12">
        <f>IF($A742="","",IFERROR(INDEX(土地清冊_匯入!$S$6:$S$1005,MATCH($A742,土地清冊_匯入!$A$6:$A$1005,0)),""))</f>
        <v/>
      </c>
      <c r="H742" s="12">
        <f>IF($A742="","",IFERROR(INDEX(土地清冊_匯入!$T$6:$T$1005,MATCH($A742,土地清冊_匯入!$A$6:$A$1005,0)),""))</f>
        <v/>
      </c>
      <c r="I742" s="12">
        <f>IF($A742="","",IFERROR(INDEX(土地清冊_匯入!$V$6:$V$1005,MATCH($A742,土地清冊_匯入!$A$6:$A$1005,0)),""))</f>
        <v/>
      </c>
      <c r="J742" s="14" t="n"/>
      <c r="K742" s="7" t="n"/>
      <c r="L742" s="7" t="n"/>
      <c r="M742" s="7" t="n"/>
      <c r="N742" s="7" t="n"/>
      <c r="O742" s="7" t="n"/>
      <c r="P742" s="7" t="n"/>
      <c r="Q742" s="14" t="n"/>
      <c r="R742" s="7" t="n"/>
      <c r="S742" s="7" t="n"/>
      <c r="T742" s="7" t="n"/>
      <c r="U742" s="12">
        <f>IF(A742="","",IF(OR(J742="",L742=""),"建議補聯絡紀錄","") )</f>
        <v/>
      </c>
    </row>
    <row r="743" ht="24" customHeight="1">
      <c r="A743" s="7" t="n"/>
      <c r="B743" s="7" t="n"/>
      <c r="C743" s="12">
        <f>IF($A743="","",IFERROR(INDEX(土地清冊_匯入!$B$6:$B$1005,MATCH($A743,土地清冊_匯入!$A$6:$A$1005,0)),"查無資料"))</f>
        <v/>
      </c>
      <c r="D743" s="12">
        <f>IF($A743="","",IFERROR(INDEX(土地清冊_匯入!$P$6:$P$1005,MATCH($A743,土地清冊_匯入!$A$6:$A$1005,0)),""))</f>
        <v/>
      </c>
      <c r="E743" s="12">
        <f>IF($A743="","",IFERROR(INDEX(土地清冊_匯入!$Q$6:$Q$1005,MATCH($A743,土地清冊_匯入!$A$6:$A$1005,0)),""))</f>
        <v/>
      </c>
      <c r="F743" s="12">
        <f>IF($A743="","",IFERROR(INDEX(土地清冊_匯入!$R$6:$R$1005,MATCH($A743,土地清冊_匯入!$A$6:$A$1005,0)),""))</f>
        <v/>
      </c>
      <c r="G743" s="12">
        <f>IF($A743="","",IFERROR(INDEX(土地清冊_匯入!$S$6:$S$1005,MATCH($A743,土地清冊_匯入!$A$6:$A$1005,0)),""))</f>
        <v/>
      </c>
      <c r="H743" s="12">
        <f>IF($A743="","",IFERROR(INDEX(土地清冊_匯入!$T$6:$T$1005,MATCH($A743,土地清冊_匯入!$A$6:$A$1005,0)),""))</f>
        <v/>
      </c>
      <c r="I743" s="12">
        <f>IF($A743="","",IFERROR(INDEX(土地清冊_匯入!$V$6:$V$1005,MATCH($A743,土地清冊_匯入!$A$6:$A$1005,0)),""))</f>
        <v/>
      </c>
      <c r="J743" s="14" t="n"/>
      <c r="K743" s="7" t="n"/>
      <c r="L743" s="7" t="n"/>
      <c r="M743" s="7" t="n"/>
      <c r="N743" s="7" t="n"/>
      <c r="O743" s="7" t="n"/>
      <c r="P743" s="7" t="n"/>
      <c r="Q743" s="14" t="n"/>
      <c r="R743" s="7" t="n"/>
      <c r="S743" s="7" t="n"/>
      <c r="T743" s="7" t="n"/>
      <c r="U743" s="12">
        <f>IF(A743="","",IF(OR(J743="",L743=""),"建議補聯絡紀錄","") )</f>
        <v/>
      </c>
    </row>
    <row r="744" ht="24" customHeight="1">
      <c r="A744" s="7" t="n"/>
      <c r="B744" s="7" t="n"/>
      <c r="C744" s="12">
        <f>IF($A744="","",IFERROR(INDEX(土地清冊_匯入!$B$6:$B$1005,MATCH($A744,土地清冊_匯入!$A$6:$A$1005,0)),"查無資料"))</f>
        <v/>
      </c>
      <c r="D744" s="12">
        <f>IF($A744="","",IFERROR(INDEX(土地清冊_匯入!$P$6:$P$1005,MATCH($A744,土地清冊_匯入!$A$6:$A$1005,0)),""))</f>
        <v/>
      </c>
      <c r="E744" s="12">
        <f>IF($A744="","",IFERROR(INDEX(土地清冊_匯入!$Q$6:$Q$1005,MATCH($A744,土地清冊_匯入!$A$6:$A$1005,0)),""))</f>
        <v/>
      </c>
      <c r="F744" s="12">
        <f>IF($A744="","",IFERROR(INDEX(土地清冊_匯入!$R$6:$R$1005,MATCH($A744,土地清冊_匯入!$A$6:$A$1005,0)),""))</f>
        <v/>
      </c>
      <c r="G744" s="12">
        <f>IF($A744="","",IFERROR(INDEX(土地清冊_匯入!$S$6:$S$1005,MATCH($A744,土地清冊_匯入!$A$6:$A$1005,0)),""))</f>
        <v/>
      </c>
      <c r="H744" s="12">
        <f>IF($A744="","",IFERROR(INDEX(土地清冊_匯入!$T$6:$T$1005,MATCH($A744,土地清冊_匯入!$A$6:$A$1005,0)),""))</f>
        <v/>
      </c>
      <c r="I744" s="12">
        <f>IF($A744="","",IFERROR(INDEX(土地清冊_匯入!$V$6:$V$1005,MATCH($A744,土地清冊_匯入!$A$6:$A$1005,0)),""))</f>
        <v/>
      </c>
      <c r="J744" s="14" t="n"/>
      <c r="K744" s="7" t="n"/>
      <c r="L744" s="7" t="n"/>
      <c r="M744" s="7" t="n"/>
      <c r="N744" s="7" t="n"/>
      <c r="O744" s="7" t="n"/>
      <c r="P744" s="7" t="n"/>
      <c r="Q744" s="14" t="n"/>
      <c r="R744" s="7" t="n"/>
      <c r="S744" s="7" t="n"/>
      <c r="T744" s="7" t="n"/>
      <c r="U744" s="12">
        <f>IF(A744="","",IF(OR(J744="",L744=""),"建議補聯絡紀錄","") )</f>
        <v/>
      </c>
    </row>
    <row r="745" ht="24" customHeight="1">
      <c r="A745" s="7" t="n"/>
      <c r="B745" s="7" t="n"/>
      <c r="C745" s="12">
        <f>IF($A745="","",IFERROR(INDEX(土地清冊_匯入!$B$6:$B$1005,MATCH($A745,土地清冊_匯入!$A$6:$A$1005,0)),"查無資料"))</f>
        <v/>
      </c>
      <c r="D745" s="12">
        <f>IF($A745="","",IFERROR(INDEX(土地清冊_匯入!$P$6:$P$1005,MATCH($A745,土地清冊_匯入!$A$6:$A$1005,0)),""))</f>
        <v/>
      </c>
      <c r="E745" s="12">
        <f>IF($A745="","",IFERROR(INDEX(土地清冊_匯入!$Q$6:$Q$1005,MATCH($A745,土地清冊_匯入!$A$6:$A$1005,0)),""))</f>
        <v/>
      </c>
      <c r="F745" s="12">
        <f>IF($A745="","",IFERROR(INDEX(土地清冊_匯入!$R$6:$R$1005,MATCH($A745,土地清冊_匯入!$A$6:$A$1005,0)),""))</f>
        <v/>
      </c>
      <c r="G745" s="12">
        <f>IF($A745="","",IFERROR(INDEX(土地清冊_匯入!$S$6:$S$1005,MATCH($A745,土地清冊_匯入!$A$6:$A$1005,0)),""))</f>
        <v/>
      </c>
      <c r="H745" s="12">
        <f>IF($A745="","",IFERROR(INDEX(土地清冊_匯入!$T$6:$T$1005,MATCH($A745,土地清冊_匯入!$A$6:$A$1005,0)),""))</f>
        <v/>
      </c>
      <c r="I745" s="12">
        <f>IF($A745="","",IFERROR(INDEX(土地清冊_匯入!$V$6:$V$1005,MATCH($A745,土地清冊_匯入!$A$6:$A$1005,0)),""))</f>
        <v/>
      </c>
      <c r="J745" s="14" t="n"/>
      <c r="K745" s="7" t="n"/>
      <c r="L745" s="7" t="n"/>
      <c r="M745" s="7" t="n"/>
      <c r="N745" s="7" t="n"/>
      <c r="O745" s="7" t="n"/>
      <c r="P745" s="7" t="n"/>
      <c r="Q745" s="14" t="n"/>
      <c r="R745" s="7" t="n"/>
      <c r="S745" s="7" t="n"/>
      <c r="T745" s="7" t="n"/>
      <c r="U745" s="12">
        <f>IF(A745="","",IF(OR(J745="",L745=""),"建議補聯絡紀錄","") )</f>
        <v/>
      </c>
    </row>
    <row r="746" ht="24" customHeight="1">
      <c r="A746" s="7" t="n"/>
      <c r="B746" s="7" t="n"/>
      <c r="C746" s="12">
        <f>IF($A746="","",IFERROR(INDEX(土地清冊_匯入!$B$6:$B$1005,MATCH($A746,土地清冊_匯入!$A$6:$A$1005,0)),"查無資料"))</f>
        <v/>
      </c>
      <c r="D746" s="12">
        <f>IF($A746="","",IFERROR(INDEX(土地清冊_匯入!$P$6:$P$1005,MATCH($A746,土地清冊_匯入!$A$6:$A$1005,0)),""))</f>
        <v/>
      </c>
      <c r="E746" s="12">
        <f>IF($A746="","",IFERROR(INDEX(土地清冊_匯入!$Q$6:$Q$1005,MATCH($A746,土地清冊_匯入!$A$6:$A$1005,0)),""))</f>
        <v/>
      </c>
      <c r="F746" s="12">
        <f>IF($A746="","",IFERROR(INDEX(土地清冊_匯入!$R$6:$R$1005,MATCH($A746,土地清冊_匯入!$A$6:$A$1005,0)),""))</f>
        <v/>
      </c>
      <c r="G746" s="12">
        <f>IF($A746="","",IFERROR(INDEX(土地清冊_匯入!$S$6:$S$1005,MATCH($A746,土地清冊_匯入!$A$6:$A$1005,0)),""))</f>
        <v/>
      </c>
      <c r="H746" s="12">
        <f>IF($A746="","",IFERROR(INDEX(土地清冊_匯入!$T$6:$T$1005,MATCH($A746,土地清冊_匯入!$A$6:$A$1005,0)),""))</f>
        <v/>
      </c>
      <c r="I746" s="12">
        <f>IF($A746="","",IFERROR(INDEX(土地清冊_匯入!$V$6:$V$1005,MATCH($A746,土地清冊_匯入!$A$6:$A$1005,0)),""))</f>
        <v/>
      </c>
      <c r="J746" s="14" t="n"/>
      <c r="K746" s="7" t="n"/>
      <c r="L746" s="7" t="n"/>
      <c r="M746" s="7" t="n"/>
      <c r="N746" s="7" t="n"/>
      <c r="O746" s="7" t="n"/>
      <c r="P746" s="7" t="n"/>
      <c r="Q746" s="14" t="n"/>
      <c r="R746" s="7" t="n"/>
      <c r="S746" s="7" t="n"/>
      <c r="T746" s="7" t="n"/>
      <c r="U746" s="12">
        <f>IF(A746="","",IF(OR(J746="",L746=""),"建議補聯絡紀錄","") )</f>
        <v/>
      </c>
    </row>
    <row r="747" ht="24" customHeight="1">
      <c r="A747" s="7" t="n"/>
      <c r="B747" s="7" t="n"/>
      <c r="C747" s="12">
        <f>IF($A747="","",IFERROR(INDEX(土地清冊_匯入!$B$6:$B$1005,MATCH($A747,土地清冊_匯入!$A$6:$A$1005,0)),"查無資料"))</f>
        <v/>
      </c>
      <c r="D747" s="12">
        <f>IF($A747="","",IFERROR(INDEX(土地清冊_匯入!$P$6:$P$1005,MATCH($A747,土地清冊_匯入!$A$6:$A$1005,0)),""))</f>
        <v/>
      </c>
      <c r="E747" s="12">
        <f>IF($A747="","",IFERROR(INDEX(土地清冊_匯入!$Q$6:$Q$1005,MATCH($A747,土地清冊_匯入!$A$6:$A$1005,0)),""))</f>
        <v/>
      </c>
      <c r="F747" s="12">
        <f>IF($A747="","",IFERROR(INDEX(土地清冊_匯入!$R$6:$R$1005,MATCH($A747,土地清冊_匯入!$A$6:$A$1005,0)),""))</f>
        <v/>
      </c>
      <c r="G747" s="12">
        <f>IF($A747="","",IFERROR(INDEX(土地清冊_匯入!$S$6:$S$1005,MATCH($A747,土地清冊_匯入!$A$6:$A$1005,0)),""))</f>
        <v/>
      </c>
      <c r="H747" s="12">
        <f>IF($A747="","",IFERROR(INDEX(土地清冊_匯入!$T$6:$T$1005,MATCH($A747,土地清冊_匯入!$A$6:$A$1005,0)),""))</f>
        <v/>
      </c>
      <c r="I747" s="12">
        <f>IF($A747="","",IFERROR(INDEX(土地清冊_匯入!$V$6:$V$1005,MATCH($A747,土地清冊_匯入!$A$6:$A$1005,0)),""))</f>
        <v/>
      </c>
      <c r="J747" s="14" t="n"/>
      <c r="K747" s="7" t="n"/>
      <c r="L747" s="7" t="n"/>
      <c r="M747" s="7" t="n"/>
      <c r="N747" s="7" t="n"/>
      <c r="O747" s="7" t="n"/>
      <c r="P747" s="7" t="n"/>
      <c r="Q747" s="14" t="n"/>
      <c r="R747" s="7" t="n"/>
      <c r="S747" s="7" t="n"/>
      <c r="T747" s="7" t="n"/>
      <c r="U747" s="12">
        <f>IF(A747="","",IF(OR(J747="",L747=""),"建議補聯絡紀錄","") )</f>
        <v/>
      </c>
    </row>
    <row r="748" ht="24" customHeight="1">
      <c r="A748" s="7" t="n"/>
      <c r="B748" s="7" t="n"/>
      <c r="C748" s="12">
        <f>IF($A748="","",IFERROR(INDEX(土地清冊_匯入!$B$6:$B$1005,MATCH($A748,土地清冊_匯入!$A$6:$A$1005,0)),"查無資料"))</f>
        <v/>
      </c>
      <c r="D748" s="12">
        <f>IF($A748="","",IFERROR(INDEX(土地清冊_匯入!$P$6:$P$1005,MATCH($A748,土地清冊_匯入!$A$6:$A$1005,0)),""))</f>
        <v/>
      </c>
      <c r="E748" s="12">
        <f>IF($A748="","",IFERROR(INDEX(土地清冊_匯入!$Q$6:$Q$1005,MATCH($A748,土地清冊_匯入!$A$6:$A$1005,0)),""))</f>
        <v/>
      </c>
      <c r="F748" s="12">
        <f>IF($A748="","",IFERROR(INDEX(土地清冊_匯入!$R$6:$R$1005,MATCH($A748,土地清冊_匯入!$A$6:$A$1005,0)),""))</f>
        <v/>
      </c>
      <c r="G748" s="12">
        <f>IF($A748="","",IFERROR(INDEX(土地清冊_匯入!$S$6:$S$1005,MATCH($A748,土地清冊_匯入!$A$6:$A$1005,0)),""))</f>
        <v/>
      </c>
      <c r="H748" s="12">
        <f>IF($A748="","",IFERROR(INDEX(土地清冊_匯入!$T$6:$T$1005,MATCH($A748,土地清冊_匯入!$A$6:$A$1005,0)),""))</f>
        <v/>
      </c>
      <c r="I748" s="12">
        <f>IF($A748="","",IFERROR(INDEX(土地清冊_匯入!$V$6:$V$1005,MATCH($A748,土地清冊_匯入!$A$6:$A$1005,0)),""))</f>
        <v/>
      </c>
      <c r="J748" s="14" t="n"/>
      <c r="K748" s="7" t="n"/>
      <c r="L748" s="7" t="n"/>
      <c r="M748" s="7" t="n"/>
      <c r="N748" s="7" t="n"/>
      <c r="O748" s="7" t="n"/>
      <c r="P748" s="7" t="n"/>
      <c r="Q748" s="14" t="n"/>
      <c r="R748" s="7" t="n"/>
      <c r="S748" s="7" t="n"/>
      <c r="T748" s="7" t="n"/>
      <c r="U748" s="12">
        <f>IF(A748="","",IF(OR(J748="",L748=""),"建議補聯絡紀錄","") )</f>
        <v/>
      </c>
    </row>
    <row r="749" ht="24" customHeight="1">
      <c r="A749" s="7" t="n"/>
      <c r="B749" s="7" t="n"/>
      <c r="C749" s="12">
        <f>IF($A749="","",IFERROR(INDEX(土地清冊_匯入!$B$6:$B$1005,MATCH($A749,土地清冊_匯入!$A$6:$A$1005,0)),"查無資料"))</f>
        <v/>
      </c>
      <c r="D749" s="12">
        <f>IF($A749="","",IFERROR(INDEX(土地清冊_匯入!$P$6:$P$1005,MATCH($A749,土地清冊_匯入!$A$6:$A$1005,0)),""))</f>
        <v/>
      </c>
      <c r="E749" s="12">
        <f>IF($A749="","",IFERROR(INDEX(土地清冊_匯入!$Q$6:$Q$1005,MATCH($A749,土地清冊_匯入!$A$6:$A$1005,0)),""))</f>
        <v/>
      </c>
      <c r="F749" s="12">
        <f>IF($A749="","",IFERROR(INDEX(土地清冊_匯入!$R$6:$R$1005,MATCH($A749,土地清冊_匯入!$A$6:$A$1005,0)),""))</f>
        <v/>
      </c>
      <c r="G749" s="12">
        <f>IF($A749="","",IFERROR(INDEX(土地清冊_匯入!$S$6:$S$1005,MATCH($A749,土地清冊_匯入!$A$6:$A$1005,0)),""))</f>
        <v/>
      </c>
      <c r="H749" s="12">
        <f>IF($A749="","",IFERROR(INDEX(土地清冊_匯入!$T$6:$T$1005,MATCH($A749,土地清冊_匯入!$A$6:$A$1005,0)),""))</f>
        <v/>
      </c>
      <c r="I749" s="12">
        <f>IF($A749="","",IFERROR(INDEX(土地清冊_匯入!$V$6:$V$1005,MATCH($A749,土地清冊_匯入!$A$6:$A$1005,0)),""))</f>
        <v/>
      </c>
      <c r="J749" s="14" t="n"/>
      <c r="K749" s="7" t="n"/>
      <c r="L749" s="7" t="n"/>
      <c r="M749" s="7" t="n"/>
      <c r="N749" s="7" t="n"/>
      <c r="O749" s="7" t="n"/>
      <c r="P749" s="7" t="n"/>
      <c r="Q749" s="14" t="n"/>
      <c r="R749" s="7" t="n"/>
      <c r="S749" s="7" t="n"/>
      <c r="T749" s="7" t="n"/>
      <c r="U749" s="12">
        <f>IF(A749="","",IF(OR(J749="",L749=""),"建議補聯絡紀錄","") )</f>
        <v/>
      </c>
    </row>
    <row r="750" ht="24" customHeight="1">
      <c r="A750" s="7" t="n"/>
      <c r="B750" s="7" t="n"/>
      <c r="C750" s="12">
        <f>IF($A750="","",IFERROR(INDEX(土地清冊_匯入!$B$6:$B$1005,MATCH($A750,土地清冊_匯入!$A$6:$A$1005,0)),"查無資料"))</f>
        <v/>
      </c>
      <c r="D750" s="12">
        <f>IF($A750="","",IFERROR(INDEX(土地清冊_匯入!$P$6:$P$1005,MATCH($A750,土地清冊_匯入!$A$6:$A$1005,0)),""))</f>
        <v/>
      </c>
      <c r="E750" s="12">
        <f>IF($A750="","",IFERROR(INDEX(土地清冊_匯入!$Q$6:$Q$1005,MATCH($A750,土地清冊_匯入!$A$6:$A$1005,0)),""))</f>
        <v/>
      </c>
      <c r="F750" s="12">
        <f>IF($A750="","",IFERROR(INDEX(土地清冊_匯入!$R$6:$R$1005,MATCH($A750,土地清冊_匯入!$A$6:$A$1005,0)),""))</f>
        <v/>
      </c>
      <c r="G750" s="12">
        <f>IF($A750="","",IFERROR(INDEX(土地清冊_匯入!$S$6:$S$1005,MATCH($A750,土地清冊_匯入!$A$6:$A$1005,0)),""))</f>
        <v/>
      </c>
      <c r="H750" s="12">
        <f>IF($A750="","",IFERROR(INDEX(土地清冊_匯入!$T$6:$T$1005,MATCH($A750,土地清冊_匯入!$A$6:$A$1005,0)),""))</f>
        <v/>
      </c>
      <c r="I750" s="12">
        <f>IF($A750="","",IFERROR(INDEX(土地清冊_匯入!$V$6:$V$1005,MATCH($A750,土地清冊_匯入!$A$6:$A$1005,0)),""))</f>
        <v/>
      </c>
      <c r="J750" s="14" t="n"/>
      <c r="K750" s="7" t="n"/>
      <c r="L750" s="7" t="n"/>
      <c r="M750" s="7" t="n"/>
      <c r="N750" s="7" t="n"/>
      <c r="O750" s="7" t="n"/>
      <c r="P750" s="7" t="n"/>
      <c r="Q750" s="14" t="n"/>
      <c r="R750" s="7" t="n"/>
      <c r="S750" s="7" t="n"/>
      <c r="T750" s="7" t="n"/>
      <c r="U750" s="12">
        <f>IF(A750="","",IF(OR(J750="",L750=""),"建議補聯絡紀錄","") )</f>
        <v/>
      </c>
    </row>
    <row r="751" ht="24" customHeight="1">
      <c r="A751" s="7" t="n"/>
      <c r="B751" s="7" t="n"/>
      <c r="C751" s="12">
        <f>IF($A751="","",IFERROR(INDEX(土地清冊_匯入!$B$6:$B$1005,MATCH($A751,土地清冊_匯入!$A$6:$A$1005,0)),"查無資料"))</f>
        <v/>
      </c>
      <c r="D751" s="12">
        <f>IF($A751="","",IFERROR(INDEX(土地清冊_匯入!$P$6:$P$1005,MATCH($A751,土地清冊_匯入!$A$6:$A$1005,0)),""))</f>
        <v/>
      </c>
      <c r="E751" s="12">
        <f>IF($A751="","",IFERROR(INDEX(土地清冊_匯入!$Q$6:$Q$1005,MATCH($A751,土地清冊_匯入!$A$6:$A$1005,0)),""))</f>
        <v/>
      </c>
      <c r="F751" s="12">
        <f>IF($A751="","",IFERROR(INDEX(土地清冊_匯入!$R$6:$R$1005,MATCH($A751,土地清冊_匯入!$A$6:$A$1005,0)),""))</f>
        <v/>
      </c>
      <c r="G751" s="12">
        <f>IF($A751="","",IFERROR(INDEX(土地清冊_匯入!$S$6:$S$1005,MATCH($A751,土地清冊_匯入!$A$6:$A$1005,0)),""))</f>
        <v/>
      </c>
      <c r="H751" s="12">
        <f>IF($A751="","",IFERROR(INDEX(土地清冊_匯入!$T$6:$T$1005,MATCH($A751,土地清冊_匯入!$A$6:$A$1005,0)),""))</f>
        <v/>
      </c>
      <c r="I751" s="12">
        <f>IF($A751="","",IFERROR(INDEX(土地清冊_匯入!$V$6:$V$1005,MATCH($A751,土地清冊_匯入!$A$6:$A$1005,0)),""))</f>
        <v/>
      </c>
      <c r="J751" s="14" t="n"/>
      <c r="K751" s="7" t="n"/>
      <c r="L751" s="7" t="n"/>
      <c r="M751" s="7" t="n"/>
      <c r="N751" s="7" t="n"/>
      <c r="O751" s="7" t="n"/>
      <c r="P751" s="7" t="n"/>
      <c r="Q751" s="14" t="n"/>
      <c r="R751" s="7" t="n"/>
      <c r="S751" s="7" t="n"/>
      <c r="T751" s="7" t="n"/>
      <c r="U751" s="12">
        <f>IF(A751="","",IF(OR(J751="",L751=""),"建議補聯絡紀錄","") )</f>
        <v/>
      </c>
    </row>
    <row r="752" ht="24" customHeight="1">
      <c r="A752" s="7" t="n"/>
      <c r="B752" s="7" t="n"/>
      <c r="C752" s="12">
        <f>IF($A752="","",IFERROR(INDEX(土地清冊_匯入!$B$6:$B$1005,MATCH($A752,土地清冊_匯入!$A$6:$A$1005,0)),"查無資料"))</f>
        <v/>
      </c>
      <c r="D752" s="12">
        <f>IF($A752="","",IFERROR(INDEX(土地清冊_匯入!$P$6:$P$1005,MATCH($A752,土地清冊_匯入!$A$6:$A$1005,0)),""))</f>
        <v/>
      </c>
      <c r="E752" s="12">
        <f>IF($A752="","",IFERROR(INDEX(土地清冊_匯入!$Q$6:$Q$1005,MATCH($A752,土地清冊_匯入!$A$6:$A$1005,0)),""))</f>
        <v/>
      </c>
      <c r="F752" s="12">
        <f>IF($A752="","",IFERROR(INDEX(土地清冊_匯入!$R$6:$R$1005,MATCH($A752,土地清冊_匯入!$A$6:$A$1005,0)),""))</f>
        <v/>
      </c>
      <c r="G752" s="12">
        <f>IF($A752="","",IFERROR(INDEX(土地清冊_匯入!$S$6:$S$1005,MATCH($A752,土地清冊_匯入!$A$6:$A$1005,0)),""))</f>
        <v/>
      </c>
      <c r="H752" s="12">
        <f>IF($A752="","",IFERROR(INDEX(土地清冊_匯入!$T$6:$T$1005,MATCH($A752,土地清冊_匯入!$A$6:$A$1005,0)),""))</f>
        <v/>
      </c>
      <c r="I752" s="12">
        <f>IF($A752="","",IFERROR(INDEX(土地清冊_匯入!$V$6:$V$1005,MATCH($A752,土地清冊_匯入!$A$6:$A$1005,0)),""))</f>
        <v/>
      </c>
      <c r="J752" s="14" t="n"/>
      <c r="K752" s="7" t="n"/>
      <c r="L752" s="7" t="n"/>
      <c r="M752" s="7" t="n"/>
      <c r="N752" s="7" t="n"/>
      <c r="O752" s="7" t="n"/>
      <c r="P752" s="7" t="n"/>
      <c r="Q752" s="14" t="n"/>
      <c r="R752" s="7" t="n"/>
      <c r="S752" s="7" t="n"/>
      <c r="T752" s="7" t="n"/>
      <c r="U752" s="12">
        <f>IF(A752="","",IF(OR(J752="",L752=""),"建議補聯絡紀錄","") )</f>
        <v/>
      </c>
    </row>
    <row r="753" ht="24" customHeight="1">
      <c r="A753" s="7" t="n"/>
      <c r="B753" s="7" t="n"/>
      <c r="C753" s="12">
        <f>IF($A753="","",IFERROR(INDEX(土地清冊_匯入!$B$6:$B$1005,MATCH($A753,土地清冊_匯入!$A$6:$A$1005,0)),"查無資料"))</f>
        <v/>
      </c>
      <c r="D753" s="12">
        <f>IF($A753="","",IFERROR(INDEX(土地清冊_匯入!$P$6:$P$1005,MATCH($A753,土地清冊_匯入!$A$6:$A$1005,0)),""))</f>
        <v/>
      </c>
      <c r="E753" s="12">
        <f>IF($A753="","",IFERROR(INDEX(土地清冊_匯入!$Q$6:$Q$1005,MATCH($A753,土地清冊_匯入!$A$6:$A$1005,0)),""))</f>
        <v/>
      </c>
      <c r="F753" s="12">
        <f>IF($A753="","",IFERROR(INDEX(土地清冊_匯入!$R$6:$R$1005,MATCH($A753,土地清冊_匯入!$A$6:$A$1005,0)),""))</f>
        <v/>
      </c>
      <c r="G753" s="12">
        <f>IF($A753="","",IFERROR(INDEX(土地清冊_匯入!$S$6:$S$1005,MATCH($A753,土地清冊_匯入!$A$6:$A$1005,0)),""))</f>
        <v/>
      </c>
      <c r="H753" s="12">
        <f>IF($A753="","",IFERROR(INDEX(土地清冊_匯入!$T$6:$T$1005,MATCH($A753,土地清冊_匯入!$A$6:$A$1005,0)),""))</f>
        <v/>
      </c>
      <c r="I753" s="12">
        <f>IF($A753="","",IFERROR(INDEX(土地清冊_匯入!$V$6:$V$1005,MATCH($A753,土地清冊_匯入!$A$6:$A$1005,0)),""))</f>
        <v/>
      </c>
      <c r="J753" s="14" t="n"/>
      <c r="K753" s="7" t="n"/>
      <c r="L753" s="7" t="n"/>
      <c r="M753" s="7" t="n"/>
      <c r="N753" s="7" t="n"/>
      <c r="O753" s="7" t="n"/>
      <c r="P753" s="7" t="n"/>
      <c r="Q753" s="14" t="n"/>
      <c r="R753" s="7" t="n"/>
      <c r="S753" s="7" t="n"/>
      <c r="T753" s="7" t="n"/>
      <c r="U753" s="12">
        <f>IF(A753="","",IF(OR(J753="",L753=""),"建議補聯絡紀錄","") )</f>
        <v/>
      </c>
    </row>
    <row r="754" ht="24" customHeight="1">
      <c r="A754" s="7" t="n"/>
      <c r="B754" s="7" t="n"/>
      <c r="C754" s="12">
        <f>IF($A754="","",IFERROR(INDEX(土地清冊_匯入!$B$6:$B$1005,MATCH($A754,土地清冊_匯入!$A$6:$A$1005,0)),"查無資料"))</f>
        <v/>
      </c>
      <c r="D754" s="12">
        <f>IF($A754="","",IFERROR(INDEX(土地清冊_匯入!$P$6:$P$1005,MATCH($A754,土地清冊_匯入!$A$6:$A$1005,0)),""))</f>
        <v/>
      </c>
      <c r="E754" s="12">
        <f>IF($A754="","",IFERROR(INDEX(土地清冊_匯入!$Q$6:$Q$1005,MATCH($A754,土地清冊_匯入!$A$6:$A$1005,0)),""))</f>
        <v/>
      </c>
      <c r="F754" s="12">
        <f>IF($A754="","",IFERROR(INDEX(土地清冊_匯入!$R$6:$R$1005,MATCH($A754,土地清冊_匯入!$A$6:$A$1005,0)),""))</f>
        <v/>
      </c>
      <c r="G754" s="12">
        <f>IF($A754="","",IFERROR(INDEX(土地清冊_匯入!$S$6:$S$1005,MATCH($A754,土地清冊_匯入!$A$6:$A$1005,0)),""))</f>
        <v/>
      </c>
      <c r="H754" s="12">
        <f>IF($A754="","",IFERROR(INDEX(土地清冊_匯入!$T$6:$T$1005,MATCH($A754,土地清冊_匯入!$A$6:$A$1005,0)),""))</f>
        <v/>
      </c>
      <c r="I754" s="12">
        <f>IF($A754="","",IFERROR(INDEX(土地清冊_匯入!$V$6:$V$1005,MATCH($A754,土地清冊_匯入!$A$6:$A$1005,0)),""))</f>
        <v/>
      </c>
      <c r="J754" s="14" t="n"/>
      <c r="K754" s="7" t="n"/>
      <c r="L754" s="7" t="n"/>
      <c r="M754" s="7" t="n"/>
      <c r="N754" s="7" t="n"/>
      <c r="O754" s="7" t="n"/>
      <c r="P754" s="7" t="n"/>
      <c r="Q754" s="14" t="n"/>
      <c r="R754" s="7" t="n"/>
      <c r="S754" s="7" t="n"/>
      <c r="T754" s="7" t="n"/>
      <c r="U754" s="12">
        <f>IF(A754="","",IF(OR(J754="",L754=""),"建議補聯絡紀錄","") )</f>
        <v/>
      </c>
    </row>
    <row r="755" ht="24" customHeight="1">
      <c r="A755" s="7" t="n"/>
      <c r="B755" s="7" t="n"/>
      <c r="C755" s="12">
        <f>IF($A755="","",IFERROR(INDEX(土地清冊_匯入!$B$6:$B$1005,MATCH($A755,土地清冊_匯入!$A$6:$A$1005,0)),"查無資料"))</f>
        <v/>
      </c>
      <c r="D755" s="12">
        <f>IF($A755="","",IFERROR(INDEX(土地清冊_匯入!$P$6:$P$1005,MATCH($A755,土地清冊_匯入!$A$6:$A$1005,0)),""))</f>
        <v/>
      </c>
      <c r="E755" s="12">
        <f>IF($A755="","",IFERROR(INDEX(土地清冊_匯入!$Q$6:$Q$1005,MATCH($A755,土地清冊_匯入!$A$6:$A$1005,0)),""))</f>
        <v/>
      </c>
      <c r="F755" s="12">
        <f>IF($A755="","",IFERROR(INDEX(土地清冊_匯入!$R$6:$R$1005,MATCH($A755,土地清冊_匯入!$A$6:$A$1005,0)),""))</f>
        <v/>
      </c>
      <c r="G755" s="12">
        <f>IF($A755="","",IFERROR(INDEX(土地清冊_匯入!$S$6:$S$1005,MATCH($A755,土地清冊_匯入!$A$6:$A$1005,0)),""))</f>
        <v/>
      </c>
      <c r="H755" s="12">
        <f>IF($A755="","",IFERROR(INDEX(土地清冊_匯入!$T$6:$T$1005,MATCH($A755,土地清冊_匯入!$A$6:$A$1005,0)),""))</f>
        <v/>
      </c>
      <c r="I755" s="12">
        <f>IF($A755="","",IFERROR(INDEX(土地清冊_匯入!$V$6:$V$1005,MATCH($A755,土地清冊_匯入!$A$6:$A$1005,0)),""))</f>
        <v/>
      </c>
      <c r="J755" s="14" t="n"/>
      <c r="K755" s="7" t="n"/>
      <c r="L755" s="7" t="n"/>
      <c r="M755" s="7" t="n"/>
      <c r="N755" s="7" t="n"/>
      <c r="O755" s="7" t="n"/>
      <c r="P755" s="7" t="n"/>
      <c r="Q755" s="14" t="n"/>
      <c r="R755" s="7" t="n"/>
      <c r="S755" s="7" t="n"/>
      <c r="T755" s="7" t="n"/>
      <c r="U755" s="12">
        <f>IF(A755="","",IF(OR(J755="",L755=""),"建議補聯絡紀錄","") )</f>
        <v/>
      </c>
    </row>
    <row r="756" ht="24" customHeight="1">
      <c r="A756" s="7" t="n"/>
      <c r="B756" s="7" t="n"/>
      <c r="C756" s="12">
        <f>IF($A756="","",IFERROR(INDEX(土地清冊_匯入!$B$6:$B$1005,MATCH($A756,土地清冊_匯入!$A$6:$A$1005,0)),"查無資料"))</f>
        <v/>
      </c>
      <c r="D756" s="12">
        <f>IF($A756="","",IFERROR(INDEX(土地清冊_匯入!$P$6:$P$1005,MATCH($A756,土地清冊_匯入!$A$6:$A$1005,0)),""))</f>
        <v/>
      </c>
      <c r="E756" s="12">
        <f>IF($A756="","",IFERROR(INDEX(土地清冊_匯入!$Q$6:$Q$1005,MATCH($A756,土地清冊_匯入!$A$6:$A$1005,0)),""))</f>
        <v/>
      </c>
      <c r="F756" s="12">
        <f>IF($A756="","",IFERROR(INDEX(土地清冊_匯入!$R$6:$R$1005,MATCH($A756,土地清冊_匯入!$A$6:$A$1005,0)),""))</f>
        <v/>
      </c>
      <c r="G756" s="12">
        <f>IF($A756="","",IFERROR(INDEX(土地清冊_匯入!$S$6:$S$1005,MATCH($A756,土地清冊_匯入!$A$6:$A$1005,0)),""))</f>
        <v/>
      </c>
      <c r="H756" s="12">
        <f>IF($A756="","",IFERROR(INDEX(土地清冊_匯入!$T$6:$T$1005,MATCH($A756,土地清冊_匯入!$A$6:$A$1005,0)),""))</f>
        <v/>
      </c>
      <c r="I756" s="12">
        <f>IF($A756="","",IFERROR(INDEX(土地清冊_匯入!$V$6:$V$1005,MATCH($A756,土地清冊_匯入!$A$6:$A$1005,0)),""))</f>
        <v/>
      </c>
      <c r="J756" s="14" t="n"/>
      <c r="K756" s="7" t="n"/>
      <c r="L756" s="7" t="n"/>
      <c r="M756" s="7" t="n"/>
      <c r="N756" s="7" t="n"/>
      <c r="O756" s="7" t="n"/>
      <c r="P756" s="7" t="n"/>
      <c r="Q756" s="14" t="n"/>
      <c r="R756" s="7" t="n"/>
      <c r="S756" s="7" t="n"/>
      <c r="T756" s="7" t="n"/>
      <c r="U756" s="12">
        <f>IF(A756="","",IF(OR(J756="",L756=""),"建議補聯絡紀錄","") )</f>
        <v/>
      </c>
    </row>
    <row r="757" ht="24" customHeight="1">
      <c r="A757" s="7" t="n"/>
      <c r="B757" s="7" t="n"/>
      <c r="C757" s="12">
        <f>IF($A757="","",IFERROR(INDEX(土地清冊_匯入!$B$6:$B$1005,MATCH($A757,土地清冊_匯入!$A$6:$A$1005,0)),"查無資料"))</f>
        <v/>
      </c>
      <c r="D757" s="12">
        <f>IF($A757="","",IFERROR(INDEX(土地清冊_匯入!$P$6:$P$1005,MATCH($A757,土地清冊_匯入!$A$6:$A$1005,0)),""))</f>
        <v/>
      </c>
      <c r="E757" s="12">
        <f>IF($A757="","",IFERROR(INDEX(土地清冊_匯入!$Q$6:$Q$1005,MATCH($A757,土地清冊_匯入!$A$6:$A$1005,0)),""))</f>
        <v/>
      </c>
      <c r="F757" s="12">
        <f>IF($A757="","",IFERROR(INDEX(土地清冊_匯入!$R$6:$R$1005,MATCH($A757,土地清冊_匯入!$A$6:$A$1005,0)),""))</f>
        <v/>
      </c>
      <c r="G757" s="12">
        <f>IF($A757="","",IFERROR(INDEX(土地清冊_匯入!$S$6:$S$1005,MATCH($A757,土地清冊_匯入!$A$6:$A$1005,0)),""))</f>
        <v/>
      </c>
      <c r="H757" s="12">
        <f>IF($A757="","",IFERROR(INDEX(土地清冊_匯入!$T$6:$T$1005,MATCH($A757,土地清冊_匯入!$A$6:$A$1005,0)),""))</f>
        <v/>
      </c>
      <c r="I757" s="12">
        <f>IF($A757="","",IFERROR(INDEX(土地清冊_匯入!$V$6:$V$1005,MATCH($A757,土地清冊_匯入!$A$6:$A$1005,0)),""))</f>
        <v/>
      </c>
      <c r="J757" s="14" t="n"/>
      <c r="K757" s="7" t="n"/>
      <c r="L757" s="7" t="n"/>
      <c r="M757" s="7" t="n"/>
      <c r="N757" s="7" t="n"/>
      <c r="O757" s="7" t="n"/>
      <c r="P757" s="7" t="n"/>
      <c r="Q757" s="14" t="n"/>
      <c r="R757" s="7" t="n"/>
      <c r="S757" s="7" t="n"/>
      <c r="T757" s="7" t="n"/>
      <c r="U757" s="12">
        <f>IF(A757="","",IF(OR(J757="",L757=""),"建議補聯絡紀錄","") )</f>
        <v/>
      </c>
    </row>
    <row r="758" ht="24" customHeight="1">
      <c r="A758" s="7" t="n"/>
      <c r="B758" s="7" t="n"/>
      <c r="C758" s="12">
        <f>IF($A758="","",IFERROR(INDEX(土地清冊_匯入!$B$6:$B$1005,MATCH($A758,土地清冊_匯入!$A$6:$A$1005,0)),"查無資料"))</f>
        <v/>
      </c>
      <c r="D758" s="12">
        <f>IF($A758="","",IFERROR(INDEX(土地清冊_匯入!$P$6:$P$1005,MATCH($A758,土地清冊_匯入!$A$6:$A$1005,0)),""))</f>
        <v/>
      </c>
      <c r="E758" s="12">
        <f>IF($A758="","",IFERROR(INDEX(土地清冊_匯入!$Q$6:$Q$1005,MATCH($A758,土地清冊_匯入!$A$6:$A$1005,0)),""))</f>
        <v/>
      </c>
      <c r="F758" s="12">
        <f>IF($A758="","",IFERROR(INDEX(土地清冊_匯入!$R$6:$R$1005,MATCH($A758,土地清冊_匯入!$A$6:$A$1005,0)),""))</f>
        <v/>
      </c>
      <c r="G758" s="12">
        <f>IF($A758="","",IFERROR(INDEX(土地清冊_匯入!$S$6:$S$1005,MATCH($A758,土地清冊_匯入!$A$6:$A$1005,0)),""))</f>
        <v/>
      </c>
      <c r="H758" s="12">
        <f>IF($A758="","",IFERROR(INDEX(土地清冊_匯入!$T$6:$T$1005,MATCH($A758,土地清冊_匯入!$A$6:$A$1005,0)),""))</f>
        <v/>
      </c>
      <c r="I758" s="12">
        <f>IF($A758="","",IFERROR(INDEX(土地清冊_匯入!$V$6:$V$1005,MATCH($A758,土地清冊_匯入!$A$6:$A$1005,0)),""))</f>
        <v/>
      </c>
      <c r="J758" s="14" t="n"/>
      <c r="K758" s="7" t="n"/>
      <c r="L758" s="7" t="n"/>
      <c r="M758" s="7" t="n"/>
      <c r="N758" s="7" t="n"/>
      <c r="O758" s="7" t="n"/>
      <c r="P758" s="7" t="n"/>
      <c r="Q758" s="14" t="n"/>
      <c r="R758" s="7" t="n"/>
      <c r="S758" s="7" t="n"/>
      <c r="T758" s="7" t="n"/>
      <c r="U758" s="12">
        <f>IF(A758="","",IF(OR(J758="",L758=""),"建議補聯絡紀錄","") )</f>
        <v/>
      </c>
    </row>
    <row r="759" ht="24" customHeight="1">
      <c r="A759" s="7" t="n"/>
      <c r="B759" s="7" t="n"/>
      <c r="C759" s="12">
        <f>IF($A759="","",IFERROR(INDEX(土地清冊_匯入!$B$6:$B$1005,MATCH($A759,土地清冊_匯入!$A$6:$A$1005,0)),"查無資料"))</f>
        <v/>
      </c>
      <c r="D759" s="12">
        <f>IF($A759="","",IFERROR(INDEX(土地清冊_匯入!$P$6:$P$1005,MATCH($A759,土地清冊_匯入!$A$6:$A$1005,0)),""))</f>
        <v/>
      </c>
      <c r="E759" s="12">
        <f>IF($A759="","",IFERROR(INDEX(土地清冊_匯入!$Q$6:$Q$1005,MATCH($A759,土地清冊_匯入!$A$6:$A$1005,0)),""))</f>
        <v/>
      </c>
      <c r="F759" s="12">
        <f>IF($A759="","",IFERROR(INDEX(土地清冊_匯入!$R$6:$R$1005,MATCH($A759,土地清冊_匯入!$A$6:$A$1005,0)),""))</f>
        <v/>
      </c>
      <c r="G759" s="12">
        <f>IF($A759="","",IFERROR(INDEX(土地清冊_匯入!$S$6:$S$1005,MATCH($A759,土地清冊_匯入!$A$6:$A$1005,0)),""))</f>
        <v/>
      </c>
      <c r="H759" s="12">
        <f>IF($A759="","",IFERROR(INDEX(土地清冊_匯入!$T$6:$T$1005,MATCH($A759,土地清冊_匯入!$A$6:$A$1005,0)),""))</f>
        <v/>
      </c>
      <c r="I759" s="12">
        <f>IF($A759="","",IFERROR(INDEX(土地清冊_匯入!$V$6:$V$1005,MATCH($A759,土地清冊_匯入!$A$6:$A$1005,0)),""))</f>
        <v/>
      </c>
      <c r="J759" s="14" t="n"/>
      <c r="K759" s="7" t="n"/>
      <c r="L759" s="7" t="n"/>
      <c r="M759" s="7" t="n"/>
      <c r="N759" s="7" t="n"/>
      <c r="O759" s="7" t="n"/>
      <c r="P759" s="7" t="n"/>
      <c r="Q759" s="14" t="n"/>
      <c r="R759" s="7" t="n"/>
      <c r="S759" s="7" t="n"/>
      <c r="T759" s="7" t="n"/>
      <c r="U759" s="12">
        <f>IF(A759="","",IF(OR(J759="",L759=""),"建議補聯絡紀錄","") )</f>
        <v/>
      </c>
    </row>
    <row r="760" ht="24" customHeight="1">
      <c r="A760" s="7" t="n"/>
      <c r="B760" s="7" t="n"/>
      <c r="C760" s="12">
        <f>IF($A760="","",IFERROR(INDEX(土地清冊_匯入!$B$6:$B$1005,MATCH($A760,土地清冊_匯入!$A$6:$A$1005,0)),"查無資料"))</f>
        <v/>
      </c>
      <c r="D760" s="12">
        <f>IF($A760="","",IFERROR(INDEX(土地清冊_匯入!$P$6:$P$1005,MATCH($A760,土地清冊_匯入!$A$6:$A$1005,0)),""))</f>
        <v/>
      </c>
      <c r="E760" s="12">
        <f>IF($A760="","",IFERROR(INDEX(土地清冊_匯入!$Q$6:$Q$1005,MATCH($A760,土地清冊_匯入!$A$6:$A$1005,0)),""))</f>
        <v/>
      </c>
      <c r="F760" s="12">
        <f>IF($A760="","",IFERROR(INDEX(土地清冊_匯入!$R$6:$R$1005,MATCH($A760,土地清冊_匯入!$A$6:$A$1005,0)),""))</f>
        <v/>
      </c>
      <c r="G760" s="12">
        <f>IF($A760="","",IFERROR(INDEX(土地清冊_匯入!$S$6:$S$1005,MATCH($A760,土地清冊_匯入!$A$6:$A$1005,0)),""))</f>
        <v/>
      </c>
      <c r="H760" s="12">
        <f>IF($A760="","",IFERROR(INDEX(土地清冊_匯入!$T$6:$T$1005,MATCH($A760,土地清冊_匯入!$A$6:$A$1005,0)),""))</f>
        <v/>
      </c>
      <c r="I760" s="12">
        <f>IF($A760="","",IFERROR(INDEX(土地清冊_匯入!$V$6:$V$1005,MATCH($A760,土地清冊_匯入!$A$6:$A$1005,0)),""))</f>
        <v/>
      </c>
      <c r="J760" s="14" t="n"/>
      <c r="K760" s="7" t="n"/>
      <c r="L760" s="7" t="n"/>
      <c r="M760" s="7" t="n"/>
      <c r="N760" s="7" t="n"/>
      <c r="O760" s="7" t="n"/>
      <c r="P760" s="7" t="n"/>
      <c r="Q760" s="14" t="n"/>
      <c r="R760" s="7" t="n"/>
      <c r="S760" s="7" t="n"/>
      <c r="T760" s="7" t="n"/>
      <c r="U760" s="12">
        <f>IF(A760="","",IF(OR(J760="",L760=""),"建議補聯絡紀錄","") )</f>
        <v/>
      </c>
    </row>
    <row r="761" ht="24" customHeight="1">
      <c r="A761" s="7" t="n"/>
      <c r="B761" s="7" t="n"/>
      <c r="C761" s="12">
        <f>IF($A761="","",IFERROR(INDEX(土地清冊_匯入!$B$6:$B$1005,MATCH($A761,土地清冊_匯入!$A$6:$A$1005,0)),"查無資料"))</f>
        <v/>
      </c>
      <c r="D761" s="12">
        <f>IF($A761="","",IFERROR(INDEX(土地清冊_匯入!$P$6:$P$1005,MATCH($A761,土地清冊_匯入!$A$6:$A$1005,0)),""))</f>
        <v/>
      </c>
      <c r="E761" s="12">
        <f>IF($A761="","",IFERROR(INDEX(土地清冊_匯入!$Q$6:$Q$1005,MATCH($A761,土地清冊_匯入!$A$6:$A$1005,0)),""))</f>
        <v/>
      </c>
      <c r="F761" s="12">
        <f>IF($A761="","",IFERROR(INDEX(土地清冊_匯入!$R$6:$R$1005,MATCH($A761,土地清冊_匯入!$A$6:$A$1005,0)),""))</f>
        <v/>
      </c>
      <c r="G761" s="12">
        <f>IF($A761="","",IFERROR(INDEX(土地清冊_匯入!$S$6:$S$1005,MATCH($A761,土地清冊_匯入!$A$6:$A$1005,0)),""))</f>
        <v/>
      </c>
      <c r="H761" s="12">
        <f>IF($A761="","",IFERROR(INDEX(土地清冊_匯入!$T$6:$T$1005,MATCH($A761,土地清冊_匯入!$A$6:$A$1005,0)),""))</f>
        <v/>
      </c>
      <c r="I761" s="12">
        <f>IF($A761="","",IFERROR(INDEX(土地清冊_匯入!$V$6:$V$1005,MATCH($A761,土地清冊_匯入!$A$6:$A$1005,0)),""))</f>
        <v/>
      </c>
      <c r="J761" s="14" t="n"/>
      <c r="K761" s="7" t="n"/>
      <c r="L761" s="7" t="n"/>
      <c r="M761" s="7" t="n"/>
      <c r="N761" s="7" t="n"/>
      <c r="O761" s="7" t="n"/>
      <c r="P761" s="7" t="n"/>
      <c r="Q761" s="14" t="n"/>
      <c r="R761" s="7" t="n"/>
      <c r="S761" s="7" t="n"/>
      <c r="T761" s="7" t="n"/>
      <c r="U761" s="12">
        <f>IF(A761="","",IF(OR(J761="",L761=""),"建議補聯絡紀錄","") )</f>
        <v/>
      </c>
    </row>
    <row r="762" ht="24" customHeight="1">
      <c r="A762" s="7" t="n"/>
      <c r="B762" s="7" t="n"/>
      <c r="C762" s="12">
        <f>IF($A762="","",IFERROR(INDEX(土地清冊_匯入!$B$6:$B$1005,MATCH($A762,土地清冊_匯入!$A$6:$A$1005,0)),"查無資料"))</f>
        <v/>
      </c>
      <c r="D762" s="12">
        <f>IF($A762="","",IFERROR(INDEX(土地清冊_匯入!$P$6:$P$1005,MATCH($A762,土地清冊_匯入!$A$6:$A$1005,0)),""))</f>
        <v/>
      </c>
      <c r="E762" s="12">
        <f>IF($A762="","",IFERROR(INDEX(土地清冊_匯入!$Q$6:$Q$1005,MATCH($A762,土地清冊_匯入!$A$6:$A$1005,0)),""))</f>
        <v/>
      </c>
      <c r="F762" s="12">
        <f>IF($A762="","",IFERROR(INDEX(土地清冊_匯入!$R$6:$R$1005,MATCH($A762,土地清冊_匯入!$A$6:$A$1005,0)),""))</f>
        <v/>
      </c>
      <c r="G762" s="12">
        <f>IF($A762="","",IFERROR(INDEX(土地清冊_匯入!$S$6:$S$1005,MATCH($A762,土地清冊_匯入!$A$6:$A$1005,0)),""))</f>
        <v/>
      </c>
      <c r="H762" s="12">
        <f>IF($A762="","",IFERROR(INDEX(土地清冊_匯入!$T$6:$T$1005,MATCH($A762,土地清冊_匯入!$A$6:$A$1005,0)),""))</f>
        <v/>
      </c>
      <c r="I762" s="12">
        <f>IF($A762="","",IFERROR(INDEX(土地清冊_匯入!$V$6:$V$1005,MATCH($A762,土地清冊_匯入!$A$6:$A$1005,0)),""))</f>
        <v/>
      </c>
      <c r="J762" s="14" t="n"/>
      <c r="K762" s="7" t="n"/>
      <c r="L762" s="7" t="n"/>
      <c r="M762" s="7" t="n"/>
      <c r="N762" s="7" t="n"/>
      <c r="O762" s="7" t="n"/>
      <c r="P762" s="7" t="n"/>
      <c r="Q762" s="14" t="n"/>
      <c r="R762" s="7" t="n"/>
      <c r="S762" s="7" t="n"/>
      <c r="T762" s="7" t="n"/>
      <c r="U762" s="12">
        <f>IF(A762="","",IF(OR(J762="",L762=""),"建議補聯絡紀錄","") )</f>
        <v/>
      </c>
    </row>
    <row r="763" ht="24" customHeight="1">
      <c r="A763" s="7" t="n"/>
      <c r="B763" s="7" t="n"/>
      <c r="C763" s="12">
        <f>IF($A763="","",IFERROR(INDEX(土地清冊_匯入!$B$6:$B$1005,MATCH($A763,土地清冊_匯入!$A$6:$A$1005,0)),"查無資料"))</f>
        <v/>
      </c>
      <c r="D763" s="12">
        <f>IF($A763="","",IFERROR(INDEX(土地清冊_匯入!$P$6:$P$1005,MATCH($A763,土地清冊_匯入!$A$6:$A$1005,0)),""))</f>
        <v/>
      </c>
      <c r="E763" s="12">
        <f>IF($A763="","",IFERROR(INDEX(土地清冊_匯入!$Q$6:$Q$1005,MATCH($A763,土地清冊_匯入!$A$6:$A$1005,0)),""))</f>
        <v/>
      </c>
      <c r="F763" s="12">
        <f>IF($A763="","",IFERROR(INDEX(土地清冊_匯入!$R$6:$R$1005,MATCH($A763,土地清冊_匯入!$A$6:$A$1005,0)),""))</f>
        <v/>
      </c>
      <c r="G763" s="12">
        <f>IF($A763="","",IFERROR(INDEX(土地清冊_匯入!$S$6:$S$1005,MATCH($A763,土地清冊_匯入!$A$6:$A$1005,0)),""))</f>
        <v/>
      </c>
      <c r="H763" s="12">
        <f>IF($A763="","",IFERROR(INDEX(土地清冊_匯入!$T$6:$T$1005,MATCH($A763,土地清冊_匯入!$A$6:$A$1005,0)),""))</f>
        <v/>
      </c>
      <c r="I763" s="12">
        <f>IF($A763="","",IFERROR(INDEX(土地清冊_匯入!$V$6:$V$1005,MATCH($A763,土地清冊_匯入!$A$6:$A$1005,0)),""))</f>
        <v/>
      </c>
      <c r="J763" s="14" t="n"/>
      <c r="K763" s="7" t="n"/>
      <c r="L763" s="7" t="n"/>
      <c r="M763" s="7" t="n"/>
      <c r="N763" s="7" t="n"/>
      <c r="O763" s="7" t="n"/>
      <c r="P763" s="7" t="n"/>
      <c r="Q763" s="14" t="n"/>
      <c r="R763" s="7" t="n"/>
      <c r="S763" s="7" t="n"/>
      <c r="T763" s="7" t="n"/>
      <c r="U763" s="12">
        <f>IF(A763="","",IF(OR(J763="",L763=""),"建議補聯絡紀錄","") )</f>
        <v/>
      </c>
    </row>
    <row r="764" ht="24" customHeight="1">
      <c r="A764" s="7" t="n"/>
      <c r="B764" s="7" t="n"/>
      <c r="C764" s="12">
        <f>IF($A764="","",IFERROR(INDEX(土地清冊_匯入!$B$6:$B$1005,MATCH($A764,土地清冊_匯入!$A$6:$A$1005,0)),"查無資料"))</f>
        <v/>
      </c>
      <c r="D764" s="12">
        <f>IF($A764="","",IFERROR(INDEX(土地清冊_匯入!$P$6:$P$1005,MATCH($A764,土地清冊_匯入!$A$6:$A$1005,0)),""))</f>
        <v/>
      </c>
      <c r="E764" s="12">
        <f>IF($A764="","",IFERROR(INDEX(土地清冊_匯入!$Q$6:$Q$1005,MATCH($A764,土地清冊_匯入!$A$6:$A$1005,0)),""))</f>
        <v/>
      </c>
      <c r="F764" s="12">
        <f>IF($A764="","",IFERROR(INDEX(土地清冊_匯入!$R$6:$R$1005,MATCH($A764,土地清冊_匯入!$A$6:$A$1005,0)),""))</f>
        <v/>
      </c>
      <c r="G764" s="12">
        <f>IF($A764="","",IFERROR(INDEX(土地清冊_匯入!$S$6:$S$1005,MATCH($A764,土地清冊_匯入!$A$6:$A$1005,0)),""))</f>
        <v/>
      </c>
      <c r="H764" s="12">
        <f>IF($A764="","",IFERROR(INDEX(土地清冊_匯入!$T$6:$T$1005,MATCH($A764,土地清冊_匯入!$A$6:$A$1005,0)),""))</f>
        <v/>
      </c>
      <c r="I764" s="12">
        <f>IF($A764="","",IFERROR(INDEX(土地清冊_匯入!$V$6:$V$1005,MATCH($A764,土地清冊_匯入!$A$6:$A$1005,0)),""))</f>
        <v/>
      </c>
      <c r="J764" s="14" t="n"/>
      <c r="K764" s="7" t="n"/>
      <c r="L764" s="7" t="n"/>
      <c r="M764" s="7" t="n"/>
      <c r="N764" s="7" t="n"/>
      <c r="O764" s="7" t="n"/>
      <c r="P764" s="7" t="n"/>
      <c r="Q764" s="14" t="n"/>
      <c r="R764" s="7" t="n"/>
      <c r="S764" s="7" t="n"/>
      <c r="T764" s="7" t="n"/>
      <c r="U764" s="12">
        <f>IF(A764="","",IF(OR(J764="",L764=""),"建議補聯絡紀錄","") )</f>
        <v/>
      </c>
    </row>
    <row r="765" ht="24" customHeight="1">
      <c r="A765" s="7" t="n"/>
      <c r="B765" s="7" t="n"/>
      <c r="C765" s="12">
        <f>IF($A765="","",IFERROR(INDEX(土地清冊_匯入!$B$6:$B$1005,MATCH($A765,土地清冊_匯入!$A$6:$A$1005,0)),"查無資料"))</f>
        <v/>
      </c>
      <c r="D765" s="12">
        <f>IF($A765="","",IFERROR(INDEX(土地清冊_匯入!$P$6:$P$1005,MATCH($A765,土地清冊_匯入!$A$6:$A$1005,0)),""))</f>
        <v/>
      </c>
      <c r="E765" s="12">
        <f>IF($A765="","",IFERROR(INDEX(土地清冊_匯入!$Q$6:$Q$1005,MATCH($A765,土地清冊_匯入!$A$6:$A$1005,0)),""))</f>
        <v/>
      </c>
      <c r="F765" s="12">
        <f>IF($A765="","",IFERROR(INDEX(土地清冊_匯入!$R$6:$R$1005,MATCH($A765,土地清冊_匯入!$A$6:$A$1005,0)),""))</f>
        <v/>
      </c>
      <c r="G765" s="12">
        <f>IF($A765="","",IFERROR(INDEX(土地清冊_匯入!$S$6:$S$1005,MATCH($A765,土地清冊_匯入!$A$6:$A$1005,0)),""))</f>
        <v/>
      </c>
      <c r="H765" s="12">
        <f>IF($A765="","",IFERROR(INDEX(土地清冊_匯入!$T$6:$T$1005,MATCH($A765,土地清冊_匯入!$A$6:$A$1005,0)),""))</f>
        <v/>
      </c>
      <c r="I765" s="12">
        <f>IF($A765="","",IFERROR(INDEX(土地清冊_匯入!$V$6:$V$1005,MATCH($A765,土地清冊_匯入!$A$6:$A$1005,0)),""))</f>
        <v/>
      </c>
      <c r="J765" s="14" t="n"/>
      <c r="K765" s="7" t="n"/>
      <c r="L765" s="7" t="n"/>
      <c r="M765" s="7" t="n"/>
      <c r="N765" s="7" t="n"/>
      <c r="O765" s="7" t="n"/>
      <c r="P765" s="7" t="n"/>
      <c r="Q765" s="14" t="n"/>
      <c r="R765" s="7" t="n"/>
      <c r="S765" s="7" t="n"/>
      <c r="T765" s="7" t="n"/>
      <c r="U765" s="12">
        <f>IF(A765="","",IF(OR(J765="",L765=""),"建議補聯絡紀錄","") )</f>
        <v/>
      </c>
    </row>
    <row r="766" ht="24" customHeight="1">
      <c r="A766" s="7" t="n"/>
      <c r="B766" s="7" t="n"/>
      <c r="C766" s="12">
        <f>IF($A766="","",IFERROR(INDEX(土地清冊_匯入!$B$6:$B$1005,MATCH($A766,土地清冊_匯入!$A$6:$A$1005,0)),"查無資料"))</f>
        <v/>
      </c>
      <c r="D766" s="12">
        <f>IF($A766="","",IFERROR(INDEX(土地清冊_匯入!$P$6:$P$1005,MATCH($A766,土地清冊_匯入!$A$6:$A$1005,0)),""))</f>
        <v/>
      </c>
      <c r="E766" s="12">
        <f>IF($A766="","",IFERROR(INDEX(土地清冊_匯入!$Q$6:$Q$1005,MATCH($A766,土地清冊_匯入!$A$6:$A$1005,0)),""))</f>
        <v/>
      </c>
      <c r="F766" s="12">
        <f>IF($A766="","",IFERROR(INDEX(土地清冊_匯入!$R$6:$R$1005,MATCH($A766,土地清冊_匯入!$A$6:$A$1005,0)),""))</f>
        <v/>
      </c>
      <c r="G766" s="12">
        <f>IF($A766="","",IFERROR(INDEX(土地清冊_匯入!$S$6:$S$1005,MATCH($A766,土地清冊_匯入!$A$6:$A$1005,0)),""))</f>
        <v/>
      </c>
      <c r="H766" s="12">
        <f>IF($A766="","",IFERROR(INDEX(土地清冊_匯入!$T$6:$T$1005,MATCH($A766,土地清冊_匯入!$A$6:$A$1005,0)),""))</f>
        <v/>
      </c>
      <c r="I766" s="12">
        <f>IF($A766="","",IFERROR(INDEX(土地清冊_匯入!$V$6:$V$1005,MATCH($A766,土地清冊_匯入!$A$6:$A$1005,0)),""))</f>
        <v/>
      </c>
      <c r="J766" s="14" t="n"/>
      <c r="K766" s="7" t="n"/>
      <c r="L766" s="7" t="n"/>
      <c r="M766" s="7" t="n"/>
      <c r="N766" s="7" t="n"/>
      <c r="O766" s="7" t="n"/>
      <c r="P766" s="7" t="n"/>
      <c r="Q766" s="14" t="n"/>
      <c r="R766" s="7" t="n"/>
      <c r="S766" s="7" t="n"/>
      <c r="T766" s="7" t="n"/>
      <c r="U766" s="12">
        <f>IF(A766="","",IF(OR(J766="",L766=""),"建議補聯絡紀錄","") )</f>
        <v/>
      </c>
    </row>
    <row r="767" ht="24" customHeight="1">
      <c r="A767" s="7" t="n"/>
      <c r="B767" s="7" t="n"/>
      <c r="C767" s="12">
        <f>IF($A767="","",IFERROR(INDEX(土地清冊_匯入!$B$6:$B$1005,MATCH($A767,土地清冊_匯入!$A$6:$A$1005,0)),"查無資料"))</f>
        <v/>
      </c>
      <c r="D767" s="12">
        <f>IF($A767="","",IFERROR(INDEX(土地清冊_匯入!$P$6:$P$1005,MATCH($A767,土地清冊_匯入!$A$6:$A$1005,0)),""))</f>
        <v/>
      </c>
      <c r="E767" s="12">
        <f>IF($A767="","",IFERROR(INDEX(土地清冊_匯入!$Q$6:$Q$1005,MATCH($A767,土地清冊_匯入!$A$6:$A$1005,0)),""))</f>
        <v/>
      </c>
      <c r="F767" s="12">
        <f>IF($A767="","",IFERROR(INDEX(土地清冊_匯入!$R$6:$R$1005,MATCH($A767,土地清冊_匯入!$A$6:$A$1005,0)),""))</f>
        <v/>
      </c>
      <c r="G767" s="12">
        <f>IF($A767="","",IFERROR(INDEX(土地清冊_匯入!$S$6:$S$1005,MATCH($A767,土地清冊_匯入!$A$6:$A$1005,0)),""))</f>
        <v/>
      </c>
      <c r="H767" s="12">
        <f>IF($A767="","",IFERROR(INDEX(土地清冊_匯入!$T$6:$T$1005,MATCH($A767,土地清冊_匯入!$A$6:$A$1005,0)),""))</f>
        <v/>
      </c>
      <c r="I767" s="12">
        <f>IF($A767="","",IFERROR(INDEX(土地清冊_匯入!$V$6:$V$1005,MATCH($A767,土地清冊_匯入!$A$6:$A$1005,0)),""))</f>
        <v/>
      </c>
      <c r="J767" s="14" t="n"/>
      <c r="K767" s="7" t="n"/>
      <c r="L767" s="7" t="n"/>
      <c r="M767" s="7" t="n"/>
      <c r="N767" s="7" t="n"/>
      <c r="O767" s="7" t="n"/>
      <c r="P767" s="7" t="n"/>
      <c r="Q767" s="14" t="n"/>
      <c r="R767" s="7" t="n"/>
      <c r="S767" s="7" t="n"/>
      <c r="T767" s="7" t="n"/>
      <c r="U767" s="12">
        <f>IF(A767="","",IF(OR(J767="",L767=""),"建議補聯絡紀錄","") )</f>
        <v/>
      </c>
    </row>
    <row r="768" ht="24" customHeight="1">
      <c r="A768" s="7" t="n"/>
      <c r="B768" s="7" t="n"/>
      <c r="C768" s="12">
        <f>IF($A768="","",IFERROR(INDEX(土地清冊_匯入!$B$6:$B$1005,MATCH($A768,土地清冊_匯入!$A$6:$A$1005,0)),"查無資料"))</f>
        <v/>
      </c>
      <c r="D768" s="12">
        <f>IF($A768="","",IFERROR(INDEX(土地清冊_匯入!$P$6:$P$1005,MATCH($A768,土地清冊_匯入!$A$6:$A$1005,0)),""))</f>
        <v/>
      </c>
      <c r="E768" s="12">
        <f>IF($A768="","",IFERROR(INDEX(土地清冊_匯入!$Q$6:$Q$1005,MATCH($A768,土地清冊_匯入!$A$6:$A$1005,0)),""))</f>
        <v/>
      </c>
      <c r="F768" s="12">
        <f>IF($A768="","",IFERROR(INDEX(土地清冊_匯入!$R$6:$R$1005,MATCH($A768,土地清冊_匯入!$A$6:$A$1005,0)),""))</f>
        <v/>
      </c>
      <c r="G768" s="12">
        <f>IF($A768="","",IFERROR(INDEX(土地清冊_匯入!$S$6:$S$1005,MATCH($A768,土地清冊_匯入!$A$6:$A$1005,0)),""))</f>
        <v/>
      </c>
      <c r="H768" s="12">
        <f>IF($A768="","",IFERROR(INDEX(土地清冊_匯入!$T$6:$T$1005,MATCH($A768,土地清冊_匯入!$A$6:$A$1005,0)),""))</f>
        <v/>
      </c>
      <c r="I768" s="12">
        <f>IF($A768="","",IFERROR(INDEX(土地清冊_匯入!$V$6:$V$1005,MATCH($A768,土地清冊_匯入!$A$6:$A$1005,0)),""))</f>
        <v/>
      </c>
      <c r="J768" s="14" t="n"/>
      <c r="K768" s="7" t="n"/>
      <c r="L768" s="7" t="n"/>
      <c r="M768" s="7" t="n"/>
      <c r="N768" s="7" t="n"/>
      <c r="O768" s="7" t="n"/>
      <c r="P768" s="7" t="n"/>
      <c r="Q768" s="14" t="n"/>
      <c r="R768" s="7" t="n"/>
      <c r="S768" s="7" t="n"/>
      <c r="T768" s="7" t="n"/>
      <c r="U768" s="12">
        <f>IF(A768="","",IF(OR(J768="",L768=""),"建議補聯絡紀錄","") )</f>
        <v/>
      </c>
    </row>
    <row r="769" ht="24" customHeight="1">
      <c r="A769" s="7" t="n"/>
      <c r="B769" s="7" t="n"/>
      <c r="C769" s="12">
        <f>IF($A769="","",IFERROR(INDEX(土地清冊_匯入!$B$6:$B$1005,MATCH($A769,土地清冊_匯入!$A$6:$A$1005,0)),"查無資料"))</f>
        <v/>
      </c>
      <c r="D769" s="12">
        <f>IF($A769="","",IFERROR(INDEX(土地清冊_匯入!$P$6:$P$1005,MATCH($A769,土地清冊_匯入!$A$6:$A$1005,0)),""))</f>
        <v/>
      </c>
      <c r="E769" s="12">
        <f>IF($A769="","",IFERROR(INDEX(土地清冊_匯入!$Q$6:$Q$1005,MATCH($A769,土地清冊_匯入!$A$6:$A$1005,0)),""))</f>
        <v/>
      </c>
      <c r="F769" s="12">
        <f>IF($A769="","",IFERROR(INDEX(土地清冊_匯入!$R$6:$R$1005,MATCH($A769,土地清冊_匯入!$A$6:$A$1005,0)),""))</f>
        <v/>
      </c>
      <c r="G769" s="12">
        <f>IF($A769="","",IFERROR(INDEX(土地清冊_匯入!$S$6:$S$1005,MATCH($A769,土地清冊_匯入!$A$6:$A$1005,0)),""))</f>
        <v/>
      </c>
      <c r="H769" s="12">
        <f>IF($A769="","",IFERROR(INDEX(土地清冊_匯入!$T$6:$T$1005,MATCH($A769,土地清冊_匯入!$A$6:$A$1005,0)),""))</f>
        <v/>
      </c>
      <c r="I769" s="12">
        <f>IF($A769="","",IFERROR(INDEX(土地清冊_匯入!$V$6:$V$1005,MATCH($A769,土地清冊_匯入!$A$6:$A$1005,0)),""))</f>
        <v/>
      </c>
      <c r="J769" s="14" t="n"/>
      <c r="K769" s="7" t="n"/>
      <c r="L769" s="7" t="n"/>
      <c r="M769" s="7" t="n"/>
      <c r="N769" s="7" t="n"/>
      <c r="O769" s="7" t="n"/>
      <c r="P769" s="7" t="n"/>
      <c r="Q769" s="14" t="n"/>
      <c r="R769" s="7" t="n"/>
      <c r="S769" s="7" t="n"/>
      <c r="T769" s="7" t="n"/>
      <c r="U769" s="12">
        <f>IF(A769="","",IF(OR(J769="",L769=""),"建議補聯絡紀錄","") )</f>
        <v/>
      </c>
    </row>
    <row r="770" ht="24" customHeight="1">
      <c r="A770" s="7" t="n"/>
      <c r="B770" s="7" t="n"/>
      <c r="C770" s="12">
        <f>IF($A770="","",IFERROR(INDEX(土地清冊_匯入!$B$6:$B$1005,MATCH($A770,土地清冊_匯入!$A$6:$A$1005,0)),"查無資料"))</f>
        <v/>
      </c>
      <c r="D770" s="12">
        <f>IF($A770="","",IFERROR(INDEX(土地清冊_匯入!$P$6:$P$1005,MATCH($A770,土地清冊_匯入!$A$6:$A$1005,0)),""))</f>
        <v/>
      </c>
      <c r="E770" s="12">
        <f>IF($A770="","",IFERROR(INDEX(土地清冊_匯入!$Q$6:$Q$1005,MATCH($A770,土地清冊_匯入!$A$6:$A$1005,0)),""))</f>
        <v/>
      </c>
      <c r="F770" s="12">
        <f>IF($A770="","",IFERROR(INDEX(土地清冊_匯入!$R$6:$R$1005,MATCH($A770,土地清冊_匯入!$A$6:$A$1005,0)),""))</f>
        <v/>
      </c>
      <c r="G770" s="12">
        <f>IF($A770="","",IFERROR(INDEX(土地清冊_匯入!$S$6:$S$1005,MATCH($A770,土地清冊_匯入!$A$6:$A$1005,0)),""))</f>
        <v/>
      </c>
      <c r="H770" s="12">
        <f>IF($A770="","",IFERROR(INDEX(土地清冊_匯入!$T$6:$T$1005,MATCH($A770,土地清冊_匯入!$A$6:$A$1005,0)),""))</f>
        <v/>
      </c>
      <c r="I770" s="12">
        <f>IF($A770="","",IFERROR(INDEX(土地清冊_匯入!$V$6:$V$1005,MATCH($A770,土地清冊_匯入!$A$6:$A$1005,0)),""))</f>
        <v/>
      </c>
      <c r="J770" s="14" t="n"/>
      <c r="K770" s="7" t="n"/>
      <c r="L770" s="7" t="n"/>
      <c r="M770" s="7" t="n"/>
      <c r="N770" s="7" t="n"/>
      <c r="O770" s="7" t="n"/>
      <c r="P770" s="7" t="n"/>
      <c r="Q770" s="14" t="n"/>
      <c r="R770" s="7" t="n"/>
      <c r="S770" s="7" t="n"/>
      <c r="T770" s="7" t="n"/>
      <c r="U770" s="12">
        <f>IF(A770="","",IF(OR(J770="",L770=""),"建議補聯絡紀錄","") )</f>
        <v/>
      </c>
    </row>
    <row r="771" ht="24" customHeight="1">
      <c r="A771" s="7" t="n"/>
      <c r="B771" s="7" t="n"/>
      <c r="C771" s="12">
        <f>IF($A771="","",IFERROR(INDEX(土地清冊_匯入!$B$6:$B$1005,MATCH($A771,土地清冊_匯入!$A$6:$A$1005,0)),"查無資料"))</f>
        <v/>
      </c>
      <c r="D771" s="12">
        <f>IF($A771="","",IFERROR(INDEX(土地清冊_匯入!$P$6:$P$1005,MATCH($A771,土地清冊_匯入!$A$6:$A$1005,0)),""))</f>
        <v/>
      </c>
      <c r="E771" s="12">
        <f>IF($A771="","",IFERROR(INDEX(土地清冊_匯入!$Q$6:$Q$1005,MATCH($A771,土地清冊_匯入!$A$6:$A$1005,0)),""))</f>
        <v/>
      </c>
      <c r="F771" s="12">
        <f>IF($A771="","",IFERROR(INDEX(土地清冊_匯入!$R$6:$R$1005,MATCH($A771,土地清冊_匯入!$A$6:$A$1005,0)),""))</f>
        <v/>
      </c>
      <c r="G771" s="12">
        <f>IF($A771="","",IFERROR(INDEX(土地清冊_匯入!$S$6:$S$1005,MATCH($A771,土地清冊_匯入!$A$6:$A$1005,0)),""))</f>
        <v/>
      </c>
      <c r="H771" s="12">
        <f>IF($A771="","",IFERROR(INDEX(土地清冊_匯入!$T$6:$T$1005,MATCH($A771,土地清冊_匯入!$A$6:$A$1005,0)),""))</f>
        <v/>
      </c>
      <c r="I771" s="12">
        <f>IF($A771="","",IFERROR(INDEX(土地清冊_匯入!$V$6:$V$1005,MATCH($A771,土地清冊_匯入!$A$6:$A$1005,0)),""))</f>
        <v/>
      </c>
      <c r="J771" s="14" t="n"/>
      <c r="K771" s="7" t="n"/>
      <c r="L771" s="7" t="n"/>
      <c r="M771" s="7" t="n"/>
      <c r="N771" s="7" t="n"/>
      <c r="O771" s="7" t="n"/>
      <c r="P771" s="7" t="n"/>
      <c r="Q771" s="14" t="n"/>
      <c r="R771" s="7" t="n"/>
      <c r="S771" s="7" t="n"/>
      <c r="T771" s="7" t="n"/>
      <c r="U771" s="12">
        <f>IF(A771="","",IF(OR(J771="",L771=""),"建議補聯絡紀錄","") )</f>
        <v/>
      </c>
    </row>
    <row r="772" ht="24" customHeight="1">
      <c r="A772" s="7" t="n"/>
      <c r="B772" s="7" t="n"/>
      <c r="C772" s="12">
        <f>IF($A772="","",IFERROR(INDEX(土地清冊_匯入!$B$6:$B$1005,MATCH($A772,土地清冊_匯入!$A$6:$A$1005,0)),"查無資料"))</f>
        <v/>
      </c>
      <c r="D772" s="12">
        <f>IF($A772="","",IFERROR(INDEX(土地清冊_匯入!$P$6:$P$1005,MATCH($A772,土地清冊_匯入!$A$6:$A$1005,0)),""))</f>
        <v/>
      </c>
      <c r="E772" s="12">
        <f>IF($A772="","",IFERROR(INDEX(土地清冊_匯入!$Q$6:$Q$1005,MATCH($A772,土地清冊_匯入!$A$6:$A$1005,0)),""))</f>
        <v/>
      </c>
      <c r="F772" s="12">
        <f>IF($A772="","",IFERROR(INDEX(土地清冊_匯入!$R$6:$R$1005,MATCH($A772,土地清冊_匯入!$A$6:$A$1005,0)),""))</f>
        <v/>
      </c>
      <c r="G772" s="12">
        <f>IF($A772="","",IFERROR(INDEX(土地清冊_匯入!$S$6:$S$1005,MATCH($A772,土地清冊_匯入!$A$6:$A$1005,0)),""))</f>
        <v/>
      </c>
      <c r="H772" s="12">
        <f>IF($A772="","",IFERROR(INDEX(土地清冊_匯入!$T$6:$T$1005,MATCH($A772,土地清冊_匯入!$A$6:$A$1005,0)),""))</f>
        <v/>
      </c>
      <c r="I772" s="12">
        <f>IF($A772="","",IFERROR(INDEX(土地清冊_匯入!$V$6:$V$1005,MATCH($A772,土地清冊_匯入!$A$6:$A$1005,0)),""))</f>
        <v/>
      </c>
      <c r="J772" s="14" t="n"/>
      <c r="K772" s="7" t="n"/>
      <c r="L772" s="7" t="n"/>
      <c r="M772" s="7" t="n"/>
      <c r="N772" s="7" t="n"/>
      <c r="O772" s="7" t="n"/>
      <c r="P772" s="7" t="n"/>
      <c r="Q772" s="14" t="n"/>
      <c r="R772" s="7" t="n"/>
      <c r="S772" s="7" t="n"/>
      <c r="T772" s="7" t="n"/>
      <c r="U772" s="12">
        <f>IF(A772="","",IF(OR(J772="",L772=""),"建議補聯絡紀錄","") )</f>
        <v/>
      </c>
    </row>
    <row r="773" ht="24" customHeight="1">
      <c r="A773" s="7" t="n"/>
      <c r="B773" s="7" t="n"/>
      <c r="C773" s="12">
        <f>IF($A773="","",IFERROR(INDEX(土地清冊_匯入!$B$6:$B$1005,MATCH($A773,土地清冊_匯入!$A$6:$A$1005,0)),"查無資料"))</f>
        <v/>
      </c>
      <c r="D773" s="12">
        <f>IF($A773="","",IFERROR(INDEX(土地清冊_匯入!$P$6:$P$1005,MATCH($A773,土地清冊_匯入!$A$6:$A$1005,0)),""))</f>
        <v/>
      </c>
      <c r="E773" s="12">
        <f>IF($A773="","",IFERROR(INDEX(土地清冊_匯入!$Q$6:$Q$1005,MATCH($A773,土地清冊_匯入!$A$6:$A$1005,0)),""))</f>
        <v/>
      </c>
      <c r="F773" s="12">
        <f>IF($A773="","",IFERROR(INDEX(土地清冊_匯入!$R$6:$R$1005,MATCH($A773,土地清冊_匯入!$A$6:$A$1005,0)),""))</f>
        <v/>
      </c>
      <c r="G773" s="12">
        <f>IF($A773="","",IFERROR(INDEX(土地清冊_匯入!$S$6:$S$1005,MATCH($A773,土地清冊_匯入!$A$6:$A$1005,0)),""))</f>
        <v/>
      </c>
      <c r="H773" s="12">
        <f>IF($A773="","",IFERROR(INDEX(土地清冊_匯入!$T$6:$T$1005,MATCH($A773,土地清冊_匯入!$A$6:$A$1005,0)),""))</f>
        <v/>
      </c>
      <c r="I773" s="12">
        <f>IF($A773="","",IFERROR(INDEX(土地清冊_匯入!$V$6:$V$1005,MATCH($A773,土地清冊_匯入!$A$6:$A$1005,0)),""))</f>
        <v/>
      </c>
      <c r="J773" s="14" t="n"/>
      <c r="K773" s="7" t="n"/>
      <c r="L773" s="7" t="n"/>
      <c r="M773" s="7" t="n"/>
      <c r="N773" s="7" t="n"/>
      <c r="O773" s="7" t="n"/>
      <c r="P773" s="7" t="n"/>
      <c r="Q773" s="14" t="n"/>
      <c r="R773" s="7" t="n"/>
      <c r="S773" s="7" t="n"/>
      <c r="T773" s="7" t="n"/>
      <c r="U773" s="12">
        <f>IF(A773="","",IF(OR(J773="",L773=""),"建議補聯絡紀錄","") )</f>
        <v/>
      </c>
    </row>
    <row r="774" ht="24" customHeight="1">
      <c r="A774" s="7" t="n"/>
      <c r="B774" s="7" t="n"/>
      <c r="C774" s="12">
        <f>IF($A774="","",IFERROR(INDEX(土地清冊_匯入!$B$6:$B$1005,MATCH($A774,土地清冊_匯入!$A$6:$A$1005,0)),"查無資料"))</f>
        <v/>
      </c>
      <c r="D774" s="12">
        <f>IF($A774="","",IFERROR(INDEX(土地清冊_匯入!$P$6:$P$1005,MATCH($A774,土地清冊_匯入!$A$6:$A$1005,0)),""))</f>
        <v/>
      </c>
      <c r="E774" s="12">
        <f>IF($A774="","",IFERROR(INDEX(土地清冊_匯入!$Q$6:$Q$1005,MATCH($A774,土地清冊_匯入!$A$6:$A$1005,0)),""))</f>
        <v/>
      </c>
      <c r="F774" s="12">
        <f>IF($A774="","",IFERROR(INDEX(土地清冊_匯入!$R$6:$R$1005,MATCH($A774,土地清冊_匯入!$A$6:$A$1005,0)),""))</f>
        <v/>
      </c>
      <c r="G774" s="12">
        <f>IF($A774="","",IFERROR(INDEX(土地清冊_匯入!$S$6:$S$1005,MATCH($A774,土地清冊_匯入!$A$6:$A$1005,0)),""))</f>
        <v/>
      </c>
      <c r="H774" s="12">
        <f>IF($A774="","",IFERROR(INDEX(土地清冊_匯入!$T$6:$T$1005,MATCH($A774,土地清冊_匯入!$A$6:$A$1005,0)),""))</f>
        <v/>
      </c>
      <c r="I774" s="12">
        <f>IF($A774="","",IFERROR(INDEX(土地清冊_匯入!$V$6:$V$1005,MATCH($A774,土地清冊_匯入!$A$6:$A$1005,0)),""))</f>
        <v/>
      </c>
      <c r="J774" s="14" t="n"/>
      <c r="K774" s="7" t="n"/>
      <c r="L774" s="7" t="n"/>
      <c r="M774" s="7" t="n"/>
      <c r="N774" s="7" t="n"/>
      <c r="O774" s="7" t="n"/>
      <c r="P774" s="7" t="n"/>
      <c r="Q774" s="14" t="n"/>
      <c r="R774" s="7" t="n"/>
      <c r="S774" s="7" t="n"/>
      <c r="T774" s="7" t="n"/>
      <c r="U774" s="12">
        <f>IF(A774="","",IF(OR(J774="",L774=""),"建議補聯絡紀錄","") )</f>
        <v/>
      </c>
    </row>
    <row r="775" ht="24" customHeight="1">
      <c r="A775" s="7" t="n"/>
      <c r="B775" s="7" t="n"/>
      <c r="C775" s="12">
        <f>IF($A775="","",IFERROR(INDEX(土地清冊_匯入!$B$6:$B$1005,MATCH($A775,土地清冊_匯入!$A$6:$A$1005,0)),"查無資料"))</f>
        <v/>
      </c>
      <c r="D775" s="12">
        <f>IF($A775="","",IFERROR(INDEX(土地清冊_匯入!$P$6:$P$1005,MATCH($A775,土地清冊_匯入!$A$6:$A$1005,0)),""))</f>
        <v/>
      </c>
      <c r="E775" s="12">
        <f>IF($A775="","",IFERROR(INDEX(土地清冊_匯入!$Q$6:$Q$1005,MATCH($A775,土地清冊_匯入!$A$6:$A$1005,0)),""))</f>
        <v/>
      </c>
      <c r="F775" s="12">
        <f>IF($A775="","",IFERROR(INDEX(土地清冊_匯入!$R$6:$R$1005,MATCH($A775,土地清冊_匯入!$A$6:$A$1005,0)),""))</f>
        <v/>
      </c>
      <c r="G775" s="12">
        <f>IF($A775="","",IFERROR(INDEX(土地清冊_匯入!$S$6:$S$1005,MATCH($A775,土地清冊_匯入!$A$6:$A$1005,0)),""))</f>
        <v/>
      </c>
      <c r="H775" s="12">
        <f>IF($A775="","",IFERROR(INDEX(土地清冊_匯入!$T$6:$T$1005,MATCH($A775,土地清冊_匯入!$A$6:$A$1005,0)),""))</f>
        <v/>
      </c>
      <c r="I775" s="12">
        <f>IF($A775="","",IFERROR(INDEX(土地清冊_匯入!$V$6:$V$1005,MATCH($A775,土地清冊_匯入!$A$6:$A$1005,0)),""))</f>
        <v/>
      </c>
      <c r="J775" s="14" t="n"/>
      <c r="K775" s="7" t="n"/>
      <c r="L775" s="7" t="n"/>
      <c r="M775" s="7" t="n"/>
      <c r="N775" s="7" t="n"/>
      <c r="O775" s="7" t="n"/>
      <c r="P775" s="7" t="n"/>
      <c r="Q775" s="14" t="n"/>
      <c r="R775" s="7" t="n"/>
      <c r="S775" s="7" t="n"/>
      <c r="T775" s="7" t="n"/>
      <c r="U775" s="12">
        <f>IF(A775="","",IF(OR(J775="",L775=""),"建議補聯絡紀錄","") )</f>
        <v/>
      </c>
    </row>
    <row r="776" ht="24" customHeight="1">
      <c r="A776" s="7" t="n"/>
      <c r="B776" s="7" t="n"/>
      <c r="C776" s="12">
        <f>IF($A776="","",IFERROR(INDEX(土地清冊_匯入!$B$6:$B$1005,MATCH($A776,土地清冊_匯入!$A$6:$A$1005,0)),"查無資料"))</f>
        <v/>
      </c>
      <c r="D776" s="12">
        <f>IF($A776="","",IFERROR(INDEX(土地清冊_匯入!$P$6:$P$1005,MATCH($A776,土地清冊_匯入!$A$6:$A$1005,0)),""))</f>
        <v/>
      </c>
      <c r="E776" s="12">
        <f>IF($A776="","",IFERROR(INDEX(土地清冊_匯入!$Q$6:$Q$1005,MATCH($A776,土地清冊_匯入!$A$6:$A$1005,0)),""))</f>
        <v/>
      </c>
      <c r="F776" s="12">
        <f>IF($A776="","",IFERROR(INDEX(土地清冊_匯入!$R$6:$R$1005,MATCH($A776,土地清冊_匯入!$A$6:$A$1005,0)),""))</f>
        <v/>
      </c>
      <c r="G776" s="12">
        <f>IF($A776="","",IFERROR(INDEX(土地清冊_匯入!$S$6:$S$1005,MATCH($A776,土地清冊_匯入!$A$6:$A$1005,0)),""))</f>
        <v/>
      </c>
      <c r="H776" s="12">
        <f>IF($A776="","",IFERROR(INDEX(土地清冊_匯入!$T$6:$T$1005,MATCH($A776,土地清冊_匯入!$A$6:$A$1005,0)),""))</f>
        <v/>
      </c>
      <c r="I776" s="12">
        <f>IF($A776="","",IFERROR(INDEX(土地清冊_匯入!$V$6:$V$1005,MATCH($A776,土地清冊_匯入!$A$6:$A$1005,0)),""))</f>
        <v/>
      </c>
      <c r="J776" s="14" t="n"/>
      <c r="K776" s="7" t="n"/>
      <c r="L776" s="7" t="n"/>
      <c r="M776" s="7" t="n"/>
      <c r="N776" s="7" t="n"/>
      <c r="O776" s="7" t="n"/>
      <c r="P776" s="7" t="n"/>
      <c r="Q776" s="14" t="n"/>
      <c r="R776" s="7" t="n"/>
      <c r="S776" s="7" t="n"/>
      <c r="T776" s="7" t="n"/>
      <c r="U776" s="12">
        <f>IF(A776="","",IF(OR(J776="",L776=""),"建議補聯絡紀錄","") )</f>
        <v/>
      </c>
    </row>
    <row r="777" ht="24" customHeight="1">
      <c r="A777" s="7" t="n"/>
      <c r="B777" s="7" t="n"/>
      <c r="C777" s="12">
        <f>IF($A777="","",IFERROR(INDEX(土地清冊_匯入!$B$6:$B$1005,MATCH($A777,土地清冊_匯入!$A$6:$A$1005,0)),"查無資料"))</f>
        <v/>
      </c>
      <c r="D777" s="12">
        <f>IF($A777="","",IFERROR(INDEX(土地清冊_匯入!$P$6:$P$1005,MATCH($A777,土地清冊_匯入!$A$6:$A$1005,0)),""))</f>
        <v/>
      </c>
      <c r="E777" s="12">
        <f>IF($A777="","",IFERROR(INDEX(土地清冊_匯入!$Q$6:$Q$1005,MATCH($A777,土地清冊_匯入!$A$6:$A$1005,0)),""))</f>
        <v/>
      </c>
      <c r="F777" s="12">
        <f>IF($A777="","",IFERROR(INDEX(土地清冊_匯入!$R$6:$R$1005,MATCH($A777,土地清冊_匯入!$A$6:$A$1005,0)),""))</f>
        <v/>
      </c>
      <c r="G777" s="12">
        <f>IF($A777="","",IFERROR(INDEX(土地清冊_匯入!$S$6:$S$1005,MATCH($A777,土地清冊_匯入!$A$6:$A$1005,0)),""))</f>
        <v/>
      </c>
      <c r="H777" s="12">
        <f>IF($A777="","",IFERROR(INDEX(土地清冊_匯入!$T$6:$T$1005,MATCH($A777,土地清冊_匯入!$A$6:$A$1005,0)),""))</f>
        <v/>
      </c>
      <c r="I777" s="12">
        <f>IF($A777="","",IFERROR(INDEX(土地清冊_匯入!$V$6:$V$1005,MATCH($A777,土地清冊_匯入!$A$6:$A$1005,0)),""))</f>
        <v/>
      </c>
      <c r="J777" s="14" t="n"/>
      <c r="K777" s="7" t="n"/>
      <c r="L777" s="7" t="n"/>
      <c r="M777" s="7" t="n"/>
      <c r="N777" s="7" t="n"/>
      <c r="O777" s="7" t="n"/>
      <c r="P777" s="7" t="n"/>
      <c r="Q777" s="14" t="n"/>
      <c r="R777" s="7" t="n"/>
      <c r="S777" s="7" t="n"/>
      <c r="T777" s="7" t="n"/>
      <c r="U777" s="12">
        <f>IF(A777="","",IF(OR(J777="",L777=""),"建議補聯絡紀錄","") )</f>
        <v/>
      </c>
    </row>
    <row r="778" ht="24" customHeight="1">
      <c r="A778" s="7" t="n"/>
      <c r="B778" s="7" t="n"/>
      <c r="C778" s="12">
        <f>IF($A778="","",IFERROR(INDEX(土地清冊_匯入!$B$6:$B$1005,MATCH($A778,土地清冊_匯入!$A$6:$A$1005,0)),"查無資料"))</f>
        <v/>
      </c>
      <c r="D778" s="12">
        <f>IF($A778="","",IFERROR(INDEX(土地清冊_匯入!$P$6:$P$1005,MATCH($A778,土地清冊_匯入!$A$6:$A$1005,0)),""))</f>
        <v/>
      </c>
      <c r="E778" s="12">
        <f>IF($A778="","",IFERROR(INDEX(土地清冊_匯入!$Q$6:$Q$1005,MATCH($A778,土地清冊_匯入!$A$6:$A$1005,0)),""))</f>
        <v/>
      </c>
      <c r="F778" s="12">
        <f>IF($A778="","",IFERROR(INDEX(土地清冊_匯入!$R$6:$R$1005,MATCH($A778,土地清冊_匯入!$A$6:$A$1005,0)),""))</f>
        <v/>
      </c>
      <c r="G778" s="12">
        <f>IF($A778="","",IFERROR(INDEX(土地清冊_匯入!$S$6:$S$1005,MATCH($A778,土地清冊_匯入!$A$6:$A$1005,0)),""))</f>
        <v/>
      </c>
      <c r="H778" s="12">
        <f>IF($A778="","",IFERROR(INDEX(土地清冊_匯入!$T$6:$T$1005,MATCH($A778,土地清冊_匯入!$A$6:$A$1005,0)),""))</f>
        <v/>
      </c>
      <c r="I778" s="12">
        <f>IF($A778="","",IFERROR(INDEX(土地清冊_匯入!$V$6:$V$1005,MATCH($A778,土地清冊_匯入!$A$6:$A$1005,0)),""))</f>
        <v/>
      </c>
      <c r="J778" s="14" t="n"/>
      <c r="K778" s="7" t="n"/>
      <c r="L778" s="7" t="n"/>
      <c r="M778" s="7" t="n"/>
      <c r="N778" s="7" t="n"/>
      <c r="O778" s="7" t="n"/>
      <c r="P778" s="7" t="n"/>
      <c r="Q778" s="14" t="n"/>
      <c r="R778" s="7" t="n"/>
      <c r="S778" s="7" t="n"/>
      <c r="T778" s="7" t="n"/>
      <c r="U778" s="12">
        <f>IF(A778="","",IF(OR(J778="",L778=""),"建議補聯絡紀錄","") )</f>
        <v/>
      </c>
    </row>
    <row r="779" ht="24" customHeight="1">
      <c r="A779" s="7" t="n"/>
      <c r="B779" s="7" t="n"/>
      <c r="C779" s="12">
        <f>IF($A779="","",IFERROR(INDEX(土地清冊_匯入!$B$6:$B$1005,MATCH($A779,土地清冊_匯入!$A$6:$A$1005,0)),"查無資料"))</f>
        <v/>
      </c>
      <c r="D779" s="12">
        <f>IF($A779="","",IFERROR(INDEX(土地清冊_匯入!$P$6:$P$1005,MATCH($A779,土地清冊_匯入!$A$6:$A$1005,0)),""))</f>
        <v/>
      </c>
      <c r="E779" s="12">
        <f>IF($A779="","",IFERROR(INDEX(土地清冊_匯入!$Q$6:$Q$1005,MATCH($A779,土地清冊_匯入!$A$6:$A$1005,0)),""))</f>
        <v/>
      </c>
      <c r="F779" s="12">
        <f>IF($A779="","",IFERROR(INDEX(土地清冊_匯入!$R$6:$R$1005,MATCH($A779,土地清冊_匯入!$A$6:$A$1005,0)),""))</f>
        <v/>
      </c>
      <c r="G779" s="12">
        <f>IF($A779="","",IFERROR(INDEX(土地清冊_匯入!$S$6:$S$1005,MATCH($A779,土地清冊_匯入!$A$6:$A$1005,0)),""))</f>
        <v/>
      </c>
      <c r="H779" s="12">
        <f>IF($A779="","",IFERROR(INDEX(土地清冊_匯入!$T$6:$T$1005,MATCH($A779,土地清冊_匯入!$A$6:$A$1005,0)),""))</f>
        <v/>
      </c>
      <c r="I779" s="12">
        <f>IF($A779="","",IFERROR(INDEX(土地清冊_匯入!$V$6:$V$1005,MATCH($A779,土地清冊_匯入!$A$6:$A$1005,0)),""))</f>
        <v/>
      </c>
      <c r="J779" s="14" t="n"/>
      <c r="K779" s="7" t="n"/>
      <c r="L779" s="7" t="n"/>
      <c r="M779" s="7" t="n"/>
      <c r="N779" s="7" t="n"/>
      <c r="O779" s="7" t="n"/>
      <c r="P779" s="7" t="n"/>
      <c r="Q779" s="14" t="n"/>
      <c r="R779" s="7" t="n"/>
      <c r="S779" s="7" t="n"/>
      <c r="T779" s="7" t="n"/>
      <c r="U779" s="12">
        <f>IF(A779="","",IF(OR(J779="",L779=""),"建議補聯絡紀錄","") )</f>
        <v/>
      </c>
    </row>
    <row r="780" ht="24" customHeight="1">
      <c r="A780" s="7" t="n"/>
      <c r="B780" s="7" t="n"/>
      <c r="C780" s="12">
        <f>IF($A780="","",IFERROR(INDEX(土地清冊_匯入!$B$6:$B$1005,MATCH($A780,土地清冊_匯入!$A$6:$A$1005,0)),"查無資料"))</f>
        <v/>
      </c>
      <c r="D780" s="12">
        <f>IF($A780="","",IFERROR(INDEX(土地清冊_匯入!$P$6:$P$1005,MATCH($A780,土地清冊_匯入!$A$6:$A$1005,0)),""))</f>
        <v/>
      </c>
      <c r="E780" s="12">
        <f>IF($A780="","",IFERROR(INDEX(土地清冊_匯入!$Q$6:$Q$1005,MATCH($A780,土地清冊_匯入!$A$6:$A$1005,0)),""))</f>
        <v/>
      </c>
      <c r="F780" s="12">
        <f>IF($A780="","",IFERROR(INDEX(土地清冊_匯入!$R$6:$R$1005,MATCH($A780,土地清冊_匯入!$A$6:$A$1005,0)),""))</f>
        <v/>
      </c>
      <c r="G780" s="12">
        <f>IF($A780="","",IFERROR(INDEX(土地清冊_匯入!$S$6:$S$1005,MATCH($A780,土地清冊_匯入!$A$6:$A$1005,0)),""))</f>
        <v/>
      </c>
      <c r="H780" s="12">
        <f>IF($A780="","",IFERROR(INDEX(土地清冊_匯入!$T$6:$T$1005,MATCH($A780,土地清冊_匯入!$A$6:$A$1005,0)),""))</f>
        <v/>
      </c>
      <c r="I780" s="12">
        <f>IF($A780="","",IFERROR(INDEX(土地清冊_匯入!$V$6:$V$1005,MATCH($A780,土地清冊_匯入!$A$6:$A$1005,0)),""))</f>
        <v/>
      </c>
      <c r="J780" s="14" t="n"/>
      <c r="K780" s="7" t="n"/>
      <c r="L780" s="7" t="n"/>
      <c r="M780" s="7" t="n"/>
      <c r="N780" s="7" t="n"/>
      <c r="O780" s="7" t="n"/>
      <c r="P780" s="7" t="n"/>
      <c r="Q780" s="14" t="n"/>
      <c r="R780" s="7" t="n"/>
      <c r="S780" s="7" t="n"/>
      <c r="T780" s="7" t="n"/>
      <c r="U780" s="12">
        <f>IF(A780="","",IF(OR(J780="",L780=""),"建議補聯絡紀錄","") )</f>
        <v/>
      </c>
    </row>
    <row r="781" ht="24" customHeight="1">
      <c r="A781" s="7" t="n"/>
      <c r="B781" s="7" t="n"/>
      <c r="C781" s="12">
        <f>IF($A781="","",IFERROR(INDEX(土地清冊_匯入!$B$6:$B$1005,MATCH($A781,土地清冊_匯入!$A$6:$A$1005,0)),"查無資料"))</f>
        <v/>
      </c>
      <c r="D781" s="12">
        <f>IF($A781="","",IFERROR(INDEX(土地清冊_匯入!$P$6:$P$1005,MATCH($A781,土地清冊_匯入!$A$6:$A$1005,0)),""))</f>
        <v/>
      </c>
      <c r="E781" s="12">
        <f>IF($A781="","",IFERROR(INDEX(土地清冊_匯入!$Q$6:$Q$1005,MATCH($A781,土地清冊_匯入!$A$6:$A$1005,0)),""))</f>
        <v/>
      </c>
      <c r="F781" s="12">
        <f>IF($A781="","",IFERROR(INDEX(土地清冊_匯入!$R$6:$R$1005,MATCH($A781,土地清冊_匯入!$A$6:$A$1005,0)),""))</f>
        <v/>
      </c>
      <c r="G781" s="12">
        <f>IF($A781="","",IFERROR(INDEX(土地清冊_匯入!$S$6:$S$1005,MATCH($A781,土地清冊_匯入!$A$6:$A$1005,0)),""))</f>
        <v/>
      </c>
      <c r="H781" s="12">
        <f>IF($A781="","",IFERROR(INDEX(土地清冊_匯入!$T$6:$T$1005,MATCH($A781,土地清冊_匯入!$A$6:$A$1005,0)),""))</f>
        <v/>
      </c>
      <c r="I781" s="12">
        <f>IF($A781="","",IFERROR(INDEX(土地清冊_匯入!$V$6:$V$1005,MATCH($A781,土地清冊_匯入!$A$6:$A$1005,0)),""))</f>
        <v/>
      </c>
      <c r="J781" s="14" t="n"/>
      <c r="K781" s="7" t="n"/>
      <c r="L781" s="7" t="n"/>
      <c r="M781" s="7" t="n"/>
      <c r="N781" s="7" t="n"/>
      <c r="O781" s="7" t="n"/>
      <c r="P781" s="7" t="n"/>
      <c r="Q781" s="14" t="n"/>
      <c r="R781" s="7" t="n"/>
      <c r="S781" s="7" t="n"/>
      <c r="T781" s="7" t="n"/>
      <c r="U781" s="12">
        <f>IF(A781="","",IF(OR(J781="",L781=""),"建議補聯絡紀錄","") )</f>
        <v/>
      </c>
    </row>
    <row r="782" ht="24" customHeight="1">
      <c r="A782" s="7" t="n"/>
      <c r="B782" s="7" t="n"/>
      <c r="C782" s="12">
        <f>IF($A782="","",IFERROR(INDEX(土地清冊_匯入!$B$6:$B$1005,MATCH($A782,土地清冊_匯入!$A$6:$A$1005,0)),"查無資料"))</f>
        <v/>
      </c>
      <c r="D782" s="12">
        <f>IF($A782="","",IFERROR(INDEX(土地清冊_匯入!$P$6:$P$1005,MATCH($A782,土地清冊_匯入!$A$6:$A$1005,0)),""))</f>
        <v/>
      </c>
      <c r="E782" s="12">
        <f>IF($A782="","",IFERROR(INDEX(土地清冊_匯入!$Q$6:$Q$1005,MATCH($A782,土地清冊_匯入!$A$6:$A$1005,0)),""))</f>
        <v/>
      </c>
      <c r="F782" s="12">
        <f>IF($A782="","",IFERROR(INDEX(土地清冊_匯入!$R$6:$R$1005,MATCH($A782,土地清冊_匯入!$A$6:$A$1005,0)),""))</f>
        <v/>
      </c>
      <c r="G782" s="12">
        <f>IF($A782="","",IFERROR(INDEX(土地清冊_匯入!$S$6:$S$1005,MATCH($A782,土地清冊_匯入!$A$6:$A$1005,0)),""))</f>
        <v/>
      </c>
      <c r="H782" s="12">
        <f>IF($A782="","",IFERROR(INDEX(土地清冊_匯入!$T$6:$T$1005,MATCH($A782,土地清冊_匯入!$A$6:$A$1005,0)),""))</f>
        <v/>
      </c>
      <c r="I782" s="12">
        <f>IF($A782="","",IFERROR(INDEX(土地清冊_匯入!$V$6:$V$1005,MATCH($A782,土地清冊_匯入!$A$6:$A$1005,0)),""))</f>
        <v/>
      </c>
      <c r="J782" s="14" t="n"/>
      <c r="K782" s="7" t="n"/>
      <c r="L782" s="7" t="n"/>
      <c r="M782" s="7" t="n"/>
      <c r="N782" s="7" t="n"/>
      <c r="O782" s="7" t="n"/>
      <c r="P782" s="7" t="n"/>
      <c r="Q782" s="14" t="n"/>
      <c r="R782" s="7" t="n"/>
      <c r="S782" s="7" t="n"/>
      <c r="T782" s="7" t="n"/>
      <c r="U782" s="12">
        <f>IF(A782="","",IF(OR(J782="",L782=""),"建議補聯絡紀錄","") )</f>
        <v/>
      </c>
    </row>
    <row r="783" ht="24" customHeight="1">
      <c r="A783" s="7" t="n"/>
      <c r="B783" s="7" t="n"/>
      <c r="C783" s="12">
        <f>IF($A783="","",IFERROR(INDEX(土地清冊_匯入!$B$6:$B$1005,MATCH($A783,土地清冊_匯入!$A$6:$A$1005,0)),"查無資料"))</f>
        <v/>
      </c>
      <c r="D783" s="12">
        <f>IF($A783="","",IFERROR(INDEX(土地清冊_匯入!$P$6:$P$1005,MATCH($A783,土地清冊_匯入!$A$6:$A$1005,0)),""))</f>
        <v/>
      </c>
      <c r="E783" s="12">
        <f>IF($A783="","",IFERROR(INDEX(土地清冊_匯入!$Q$6:$Q$1005,MATCH($A783,土地清冊_匯入!$A$6:$A$1005,0)),""))</f>
        <v/>
      </c>
      <c r="F783" s="12">
        <f>IF($A783="","",IFERROR(INDEX(土地清冊_匯入!$R$6:$R$1005,MATCH($A783,土地清冊_匯入!$A$6:$A$1005,0)),""))</f>
        <v/>
      </c>
      <c r="G783" s="12">
        <f>IF($A783="","",IFERROR(INDEX(土地清冊_匯入!$S$6:$S$1005,MATCH($A783,土地清冊_匯入!$A$6:$A$1005,0)),""))</f>
        <v/>
      </c>
      <c r="H783" s="12">
        <f>IF($A783="","",IFERROR(INDEX(土地清冊_匯入!$T$6:$T$1005,MATCH($A783,土地清冊_匯入!$A$6:$A$1005,0)),""))</f>
        <v/>
      </c>
      <c r="I783" s="12">
        <f>IF($A783="","",IFERROR(INDEX(土地清冊_匯入!$V$6:$V$1005,MATCH($A783,土地清冊_匯入!$A$6:$A$1005,0)),""))</f>
        <v/>
      </c>
      <c r="J783" s="14" t="n"/>
      <c r="K783" s="7" t="n"/>
      <c r="L783" s="7" t="n"/>
      <c r="M783" s="7" t="n"/>
      <c r="N783" s="7" t="n"/>
      <c r="O783" s="7" t="n"/>
      <c r="P783" s="7" t="n"/>
      <c r="Q783" s="14" t="n"/>
      <c r="R783" s="7" t="n"/>
      <c r="S783" s="7" t="n"/>
      <c r="T783" s="7" t="n"/>
      <c r="U783" s="12">
        <f>IF(A783="","",IF(OR(J783="",L783=""),"建議補聯絡紀錄","") )</f>
        <v/>
      </c>
    </row>
    <row r="784" ht="24" customHeight="1">
      <c r="A784" s="7" t="n"/>
      <c r="B784" s="7" t="n"/>
      <c r="C784" s="12">
        <f>IF($A784="","",IFERROR(INDEX(土地清冊_匯入!$B$6:$B$1005,MATCH($A784,土地清冊_匯入!$A$6:$A$1005,0)),"查無資料"))</f>
        <v/>
      </c>
      <c r="D784" s="12">
        <f>IF($A784="","",IFERROR(INDEX(土地清冊_匯入!$P$6:$P$1005,MATCH($A784,土地清冊_匯入!$A$6:$A$1005,0)),""))</f>
        <v/>
      </c>
      <c r="E784" s="12">
        <f>IF($A784="","",IFERROR(INDEX(土地清冊_匯入!$Q$6:$Q$1005,MATCH($A784,土地清冊_匯入!$A$6:$A$1005,0)),""))</f>
        <v/>
      </c>
      <c r="F784" s="12">
        <f>IF($A784="","",IFERROR(INDEX(土地清冊_匯入!$R$6:$R$1005,MATCH($A784,土地清冊_匯入!$A$6:$A$1005,0)),""))</f>
        <v/>
      </c>
      <c r="G784" s="12">
        <f>IF($A784="","",IFERROR(INDEX(土地清冊_匯入!$S$6:$S$1005,MATCH($A784,土地清冊_匯入!$A$6:$A$1005,0)),""))</f>
        <v/>
      </c>
      <c r="H784" s="12">
        <f>IF($A784="","",IFERROR(INDEX(土地清冊_匯入!$T$6:$T$1005,MATCH($A784,土地清冊_匯入!$A$6:$A$1005,0)),""))</f>
        <v/>
      </c>
      <c r="I784" s="12">
        <f>IF($A784="","",IFERROR(INDEX(土地清冊_匯入!$V$6:$V$1005,MATCH($A784,土地清冊_匯入!$A$6:$A$1005,0)),""))</f>
        <v/>
      </c>
      <c r="J784" s="14" t="n"/>
      <c r="K784" s="7" t="n"/>
      <c r="L784" s="7" t="n"/>
      <c r="M784" s="7" t="n"/>
      <c r="N784" s="7" t="n"/>
      <c r="O784" s="7" t="n"/>
      <c r="P784" s="7" t="n"/>
      <c r="Q784" s="14" t="n"/>
      <c r="R784" s="7" t="n"/>
      <c r="S784" s="7" t="n"/>
      <c r="T784" s="7" t="n"/>
      <c r="U784" s="12">
        <f>IF(A784="","",IF(OR(J784="",L784=""),"建議補聯絡紀錄","") )</f>
        <v/>
      </c>
    </row>
    <row r="785" ht="24" customHeight="1">
      <c r="A785" s="7" t="n"/>
      <c r="B785" s="7" t="n"/>
      <c r="C785" s="12">
        <f>IF($A785="","",IFERROR(INDEX(土地清冊_匯入!$B$6:$B$1005,MATCH($A785,土地清冊_匯入!$A$6:$A$1005,0)),"查無資料"))</f>
        <v/>
      </c>
      <c r="D785" s="12">
        <f>IF($A785="","",IFERROR(INDEX(土地清冊_匯入!$P$6:$P$1005,MATCH($A785,土地清冊_匯入!$A$6:$A$1005,0)),""))</f>
        <v/>
      </c>
      <c r="E785" s="12">
        <f>IF($A785="","",IFERROR(INDEX(土地清冊_匯入!$Q$6:$Q$1005,MATCH($A785,土地清冊_匯入!$A$6:$A$1005,0)),""))</f>
        <v/>
      </c>
      <c r="F785" s="12">
        <f>IF($A785="","",IFERROR(INDEX(土地清冊_匯入!$R$6:$R$1005,MATCH($A785,土地清冊_匯入!$A$6:$A$1005,0)),""))</f>
        <v/>
      </c>
      <c r="G785" s="12">
        <f>IF($A785="","",IFERROR(INDEX(土地清冊_匯入!$S$6:$S$1005,MATCH($A785,土地清冊_匯入!$A$6:$A$1005,0)),""))</f>
        <v/>
      </c>
      <c r="H785" s="12">
        <f>IF($A785="","",IFERROR(INDEX(土地清冊_匯入!$T$6:$T$1005,MATCH($A785,土地清冊_匯入!$A$6:$A$1005,0)),""))</f>
        <v/>
      </c>
      <c r="I785" s="12">
        <f>IF($A785="","",IFERROR(INDEX(土地清冊_匯入!$V$6:$V$1005,MATCH($A785,土地清冊_匯入!$A$6:$A$1005,0)),""))</f>
        <v/>
      </c>
      <c r="J785" s="14" t="n"/>
      <c r="K785" s="7" t="n"/>
      <c r="L785" s="7" t="n"/>
      <c r="M785" s="7" t="n"/>
      <c r="N785" s="7" t="n"/>
      <c r="O785" s="7" t="n"/>
      <c r="P785" s="7" t="n"/>
      <c r="Q785" s="14" t="n"/>
      <c r="R785" s="7" t="n"/>
      <c r="S785" s="7" t="n"/>
      <c r="T785" s="7" t="n"/>
      <c r="U785" s="12">
        <f>IF(A785="","",IF(OR(J785="",L785=""),"建議補聯絡紀錄","") )</f>
        <v/>
      </c>
    </row>
    <row r="786" ht="24" customHeight="1">
      <c r="A786" s="7" t="n"/>
      <c r="B786" s="7" t="n"/>
      <c r="C786" s="12">
        <f>IF($A786="","",IFERROR(INDEX(土地清冊_匯入!$B$6:$B$1005,MATCH($A786,土地清冊_匯入!$A$6:$A$1005,0)),"查無資料"))</f>
        <v/>
      </c>
      <c r="D786" s="12">
        <f>IF($A786="","",IFERROR(INDEX(土地清冊_匯入!$P$6:$P$1005,MATCH($A786,土地清冊_匯入!$A$6:$A$1005,0)),""))</f>
        <v/>
      </c>
      <c r="E786" s="12">
        <f>IF($A786="","",IFERROR(INDEX(土地清冊_匯入!$Q$6:$Q$1005,MATCH($A786,土地清冊_匯入!$A$6:$A$1005,0)),""))</f>
        <v/>
      </c>
      <c r="F786" s="12">
        <f>IF($A786="","",IFERROR(INDEX(土地清冊_匯入!$R$6:$R$1005,MATCH($A786,土地清冊_匯入!$A$6:$A$1005,0)),""))</f>
        <v/>
      </c>
      <c r="G786" s="12">
        <f>IF($A786="","",IFERROR(INDEX(土地清冊_匯入!$S$6:$S$1005,MATCH($A786,土地清冊_匯入!$A$6:$A$1005,0)),""))</f>
        <v/>
      </c>
      <c r="H786" s="12">
        <f>IF($A786="","",IFERROR(INDEX(土地清冊_匯入!$T$6:$T$1005,MATCH($A786,土地清冊_匯入!$A$6:$A$1005,0)),""))</f>
        <v/>
      </c>
      <c r="I786" s="12">
        <f>IF($A786="","",IFERROR(INDEX(土地清冊_匯入!$V$6:$V$1005,MATCH($A786,土地清冊_匯入!$A$6:$A$1005,0)),""))</f>
        <v/>
      </c>
      <c r="J786" s="14" t="n"/>
      <c r="K786" s="7" t="n"/>
      <c r="L786" s="7" t="n"/>
      <c r="M786" s="7" t="n"/>
      <c r="N786" s="7" t="n"/>
      <c r="O786" s="7" t="n"/>
      <c r="P786" s="7" t="n"/>
      <c r="Q786" s="14" t="n"/>
      <c r="R786" s="7" t="n"/>
      <c r="S786" s="7" t="n"/>
      <c r="T786" s="7" t="n"/>
      <c r="U786" s="12">
        <f>IF(A786="","",IF(OR(J786="",L786=""),"建議補聯絡紀錄","") )</f>
        <v/>
      </c>
    </row>
    <row r="787" ht="24" customHeight="1">
      <c r="A787" s="7" t="n"/>
      <c r="B787" s="7" t="n"/>
      <c r="C787" s="12">
        <f>IF($A787="","",IFERROR(INDEX(土地清冊_匯入!$B$6:$B$1005,MATCH($A787,土地清冊_匯入!$A$6:$A$1005,0)),"查無資料"))</f>
        <v/>
      </c>
      <c r="D787" s="12">
        <f>IF($A787="","",IFERROR(INDEX(土地清冊_匯入!$P$6:$P$1005,MATCH($A787,土地清冊_匯入!$A$6:$A$1005,0)),""))</f>
        <v/>
      </c>
      <c r="E787" s="12">
        <f>IF($A787="","",IFERROR(INDEX(土地清冊_匯入!$Q$6:$Q$1005,MATCH($A787,土地清冊_匯入!$A$6:$A$1005,0)),""))</f>
        <v/>
      </c>
      <c r="F787" s="12">
        <f>IF($A787="","",IFERROR(INDEX(土地清冊_匯入!$R$6:$R$1005,MATCH($A787,土地清冊_匯入!$A$6:$A$1005,0)),""))</f>
        <v/>
      </c>
      <c r="G787" s="12">
        <f>IF($A787="","",IFERROR(INDEX(土地清冊_匯入!$S$6:$S$1005,MATCH($A787,土地清冊_匯入!$A$6:$A$1005,0)),""))</f>
        <v/>
      </c>
      <c r="H787" s="12">
        <f>IF($A787="","",IFERROR(INDEX(土地清冊_匯入!$T$6:$T$1005,MATCH($A787,土地清冊_匯入!$A$6:$A$1005,0)),""))</f>
        <v/>
      </c>
      <c r="I787" s="12">
        <f>IF($A787="","",IFERROR(INDEX(土地清冊_匯入!$V$6:$V$1005,MATCH($A787,土地清冊_匯入!$A$6:$A$1005,0)),""))</f>
        <v/>
      </c>
      <c r="J787" s="14" t="n"/>
      <c r="K787" s="7" t="n"/>
      <c r="L787" s="7" t="n"/>
      <c r="M787" s="7" t="n"/>
      <c r="N787" s="7" t="n"/>
      <c r="O787" s="7" t="n"/>
      <c r="P787" s="7" t="n"/>
      <c r="Q787" s="14" t="n"/>
      <c r="R787" s="7" t="n"/>
      <c r="S787" s="7" t="n"/>
      <c r="T787" s="7" t="n"/>
      <c r="U787" s="12">
        <f>IF(A787="","",IF(OR(J787="",L787=""),"建議補聯絡紀錄","") )</f>
        <v/>
      </c>
    </row>
    <row r="788" ht="24" customHeight="1">
      <c r="A788" s="7" t="n"/>
      <c r="B788" s="7" t="n"/>
      <c r="C788" s="12">
        <f>IF($A788="","",IFERROR(INDEX(土地清冊_匯入!$B$6:$B$1005,MATCH($A788,土地清冊_匯入!$A$6:$A$1005,0)),"查無資料"))</f>
        <v/>
      </c>
      <c r="D788" s="12">
        <f>IF($A788="","",IFERROR(INDEX(土地清冊_匯入!$P$6:$P$1005,MATCH($A788,土地清冊_匯入!$A$6:$A$1005,0)),""))</f>
        <v/>
      </c>
      <c r="E788" s="12">
        <f>IF($A788="","",IFERROR(INDEX(土地清冊_匯入!$Q$6:$Q$1005,MATCH($A788,土地清冊_匯入!$A$6:$A$1005,0)),""))</f>
        <v/>
      </c>
      <c r="F788" s="12">
        <f>IF($A788="","",IFERROR(INDEX(土地清冊_匯入!$R$6:$R$1005,MATCH($A788,土地清冊_匯入!$A$6:$A$1005,0)),""))</f>
        <v/>
      </c>
      <c r="G788" s="12">
        <f>IF($A788="","",IFERROR(INDEX(土地清冊_匯入!$S$6:$S$1005,MATCH($A788,土地清冊_匯入!$A$6:$A$1005,0)),""))</f>
        <v/>
      </c>
      <c r="H788" s="12">
        <f>IF($A788="","",IFERROR(INDEX(土地清冊_匯入!$T$6:$T$1005,MATCH($A788,土地清冊_匯入!$A$6:$A$1005,0)),""))</f>
        <v/>
      </c>
      <c r="I788" s="12">
        <f>IF($A788="","",IFERROR(INDEX(土地清冊_匯入!$V$6:$V$1005,MATCH($A788,土地清冊_匯入!$A$6:$A$1005,0)),""))</f>
        <v/>
      </c>
      <c r="J788" s="14" t="n"/>
      <c r="K788" s="7" t="n"/>
      <c r="L788" s="7" t="n"/>
      <c r="M788" s="7" t="n"/>
      <c r="N788" s="7" t="n"/>
      <c r="O788" s="7" t="n"/>
      <c r="P788" s="7" t="n"/>
      <c r="Q788" s="14" t="n"/>
      <c r="R788" s="7" t="n"/>
      <c r="S788" s="7" t="n"/>
      <c r="T788" s="7" t="n"/>
      <c r="U788" s="12">
        <f>IF(A788="","",IF(OR(J788="",L788=""),"建議補聯絡紀錄","") )</f>
        <v/>
      </c>
    </row>
    <row r="789" ht="24" customHeight="1">
      <c r="A789" s="7" t="n"/>
      <c r="B789" s="7" t="n"/>
      <c r="C789" s="12">
        <f>IF($A789="","",IFERROR(INDEX(土地清冊_匯入!$B$6:$B$1005,MATCH($A789,土地清冊_匯入!$A$6:$A$1005,0)),"查無資料"))</f>
        <v/>
      </c>
      <c r="D789" s="12">
        <f>IF($A789="","",IFERROR(INDEX(土地清冊_匯入!$P$6:$P$1005,MATCH($A789,土地清冊_匯入!$A$6:$A$1005,0)),""))</f>
        <v/>
      </c>
      <c r="E789" s="12">
        <f>IF($A789="","",IFERROR(INDEX(土地清冊_匯入!$Q$6:$Q$1005,MATCH($A789,土地清冊_匯入!$A$6:$A$1005,0)),""))</f>
        <v/>
      </c>
      <c r="F789" s="12">
        <f>IF($A789="","",IFERROR(INDEX(土地清冊_匯入!$R$6:$R$1005,MATCH($A789,土地清冊_匯入!$A$6:$A$1005,0)),""))</f>
        <v/>
      </c>
      <c r="G789" s="12">
        <f>IF($A789="","",IFERROR(INDEX(土地清冊_匯入!$S$6:$S$1005,MATCH($A789,土地清冊_匯入!$A$6:$A$1005,0)),""))</f>
        <v/>
      </c>
      <c r="H789" s="12">
        <f>IF($A789="","",IFERROR(INDEX(土地清冊_匯入!$T$6:$T$1005,MATCH($A789,土地清冊_匯入!$A$6:$A$1005,0)),""))</f>
        <v/>
      </c>
      <c r="I789" s="12">
        <f>IF($A789="","",IFERROR(INDEX(土地清冊_匯入!$V$6:$V$1005,MATCH($A789,土地清冊_匯入!$A$6:$A$1005,0)),""))</f>
        <v/>
      </c>
      <c r="J789" s="14" t="n"/>
      <c r="K789" s="7" t="n"/>
      <c r="L789" s="7" t="n"/>
      <c r="M789" s="7" t="n"/>
      <c r="N789" s="7" t="n"/>
      <c r="O789" s="7" t="n"/>
      <c r="P789" s="7" t="n"/>
      <c r="Q789" s="14" t="n"/>
      <c r="R789" s="7" t="n"/>
      <c r="S789" s="7" t="n"/>
      <c r="T789" s="7" t="n"/>
      <c r="U789" s="12">
        <f>IF(A789="","",IF(OR(J789="",L789=""),"建議補聯絡紀錄","") )</f>
        <v/>
      </c>
    </row>
    <row r="790" ht="24" customHeight="1">
      <c r="A790" s="7" t="n"/>
      <c r="B790" s="7" t="n"/>
      <c r="C790" s="12">
        <f>IF($A790="","",IFERROR(INDEX(土地清冊_匯入!$B$6:$B$1005,MATCH($A790,土地清冊_匯入!$A$6:$A$1005,0)),"查無資料"))</f>
        <v/>
      </c>
      <c r="D790" s="12">
        <f>IF($A790="","",IFERROR(INDEX(土地清冊_匯入!$P$6:$P$1005,MATCH($A790,土地清冊_匯入!$A$6:$A$1005,0)),""))</f>
        <v/>
      </c>
      <c r="E790" s="12">
        <f>IF($A790="","",IFERROR(INDEX(土地清冊_匯入!$Q$6:$Q$1005,MATCH($A790,土地清冊_匯入!$A$6:$A$1005,0)),""))</f>
        <v/>
      </c>
      <c r="F790" s="12">
        <f>IF($A790="","",IFERROR(INDEX(土地清冊_匯入!$R$6:$R$1005,MATCH($A790,土地清冊_匯入!$A$6:$A$1005,0)),""))</f>
        <v/>
      </c>
      <c r="G790" s="12">
        <f>IF($A790="","",IFERROR(INDEX(土地清冊_匯入!$S$6:$S$1005,MATCH($A790,土地清冊_匯入!$A$6:$A$1005,0)),""))</f>
        <v/>
      </c>
      <c r="H790" s="12">
        <f>IF($A790="","",IFERROR(INDEX(土地清冊_匯入!$T$6:$T$1005,MATCH($A790,土地清冊_匯入!$A$6:$A$1005,0)),""))</f>
        <v/>
      </c>
      <c r="I790" s="12">
        <f>IF($A790="","",IFERROR(INDEX(土地清冊_匯入!$V$6:$V$1005,MATCH($A790,土地清冊_匯入!$A$6:$A$1005,0)),""))</f>
        <v/>
      </c>
      <c r="J790" s="14" t="n"/>
      <c r="K790" s="7" t="n"/>
      <c r="L790" s="7" t="n"/>
      <c r="M790" s="7" t="n"/>
      <c r="N790" s="7" t="n"/>
      <c r="O790" s="7" t="n"/>
      <c r="P790" s="7" t="n"/>
      <c r="Q790" s="14" t="n"/>
      <c r="R790" s="7" t="n"/>
      <c r="S790" s="7" t="n"/>
      <c r="T790" s="7" t="n"/>
      <c r="U790" s="12">
        <f>IF(A790="","",IF(OR(J790="",L790=""),"建議補聯絡紀錄","") )</f>
        <v/>
      </c>
    </row>
    <row r="791" ht="24" customHeight="1">
      <c r="A791" s="7" t="n"/>
      <c r="B791" s="7" t="n"/>
      <c r="C791" s="12">
        <f>IF($A791="","",IFERROR(INDEX(土地清冊_匯入!$B$6:$B$1005,MATCH($A791,土地清冊_匯入!$A$6:$A$1005,0)),"查無資料"))</f>
        <v/>
      </c>
      <c r="D791" s="12">
        <f>IF($A791="","",IFERROR(INDEX(土地清冊_匯入!$P$6:$P$1005,MATCH($A791,土地清冊_匯入!$A$6:$A$1005,0)),""))</f>
        <v/>
      </c>
      <c r="E791" s="12">
        <f>IF($A791="","",IFERROR(INDEX(土地清冊_匯入!$Q$6:$Q$1005,MATCH($A791,土地清冊_匯入!$A$6:$A$1005,0)),""))</f>
        <v/>
      </c>
      <c r="F791" s="12">
        <f>IF($A791="","",IFERROR(INDEX(土地清冊_匯入!$R$6:$R$1005,MATCH($A791,土地清冊_匯入!$A$6:$A$1005,0)),""))</f>
        <v/>
      </c>
      <c r="G791" s="12">
        <f>IF($A791="","",IFERROR(INDEX(土地清冊_匯入!$S$6:$S$1005,MATCH($A791,土地清冊_匯入!$A$6:$A$1005,0)),""))</f>
        <v/>
      </c>
      <c r="H791" s="12">
        <f>IF($A791="","",IFERROR(INDEX(土地清冊_匯入!$T$6:$T$1005,MATCH($A791,土地清冊_匯入!$A$6:$A$1005,0)),""))</f>
        <v/>
      </c>
      <c r="I791" s="12">
        <f>IF($A791="","",IFERROR(INDEX(土地清冊_匯入!$V$6:$V$1005,MATCH($A791,土地清冊_匯入!$A$6:$A$1005,0)),""))</f>
        <v/>
      </c>
      <c r="J791" s="14" t="n"/>
      <c r="K791" s="7" t="n"/>
      <c r="L791" s="7" t="n"/>
      <c r="M791" s="7" t="n"/>
      <c r="N791" s="7" t="n"/>
      <c r="O791" s="7" t="n"/>
      <c r="P791" s="7" t="n"/>
      <c r="Q791" s="14" t="n"/>
      <c r="R791" s="7" t="n"/>
      <c r="S791" s="7" t="n"/>
      <c r="T791" s="7" t="n"/>
      <c r="U791" s="12">
        <f>IF(A791="","",IF(OR(J791="",L791=""),"建議補聯絡紀錄","") )</f>
        <v/>
      </c>
    </row>
    <row r="792" ht="24" customHeight="1">
      <c r="A792" s="7" t="n"/>
      <c r="B792" s="7" t="n"/>
      <c r="C792" s="12">
        <f>IF($A792="","",IFERROR(INDEX(土地清冊_匯入!$B$6:$B$1005,MATCH($A792,土地清冊_匯入!$A$6:$A$1005,0)),"查無資料"))</f>
        <v/>
      </c>
      <c r="D792" s="12">
        <f>IF($A792="","",IFERROR(INDEX(土地清冊_匯入!$P$6:$P$1005,MATCH($A792,土地清冊_匯入!$A$6:$A$1005,0)),""))</f>
        <v/>
      </c>
      <c r="E792" s="12">
        <f>IF($A792="","",IFERROR(INDEX(土地清冊_匯入!$Q$6:$Q$1005,MATCH($A792,土地清冊_匯入!$A$6:$A$1005,0)),""))</f>
        <v/>
      </c>
      <c r="F792" s="12">
        <f>IF($A792="","",IFERROR(INDEX(土地清冊_匯入!$R$6:$R$1005,MATCH($A792,土地清冊_匯入!$A$6:$A$1005,0)),""))</f>
        <v/>
      </c>
      <c r="G792" s="12">
        <f>IF($A792="","",IFERROR(INDEX(土地清冊_匯入!$S$6:$S$1005,MATCH($A792,土地清冊_匯入!$A$6:$A$1005,0)),""))</f>
        <v/>
      </c>
      <c r="H792" s="12">
        <f>IF($A792="","",IFERROR(INDEX(土地清冊_匯入!$T$6:$T$1005,MATCH($A792,土地清冊_匯入!$A$6:$A$1005,0)),""))</f>
        <v/>
      </c>
      <c r="I792" s="12">
        <f>IF($A792="","",IFERROR(INDEX(土地清冊_匯入!$V$6:$V$1005,MATCH($A792,土地清冊_匯入!$A$6:$A$1005,0)),""))</f>
        <v/>
      </c>
      <c r="J792" s="14" t="n"/>
      <c r="K792" s="7" t="n"/>
      <c r="L792" s="7" t="n"/>
      <c r="M792" s="7" t="n"/>
      <c r="N792" s="7" t="n"/>
      <c r="O792" s="7" t="n"/>
      <c r="P792" s="7" t="n"/>
      <c r="Q792" s="14" t="n"/>
      <c r="R792" s="7" t="n"/>
      <c r="S792" s="7" t="n"/>
      <c r="T792" s="7" t="n"/>
      <c r="U792" s="12">
        <f>IF(A792="","",IF(OR(J792="",L792=""),"建議補聯絡紀錄","") )</f>
        <v/>
      </c>
    </row>
    <row r="793" ht="24" customHeight="1">
      <c r="A793" s="7" t="n"/>
      <c r="B793" s="7" t="n"/>
      <c r="C793" s="12">
        <f>IF($A793="","",IFERROR(INDEX(土地清冊_匯入!$B$6:$B$1005,MATCH($A793,土地清冊_匯入!$A$6:$A$1005,0)),"查無資料"))</f>
        <v/>
      </c>
      <c r="D793" s="12">
        <f>IF($A793="","",IFERROR(INDEX(土地清冊_匯入!$P$6:$P$1005,MATCH($A793,土地清冊_匯入!$A$6:$A$1005,0)),""))</f>
        <v/>
      </c>
      <c r="E793" s="12">
        <f>IF($A793="","",IFERROR(INDEX(土地清冊_匯入!$Q$6:$Q$1005,MATCH($A793,土地清冊_匯入!$A$6:$A$1005,0)),""))</f>
        <v/>
      </c>
      <c r="F793" s="12">
        <f>IF($A793="","",IFERROR(INDEX(土地清冊_匯入!$R$6:$R$1005,MATCH($A793,土地清冊_匯入!$A$6:$A$1005,0)),""))</f>
        <v/>
      </c>
      <c r="G793" s="12">
        <f>IF($A793="","",IFERROR(INDEX(土地清冊_匯入!$S$6:$S$1005,MATCH($A793,土地清冊_匯入!$A$6:$A$1005,0)),""))</f>
        <v/>
      </c>
      <c r="H793" s="12">
        <f>IF($A793="","",IFERROR(INDEX(土地清冊_匯入!$T$6:$T$1005,MATCH($A793,土地清冊_匯入!$A$6:$A$1005,0)),""))</f>
        <v/>
      </c>
      <c r="I793" s="12">
        <f>IF($A793="","",IFERROR(INDEX(土地清冊_匯入!$V$6:$V$1005,MATCH($A793,土地清冊_匯入!$A$6:$A$1005,0)),""))</f>
        <v/>
      </c>
      <c r="J793" s="14" t="n"/>
      <c r="K793" s="7" t="n"/>
      <c r="L793" s="7" t="n"/>
      <c r="M793" s="7" t="n"/>
      <c r="N793" s="7" t="n"/>
      <c r="O793" s="7" t="n"/>
      <c r="P793" s="7" t="n"/>
      <c r="Q793" s="14" t="n"/>
      <c r="R793" s="7" t="n"/>
      <c r="S793" s="7" t="n"/>
      <c r="T793" s="7" t="n"/>
      <c r="U793" s="12">
        <f>IF(A793="","",IF(OR(J793="",L793=""),"建議補聯絡紀錄","") )</f>
        <v/>
      </c>
    </row>
    <row r="794" ht="24" customHeight="1">
      <c r="A794" s="7" t="n"/>
      <c r="B794" s="7" t="n"/>
      <c r="C794" s="12">
        <f>IF($A794="","",IFERROR(INDEX(土地清冊_匯入!$B$6:$B$1005,MATCH($A794,土地清冊_匯入!$A$6:$A$1005,0)),"查無資料"))</f>
        <v/>
      </c>
      <c r="D794" s="12">
        <f>IF($A794="","",IFERROR(INDEX(土地清冊_匯入!$P$6:$P$1005,MATCH($A794,土地清冊_匯入!$A$6:$A$1005,0)),""))</f>
        <v/>
      </c>
      <c r="E794" s="12">
        <f>IF($A794="","",IFERROR(INDEX(土地清冊_匯入!$Q$6:$Q$1005,MATCH($A794,土地清冊_匯入!$A$6:$A$1005,0)),""))</f>
        <v/>
      </c>
      <c r="F794" s="12">
        <f>IF($A794="","",IFERROR(INDEX(土地清冊_匯入!$R$6:$R$1005,MATCH($A794,土地清冊_匯入!$A$6:$A$1005,0)),""))</f>
        <v/>
      </c>
      <c r="G794" s="12">
        <f>IF($A794="","",IFERROR(INDEX(土地清冊_匯入!$S$6:$S$1005,MATCH($A794,土地清冊_匯入!$A$6:$A$1005,0)),""))</f>
        <v/>
      </c>
      <c r="H794" s="12">
        <f>IF($A794="","",IFERROR(INDEX(土地清冊_匯入!$T$6:$T$1005,MATCH($A794,土地清冊_匯入!$A$6:$A$1005,0)),""))</f>
        <v/>
      </c>
      <c r="I794" s="12">
        <f>IF($A794="","",IFERROR(INDEX(土地清冊_匯入!$V$6:$V$1005,MATCH($A794,土地清冊_匯入!$A$6:$A$1005,0)),""))</f>
        <v/>
      </c>
      <c r="J794" s="14" t="n"/>
      <c r="K794" s="7" t="n"/>
      <c r="L794" s="7" t="n"/>
      <c r="M794" s="7" t="n"/>
      <c r="N794" s="7" t="n"/>
      <c r="O794" s="7" t="n"/>
      <c r="P794" s="7" t="n"/>
      <c r="Q794" s="14" t="n"/>
      <c r="R794" s="7" t="n"/>
      <c r="S794" s="7" t="n"/>
      <c r="T794" s="7" t="n"/>
      <c r="U794" s="12">
        <f>IF(A794="","",IF(OR(J794="",L794=""),"建議補聯絡紀錄","") )</f>
        <v/>
      </c>
    </row>
    <row r="795" ht="24" customHeight="1">
      <c r="A795" s="7" t="n"/>
      <c r="B795" s="7" t="n"/>
      <c r="C795" s="12">
        <f>IF($A795="","",IFERROR(INDEX(土地清冊_匯入!$B$6:$B$1005,MATCH($A795,土地清冊_匯入!$A$6:$A$1005,0)),"查無資料"))</f>
        <v/>
      </c>
      <c r="D795" s="12">
        <f>IF($A795="","",IFERROR(INDEX(土地清冊_匯入!$P$6:$P$1005,MATCH($A795,土地清冊_匯入!$A$6:$A$1005,0)),""))</f>
        <v/>
      </c>
      <c r="E795" s="12">
        <f>IF($A795="","",IFERROR(INDEX(土地清冊_匯入!$Q$6:$Q$1005,MATCH($A795,土地清冊_匯入!$A$6:$A$1005,0)),""))</f>
        <v/>
      </c>
      <c r="F795" s="12">
        <f>IF($A795="","",IFERROR(INDEX(土地清冊_匯入!$R$6:$R$1005,MATCH($A795,土地清冊_匯入!$A$6:$A$1005,0)),""))</f>
        <v/>
      </c>
      <c r="G795" s="12">
        <f>IF($A795="","",IFERROR(INDEX(土地清冊_匯入!$S$6:$S$1005,MATCH($A795,土地清冊_匯入!$A$6:$A$1005,0)),""))</f>
        <v/>
      </c>
      <c r="H795" s="12">
        <f>IF($A795="","",IFERROR(INDEX(土地清冊_匯入!$T$6:$T$1005,MATCH($A795,土地清冊_匯入!$A$6:$A$1005,0)),""))</f>
        <v/>
      </c>
      <c r="I795" s="12">
        <f>IF($A795="","",IFERROR(INDEX(土地清冊_匯入!$V$6:$V$1005,MATCH($A795,土地清冊_匯入!$A$6:$A$1005,0)),""))</f>
        <v/>
      </c>
      <c r="J795" s="14" t="n"/>
      <c r="K795" s="7" t="n"/>
      <c r="L795" s="7" t="n"/>
      <c r="M795" s="7" t="n"/>
      <c r="N795" s="7" t="n"/>
      <c r="O795" s="7" t="n"/>
      <c r="P795" s="7" t="n"/>
      <c r="Q795" s="14" t="n"/>
      <c r="R795" s="7" t="n"/>
      <c r="S795" s="7" t="n"/>
      <c r="T795" s="7" t="n"/>
      <c r="U795" s="12">
        <f>IF(A795="","",IF(OR(J795="",L795=""),"建議補聯絡紀錄","") )</f>
        <v/>
      </c>
    </row>
    <row r="796" ht="24" customHeight="1">
      <c r="A796" s="7" t="n"/>
      <c r="B796" s="7" t="n"/>
      <c r="C796" s="12">
        <f>IF($A796="","",IFERROR(INDEX(土地清冊_匯入!$B$6:$B$1005,MATCH($A796,土地清冊_匯入!$A$6:$A$1005,0)),"查無資料"))</f>
        <v/>
      </c>
      <c r="D796" s="12">
        <f>IF($A796="","",IFERROR(INDEX(土地清冊_匯入!$P$6:$P$1005,MATCH($A796,土地清冊_匯入!$A$6:$A$1005,0)),""))</f>
        <v/>
      </c>
      <c r="E796" s="12">
        <f>IF($A796="","",IFERROR(INDEX(土地清冊_匯入!$Q$6:$Q$1005,MATCH($A796,土地清冊_匯入!$A$6:$A$1005,0)),""))</f>
        <v/>
      </c>
      <c r="F796" s="12">
        <f>IF($A796="","",IFERROR(INDEX(土地清冊_匯入!$R$6:$R$1005,MATCH($A796,土地清冊_匯入!$A$6:$A$1005,0)),""))</f>
        <v/>
      </c>
      <c r="G796" s="12">
        <f>IF($A796="","",IFERROR(INDEX(土地清冊_匯入!$S$6:$S$1005,MATCH($A796,土地清冊_匯入!$A$6:$A$1005,0)),""))</f>
        <v/>
      </c>
      <c r="H796" s="12">
        <f>IF($A796="","",IFERROR(INDEX(土地清冊_匯入!$T$6:$T$1005,MATCH($A796,土地清冊_匯入!$A$6:$A$1005,0)),""))</f>
        <v/>
      </c>
      <c r="I796" s="12">
        <f>IF($A796="","",IFERROR(INDEX(土地清冊_匯入!$V$6:$V$1005,MATCH($A796,土地清冊_匯入!$A$6:$A$1005,0)),""))</f>
        <v/>
      </c>
      <c r="J796" s="14" t="n"/>
      <c r="K796" s="7" t="n"/>
      <c r="L796" s="7" t="n"/>
      <c r="M796" s="7" t="n"/>
      <c r="N796" s="7" t="n"/>
      <c r="O796" s="7" t="n"/>
      <c r="P796" s="7" t="n"/>
      <c r="Q796" s="14" t="n"/>
      <c r="R796" s="7" t="n"/>
      <c r="S796" s="7" t="n"/>
      <c r="T796" s="7" t="n"/>
      <c r="U796" s="12">
        <f>IF(A796="","",IF(OR(J796="",L796=""),"建議補聯絡紀錄","") )</f>
        <v/>
      </c>
    </row>
    <row r="797" ht="24" customHeight="1">
      <c r="A797" s="7" t="n"/>
      <c r="B797" s="7" t="n"/>
      <c r="C797" s="12">
        <f>IF($A797="","",IFERROR(INDEX(土地清冊_匯入!$B$6:$B$1005,MATCH($A797,土地清冊_匯入!$A$6:$A$1005,0)),"查無資料"))</f>
        <v/>
      </c>
      <c r="D797" s="12">
        <f>IF($A797="","",IFERROR(INDEX(土地清冊_匯入!$P$6:$P$1005,MATCH($A797,土地清冊_匯入!$A$6:$A$1005,0)),""))</f>
        <v/>
      </c>
      <c r="E797" s="12">
        <f>IF($A797="","",IFERROR(INDEX(土地清冊_匯入!$Q$6:$Q$1005,MATCH($A797,土地清冊_匯入!$A$6:$A$1005,0)),""))</f>
        <v/>
      </c>
      <c r="F797" s="12">
        <f>IF($A797="","",IFERROR(INDEX(土地清冊_匯入!$R$6:$R$1005,MATCH($A797,土地清冊_匯入!$A$6:$A$1005,0)),""))</f>
        <v/>
      </c>
      <c r="G797" s="12">
        <f>IF($A797="","",IFERROR(INDEX(土地清冊_匯入!$S$6:$S$1005,MATCH($A797,土地清冊_匯入!$A$6:$A$1005,0)),""))</f>
        <v/>
      </c>
      <c r="H797" s="12">
        <f>IF($A797="","",IFERROR(INDEX(土地清冊_匯入!$T$6:$T$1005,MATCH($A797,土地清冊_匯入!$A$6:$A$1005,0)),""))</f>
        <v/>
      </c>
      <c r="I797" s="12">
        <f>IF($A797="","",IFERROR(INDEX(土地清冊_匯入!$V$6:$V$1005,MATCH($A797,土地清冊_匯入!$A$6:$A$1005,0)),""))</f>
        <v/>
      </c>
      <c r="J797" s="14" t="n"/>
      <c r="K797" s="7" t="n"/>
      <c r="L797" s="7" t="n"/>
      <c r="M797" s="7" t="n"/>
      <c r="N797" s="7" t="n"/>
      <c r="O797" s="7" t="n"/>
      <c r="P797" s="7" t="n"/>
      <c r="Q797" s="14" t="n"/>
      <c r="R797" s="7" t="n"/>
      <c r="S797" s="7" t="n"/>
      <c r="T797" s="7" t="n"/>
      <c r="U797" s="12">
        <f>IF(A797="","",IF(OR(J797="",L797=""),"建議補聯絡紀錄","") )</f>
        <v/>
      </c>
    </row>
    <row r="798" ht="24" customHeight="1">
      <c r="A798" s="7" t="n"/>
      <c r="B798" s="7" t="n"/>
      <c r="C798" s="12">
        <f>IF($A798="","",IFERROR(INDEX(土地清冊_匯入!$B$6:$B$1005,MATCH($A798,土地清冊_匯入!$A$6:$A$1005,0)),"查無資料"))</f>
        <v/>
      </c>
      <c r="D798" s="12">
        <f>IF($A798="","",IFERROR(INDEX(土地清冊_匯入!$P$6:$P$1005,MATCH($A798,土地清冊_匯入!$A$6:$A$1005,0)),""))</f>
        <v/>
      </c>
      <c r="E798" s="12">
        <f>IF($A798="","",IFERROR(INDEX(土地清冊_匯入!$Q$6:$Q$1005,MATCH($A798,土地清冊_匯入!$A$6:$A$1005,0)),""))</f>
        <v/>
      </c>
      <c r="F798" s="12">
        <f>IF($A798="","",IFERROR(INDEX(土地清冊_匯入!$R$6:$R$1005,MATCH($A798,土地清冊_匯入!$A$6:$A$1005,0)),""))</f>
        <v/>
      </c>
      <c r="G798" s="12">
        <f>IF($A798="","",IFERROR(INDEX(土地清冊_匯入!$S$6:$S$1005,MATCH($A798,土地清冊_匯入!$A$6:$A$1005,0)),""))</f>
        <v/>
      </c>
      <c r="H798" s="12">
        <f>IF($A798="","",IFERROR(INDEX(土地清冊_匯入!$T$6:$T$1005,MATCH($A798,土地清冊_匯入!$A$6:$A$1005,0)),""))</f>
        <v/>
      </c>
      <c r="I798" s="12">
        <f>IF($A798="","",IFERROR(INDEX(土地清冊_匯入!$V$6:$V$1005,MATCH($A798,土地清冊_匯入!$A$6:$A$1005,0)),""))</f>
        <v/>
      </c>
      <c r="J798" s="14" t="n"/>
      <c r="K798" s="7" t="n"/>
      <c r="L798" s="7" t="n"/>
      <c r="M798" s="7" t="n"/>
      <c r="N798" s="7" t="n"/>
      <c r="O798" s="7" t="n"/>
      <c r="P798" s="7" t="n"/>
      <c r="Q798" s="14" t="n"/>
      <c r="R798" s="7" t="n"/>
      <c r="S798" s="7" t="n"/>
      <c r="T798" s="7" t="n"/>
      <c r="U798" s="12">
        <f>IF(A798="","",IF(OR(J798="",L798=""),"建議補聯絡紀錄","") )</f>
        <v/>
      </c>
    </row>
    <row r="799" ht="24" customHeight="1">
      <c r="A799" s="7" t="n"/>
      <c r="B799" s="7" t="n"/>
      <c r="C799" s="12">
        <f>IF($A799="","",IFERROR(INDEX(土地清冊_匯入!$B$6:$B$1005,MATCH($A799,土地清冊_匯入!$A$6:$A$1005,0)),"查無資料"))</f>
        <v/>
      </c>
      <c r="D799" s="12">
        <f>IF($A799="","",IFERROR(INDEX(土地清冊_匯入!$P$6:$P$1005,MATCH($A799,土地清冊_匯入!$A$6:$A$1005,0)),""))</f>
        <v/>
      </c>
      <c r="E799" s="12">
        <f>IF($A799="","",IFERROR(INDEX(土地清冊_匯入!$Q$6:$Q$1005,MATCH($A799,土地清冊_匯入!$A$6:$A$1005,0)),""))</f>
        <v/>
      </c>
      <c r="F799" s="12">
        <f>IF($A799="","",IFERROR(INDEX(土地清冊_匯入!$R$6:$R$1005,MATCH($A799,土地清冊_匯入!$A$6:$A$1005,0)),""))</f>
        <v/>
      </c>
      <c r="G799" s="12">
        <f>IF($A799="","",IFERROR(INDEX(土地清冊_匯入!$S$6:$S$1005,MATCH($A799,土地清冊_匯入!$A$6:$A$1005,0)),""))</f>
        <v/>
      </c>
      <c r="H799" s="12">
        <f>IF($A799="","",IFERROR(INDEX(土地清冊_匯入!$T$6:$T$1005,MATCH($A799,土地清冊_匯入!$A$6:$A$1005,0)),""))</f>
        <v/>
      </c>
      <c r="I799" s="12">
        <f>IF($A799="","",IFERROR(INDEX(土地清冊_匯入!$V$6:$V$1005,MATCH($A799,土地清冊_匯入!$A$6:$A$1005,0)),""))</f>
        <v/>
      </c>
      <c r="J799" s="14" t="n"/>
      <c r="K799" s="7" t="n"/>
      <c r="L799" s="7" t="n"/>
      <c r="M799" s="7" t="n"/>
      <c r="N799" s="7" t="n"/>
      <c r="O799" s="7" t="n"/>
      <c r="P799" s="7" t="n"/>
      <c r="Q799" s="14" t="n"/>
      <c r="R799" s="7" t="n"/>
      <c r="S799" s="7" t="n"/>
      <c r="T799" s="7" t="n"/>
      <c r="U799" s="12">
        <f>IF(A799="","",IF(OR(J799="",L799=""),"建議補聯絡紀錄","") )</f>
        <v/>
      </c>
    </row>
    <row r="800" ht="24" customHeight="1">
      <c r="A800" s="7" t="n"/>
      <c r="B800" s="7" t="n"/>
      <c r="C800" s="12">
        <f>IF($A800="","",IFERROR(INDEX(土地清冊_匯入!$B$6:$B$1005,MATCH($A800,土地清冊_匯入!$A$6:$A$1005,0)),"查無資料"))</f>
        <v/>
      </c>
      <c r="D800" s="12">
        <f>IF($A800="","",IFERROR(INDEX(土地清冊_匯入!$P$6:$P$1005,MATCH($A800,土地清冊_匯入!$A$6:$A$1005,0)),""))</f>
        <v/>
      </c>
      <c r="E800" s="12">
        <f>IF($A800="","",IFERROR(INDEX(土地清冊_匯入!$Q$6:$Q$1005,MATCH($A800,土地清冊_匯入!$A$6:$A$1005,0)),""))</f>
        <v/>
      </c>
      <c r="F800" s="12">
        <f>IF($A800="","",IFERROR(INDEX(土地清冊_匯入!$R$6:$R$1005,MATCH($A800,土地清冊_匯入!$A$6:$A$1005,0)),""))</f>
        <v/>
      </c>
      <c r="G800" s="12">
        <f>IF($A800="","",IFERROR(INDEX(土地清冊_匯入!$S$6:$S$1005,MATCH($A800,土地清冊_匯入!$A$6:$A$1005,0)),""))</f>
        <v/>
      </c>
      <c r="H800" s="12">
        <f>IF($A800="","",IFERROR(INDEX(土地清冊_匯入!$T$6:$T$1005,MATCH($A800,土地清冊_匯入!$A$6:$A$1005,0)),""))</f>
        <v/>
      </c>
      <c r="I800" s="12">
        <f>IF($A800="","",IFERROR(INDEX(土地清冊_匯入!$V$6:$V$1005,MATCH($A800,土地清冊_匯入!$A$6:$A$1005,0)),""))</f>
        <v/>
      </c>
      <c r="J800" s="14" t="n"/>
      <c r="K800" s="7" t="n"/>
      <c r="L800" s="7" t="n"/>
      <c r="M800" s="7" t="n"/>
      <c r="N800" s="7" t="n"/>
      <c r="O800" s="7" t="n"/>
      <c r="P800" s="7" t="n"/>
      <c r="Q800" s="14" t="n"/>
      <c r="R800" s="7" t="n"/>
      <c r="S800" s="7" t="n"/>
      <c r="T800" s="7" t="n"/>
      <c r="U800" s="12">
        <f>IF(A800="","",IF(OR(J800="",L800=""),"建議補聯絡紀錄","") )</f>
        <v/>
      </c>
    </row>
    <row r="801" ht="24" customHeight="1">
      <c r="A801" s="7" t="n"/>
      <c r="B801" s="7" t="n"/>
      <c r="C801" s="12">
        <f>IF($A801="","",IFERROR(INDEX(土地清冊_匯入!$B$6:$B$1005,MATCH($A801,土地清冊_匯入!$A$6:$A$1005,0)),"查無資料"))</f>
        <v/>
      </c>
      <c r="D801" s="12">
        <f>IF($A801="","",IFERROR(INDEX(土地清冊_匯入!$P$6:$P$1005,MATCH($A801,土地清冊_匯入!$A$6:$A$1005,0)),""))</f>
        <v/>
      </c>
      <c r="E801" s="12">
        <f>IF($A801="","",IFERROR(INDEX(土地清冊_匯入!$Q$6:$Q$1005,MATCH($A801,土地清冊_匯入!$A$6:$A$1005,0)),""))</f>
        <v/>
      </c>
      <c r="F801" s="12">
        <f>IF($A801="","",IFERROR(INDEX(土地清冊_匯入!$R$6:$R$1005,MATCH($A801,土地清冊_匯入!$A$6:$A$1005,0)),""))</f>
        <v/>
      </c>
      <c r="G801" s="12">
        <f>IF($A801="","",IFERROR(INDEX(土地清冊_匯入!$S$6:$S$1005,MATCH($A801,土地清冊_匯入!$A$6:$A$1005,0)),""))</f>
        <v/>
      </c>
      <c r="H801" s="12">
        <f>IF($A801="","",IFERROR(INDEX(土地清冊_匯入!$T$6:$T$1005,MATCH($A801,土地清冊_匯入!$A$6:$A$1005,0)),""))</f>
        <v/>
      </c>
      <c r="I801" s="12">
        <f>IF($A801="","",IFERROR(INDEX(土地清冊_匯入!$V$6:$V$1005,MATCH($A801,土地清冊_匯入!$A$6:$A$1005,0)),""))</f>
        <v/>
      </c>
      <c r="J801" s="14" t="n"/>
      <c r="K801" s="7" t="n"/>
      <c r="L801" s="7" t="n"/>
      <c r="M801" s="7" t="n"/>
      <c r="N801" s="7" t="n"/>
      <c r="O801" s="7" t="n"/>
      <c r="P801" s="7" t="n"/>
      <c r="Q801" s="14" t="n"/>
      <c r="R801" s="7" t="n"/>
      <c r="S801" s="7" t="n"/>
      <c r="T801" s="7" t="n"/>
      <c r="U801" s="12">
        <f>IF(A801="","",IF(OR(J801="",L801=""),"建議補聯絡紀錄","") )</f>
        <v/>
      </c>
    </row>
    <row r="802" ht="24" customHeight="1">
      <c r="A802" s="7" t="n"/>
      <c r="B802" s="7" t="n"/>
      <c r="C802" s="12">
        <f>IF($A802="","",IFERROR(INDEX(土地清冊_匯入!$B$6:$B$1005,MATCH($A802,土地清冊_匯入!$A$6:$A$1005,0)),"查無資料"))</f>
        <v/>
      </c>
      <c r="D802" s="12">
        <f>IF($A802="","",IFERROR(INDEX(土地清冊_匯入!$P$6:$P$1005,MATCH($A802,土地清冊_匯入!$A$6:$A$1005,0)),""))</f>
        <v/>
      </c>
      <c r="E802" s="12">
        <f>IF($A802="","",IFERROR(INDEX(土地清冊_匯入!$Q$6:$Q$1005,MATCH($A802,土地清冊_匯入!$A$6:$A$1005,0)),""))</f>
        <v/>
      </c>
      <c r="F802" s="12">
        <f>IF($A802="","",IFERROR(INDEX(土地清冊_匯入!$R$6:$R$1005,MATCH($A802,土地清冊_匯入!$A$6:$A$1005,0)),""))</f>
        <v/>
      </c>
      <c r="G802" s="12">
        <f>IF($A802="","",IFERROR(INDEX(土地清冊_匯入!$S$6:$S$1005,MATCH($A802,土地清冊_匯入!$A$6:$A$1005,0)),""))</f>
        <v/>
      </c>
      <c r="H802" s="12">
        <f>IF($A802="","",IFERROR(INDEX(土地清冊_匯入!$T$6:$T$1005,MATCH($A802,土地清冊_匯入!$A$6:$A$1005,0)),""))</f>
        <v/>
      </c>
      <c r="I802" s="12">
        <f>IF($A802="","",IFERROR(INDEX(土地清冊_匯入!$V$6:$V$1005,MATCH($A802,土地清冊_匯入!$A$6:$A$1005,0)),""))</f>
        <v/>
      </c>
      <c r="J802" s="14" t="n"/>
      <c r="K802" s="7" t="n"/>
      <c r="L802" s="7" t="n"/>
      <c r="M802" s="7" t="n"/>
      <c r="N802" s="7" t="n"/>
      <c r="O802" s="7" t="n"/>
      <c r="P802" s="7" t="n"/>
      <c r="Q802" s="14" t="n"/>
      <c r="R802" s="7" t="n"/>
      <c r="S802" s="7" t="n"/>
      <c r="T802" s="7" t="n"/>
      <c r="U802" s="12">
        <f>IF(A802="","",IF(OR(J802="",L802=""),"建議補聯絡紀錄","") )</f>
        <v/>
      </c>
    </row>
    <row r="803" ht="24" customHeight="1">
      <c r="A803" s="7" t="n"/>
      <c r="B803" s="7" t="n"/>
      <c r="C803" s="12">
        <f>IF($A803="","",IFERROR(INDEX(土地清冊_匯入!$B$6:$B$1005,MATCH($A803,土地清冊_匯入!$A$6:$A$1005,0)),"查無資料"))</f>
        <v/>
      </c>
      <c r="D803" s="12">
        <f>IF($A803="","",IFERROR(INDEX(土地清冊_匯入!$P$6:$P$1005,MATCH($A803,土地清冊_匯入!$A$6:$A$1005,0)),""))</f>
        <v/>
      </c>
      <c r="E803" s="12">
        <f>IF($A803="","",IFERROR(INDEX(土地清冊_匯入!$Q$6:$Q$1005,MATCH($A803,土地清冊_匯入!$A$6:$A$1005,0)),""))</f>
        <v/>
      </c>
      <c r="F803" s="12">
        <f>IF($A803="","",IFERROR(INDEX(土地清冊_匯入!$R$6:$R$1005,MATCH($A803,土地清冊_匯入!$A$6:$A$1005,0)),""))</f>
        <v/>
      </c>
      <c r="G803" s="12">
        <f>IF($A803="","",IFERROR(INDEX(土地清冊_匯入!$S$6:$S$1005,MATCH($A803,土地清冊_匯入!$A$6:$A$1005,0)),""))</f>
        <v/>
      </c>
      <c r="H803" s="12">
        <f>IF($A803="","",IFERROR(INDEX(土地清冊_匯入!$T$6:$T$1005,MATCH($A803,土地清冊_匯入!$A$6:$A$1005,0)),""))</f>
        <v/>
      </c>
      <c r="I803" s="12">
        <f>IF($A803="","",IFERROR(INDEX(土地清冊_匯入!$V$6:$V$1005,MATCH($A803,土地清冊_匯入!$A$6:$A$1005,0)),""))</f>
        <v/>
      </c>
      <c r="J803" s="14" t="n"/>
      <c r="K803" s="7" t="n"/>
      <c r="L803" s="7" t="n"/>
      <c r="M803" s="7" t="n"/>
      <c r="N803" s="7" t="n"/>
      <c r="O803" s="7" t="n"/>
      <c r="P803" s="7" t="n"/>
      <c r="Q803" s="14" t="n"/>
      <c r="R803" s="7" t="n"/>
      <c r="S803" s="7" t="n"/>
      <c r="T803" s="7" t="n"/>
      <c r="U803" s="12">
        <f>IF(A803="","",IF(OR(J803="",L803=""),"建議補聯絡紀錄","") )</f>
        <v/>
      </c>
    </row>
    <row r="804" ht="24" customHeight="1">
      <c r="A804" s="7" t="n"/>
      <c r="B804" s="7" t="n"/>
      <c r="C804" s="12">
        <f>IF($A804="","",IFERROR(INDEX(土地清冊_匯入!$B$6:$B$1005,MATCH($A804,土地清冊_匯入!$A$6:$A$1005,0)),"查無資料"))</f>
        <v/>
      </c>
      <c r="D804" s="12">
        <f>IF($A804="","",IFERROR(INDEX(土地清冊_匯入!$P$6:$P$1005,MATCH($A804,土地清冊_匯入!$A$6:$A$1005,0)),""))</f>
        <v/>
      </c>
      <c r="E804" s="12">
        <f>IF($A804="","",IFERROR(INDEX(土地清冊_匯入!$Q$6:$Q$1005,MATCH($A804,土地清冊_匯入!$A$6:$A$1005,0)),""))</f>
        <v/>
      </c>
      <c r="F804" s="12">
        <f>IF($A804="","",IFERROR(INDEX(土地清冊_匯入!$R$6:$R$1005,MATCH($A804,土地清冊_匯入!$A$6:$A$1005,0)),""))</f>
        <v/>
      </c>
      <c r="G804" s="12">
        <f>IF($A804="","",IFERROR(INDEX(土地清冊_匯入!$S$6:$S$1005,MATCH($A804,土地清冊_匯入!$A$6:$A$1005,0)),""))</f>
        <v/>
      </c>
      <c r="H804" s="12">
        <f>IF($A804="","",IFERROR(INDEX(土地清冊_匯入!$T$6:$T$1005,MATCH($A804,土地清冊_匯入!$A$6:$A$1005,0)),""))</f>
        <v/>
      </c>
      <c r="I804" s="12">
        <f>IF($A804="","",IFERROR(INDEX(土地清冊_匯入!$V$6:$V$1005,MATCH($A804,土地清冊_匯入!$A$6:$A$1005,0)),""))</f>
        <v/>
      </c>
      <c r="J804" s="14" t="n"/>
      <c r="K804" s="7" t="n"/>
      <c r="L804" s="7" t="n"/>
      <c r="M804" s="7" t="n"/>
      <c r="N804" s="7" t="n"/>
      <c r="O804" s="7" t="n"/>
      <c r="P804" s="7" t="n"/>
      <c r="Q804" s="14" t="n"/>
      <c r="R804" s="7" t="n"/>
      <c r="S804" s="7" t="n"/>
      <c r="T804" s="7" t="n"/>
      <c r="U804" s="12">
        <f>IF(A804="","",IF(OR(J804="",L804=""),"建議補聯絡紀錄","") )</f>
        <v/>
      </c>
    </row>
    <row r="805" ht="24" customHeight="1">
      <c r="A805" s="7" t="n"/>
      <c r="B805" s="7" t="n"/>
      <c r="C805" s="12">
        <f>IF($A805="","",IFERROR(INDEX(土地清冊_匯入!$B$6:$B$1005,MATCH($A805,土地清冊_匯入!$A$6:$A$1005,0)),"查無資料"))</f>
        <v/>
      </c>
      <c r="D805" s="12">
        <f>IF($A805="","",IFERROR(INDEX(土地清冊_匯入!$P$6:$P$1005,MATCH($A805,土地清冊_匯入!$A$6:$A$1005,0)),""))</f>
        <v/>
      </c>
      <c r="E805" s="12">
        <f>IF($A805="","",IFERROR(INDEX(土地清冊_匯入!$Q$6:$Q$1005,MATCH($A805,土地清冊_匯入!$A$6:$A$1005,0)),""))</f>
        <v/>
      </c>
      <c r="F805" s="12">
        <f>IF($A805="","",IFERROR(INDEX(土地清冊_匯入!$R$6:$R$1005,MATCH($A805,土地清冊_匯入!$A$6:$A$1005,0)),""))</f>
        <v/>
      </c>
      <c r="G805" s="12">
        <f>IF($A805="","",IFERROR(INDEX(土地清冊_匯入!$S$6:$S$1005,MATCH($A805,土地清冊_匯入!$A$6:$A$1005,0)),""))</f>
        <v/>
      </c>
      <c r="H805" s="12">
        <f>IF($A805="","",IFERROR(INDEX(土地清冊_匯入!$T$6:$T$1005,MATCH($A805,土地清冊_匯入!$A$6:$A$1005,0)),""))</f>
        <v/>
      </c>
      <c r="I805" s="12">
        <f>IF($A805="","",IFERROR(INDEX(土地清冊_匯入!$V$6:$V$1005,MATCH($A805,土地清冊_匯入!$A$6:$A$1005,0)),""))</f>
        <v/>
      </c>
      <c r="J805" s="14" t="n"/>
      <c r="K805" s="7" t="n"/>
      <c r="L805" s="7" t="n"/>
      <c r="M805" s="7" t="n"/>
      <c r="N805" s="7" t="n"/>
      <c r="O805" s="7" t="n"/>
      <c r="P805" s="7" t="n"/>
      <c r="Q805" s="14" t="n"/>
      <c r="R805" s="7" t="n"/>
      <c r="S805" s="7" t="n"/>
      <c r="T805" s="7" t="n"/>
      <c r="U805" s="12">
        <f>IF(A805="","",IF(OR(J805="",L805=""),"建議補聯絡紀錄","") )</f>
        <v/>
      </c>
    </row>
    <row r="806" ht="24" customHeight="1">
      <c r="A806" s="7" t="n"/>
      <c r="B806" s="7" t="n"/>
      <c r="C806" s="12">
        <f>IF($A806="","",IFERROR(INDEX(土地清冊_匯入!$B$6:$B$1005,MATCH($A806,土地清冊_匯入!$A$6:$A$1005,0)),"查無資料"))</f>
        <v/>
      </c>
      <c r="D806" s="12">
        <f>IF($A806="","",IFERROR(INDEX(土地清冊_匯入!$P$6:$P$1005,MATCH($A806,土地清冊_匯入!$A$6:$A$1005,0)),""))</f>
        <v/>
      </c>
      <c r="E806" s="12">
        <f>IF($A806="","",IFERROR(INDEX(土地清冊_匯入!$Q$6:$Q$1005,MATCH($A806,土地清冊_匯入!$A$6:$A$1005,0)),""))</f>
        <v/>
      </c>
      <c r="F806" s="12">
        <f>IF($A806="","",IFERROR(INDEX(土地清冊_匯入!$R$6:$R$1005,MATCH($A806,土地清冊_匯入!$A$6:$A$1005,0)),""))</f>
        <v/>
      </c>
      <c r="G806" s="12">
        <f>IF($A806="","",IFERROR(INDEX(土地清冊_匯入!$S$6:$S$1005,MATCH($A806,土地清冊_匯入!$A$6:$A$1005,0)),""))</f>
        <v/>
      </c>
      <c r="H806" s="12">
        <f>IF($A806="","",IFERROR(INDEX(土地清冊_匯入!$T$6:$T$1005,MATCH($A806,土地清冊_匯入!$A$6:$A$1005,0)),""))</f>
        <v/>
      </c>
      <c r="I806" s="12">
        <f>IF($A806="","",IFERROR(INDEX(土地清冊_匯入!$V$6:$V$1005,MATCH($A806,土地清冊_匯入!$A$6:$A$1005,0)),""))</f>
        <v/>
      </c>
      <c r="J806" s="14" t="n"/>
      <c r="K806" s="7" t="n"/>
      <c r="L806" s="7" t="n"/>
      <c r="M806" s="7" t="n"/>
      <c r="N806" s="7" t="n"/>
      <c r="O806" s="7" t="n"/>
      <c r="P806" s="7" t="n"/>
      <c r="Q806" s="14" t="n"/>
      <c r="R806" s="7" t="n"/>
      <c r="S806" s="7" t="n"/>
      <c r="T806" s="7" t="n"/>
      <c r="U806" s="12">
        <f>IF(A806="","",IF(OR(J806="",L806=""),"建議補聯絡紀錄","") )</f>
        <v/>
      </c>
    </row>
    <row r="807" ht="24" customHeight="1">
      <c r="A807" s="7" t="n"/>
      <c r="B807" s="7" t="n"/>
      <c r="C807" s="12">
        <f>IF($A807="","",IFERROR(INDEX(土地清冊_匯入!$B$6:$B$1005,MATCH($A807,土地清冊_匯入!$A$6:$A$1005,0)),"查無資料"))</f>
        <v/>
      </c>
      <c r="D807" s="12">
        <f>IF($A807="","",IFERROR(INDEX(土地清冊_匯入!$P$6:$P$1005,MATCH($A807,土地清冊_匯入!$A$6:$A$1005,0)),""))</f>
        <v/>
      </c>
      <c r="E807" s="12">
        <f>IF($A807="","",IFERROR(INDEX(土地清冊_匯入!$Q$6:$Q$1005,MATCH($A807,土地清冊_匯入!$A$6:$A$1005,0)),""))</f>
        <v/>
      </c>
      <c r="F807" s="12">
        <f>IF($A807="","",IFERROR(INDEX(土地清冊_匯入!$R$6:$R$1005,MATCH($A807,土地清冊_匯入!$A$6:$A$1005,0)),""))</f>
        <v/>
      </c>
      <c r="G807" s="12">
        <f>IF($A807="","",IFERROR(INDEX(土地清冊_匯入!$S$6:$S$1005,MATCH($A807,土地清冊_匯入!$A$6:$A$1005,0)),""))</f>
        <v/>
      </c>
      <c r="H807" s="12">
        <f>IF($A807="","",IFERROR(INDEX(土地清冊_匯入!$T$6:$T$1005,MATCH($A807,土地清冊_匯入!$A$6:$A$1005,0)),""))</f>
        <v/>
      </c>
      <c r="I807" s="12">
        <f>IF($A807="","",IFERROR(INDEX(土地清冊_匯入!$V$6:$V$1005,MATCH($A807,土地清冊_匯入!$A$6:$A$1005,0)),""))</f>
        <v/>
      </c>
      <c r="J807" s="14" t="n"/>
      <c r="K807" s="7" t="n"/>
      <c r="L807" s="7" t="n"/>
      <c r="M807" s="7" t="n"/>
      <c r="N807" s="7" t="n"/>
      <c r="O807" s="7" t="n"/>
      <c r="P807" s="7" t="n"/>
      <c r="Q807" s="14" t="n"/>
      <c r="R807" s="7" t="n"/>
      <c r="S807" s="7" t="n"/>
      <c r="T807" s="7" t="n"/>
      <c r="U807" s="12">
        <f>IF(A807="","",IF(OR(J807="",L807=""),"建議補聯絡紀錄","") )</f>
        <v/>
      </c>
    </row>
    <row r="808" ht="24" customHeight="1">
      <c r="A808" s="7" t="n"/>
      <c r="B808" s="7" t="n"/>
      <c r="C808" s="12">
        <f>IF($A808="","",IFERROR(INDEX(土地清冊_匯入!$B$6:$B$1005,MATCH($A808,土地清冊_匯入!$A$6:$A$1005,0)),"查無資料"))</f>
        <v/>
      </c>
      <c r="D808" s="12">
        <f>IF($A808="","",IFERROR(INDEX(土地清冊_匯入!$P$6:$P$1005,MATCH($A808,土地清冊_匯入!$A$6:$A$1005,0)),""))</f>
        <v/>
      </c>
      <c r="E808" s="12">
        <f>IF($A808="","",IFERROR(INDEX(土地清冊_匯入!$Q$6:$Q$1005,MATCH($A808,土地清冊_匯入!$A$6:$A$1005,0)),""))</f>
        <v/>
      </c>
      <c r="F808" s="12">
        <f>IF($A808="","",IFERROR(INDEX(土地清冊_匯入!$R$6:$R$1005,MATCH($A808,土地清冊_匯入!$A$6:$A$1005,0)),""))</f>
        <v/>
      </c>
      <c r="G808" s="12">
        <f>IF($A808="","",IFERROR(INDEX(土地清冊_匯入!$S$6:$S$1005,MATCH($A808,土地清冊_匯入!$A$6:$A$1005,0)),""))</f>
        <v/>
      </c>
      <c r="H808" s="12">
        <f>IF($A808="","",IFERROR(INDEX(土地清冊_匯入!$T$6:$T$1005,MATCH($A808,土地清冊_匯入!$A$6:$A$1005,0)),""))</f>
        <v/>
      </c>
      <c r="I808" s="12">
        <f>IF($A808="","",IFERROR(INDEX(土地清冊_匯入!$V$6:$V$1005,MATCH($A808,土地清冊_匯入!$A$6:$A$1005,0)),""))</f>
        <v/>
      </c>
      <c r="J808" s="14" t="n"/>
      <c r="K808" s="7" t="n"/>
      <c r="L808" s="7" t="n"/>
      <c r="M808" s="7" t="n"/>
      <c r="N808" s="7" t="n"/>
      <c r="O808" s="7" t="n"/>
      <c r="P808" s="7" t="n"/>
      <c r="Q808" s="14" t="n"/>
      <c r="R808" s="7" t="n"/>
      <c r="S808" s="7" t="n"/>
      <c r="T808" s="7" t="n"/>
      <c r="U808" s="12">
        <f>IF(A808="","",IF(OR(J808="",L808=""),"建議補聯絡紀錄","") )</f>
        <v/>
      </c>
    </row>
    <row r="809" ht="24" customHeight="1">
      <c r="A809" s="7" t="n"/>
      <c r="B809" s="7" t="n"/>
      <c r="C809" s="12">
        <f>IF($A809="","",IFERROR(INDEX(土地清冊_匯入!$B$6:$B$1005,MATCH($A809,土地清冊_匯入!$A$6:$A$1005,0)),"查無資料"))</f>
        <v/>
      </c>
      <c r="D809" s="12">
        <f>IF($A809="","",IFERROR(INDEX(土地清冊_匯入!$P$6:$P$1005,MATCH($A809,土地清冊_匯入!$A$6:$A$1005,0)),""))</f>
        <v/>
      </c>
      <c r="E809" s="12">
        <f>IF($A809="","",IFERROR(INDEX(土地清冊_匯入!$Q$6:$Q$1005,MATCH($A809,土地清冊_匯入!$A$6:$A$1005,0)),""))</f>
        <v/>
      </c>
      <c r="F809" s="12">
        <f>IF($A809="","",IFERROR(INDEX(土地清冊_匯入!$R$6:$R$1005,MATCH($A809,土地清冊_匯入!$A$6:$A$1005,0)),""))</f>
        <v/>
      </c>
      <c r="G809" s="12">
        <f>IF($A809="","",IFERROR(INDEX(土地清冊_匯入!$S$6:$S$1005,MATCH($A809,土地清冊_匯入!$A$6:$A$1005,0)),""))</f>
        <v/>
      </c>
      <c r="H809" s="12">
        <f>IF($A809="","",IFERROR(INDEX(土地清冊_匯入!$T$6:$T$1005,MATCH($A809,土地清冊_匯入!$A$6:$A$1005,0)),""))</f>
        <v/>
      </c>
      <c r="I809" s="12">
        <f>IF($A809="","",IFERROR(INDEX(土地清冊_匯入!$V$6:$V$1005,MATCH($A809,土地清冊_匯入!$A$6:$A$1005,0)),""))</f>
        <v/>
      </c>
      <c r="J809" s="14" t="n"/>
      <c r="K809" s="7" t="n"/>
      <c r="L809" s="7" t="n"/>
      <c r="M809" s="7" t="n"/>
      <c r="N809" s="7" t="n"/>
      <c r="O809" s="7" t="n"/>
      <c r="P809" s="7" t="n"/>
      <c r="Q809" s="14" t="n"/>
      <c r="R809" s="7" t="n"/>
      <c r="S809" s="7" t="n"/>
      <c r="T809" s="7" t="n"/>
      <c r="U809" s="12">
        <f>IF(A809="","",IF(OR(J809="",L809=""),"建議補聯絡紀錄","") )</f>
        <v/>
      </c>
    </row>
    <row r="810" ht="24" customHeight="1">
      <c r="A810" s="7" t="n"/>
      <c r="B810" s="7" t="n"/>
      <c r="C810" s="12">
        <f>IF($A810="","",IFERROR(INDEX(土地清冊_匯入!$B$6:$B$1005,MATCH($A810,土地清冊_匯入!$A$6:$A$1005,0)),"查無資料"))</f>
        <v/>
      </c>
      <c r="D810" s="12">
        <f>IF($A810="","",IFERROR(INDEX(土地清冊_匯入!$P$6:$P$1005,MATCH($A810,土地清冊_匯入!$A$6:$A$1005,0)),""))</f>
        <v/>
      </c>
      <c r="E810" s="12">
        <f>IF($A810="","",IFERROR(INDEX(土地清冊_匯入!$Q$6:$Q$1005,MATCH($A810,土地清冊_匯入!$A$6:$A$1005,0)),""))</f>
        <v/>
      </c>
      <c r="F810" s="12">
        <f>IF($A810="","",IFERROR(INDEX(土地清冊_匯入!$R$6:$R$1005,MATCH($A810,土地清冊_匯入!$A$6:$A$1005,0)),""))</f>
        <v/>
      </c>
      <c r="G810" s="12">
        <f>IF($A810="","",IFERROR(INDEX(土地清冊_匯入!$S$6:$S$1005,MATCH($A810,土地清冊_匯入!$A$6:$A$1005,0)),""))</f>
        <v/>
      </c>
      <c r="H810" s="12">
        <f>IF($A810="","",IFERROR(INDEX(土地清冊_匯入!$T$6:$T$1005,MATCH($A810,土地清冊_匯入!$A$6:$A$1005,0)),""))</f>
        <v/>
      </c>
      <c r="I810" s="12">
        <f>IF($A810="","",IFERROR(INDEX(土地清冊_匯入!$V$6:$V$1005,MATCH($A810,土地清冊_匯入!$A$6:$A$1005,0)),""))</f>
        <v/>
      </c>
      <c r="J810" s="14" t="n"/>
      <c r="K810" s="7" t="n"/>
      <c r="L810" s="7" t="n"/>
      <c r="M810" s="7" t="n"/>
      <c r="N810" s="7" t="n"/>
      <c r="O810" s="7" t="n"/>
      <c r="P810" s="7" t="n"/>
      <c r="Q810" s="14" t="n"/>
      <c r="R810" s="7" t="n"/>
      <c r="S810" s="7" t="n"/>
      <c r="T810" s="7" t="n"/>
      <c r="U810" s="12">
        <f>IF(A810="","",IF(OR(J810="",L810=""),"建議補聯絡紀錄","") )</f>
        <v/>
      </c>
    </row>
    <row r="811" ht="24" customHeight="1">
      <c r="A811" s="7" t="n"/>
      <c r="B811" s="7" t="n"/>
      <c r="C811" s="12">
        <f>IF($A811="","",IFERROR(INDEX(土地清冊_匯入!$B$6:$B$1005,MATCH($A811,土地清冊_匯入!$A$6:$A$1005,0)),"查無資料"))</f>
        <v/>
      </c>
      <c r="D811" s="12">
        <f>IF($A811="","",IFERROR(INDEX(土地清冊_匯入!$P$6:$P$1005,MATCH($A811,土地清冊_匯入!$A$6:$A$1005,0)),""))</f>
        <v/>
      </c>
      <c r="E811" s="12">
        <f>IF($A811="","",IFERROR(INDEX(土地清冊_匯入!$Q$6:$Q$1005,MATCH($A811,土地清冊_匯入!$A$6:$A$1005,0)),""))</f>
        <v/>
      </c>
      <c r="F811" s="12">
        <f>IF($A811="","",IFERROR(INDEX(土地清冊_匯入!$R$6:$R$1005,MATCH($A811,土地清冊_匯入!$A$6:$A$1005,0)),""))</f>
        <v/>
      </c>
      <c r="G811" s="12">
        <f>IF($A811="","",IFERROR(INDEX(土地清冊_匯入!$S$6:$S$1005,MATCH($A811,土地清冊_匯入!$A$6:$A$1005,0)),""))</f>
        <v/>
      </c>
      <c r="H811" s="12">
        <f>IF($A811="","",IFERROR(INDEX(土地清冊_匯入!$T$6:$T$1005,MATCH($A811,土地清冊_匯入!$A$6:$A$1005,0)),""))</f>
        <v/>
      </c>
      <c r="I811" s="12">
        <f>IF($A811="","",IFERROR(INDEX(土地清冊_匯入!$V$6:$V$1005,MATCH($A811,土地清冊_匯入!$A$6:$A$1005,0)),""))</f>
        <v/>
      </c>
      <c r="J811" s="14" t="n"/>
      <c r="K811" s="7" t="n"/>
      <c r="L811" s="7" t="n"/>
      <c r="M811" s="7" t="n"/>
      <c r="N811" s="7" t="n"/>
      <c r="O811" s="7" t="n"/>
      <c r="P811" s="7" t="n"/>
      <c r="Q811" s="14" t="n"/>
      <c r="R811" s="7" t="n"/>
      <c r="S811" s="7" t="n"/>
      <c r="T811" s="7" t="n"/>
      <c r="U811" s="12">
        <f>IF(A811="","",IF(OR(J811="",L811=""),"建議補聯絡紀錄","") )</f>
        <v/>
      </c>
    </row>
    <row r="812" ht="24" customHeight="1">
      <c r="A812" s="7" t="n"/>
      <c r="B812" s="7" t="n"/>
      <c r="C812" s="12">
        <f>IF($A812="","",IFERROR(INDEX(土地清冊_匯入!$B$6:$B$1005,MATCH($A812,土地清冊_匯入!$A$6:$A$1005,0)),"查無資料"))</f>
        <v/>
      </c>
      <c r="D812" s="12">
        <f>IF($A812="","",IFERROR(INDEX(土地清冊_匯入!$P$6:$P$1005,MATCH($A812,土地清冊_匯入!$A$6:$A$1005,0)),""))</f>
        <v/>
      </c>
      <c r="E812" s="12">
        <f>IF($A812="","",IFERROR(INDEX(土地清冊_匯入!$Q$6:$Q$1005,MATCH($A812,土地清冊_匯入!$A$6:$A$1005,0)),""))</f>
        <v/>
      </c>
      <c r="F812" s="12">
        <f>IF($A812="","",IFERROR(INDEX(土地清冊_匯入!$R$6:$R$1005,MATCH($A812,土地清冊_匯入!$A$6:$A$1005,0)),""))</f>
        <v/>
      </c>
      <c r="G812" s="12">
        <f>IF($A812="","",IFERROR(INDEX(土地清冊_匯入!$S$6:$S$1005,MATCH($A812,土地清冊_匯入!$A$6:$A$1005,0)),""))</f>
        <v/>
      </c>
      <c r="H812" s="12">
        <f>IF($A812="","",IFERROR(INDEX(土地清冊_匯入!$T$6:$T$1005,MATCH($A812,土地清冊_匯入!$A$6:$A$1005,0)),""))</f>
        <v/>
      </c>
      <c r="I812" s="12">
        <f>IF($A812="","",IFERROR(INDEX(土地清冊_匯入!$V$6:$V$1005,MATCH($A812,土地清冊_匯入!$A$6:$A$1005,0)),""))</f>
        <v/>
      </c>
      <c r="J812" s="14" t="n"/>
      <c r="K812" s="7" t="n"/>
      <c r="L812" s="7" t="n"/>
      <c r="M812" s="7" t="n"/>
      <c r="N812" s="7" t="n"/>
      <c r="O812" s="7" t="n"/>
      <c r="P812" s="7" t="n"/>
      <c r="Q812" s="14" t="n"/>
      <c r="R812" s="7" t="n"/>
      <c r="S812" s="7" t="n"/>
      <c r="T812" s="7" t="n"/>
      <c r="U812" s="12">
        <f>IF(A812="","",IF(OR(J812="",L812=""),"建議補聯絡紀錄","") )</f>
        <v/>
      </c>
    </row>
    <row r="813" ht="24" customHeight="1">
      <c r="A813" s="7" t="n"/>
      <c r="B813" s="7" t="n"/>
      <c r="C813" s="12">
        <f>IF($A813="","",IFERROR(INDEX(土地清冊_匯入!$B$6:$B$1005,MATCH($A813,土地清冊_匯入!$A$6:$A$1005,0)),"查無資料"))</f>
        <v/>
      </c>
      <c r="D813" s="12">
        <f>IF($A813="","",IFERROR(INDEX(土地清冊_匯入!$P$6:$P$1005,MATCH($A813,土地清冊_匯入!$A$6:$A$1005,0)),""))</f>
        <v/>
      </c>
      <c r="E813" s="12">
        <f>IF($A813="","",IFERROR(INDEX(土地清冊_匯入!$Q$6:$Q$1005,MATCH($A813,土地清冊_匯入!$A$6:$A$1005,0)),""))</f>
        <v/>
      </c>
      <c r="F813" s="12">
        <f>IF($A813="","",IFERROR(INDEX(土地清冊_匯入!$R$6:$R$1005,MATCH($A813,土地清冊_匯入!$A$6:$A$1005,0)),""))</f>
        <v/>
      </c>
      <c r="G813" s="12">
        <f>IF($A813="","",IFERROR(INDEX(土地清冊_匯入!$S$6:$S$1005,MATCH($A813,土地清冊_匯入!$A$6:$A$1005,0)),""))</f>
        <v/>
      </c>
      <c r="H813" s="12">
        <f>IF($A813="","",IFERROR(INDEX(土地清冊_匯入!$T$6:$T$1005,MATCH($A813,土地清冊_匯入!$A$6:$A$1005,0)),""))</f>
        <v/>
      </c>
      <c r="I813" s="12">
        <f>IF($A813="","",IFERROR(INDEX(土地清冊_匯入!$V$6:$V$1005,MATCH($A813,土地清冊_匯入!$A$6:$A$1005,0)),""))</f>
        <v/>
      </c>
      <c r="J813" s="14" t="n"/>
      <c r="K813" s="7" t="n"/>
      <c r="L813" s="7" t="n"/>
      <c r="M813" s="7" t="n"/>
      <c r="N813" s="7" t="n"/>
      <c r="O813" s="7" t="n"/>
      <c r="P813" s="7" t="n"/>
      <c r="Q813" s="14" t="n"/>
      <c r="R813" s="7" t="n"/>
      <c r="S813" s="7" t="n"/>
      <c r="T813" s="7" t="n"/>
      <c r="U813" s="12">
        <f>IF(A813="","",IF(OR(J813="",L813=""),"建議補聯絡紀錄","") )</f>
        <v/>
      </c>
    </row>
    <row r="814" ht="24" customHeight="1">
      <c r="A814" s="7" t="n"/>
      <c r="B814" s="7" t="n"/>
      <c r="C814" s="12">
        <f>IF($A814="","",IFERROR(INDEX(土地清冊_匯入!$B$6:$B$1005,MATCH($A814,土地清冊_匯入!$A$6:$A$1005,0)),"查無資料"))</f>
        <v/>
      </c>
      <c r="D814" s="12">
        <f>IF($A814="","",IFERROR(INDEX(土地清冊_匯入!$P$6:$P$1005,MATCH($A814,土地清冊_匯入!$A$6:$A$1005,0)),""))</f>
        <v/>
      </c>
      <c r="E814" s="12">
        <f>IF($A814="","",IFERROR(INDEX(土地清冊_匯入!$Q$6:$Q$1005,MATCH($A814,土地清冊_匯入!$A$6:$A$1005,0)),""))</f>
        <v/>
      </c>
      <c r="F814" s="12">
        <f>IF($A814="","",IFERROR(INDEX(土地清冊_匯入!$R$6:$R$1005,MATCH($A814,土地清冊_匯入!$A$6:$A$1005,0)),""))</f>
        <v/>
      </c>
      <c r="G814" s="12">
        <f>IF($A814="","",IFERROR(INDEX(土地清冊_匯入!$S$6:$S$1005,MATCH($A814,土地清冊_匯入!$A$6:$A$1005,0)),""))</f>
        <v/>
      </c>
      <c r="H814" s="12">
        <f>IF($A814="","",IFERROR(INDEX(土地清冊_匯入!$T$6:$T$1005,MATCH($A814,土地清冊_匯入!$A$6:$A$1005,0)),""))</f>
        <v/>
      </c>
      <c r="I814" s="12">
        <f>IF($A814="","",IFERROR(INDEX(土地清冊_匯入!$V$6:$V$1005,MATCH($A814,土地清冊_匯入!$A$6:$A$1005,0)),""))</f>
        <v/>
      </c>
      <c r="J814" s="14" t="n"/>
      <c r="K814" s="7" t="n"/>
      <c r="L814" s="7" t="n"/>
      <c r="M814" s="7" t="n"/>
      <c r="N814" s="7" t="n"/>
      <c r="O814" s="7" t="n"/>
      <c r="P814" s="7" t="n"/>
      <c r="Q814" s="14" t="n"/>
      <c r="R814" s="7" t="n"/>
      <c r="S814" s="7" t="n"/>
      <c r="T814" s="7" t="n"/>
      <c r="U814" s="12">
        <f>IF(A814="","",IF(OR(J814="",L814=""),"建議補聯絡紀錄","") )</f>
        <v/>
      </c>
    </row>
    <row r="815" ht="24" customHeight="1">
      <c r="A815" s="7" t="n"/>
      <c r="B815" s="7" t="n"/>
      <c r="C815" s="12">
        <f>IF($A815="","",IFERROR(INDEX(土地清冊_匯入!$B$6:$B$1005,MATCH($A815,土地清冊_匯入!$A$6:$A$1005,0)),"查無資料"))</f>
        <v/>
      </c>
      <c r="D815" s="12">
        <f>IF($A815="","",IFERROR(INDEX(土地清冊_匯入!$P$6:$P$1005,MATCH($A815,土地清冊_匯入!$A$6:$A$1005,0)),""))</f>
        <v/>
      </c>
      <c r="E815" s="12">
        <f>IF($A815="","",IFERROR(INDEX(土地清冊_匯入!$Q$6:$Q$1005,MATCH($A815,土地清冊_匯入!$A$6:$A$1005,0)),""))</f>
        <v/>
      </c>
      <c r="F815" s="12">
        <f>IF($A815="","",IFERROR(INDEX(土地清冊_匯入!$R$6:$R$1005,MATCH($A815,土地清冊_匯入!$A$6:$A$1005,0)),""))</f>
        <v/>
      </c>
      <c r="G815" s="12">
        <f>IF($A815="","",IFERROR(INDEX(土地清冊_匯入!$S$6:$S$1005,MATCH($A815,土地清冊_匯入!$A$6:$A$1005,0)),""))</f>
        <v/>
      </c>
      <c r="H815" s="12">
        <f>IF($A815="","",IFERROR(INDEX(土地清冊_匯入!$T$6:$T$1005,MATCH($A815,土地清冊_匯入!$A$6:$A$1005,0)),""))</f>
        <v/>
      </c>
      <c r="I815" s="12">
        <f>IF($A815="","",IFERROR(INDEX(土地清冊_匯入!$V$6:$V$1005,MATCH($A815,土地清冊_匯入!$A$6:$A$1005,0)),""))</f>
        <v/>
      </c>
      <c r="J815" s="14" t="n"/>
      <c r="K815" s="7" t="n"/>
      <c r="L815" s="7" t="n"/>
      <c r="M815" s="7" t="n"/>
      <c r="N815" s="7" t="n"/>
      <c r="O815" s="7" t="n"/>
      <c r="P815" s="7" t="n"/>
      <c r="Q815" s="14" t="n"/>
      <c r="R815" s="7" t="n"/>
      <c r="S815" s="7" t="n"/>
      <c r="T815" s="7" t="n"/>
      <c r="U815" s="12">
        <f>IF(A815="","",IF(OR(J815="",L815=""),"建議補聯絡紀錄","") )</f>
        <v/>
      </c>
    </row>
    <row r="816" ht="24" customHeight="1">
      <c r="A816" s="7" t="n"/>
      <c r="B816" s="7" t="n"/>
      <c r="C816" s="12">
        <f>IF($A816="","",IFERROR(INDEX(土地清冊_匯入!$B$6:$B$1005,MATCH($A816,土地清冊_匯入!$A$6:$A$1005,0)),"查無資料"))</f>
        <v/>
      </c>
      <c r="D816" s="12">
        <f>IF($A816="","",IFERROR(INDEX(土地清冊_匯入!$P$6:$P$1005,MATCH($A816,土地清冊_匯入!$A$6:$A$1005,0)),""))</f>
        <v/>
      </c>
      <c r="E816" s="12">
        <f>IF($A816="","",IFERROR(INDEX(土地清冊_匯入!$Q$6:$Q$1005,MATCH($A816,土地清冊_匯入!$A$6:$A$1005,0)),""))</f>
        <v/>
      </c>
      <c r="F816" s="12">
        <f>IF($A816="","",IFERROR(INDEX(土地清冊_匯入!$R$6:$R$1005,MATCH($A816,土地清冊_匯入!$A$6:$A$1005,0)),""))</f>
        <v/>
      </c>
      <c r="G816" s="12">
        <f>IF($A816="","",IFERROR(INDEX(土地清冊_匯入!$S$6:$S$1005,MATCH($A816,土地清冊_匯入!$A$6:$A$1005,0)),""))</f>
        <v/>
      </c>
      <c r="H816" s="12">
        <f>IF($A816="","",IFERROR(INDEX(土地清冊_匯入!$T$6:$T$1005,MATCH($A816,土地清冊_匯入!$A$6:$A$1005,0)),""))</f>
        <v/>
      </c>
      <c r="I816" s="12">
        <f>IF($A816="","",IFERROR(INDEX(土地清冊_匯入!$V$6:$V$1005,MATCH($A816,土地清冊_匯入!$A$6:$A$1005,0)),""))</f>
        <v/>
      </c>
      <c r="J816" s="14" t="n"/>
      <c r="K816" s="7" t="n"/>
      <c r="L816" s="7" t="n"/>
      <c r="M816" s="7" t="n"/>
      <c r="N816" s="7" t="n"/>
      <c r="O816" s="7" t="n"/>
      <c r="P816" s="7" t="n"/>
      <c r="Q816" s="14" t="n"/>
      <c r="R816" s="7" t="n"/>
      <c r="S816" s="7" t="n"/>
      <c r="T816" s="7" t="n"/>
      <c r="U816" s="12">
        <f>IF(A816="","",IF(OR(J816="",L816=""),"建議補聯絡紀錄","") )</f>
        <v/>
      </c>
    </row>
    <row r="817" ht="24" customHeight="1">
      <c r="A817" s="7" t="n"/>
      <c r="B817" s="7" t="n"/>
      <c r="C817" s="12">
        <f>IF($A817="","",IFERROR(INDEX(土地清冊_匯入!$B$6:$B$1005,MATCH($A817,土地清冊_匯入!$A$6:$A$1005,0)),"查無資料"))</f>
        <v/>
      </c>
      <c r="D817" s="12">
        <f>IF($A817="","",IFERROR(INDEX(土地清冊_匯入!$P$6:$P$1005,MATCH($A817,土地清冊_匯入!$A$6:$A$1005,0)),""))</f>
        <v/>
      </c>
      <c r="E817" s="12">
        <f>IF($A817="","",IFERROR(INDEX(土地清冊_匯入!$Q$6:$Q$1005,MATCH($A817,土地清冊_匯入!$A$6:$A$1005,0)),""))</f>
        <v/>
      </c>
      <c r="F817" s="12">
        <f>IF($A817="","",IFERROR(INDEX(土地清冊_匯入!$R$6:$R$1005,MATCH($A817,土地清冊_匯入!$A$6:$A$1005,0)),""))</f>
        <v/>
      </c>
      <c r="G817" s="12">
        <f>IF($A817="","",IFERROR(INDEX(土地清冊_匯入!$S$6:$S$1005,MATCH($A817,土地清冊_匯入!$A$6:$A$1005,0)),""))</f>
        <v/>
      </c>
      <c r="H817" s="12">
        <f>IF($A817="","",IFERROR(INDEX(土地清冊_匯入!$T$6:$T$1005,MATCH($A817,土地清冊_匯入!$A$6:$A$1005,0)),""))</f>
        <v/>
      </c>
      <c r="I817" s="12">
        <f>IF($A817="","",IFERROR(INDEX(土地清冊_匯入!$V$6:$V$1005,MATCH($A817,土地清冊_匯入!$A$6:$A$1005,0)),""))</f>
        <v/>
      </c>
      <c r="J817" s="14" t="n"/>
      <c r="K817" s="7" t="n"/>
      <c r="L817" s="7" t="n"/>
      <c r="M817" s="7" t="n"/>
      <c r="N817" s="7" t="n"/>
      <c r="O817" s="7" t="n"/>
      <c r="P817" s="7" t="n"/>
      <c r="Q817" s="14" t="n"/>
      <c r="R817" s="7" t="n"/>
      <c r="S817" s="7" t="n"/>
      <c r="T817" s="7" t="n"/>
      <c r="U817" s="12">
        <f>IF(A817="","",IF(OR(J817="",L817=""),"建議補聯絡紀錄","") )</f>
        <v/>
      </c>
    </row>
    <row r="818" ht="24" customHeight="1">
      <c r="A818" s="7" t="n"/>
      <c r="B818" s="7" t="n"/>
      <c r="C818" s="12">
        <f>IF($A818="","",IFERROR(INDEX(土地清冊_匯入!$B$6:$B$1005,MATCH($A818,土地清冊_匯入!$A$6:$A$1005,0)),"查無資料"))</f>
        <v/>
      </c>
      <c r="D818" s="12">
        <f>IF($A818="","",IFERROR(INDEX(土地清冊_匯入!$P$6:$P$1005,MATCH($A818,土地清冊_匯入!$A$6:$A$1005,0)),""))</f>
        <v/>
      </c>
      <c r="E818" s="12">
        <f>IF($A818="","",IFERROR(INDEX(土地清冊_匯入!$Q$6:$Q$1005,MATCH($A818,土地清冊_匯入!$A$6:$A$1005,0)),""))</f>
        <v/>
      </c>
      <c r="F818" s="12">
        <f>IF($A818="","",IFERROR(INDEX(土地清冊_匯入!$R$6:$R$1005,MATCH($A818,土地清冊_匯入!$A$6:$A$1005,0)),""))</f>
        <v/>
      </c>
      <c r="G818" s="12">
        <f>IF($A818="","",IFERROR(INDEX(土地清冊_匯入!$S$6:$S$1005,MATCH($A818,土地清冊_匯入!$A$6:$A$1005,0)),""))</f>
        <v/>
      </c>
      <c r="H818" s="12">
        <f>IF($A818="","",IFERROR(INDEX(土地清冊_匯入!$T$6:$T$1005,MATCH($A818,土地清冊_匯入!$A$6:$A$1005,0)),""))</f>
        <v/>
      </c>
      <c r="I818" s="12">
        <f>IF($A818="","",IFERROR(INDEX(土地清冊_匯入!$V$6:$V$1005,MATCH($A818,土地清冊_匯入!$A$6:$A$1005,0)),""))</f>
        <v/>
      </c>
      <c r="J818" s="14" t="n"/>
      <c r="K818" s="7" t="n"/>
      <c r="L818" s="7" t="n"/>
      <c r="M818" s="7" t="n"/>
      <c r="N818" s="7" t="n"/>
      <c r="O818" s="7" t="n"/>
      <c r="P818" s="7" t="n"/>
      <c r="Q818" s="14" t="n"/>
      <c r="R818" s="7" t="n"/>
      <c r="S818" s="7" t="n"/>
      <c r="T818" s="7" t="n"/>
      <c r="U818" s="12">
        <f>IF(A818="","",IF(OR(J818="",L818=""),"建議補聯絡紀錄","") )</f>
        <v/>
      </c>
    </row>
    <row r="819" ht="24" customHeight="1">
      <c r="A819" s="7" t="n"/>
      <c r="B819" s="7" t="n"/>
      <c r="C819" s="12">
        <f>IF($A819="","",IFERROR(INDEX(土地清冊_匯入!$B$6:$B$1005,MATCH($A819,土地清冊_匯入!$A$6:$A$1005,0)),"查無資料"))</f>
        <v/>
      </c>
      <c r="D819" s="12">
        <f>IF($A819="","",IFERROR(INDEX(土地清冊_匯入!$P$6:$P$1005,MATCH($A819,土地清冊_匯入!$A$6:$A$1005,0)),""))</f>
        <v/>
      </c>
      <c r="E819" s="12">
        <f>IF($A819="","",IFERROR(INDEX(土地清冊_匯入!$Q$6:$Q$1005,MATCH($A819,土地清冊_匯入!$A$6:$A$1005,0)),""))</f>
        <v/>
      </c>
      <c r="F819" s="12">
        <f>IF($A819="","",IFERROR(INDEX(土地清冊_匯入!$R$6:$R$1005,MATCH($A819,土地清冊_匯入!$A$6:$A$1005,0)),""))</f>
        <v/>
      </c>
      <c r="G819" s="12">
        <f>IF($A819="","",IFERROR(INDEX(土地清冊_匯入!$S$6:$S$1005,MATCH($A819,土地清冊_匯入!$A$6:$A$1005,0)),""))</f>
        <v/>
      </c>
      <c r="H819" s="12">
        <f>IF($A819="","",IFERROR(INDEX(土地清冊_匯入!$T$6:$T$1005,MATCH($A819,土地清冊_匯入!$A$6:$A$1005,0)),""))</f>
        <v/>
      </c>
      <c r="I819" s="12">
        <f>IF($A819="","",IFERROR(INDEX(土地清冊_匯入!$V$6:$V$1005,MATCH($A819,土地清冊_匯入!$A$6:$A$1005,0)),""))</f>
        <v/>
      </c>
      <c r="J819" s="14" t="n"/>
      <c r="K819" s="7" t="n"/>
      <c r="L819" s="7" t="n"/>
      <c r="M819" s="7" t="n"/>
      <c r="N819" s="7" t="n"/>
      <c r="O819" s="7" t="n"/>
      <c r="P819" s="7" t="n"/>
      <c r="Q819" s="14" t="n"/>
      <c r="R819" s="7" t="n"/>
      <c r="S819" s="7" t="n"/>
      <c r="T819" s="7" t="n"/>
      <c r="U819" s="12">
        <f>IF(A819="","",IF(OR(J819="",L819=""),"建議補聯絡紀錄","") )</f>
        <v/>
      </c>
    </row>
    <row r="820" ht="24" customHeight="1">
      <c r="A820" s="7" t="n"/>
      <c r="B820" s="7" t="n"/>
      <c r="C820" s="12">
        <f>IF($A820="","",IFERROR(INDEX(土地清冊_匯入!$B$6:$B$1005,MATCH($A820,土地清冊_匯入!$A$6:$A$1005,0)),"查無資料"))</f>
        <v/>
      </c>
      <c r="D820" s="12">
        <f>IF($A820="","",IFERROR(INDEX(土地清冊_匯入!$P$6:$P$1005,MATCH($A820,土地清冊_匯入!$A$6:$A$1005,0)),""))</f>
        <v/>
      </c>
      <c r="E820" s="12">
        <f>IF($A820="","",IFERROR(INDEX(土地清冊_匯入!$Q$6:$Q$1005,MATCH($A820,土地清冊_匯入!$A$6:$A$1005,0)),""))</f>
        <v/>
      </c>
      <c r="F820" s="12">
        <f>IF($A820="","",IFERROR(INDEX(土地清冊_匯入!$R$6:$R$1005,MATCH($A820,土地清冊_匯入!$A$6:$A$1005,0)),""))</f>
        <v/>
      </c>
      <c r="G820" s="12">
        <f>IF($A820="","",IFERROR(INDEX(土地清冊_匯入!$S$6:$S$1005,MATCH($A820,土地清冊_匯入!$A$6:$A$1005,0)),""))</f>
        <v/>
      </c>
      <c r="H820" s="12">
        <f>IF($A820="","",IFERROR(INDEX(土地清冊_匯入!$T$6:$T$1005,MATCH($A820,土地清冊_匯入!$A$6:$A$1005,0)),""))</f>
        <v/>
      </c>
      <c r="I820" s="12">
        <f>IF($A820="","",IFERROR(INDEX(土地清冊_匯入!$V$6:$V$1005,MATCH($A820,土地清冊_匯入!$A$6:$A$1005,0)),""))</f>
        <v/>
      </c>
      <c r="J820" s="14" t="n"/>
      <c r="K820" s="7" t="n"/>
      <c r="L820" s="7" t="n"/>
      <c r="M820" s="7" t="n"/>
      <c r="N820" s="7" t="n"/>
      <c r="O820" s="7" t="n"/>
      <c r="P820" s="7" t="n"/>
      <c r="Q820" s="14" t="n"/>
      <c r="R820" s="7" t="n"/>
      <c r="S820" s="7" t="n"/>
      <c r="T820" s="7" t="n"/>
      <c r="U820" s="12">
        <f>IF(A820="","",IF(OR(J820="",L820=""),"建議補聯絡紀錄","") )</f>
        <v/>
      </c>
    </row>
    <row r="821" ht="24" customHeight="1">
      <c r="A821" s="7" t="n"/>
      <c r="B821" s="7" t="n"/>
      <c r="C821" s="12">
        <f>IF($A821="","",IFERROR(INDEX(土地清冊_匯入!$B$6:$B$1005,MATCH($A821,土地清冊_匯入!$A$6:$A$1005,0)),"查無資料"))</f>
        <v/>
      </c>
      <c r="D821" s="12">
        <f>IF($A821="","",IFERROR(INDEX(土地清冊_匯入!$P$6:$P$1005,MATCH($A821,土地清冊_匯入!$A$6:$A$1005,0)),""))</f>
        <v/>
      </c>
      <c r="E821" s="12">
        <f>IF($A821="","",IFERROR(INDEX(土地清冊_匯入!$Q$6:$Q$1005,MATCH($A821,土地清冊_匯入!$A$6:$A$1005,0)),""))</f>
        <v/>
      </c>
      <c r="F821" s="12">
        <f>IF($A821="","",IFERROR(INDEX(土地清冊_匯入!$R$6:$R$1005,MATCH($A821,土地清冊_匯入!$A$6:$A$1005,0)),""))</f>
        <v/>
      </c>
      <c r="G821" s="12">
        <f>IF($A821="","",IFERROR(INDEX(土地清冊_匯入!$S$6:$S$1005,MATCH($A821,土地清冊_匯入!$A$6:$A$1005,0)),""))</f>
        <v/>
      </c>
      <c r="H821" s="12">
        <f>IF($A821="","",IFERROR(INDEX(土地清冊_匯入!$T$6:$T$1005,MATCH($A821,土地清冊_匯入!$A$6:$A$1005,0)),""))</f>
        <v/>
      </c>
      <c r="I821" s="12">
        <f>IF($A821="","",IFERROR(INDEX(土地清冊_匯入!$V$6:$V$1005,MATCH($A821,土地清冊_匯入!$A$6:$A$1005,0)),""))</f>
        <v/>
      </c>
      <c r="J821" s="14" t="n"/>
      <c r="K821" s="7" t="n"/>
      <c r="L821" s="7" t="n"/>
      <c r="M821" s="7" t="n"/>
      <c r="N821" s="7" t="n"/>
      <c r="O821" s="7" t="n"/>
      <c r="P821" s="7" t="n"/>
      <c r="Q821" s="14" t="n"/>
      <c r="R821" s="7" t="n"/>
      <c r="S821" s="7" t="n"/>
      <c r="T821" s="7" t="n"/>
      <c r="U821" s="12">
        <f>IF(A821="","",IF(OR(J821="",L821=""),"建議補聯絡紀錄","") )</f>
        <v/>
      </c>
    </row>
    <row r="822" ht="24" customHeight="1">
      <c r="A822" s="7" t="n"/>
      <c r="B822" s="7" t="n"/>
      <c r="C822" s="12">
        <f>IF($A822="","",IFERROR(INDEX(土地清冊_匯入!$B$6:$B$1005,MATCH($A822,土地清冊_匯入!$A$6:$A$1005,0)),"查無資料"))</f>
        <v/>
      </c>
      <c r="D822" s="12">
        <f>IF($A822="","",IFERROR(INDEX(土地清冊_匯入!$P$6:$P$1005,MATCH($A822,土地清冊_匯入!$A$6:$A$1005,0)),""))</f>
        <v/>
      </c>
      <c r="E822" s="12">
        <f>IF($A822="","",IFERROR(INDEX(土地清冊_匯入!$Q$6:$Q$1005,MATCH($A822,土地清冊_匯入!$A$6:$A$1005,0)),""))</f>
        <v/>
      </c>
      <c r="F822" s="12">
        <f>IF($A822="","",IFERROR(INDEX(土地清冊_匯入!$R$6:$R$1005,MATCH($A822,土地清冊_匯入!$A$6:$A$1005,0)),""))</f>
        <v/>
      </c>
      <c r="G822" s="12">
        <f>IF($A822="","",IFERROR(INDEX(土地清冊_匯入!$S$6:$S$1005,MATCH($A822,土地清冊_匯入!$A$6:$A$1005,0)),""))</f>
        <v/>
      </c>
      <c r="H822" s="12">
        <f>IF($A822="","",IFERROR(INDEX(土地清冊_匯入!$T$6:$T$1005,MATCH($A822,土地清冊_匯入!$A$6:$A$1005,0)),""))</f>
        <v/>
      </c>
      <c r="I822" s="12">
        <f>IF($A822="","",IFERROR(INDEX(土地清冊_匯入!$V$6:$V$1005,MATCH($A822,土地清冊_匯入!$A$6:$A$1005,0)),""))</f>
        <v/>
      </c>
      <c r="J822" s="14" t="n"/>
      <c r="K822" s="7" t="n"/>
      <c r="L822" s="7" t="n"/>
      <c r="M822" s="7" t="n"/>
      <c r="N822" s="7" t="n"/>
      <c r="O822" s="7" t="n"/>
      <c r="P822" s="7" t="n"/>
      <c r="Q822" s="14" t="n"/>
      <c r="R822" s="7" t="n"/>
      <c r="S822" s="7" t="n"/>
      <c r="T822" s="7" t="n"/>
      <c r="U822" s="12">
        <f>IF(A822="","",IF(OR(J822="",L822=""),"建議補聯絡紀錄","") )</f>
        <v/>
      </c>
    </row>
    <row r="823" ht="24" customHeight="1">
      <c r="A823" s="7" t="n"/>
      <c r="B823" s="7" t="n"/>
      <c r="C823" s="12">
        <f>IF($A823="","",IFERROR(INDEX(土地清冊_匯入!$B$6:$B$1005,MATCH($A823,土地清冊_匯入!$A$6:$A$1005,0)),"查無資料"))</f>
        <v/>
      </c>
      <c r="D823" s="12">
        <f>IF($A823="","",IFERROR(INDEX(土地清冊_匯入!$P$6:$P$1005,MATCH($A823,土地清冊_匯入!$A$6:$A$1005,0)),""))</f>
        <v/>
      </c>
      <c r="E823" s="12">
        <f>IF($A823="","",IFERROR(INDEX(土地清冊_匯入!$Q$6:$Q$1005,MATCH($A823,土地清冊_匯入!$A$6:$A$1005,0)),""))</f>
        <v/>
      </c>
      <c r="F823" s="12">
        <f>IF($A823="","",IFERROR(INDEX(土地清冊_匯入!$R$6:$R$1005,MATCH($A823,土地清冊_匯入!$A$6:$A$1005,0)),""))</f>
        <v/>
      </c>
      <c r="G823" s="12">
        <f>IF($A823="","",IFERROR(INDEX(土地清冊_匯入!$S$6:$S$1005,MATCH($A823,土地清冊_匯入!$A$6:$A$1005,0)),""))</f>
        <v/>
      </c>
      <c r="H823" s="12">
        <f>IF($A823="","",IFERROR(INDEX(土地清冊_匯入!$T$6:$T$1005,MATCH($A823,土地清冊_匯入!$A$6:$A$1005,0)),""))</f>
        <v/>
      </c>
      <c r="I823" s="12">
        <f>IF($A823="","",IFERROR(INDEX(土地清冊_匯入!$V$6:$V$1005,MATCH($A823,土地清冊_匯入!$A$6:$A$1005,0)),""))</f>
        <v/>
      </c>
      <c r="J823" s="14" t="n"/>
      <c r="K823" s="7" t="n"/>
      <c r="L823" s="7" t="n"/>
      <c r="M823" s="7" t="n"/>
      <c r="N823" s="7" t="n"/>
      <c r="O823" s="7" t="n"/>
      <c r="P823" s="7" t="n"/>
      <c r="Q823" s="14" t="n"/>
      <c r="R823" s="7" t="n"/>
      <c r="S823" s="7" t="n"/>
      <c r="T823" s="7" t="n"/>
      <c r="U823" s="12">
        <f>IF(A823="","",IF(OR(J823="",L823=""),"建議補聯絡紀錄","") )</f>
        <v/>
      </c>
    </row>
    <row r="824" ht="24" customHeight="1">
      <c r="A824" s="7" t="n"/>
      <c r="B824" s="7" t="n"/>
      <c r="C824" s="12">
        <f>IF($A824="","",IFERROR(INDEX(土地清冊_匯入!$B$6:$B$1005,MATCH($A824,土地清冊_匯入!$A$6:$A$1005,0)),"查無資料"))</f>
        <v/>
      </c>
      <c r="D824" s="12">
        <f>IF($A824="","",IFERROR(INDEX(土地清冊_匯入!$P$6:$P$1005,MATCH($A824,土地清冊_匯入!$A$6:$A$1005,0)),""))</f>
        <v/>
      </c>
      <c r="E824" s="12">
        <f>IF($A824="","",IFERROR(INDEX(土地清冊_匯入!$Q$6:$Q$1005,MATCH($A824,土地清冊_匯入!$A$6:$A$1005,0)),""))</f>
        <v/>
      </c>
      <c r="F824" s="12">
        <f>IF($A824="","",IFERROR(INDEX(土地清冊_匯入!$R$6:$R$1005,MATCH($A824,土地清冊_匯入!$A$6:$A$1005,0)),""))</f>
        <v/>
      </c>
      <c r="G824" s="12">
        <f>IF($A824="","",IFERROR(INDEX(土地清冊_匯入!$S$6:$S$1005,MATCH($A824,土地清冊_匯入!$A$6:$A$1005,0)),""))</f>
        <v/>
      </c>
      <c r="H824" s="12">
        <f>IF($A824="","",IFERROR(INDEX(土地清冊_匯入!$T$6:$T$1005,MATCH($A824,土地清冊_匯入!$A$6:$A$1005,0)),""))</f>
        <v/>
      </c>
      <c r="I824" s="12">
        <f>IF($A824="","",IFERROR(INDEX(土地清冊_匯入!$V$6:$V$1005,MATCH($A824,土地清冊_匯入!$A$6:$A$1005,0)),""))</f>
        <v/>
      </c>
      <c r="J824" s="14" t="n"/>
      <c r="K824" s="7" t="n"/>
      <c r="L824" s="7" t="n"/>
      <c r="M824" s="7" t="n"/>
      <c r="N824" s="7" t="n"/>
      <c r="O824" s="7" t="n"/>
      <c r="P824" s="7" t="n"/>
      <c r="Q824" s="14" t="n"/>
      <c r="R824" s="7" t="n"/>
      <c r="S824" s="7" t="n"/>
      <c r="T824" s="7" t="n"/>
      <c r="U824" s="12">
        <f>IF(A824="","",IF(OR(J824="",L824=""),"建議補聯絡紀錄","") )</f>
        <v/>
      </c>
    </row>
    <row r="825" ht="24" customHeight="1">
      <c r="A825" s="7" t="n"/>
      <c r="B825" s="7" t="n"/>
      <c r="C825" s="12">
        <f>IF($A825="","",IFERROR(INDEX(土地清冊_匯入!$B$6:$B$1005,MATCH($A825,土地清冊_匯入!$A$6:$A$1005,0)),"查無資料"))</f>
        <v/>
      </c>
      <c r="D825" s="12">
        <f>IF($A825="","",IFERROR(INDEX(土地清冊_匯入!$P$6:$P$1005,MATCH($A825,土地清冊_匯入!$A$6:$A$1005,0)),""))</f>
        <v/>
      </c>
      <c r="E825" s="12">
        <f>IF($A825="","",IFERROR(INDEX(土地清冊_匯入!$Q$6:$Q$1005,MATCH($A825,土地清冊_匯入!$A$6:$A$1005,0)),""))</f>
        <v/>
      </c>
      <c r="F825" s="12">
        <f>IF($A825="","",IFERROR(INDEX(土地清冊_匯入!$R$6:$R$1005,MATCH($A825,土地清冊_匯入!$A$6:$A$1005,0)),""))</f>
        <v/>
      </c>
      <c r="G825" s="12">
        <f>IF($A825="","",IFERROR(INDEX(土地清冊_匯入!$S$6:$S$1005,MATCH($A825,土地清冊_匯入!$A$6:$A$1005,0)),""))</f>
        <v/>
      </c>
      <c r="H825" s="12">
        <f>IF($A825="","",IFERROR(INDEX(土地清冊_匯入!$T$6:$T$1005,MATCH($A825,土地清冊_匯入!$A$6:$A$1005,0)),""))</f>
        <v/>
      </c>
      <c r="I825" s="12">
        <f>IF($A825="","",IFERROR(INDEX(土地清冊_匯入!$V$6:$V$1005,MATCH($A825,土地清冊_匯入!$A$6:$A$1005,0)),""))</f>
        <v/>
      </c>
      <c r="J825" s="14" t="n"/>
      <c r="K825" s="7" t="n"/>
      <c r="L825" s="7" t="n"/>
      <c r="M825" s="7" t="n"/>
      <c r="N825" s="7" t="n"/>
      <c r="O825" s="7" t="n"/>
      <c r="P825" s="7" t="n"/>
      <c r="Q825" s="14" t="n"/>
      <c r="R825" s="7" t="n"/>
      <c r="S825" s="7" t="n"/>
      <c r="T825" s="7" t="n"/>
      <c r="U825" s="12">
        <f>IF(A825="","",IF(OR(J825="",L825=""),"建議補聯絡紀錄","") )</f>
        <v/>
      </c>
    </row>
    <row r="826" ht="24" customHeight="1">
      <c r="A826" s="7" t="n"/>
      <c r="B826" s="7" t="n"/>
      <c r="C826" s="12">
        <f>IF($A826="","",IFERROR(INDEX(土地清冊_匯入!$B$6:$B$1005,MATCH($A826,土地清冊_匯入!$A$6:$A$1005,0)),"查無資料"))</f>
        <v/>
      </c>
      <c r="D826" s="12">
        <f>IF($A826="","",IFERROR(INDEX(土地清冊_匯入!$P$6:$P$1005,MATCH($A826,土地清冊_匯入!$A$6:$A$1005,0)),""))</f>
        <v/>
      </c>
      <c r="E826" s="12">
        <f>IF($A826="","",IFERROR(INDEX(土地清冊_匯入!$Q$6:$Q$1005,MATCH($A826,土地清冊_匯入!$A$6:$A$1005,0)),""))</f>
        <v/>
      </c>
      <c r="F826" s="12">
        <f>IF($A826="","",IFERROR(INDEX(土地清冊_匯入!$R$6:$R$1005,MATCH($A826,土地清冊_匯入!$A$6:$A$1005,0)),""))</f>
        <v/>
      </c>
      <c r="G826" s="12">
        <f>IF($A826="","",IFERROR(INDEX(土地清冊_匯入!$S$6:$S$1005,MATCH($A826,土地清冊_匯入!$A$6:$A$1005,0)),""))</f>
        <v/>
      </c>
      <c r="H826" s="12">
        <f>IF($A826="","",IFERROR(INDEX(土地清冊_匯入!$T$6:$T$1005,MATCH($A826,土地清冊_匯入!$A$6:$A$1005,0)),""))</f>
        <v/>
      </c>
      <c r="I826" s="12">
        <f>IF($A826="","",IFERROR(INDEX(土地清冊_匯入!$V$6:$V$1005,MATCH($A826,土地清冊_匯入!$A$6:$A$1005,0)),""))</f>
        <v/>
      </c>
      <c r="J826" s="14" t="n"/>
      <c r="K826" s="7" t="n"/>
      <c r="L826" s="7" t="n"/>
      <c r="M826" s="7" t="n"/>
      <c r="N826" s="7" t="n"/>
      <c r="O826" s="7" t="n"/>
      <c r="P826" s="7" t="n"/>
      <c r="Q826" s="14" t="n"/>
      <c r="R826" s="7" t="n"/>
      <c r="S826" s="7" t="n"/>
      <c r="T826" s="7" t="n"/>
      <c r="U826" s="12">
        <f>IF(A826="","",IF(OR(J826="",L826=""),"建議補聯絡紀錄","") )</f>
        <v/>
      </c>
    </row>
    <row r="827" ht="24" customHeight="1">
      <c r="A827" s="7" t="n"/>
      <c r="B827" s="7" t="n"/>
      <c r="C827" s="12">
        <f>IF($A827="","",IFERROR(INDEX(土地清冊_匯入!$B$6:$B$1005,MATCH($A827,土地清冊_匯入!$A$6:$A$1005,0)),"查無資料"))</f>
        <v/>
      </c>
      <c r="D827" s="12">
        <f>IF($A827="","",IFERROR(INDEX(土地清冊_匯入!$P$6:$P$1005,MATCH($A827,土地清冊_匯入!$A$6:$A$1005,0)),""))</f>
        <v/>
      </c>
      <c r="E827" s="12">
        <f>IF($A827="","",IFERROR(INDEX(土地清冊_匯入!$Q$6:$Q$1005,MATCH($A827,土地清冊_匯入!$A$6:$A$1005,0)),""))</f>
        <v/>
      </c>
      <c r="F827" s="12">
        <f>IF($A827="","",IFERROR(INDEX(土地清冊_匯入!$R$6:$R$1005,MATCH($A827,土地清冊_匯入!$A$6:$A$1005,0)),""))</f>
        <v/>
      </c>
      <c r="G827" s="12">
        <f>IF($A827="","",IFERROR(INDEX(土地清冊_匯入!$S$6:$S$1005,MATCH($A827,土地清冊_匯入!$A$6:$A$1005,0)),""))</f>
        <v/>
      </c>
      <c r="H827" s="12">
        <f>IF($A827="","",IFERROR(INDEX(土地清冊_匯入!$T$6:$T$1005,MATCH($A827,土地清冊_匯入!$A$6:$A$1005,0)),""))</f>
        <v/>
      </c>
      <c r="I827" s="12">
        <f>IF($A827="","",IFERROR(INDEX(土地清冊_匯入!$V$6:$V$1005,MATCH($A827,土地清冊_匯入!$A$6:$A$1005,0)),""))</f>
        <v/>
      </c>
      <c r="J827" s="14" t="n"/>
      <c r="K827" s="7" t="n"/>
      <c r="L827" s="7" t="n"/>
      <c r="M827" s="7" t="n"/>
      <c r="N827" s="7" t="n"/>
      <c r="O827" s="7" t="n"/>
      <c r="P827" s="7" t="n"/>
      <c r="Q827" s="14" t="n"/>
      <c r="R827" s="7" t="n"/>
      <c r="S827" s="7" t="n"/>
      <c r="T827" s="7" t="n"/>
      <c r="U827" s="12">
        <f>IF(A827="","",IF(OR(J827="",L827=""),"建議補聯絡紀錄","") )</f>
        <v/>
      </c>
    </row>
    <row r="828" ht="24" customHeight="1">
      <c r="A828" s="7" t="n"/>
      <c r="B828" s="7" t="n"/>
      <c r="C828" s="12">
        <f>IF($A828="","",IFERROR(INDEX(土地清冊_匯入!$B$6:$B$1005,MATCH($A828,土地清冊_匯入!$A$6:$A$1005,0)),"查無資料"))</f>
        <v/>
      </c>
      <c r="D828" s="12">
        <f>IF($A828="","",IFERROR(INDEX(土地清冊_匯入!$P$6:$P$1005,MATCH($A828,土地清冊_匯入!$A$6:$A$1005,0)),""))</f>
        <v/>
      </c>
      <c r="E828" s="12">
        <f>IF($A828="","",IFERROR(INDEX(土地清冊_匯入!$Q$6:$Q$1005,MATCH($A828,土地清冊_匯入!$A$6:$A$1005,0)),""))</f>
        <v/>
      </c>
      <c r="F828" s="12">
        <f>IF($A828="","",IFERROR(INDEX(土地清冊_匯入!$R$6:$R$1005,MATCH($A828,土地清冊_匯入!$A$6:$A$1005,0)),""))</f>
        <v/>
      </c>
      <c r="G828" s="12">
        <f>IF($A828="","",IFERROR(INDEX(土地清冊_匯入!$S$6:$S$1005,MATCH($A828,土地清冊_匯入!$A$6:$A$1005,0)),""))</f>
        <v/>
      </c>
      <c r="H828" s="12">
        <f>IF($A828="","",IFERROR(INDEX(土地清冊_匯入!$T$6:$T$1005,MATCH($A828,土地清冊_匯入!$A$6:$A$1005,0)),""))</f>
        <v/>
      </c>
      <c r="I828" s="12">
        <f>IF($A828="","",IFERROR(INDEX(土地清冊_匯入!$V$6:$V$1005,MATCH($A828,土地清冊_匯入!$A$6:$A$1005,0)),""))</f>
        <v/>
      </c>
      <c r="J828" s="14" t="n"/>
      <c r="K828" s="7" t="n"/>
      <c r="L828" s="7" t="n"/>
      <c r="M828" s="7" t="n"/>
      <c r="N828" s="7" t="n"/>
      <c r="O828" s="7" t="n"/>
      <c r="P828" s="7" t="n"/>
      <c r="Q828" s="14" t="n"/>
      <c r="R828" s="7" t="n"/>
      <c r="S828" s="7" t="n"/>
      <c r="T828" s="7" t="n"/>
      <c r="U828" s="12">
        <f>IF(A828="","",IF(OR(J828="",L828=""),"建議補聯絡紀錄","") )</f>
        <v/>
      </c>
    </row>
    <row r="829" ht="24" customHeight="1">
      <c r="A829" s="7" t="n"/>
      <c r="B829" s="7" t="n"/>
      <c r="C829" s="12">
        <f>IF($A829="","",IFERROR(INDEX(土地清冊_匯入!$B$6:$B$1005,MATCH($A829,土地清冊_匯入!$A$6:$A$1005,0)),"查無資料"))</f>
        <v/>
      </c>
      <c r="D829" s="12">
        <f>IF($A829="","",IFERROR(INDEX(土地清冊_匯入!$P$6:$P$1005,MATCH($A829,土地清冊_匯入!$A$6:$A$1005,0)),""))</f>
        <v/>
      </c>
      <c r="E829" s="12">
        <f>IF($A829="","",IFERROR(INDEX(土地清冊_匯入!$Q$6:$Q$1005,MATCH($A829,土地清冊_匯入!$A$6:$A$1005,0)),""))</f>
        <v/>
      </c>
      <c r="F829" s="12">
        <f>IF($A829="","",IFERROR(INDEX(土地清冊_匯入!$R$6:$R$1005,MATCH($A829,土地清冊_匯入!$A$6:$A$1005,0)),""))</f>
        <v/>
      </c>
      <c r="G829" s="12">
        <f>IF($A829="","",IFERROR(INDEX(土地清冊_匯入!$S$6:$S$1005,MATCH($A829,土地清冊_匯入!$A$6:$A$1005,0)),""))</f>
        <v/>
      </c>
      <c r="H829" s="12">
        <f>IF($A829="","",IFERROR(INDEX(土地清冊_匯入!$T$6:$T$1005,MATCH($A829,土地清冊_匯入!$A$6:$A$1005,0)),""))</f>
        <v/>
      </c>
      <c r="I829" s="12">
        <f>IF($A829="","",IFERROR(INDEX(土地清冊_匯入!$V$6:$V$1005,MATCH($A829,土地清冊_匯入!$A$6:$A$1005,0)),""))</f>
        <v/>
      </c>
      <c r="J829" s="14" t="n"/>
      <c r="K829" s="7" t="n"/>
      <c r="L829" s="7" t="n"/>
      <c r="M829" s="7" t="n"/>
      <c r="N829" s="7" t="n"/>
      <c r="O829" s="7" t="n"/>
      <c r="P829" s="7" t="n"/>
      <c r="Q829" s="14" t="n"/>
      <c r="R829" s="7" t="n"/>
      <c r="S829" s="7" t="n"/>
      <c r="T829" s="7" t="n"/>
      <c r="U829" s="12">
        <f>IF(A829="","",IF(OR(J829="",L829=""),"建議補聯絡紀錄","") )</f>
        <v/>
      </c>
    </row>
    <row r="830" ht="24" customHeight="1">
      <c r="A830" s="7" t="n"/>
      <c r="B830" s="7" t="n"/>
      <c r="C830" s="12">
        <f>IF($A830="","",IFERROR(INDEX(土地清冊_匯入!$B$6:$B$1005,MATCH($A830,土地清冊_匯入!$A$6:$A$1005,0)),"查無資料"))</f>
        <v/>
      </c>
      <c r="D830" s="12">
        <f>IF($A830="","",IFERROR(INDEX(土地清冊_匯入!$P$6:$P$1005,MATCH($A830,土地清冊_匯入!$A$6:$A$1005,0)),""))</f>
        <v/>
      </c>
      <c r="E830" s="12">
        <f>IF($A830="","",IFERROR(INDEX(土地清冊_匯入!$Q$6:$Q$1005,MATCH($A830,土地清冊_匯入!$A$6:$A$1005,0)),""))</f>
        <v/>
      </c>
      <c r="F830" s="12">
        <f>IF($A830="","",IFERROR(INDEX(土地清冊_匯入!$R$6:$R$1005,MATCH($A830,土地清冊_匯入!$A$6:$A$1005,0)),""))</f>
        <v/>
      </c>
      <c r="G830" s="12">
        <f>IF($A830="","",IFERROR(INDEX(土地清冊_匯入!$S$6:$S$1005,MATCH($A830,土地清冊_匯入!$A$6:$A$1005,0)),""))</f>
        <v/>
      </c>
      <c r="H830" s="12">
        <f>IF($A830="","",IFERROR(INDEX(土地清冊_匯入!$T$6:$T$1005,MATCH($A830,土地清冊_匯入!$A$6:$A$1005,0)),""))</f>
        <v/>
      </c>
      <c r="I830" s="12">
        <f>IF($A830="","",IFERROR(INDEX(土地清冊_匯入!$V$6:$V$1005,MATCH($A830,土地清冊_匯入!$A$6:$A$1005,0)),""))</f>
        <v/>
      </c>
      <c r="J830" s="14" t="n"/>
      <c r="K830" s="7" t="n"/>
      <c r="L830" s="7" t="n"/>
      <c r="M830" s="7" t="n"/>
      <c r="N830" s="7" t="n"/>
      <c r="O830" s="7" t="n"/>
      <c r="P830" s="7" t="n"/>
      <c r="Q830" s="14" t="n"/>
      <c r="R830" s="7" t="n"/>
      <c r="S830" s="7" t="n"/>
      <c r="T830" s="7" t="n"/>
      <c r="U830" s="12">
        <f>IF(A830="","",IF(OR(J830="",L830=""),"建議補聯絡紀錄","") )</f>
        <v/>
      </c>
    </row>
    <row r="831" ht="24" customHeight="1">
      <c r="A831" s="7" t="n"/>
      <c r="B831" s="7" t="n"/>
      <c r="C831" s="12">
        <f>IF($A831="","",IFERROR(INDEX(土地清冊_匯入!$B$6:$B$1005,MATCH($A831,土地清冊_匯入!$A$6:$A$1005,0)),"查無資料"))</f>
        <v/>
      </c>
      <c r="D831" s="12">
        <f>IF($A831="","",IFERROR(INDEX(土地清冊_匯入!$P$6:$P$1005,MATCH($A831,土地清冊_匯入!$A$6:$A$1005,0)),""))</f>
        <v/>
      </c>
      <c r="E831" s="12">
        <f>IF($A831="","",IFERROR(INDEX(土地清冊_匯入!$Q$6:$Q$1005,MATCH($A831,土地清冊_匯入!$A$6:$A$1005,0)),""))</f>
        <v/>
      </c>
      <c r="F831" s="12">
        <f>IF($A831="","",IFERROR(INDEX(土地清冊_匯入!$R$6:$R$1005,MATCH($A831,土地清冊_匯入!$A$6:$A$1005,0)),""))</f>
        <v/>
      </c>
      <c r="G831" s="12">
        <f>IF($A831="","",IFERROR(INDEX(土地清冊_匯入!$S$6:$S$1005,MATCH($A831,土地清冊_匯入!$A$6:$A$1005,0)),""))</f>
        <v/>
      </c>
      <c r="H831" s="12">
        <f>IF($A831="","",IFERROR(INDEX(土地清冊_匯入!$T$6:$T$1005,MATCH($A831,土地清冊_匯入!$A$6:$A$1005,0)),""))</f>
        <v/>
      </c>
      <c r="I831" s="12">
        <f>IF($A831="","",IFERROR(INDEX(土地清冊_匯入!$V$6:$V$1005,MATCH($A831,土地清冊_匯入!$A$6:$A$1005,0)),""))</f>
        <v/>
      </c>
      <c r="J831" s="14" t="n"/>
      <c r="K831" s="7" t="n"/>
      <c r="L831" s="7" t="n"/>
      <c r="M831" s="7" t="n"/>
      <c r="N831" s="7" t="n"/>
      <c r="O831" s="7" t="n"/>
      <c r="P831" s="7" t="n"/>
      <c r="Q831" s="14" t="n"/>
      <c r="R831" s="7" t="n"/>
      <c r="S831" s="7" t="n"/>
      <c r="T831" s="7" t="n"/>
      <c r="U831" s="12">
        <f>IF(A831="","",IF(OR(J831="",L831=""),"建議補聯絡紀錄","") )</f>
        <v/>
      </c>
    </row>
    <row r="832" ht="24" customHeight="1">
      <c r="A832" s="7" t="n"/>
      <c r="B832" s="7" t="n"/>
      <c r="C832" s="12">
        <f>IF($A832="","",IFERROR(INDEX(土地清冊_匯入!$B$6:$B$1005,MATCH($A832,土地清冊_匯入!$A$6:$A$1005,0)),"查無資料"))</f>
        <v/>
      </c>
      <c r="D832" s="12">
        <f>IF($A832="","",IFERROR(INDEX(土地清冊_匯入!$P$6:$P$1005,MATCH($A832,土地清冊_匯入!$A$6:$A$1005,0)),""))</f>
        <v/>
      </c>
      <c r="E832" s="12">
        <f>IF($A832="","",IFERROR(INDEX(土地清冊_匯入!$Q$6:$Q$1005,MATCH($A832,土地清冊_匯入!$A$6:$A$1005,0)),""))</f>
        <v/>
      </c>
      <c r="F832" s="12">
        <f>IF($A832="","",IFERROR(INDEX(土地清冊_匯入!$R$6:$R$1005,MATCH($A832,土地清冊_匯入!$A$6:$A$1005,0)),""))</f>
        <v/>
      </c>
      <c r="G832" s="12">
        <f>IF($A832="","",IFERROR(INDEX(土地清冊_匯入!$S$6:$S$1005,MATCH($A832,土地清冊_匯入!$A$6:$A$1005,0)),""))</f>
        <v/>
      </c>
      <c r="H832" s="12">
        <f>IF($A832="","",IFERROR(INDEX(土地清冊_匯入!$T$6:$T$1005,MATCH($A832,土地清冊_匯入!$A$6:$A$1005,0)),""))</f>
        <v/>
      </c>
      <c r="I832" s="12">
        <f>IF($A832="","",IFERROR(INDEX(土地清冊_匯入!$V$6:$V$1005,MATCH($A832,土地清冊_匯入!$A$6:$A$1005,0)),""))</f>
        <v/>
      </c>
      <c r="J832" s="14" t="n"/>
      <c r="K832" s="7" t="n"/>
      <c r="L832" s="7" t="n"/>
      <c r="M832" s="7" t="n"/>
      <c r="N832" s="7" t="n"/>
      <c r="O832" s="7" t="n"/>
      <c r="P832" s="7" t="n"/>
      <c r="Q832" s="14" t="n"/>
      <c r="R832" s="7" t="n"/>
      <c r="S832" s="7" t="n"/>
      <c r="T832" s="7" t="n"/>
      <c r="U832" s="12">
        <f>IF(A832="","",IF(OR(J832="",L832=""),"建議補聯絡紀錄","") )</f>
        <v/>
      </c>
    </row>
    <row r="833" ht="24" customHeight="1">
      <c r="A833" s="7" t="n"/>
      <c r="B833" s="7" t="n"/>
      <c r="C833" s="12">
        <f>IF($A833="","",IFERROR(INDEX(土地清冊_匯入!$B$6:$B$1005,MATCH($A833,土地清冊_匯入!$A$6:$A$1005,0)),"查無資料"))</f>
        <v/>
      </c>
      <c r="D833" s="12">
        <f>IF($A833="","",IFERROR(INDEX(土地清冊_匯入!$P$6:$P$1005,MATCH($A833,土地清冊_匯入!$A$6:$A$1005,0)),""))</f>
        <v/>
      </c>
      <c r="E833" s="12">
        <f>IF($A833="","",IFERROR(INDEX(土地清冊_匯入!$Q$6:$Q$1005,MATCH($A833,土地清冊_匯入!$A$6:$A$1005,0)),""))</f>
        <v/>
      </c>
      <c r="F833" s="12">
        <f>IF($A833="","",IFERROR(INDEX(土地清冊_匯入!$R$6:$R$1005,MATCH($A833,土地清冊_匯入!$A$6:$A$1005,0)),""))</f>
        <v/>
      </c>
      <c r="G833" s="12">
        <f>IF($A833="","",IFERROR(INDEX(土地清冊_匯入!$S$6:$S$1005,MATCH($A833,土地清冊_匯入!$A$6:$A$1005,0)),""))</f>
        <v/>
      </c>
      <c r="H833" s="12">
        <f>IF($A833="","",IFERROR(INDEX(土地清冊_匯入!$T$6:$T$1005,MATCH($A833,土地清冊_匯入!$A$6:$A$1005,0)),""))</f>
        <v/>
      </c>
      <c r="I833" s="12">
        <f>IF($A833="","",IFERROR(INDEX(土地清冊_匯入!$V$6:$V$1005,MATCH($A833,土地清冊_匯入!$A$6:$A$1005,0)),""))</f>
        <v/>
      </c>
      <c r="J833" s="14" t="n"/>
      <c r="K833" s="7" t="n"/>
      <c r="L833" s="7" t="n"/>
      <c r="M833" s="7" t="n"/>
      <c r="N833" s="7" t="n"/>
      <c r="O833" s="7" t="n"/>
      <c r="P833" s="7" t="n"/>
      <c r="Q833" s="14" t="n"/>
      <c r="R833" s="7" t="n"/>
      <c r="S833" s="7" t="n"/>
      <c r="T833" s="7" t="n"/>
      <c r="U833" s="12">
        <f>IF(A833="","",IF(OR(J833="",L833=""),"建議補聯絡紀錄","") )</f>
        <v/>
      </c>
    </row>
    <row r="834" ht="24" customHeight="1">
      <c r="A834" s="7" t="n"/>
      <c r="B834" s="7" t="n"/>
      <c r="C834" s="12">
        <f>IF($A834="","",IFERROR(INDEX(土地清冊_匯入!$B$6:$B$1005,MATCH($A834,土地清冊_匯入!$A$6:$A$1005,0)),"查無資料"))</f>
        <v/>
      </c>
      <c r="D834" s="12">
        <f>IF($A834="","",IFERROR(INDEX(土地清冊_匯入!$P$6:$P$1005,MATCH($A834,土地清冊_匯入!$A$6:$A$1005,0)),""))</f>
        <v/>
      </c>
      <c r="E834" s="12">
        <f>IF($A834="","",IFERROR(INDEX(土地清冊_匯入!$Q$6:$Q$1005,MATCH($A834,土地清冊_匯入!$A$6:$A$1005,0)),""))</f>
        <v/>
      </c>
      <c r="F834" s="12">
        <f>IF($A834="","",IFERROR(INDEX(土地清冊_匯入!$R$6:$R$1005,MATCH($A834,土地清冊_匯入!$A$6:$A$1005,0)),""))</f>
        <v/>
      </c>
      <c r="G834" s="12">
        <f>IF($A834="","",IFERROR(INDEX(土地清冊_匯入!$S$6:$S$1005,MATCH($A834,土地清冊_匯入!$A$6:$A$1005,0)),""))</f>
        <v/>
      </c>
      <c r="H834" s="12">
        <f>IF($A834="","",IFERROR(INDEX(土地清冊_匯入!$T$6:$T$1005,MATCH($A834,土地清冊_匯入!$A$6:$A$1005,0)),""))</f>
        <v/>
      </c>
      <c r="I834" s="12">
        <f>IF($A834="","",IFERROR(INDEX(土地清冊_匯入!$V$6:$V$1005,MATCH($A834,土地清冊_匯入!$A$6:$A$1005,0)),""))</f>
        <v/>
      </c>
      <c r="J834" s="14" t="n"/>
      <c r="K834" s="7" t="n"/>
      <c r="L834" s="7" t="n"/>
      <c r="M834" s="7" t="n"/>
      <c r="N834" s="7" t="n"/>
      <c r="O834" s="7" t="n"/>
      <c r="P834" s="7" t="n"/>
      <c r="Q834" s="14" t="n"/>
      <c r="R834" s="7" t="n"/>
      <c r="S834" s="7" t="n"/>
      <c r="T834" s="7" t="n"/>
      <c r="U834" s="12">
        <f>IF(A834="","",IF(OR(J834="",L834=""),"建議補聯絡紀錄","") )</f>
        <v/>
      </c>
    </row>
    <row r="835" ht="24" customHeight="1">
      <c r="A835" s="7" t="n"/>
      <c r="B835" s="7" t="n"/>
      <c r="C835" s="12">
        <f>IF($A835="","",IFERROR(INDEX(土地清冊_匯入!$B$6:$B$1005,MATCH($A835,土地清冊_匯入!$A$6:$A$1005,0)),"查無資料"))</f>
        <v/>
      </c>
      <c r="D835" s="12">
        <f>IF($A835="","",IFERROR(INDEX(土地清冊_匯入!$P$6:$P$1005,MATCH($A835,土地清冊_匯入!$A$6:$A$1005,0)),""))</f>
        <v/>
      </c>
      <c r="E835" s="12">
        <f>IF($A835="","",IFERROR(INDEX(土地清冊_匯入!$Q$6:$Q$1005,MATCH($A835,土地清冊_匯入!$A$6:$A$1005,0)),""))</f>
        <v/>
      </c>
      <c r="F835" s="12">
        <f>IF($A835="","",IFERROR(INDEX(土地清冊_匯入!$R$6:$R$1005,MATCH($A835,土地清冊_匯入!$A$6:$A$1005,0)),""))</f>
        <v/>
      </c>
      <c r="G835" s="12">
        <f>IF($A835="","",IFERROR(INDEX(土地清冊_匯入!$S$6:$S$1005,MATCH($A835,土地清冊_匯入!$A$6:$A$1005,0)),""))</f>
        <v/>
      </c>
      <c r="H835" s="12">
        <f>IF($A835="","",IFERROR(INDEX(土地清冊_匯入!$T$6:$T$1005,MATCH($A835,土地清冊_匯入!$A$6:$A$1005,0)),""))</f>
        <v/>
      </c>
      <c r="I835" s="12">
        <f>IF($A835="","",IFERROR(INDEX(土地清冊_匯入!$V$6:$V$1005,MATCH($A835,土地清冊_匯入!$A$6:$A$1005,0)),""))</f>
        <v/>
      </c>
      <c r="J835" s="14" t="n"/>
      <c r="K835" s="7" t="n"/>
      <c r="L835" s="7" t="n"/>
      <c r="M835" s="7" t="n"/>
      <c r="N835" s="7" t="n"/>
      <c r="O835" s="7" t="n"/>
      <c r="P835" s="7" t="n"/>
      <c r="Q835" s="14" t="n"/>
      <c r="R835" s="7" t="n"/>
      <c r="S835" s="7" t="n"/>
      <c r="T835" s="7" t="n"/>
      <c r="U835" s="12">
        <f>IF(A835="","",IF(OR(J835="",L835=""),"建議補聯絡紀錄","") )</f>
        <v/>
      </c>
    </row>
    <row r="836" ht="24" customHeight="1">
      <c r="A836" s="7" t="n"/>
      <c r="B836" s="7" t="n"/>
      <c r="C836" s="12">
        <f>IF($A836="","",IFERROR(INDEX(土地清冊_匯入!$B$6:$B$1005,MATCH($A836,土地清冊_匯入!$A$6:$A$1005,0)),"查無資料"))</f>
        <v/>
      </c>
      <c r="D836" s="12">
        <f>IF($A836="","",IFERROR(INDEX(土地清冊_匯入!$P$6:$P$1005,MATCH($A836,土地清冊_匯入!$A$6:$A$1005,0)),""))</f>
        <v/>
      </c>
      <c r="E836" s="12">
        <f>IF($A836="","",IFERROR(INDEX(土地清冊_匯入!$Q$6:$Q$1005,MATCH($A836,土地清冊_匯入!$A$6:$A$1005,0)),""))</f>
        <v/>
      </c>
      <c r="F836" s="12">
        <f>IF($A836="","",IFERROR(INDEX(土地清冊_匯入!$R$6:$R$1005,MATCH($A836,土地清冊_匯入!$A$6:$A$1005,0)),""))</f>
        <v/>
      </c>
      <c r="G836" s="12">
        <f>IF($A836="","",IFERROR(INDEX(土地清冊_匯入!$S$6:$S$1005,MATCH($A836,土地清冊_匯入!$A$6:$A$1005,0)),""))</f>
        <v/>
      </c>
      <c r="H836" s="12">
        <f>IF($A836="","",IFERROR(INDEX(土地清冊_匯入!$T$6:$T$1005,MATCH($A836,土地清冊_匯入!$A$6:$A$1005,0)),""))</f>
        <v/>
      </c>
      <c r="I836" s="12">
        <f>IF($A836="","",IFERROR(INDEX(土地清冊_匯入!$V$6:$V$1005,MATCH($A836,土地清冊_匯入!$A$6:$A$1005,0)),""))</f>
        <v/>
      </c>
      <c r="J836" s="14" t="n"/>
      <c r="K836" s="7" t="n"/>
      <c r="L836" s="7" t="n"/>
      <c r="M836" s="7" t="n"/>
      <c r="N836" s="7" t="n"/>
      <c r="O836" s="7" t="n"/>
      <c r="P836" s="7" t="n"/>
      <c r="Q836" s="14" t="n"/>
      <c r="R836" s="7" t="n"/>
      <c r="S836" s="7" t="n"/>
      <c r="T836" s="7" t="n"/>
      <c r="U836" s="12">
        <f>IF(A836="","",IF(OR(J836="",L836=""),"建議補聯絡紀錄","") )</f>
        <v/>
      </c>
    </row>
    <row r="837" ht="24" customHeight="1">
      <c r="A837" s="7" t="n"/>
      <c r="B837" s="7" t="n"/>
      <c r="C837" s="12">
        <f>IF($A837="","",IFERROR(INDEX(土地清冊_匯入!$B$6:$B$1005,MATCH($A837,土地清冊_匯入!$A$6:$A$1005,0)),"查無資料"))</f>
        <v/>
      </c>
      <c r="D837" s="12">
        <f>IF($A837="","",IFERROR(INDEX(土地清冊_匯入!$P$6:$P$1005,MATCH($A837,土地清冊_匯入!$A$6:$A$1005,0)),""))</f>
        <v/>
      </c>
      <c r="E837" s="12">
        <f>IF($A837="","",IFERROR(INDEX(土地清冊_匯入!$Q$6:$Q$1005,MATCH($A837,土地清冊_匯入!$A$6:$A$1005,0)),""))</f>
        <v/>
      </c>
      <c r="F837" s="12">
        <f>IF($A837="","",IFERROR(INDEX(土地清冊_匯入!$R$6:$R$1005,MATCH($A837,土地清冊_匯入!$A$6:$A$1005,0)),""))</f>
        <v/>
      </c>
      <c r="G837" s="12">
        <f>IF($A837="","",IFERROR(INDEX(土地清冊_匯入!$S$6:$S$1005,MATCH($A837,土地清冊_匯入!$A$6:$A$1005,0)),""))</f>
        <v/>
      </c>
      <c r="H837" s="12">
        <f>IF($A837="","",IFERROR(INDEX(土地清冊_匯入!$T$6:$T$1005,MATCH($A837,土地清冊_匯入!$A$6:$A$1005,0)),""))</f>
        <v/>
      </c>
      <c r="I837" s="12">
        <f>IF($A837="","",IFERROR(INDEX(土地清冊_匯入!$V$6:$V$1005,MATCH($A837,土地清冊_匯入!$A$6:$A$1005,0)),""))</f>
        <v/>
      </c>
      <c r="J837" s="14" t="n"/>
      <c r="K837" s="7" t="n"/>
      <c r="L837" s="7" t="n"/>
      <c r="M837" s="7" t="n"/>
      <c r="N837" s="7" t="n"/>
      <c r="O837" s="7" t="n"/>
      <c r="P837" s="7" t="n"/>
      <c r="Q837" s="14" t="n"/>
      <c r="R837" s="7" t="n"/>
      <c r="S837" s="7" t="n"/>
      <c r="T837" s="7" t="n"/>
      <c r="U837" s="12">
        <f>IF(A837="","",IF(OR(J837="",L837=""),"建議補聯絡紀錄","") )</f>
        <v/>
      </c>
    </row>
    <row r="838" ht="24" customHeight="1">
      <c r="A838" s="7" t="n"/>
      <c r="B838" s="7" t="n"/>
      <c r="C838" s="12">
        <f>IF($A838="","",IFERROR(INDEX(土地清冊_匯入!$B$6:$B$1005,MATCH($A838,土地清冊_匯入!$A$6:$A$1005,0)),"查無資料"))</f>
        <v/>
      </c>
      <c r="D838" s="12">
        <f>IF($A838="","",IFERROR(INDEX(土地清冊_匯入!$P$6:$P$1005,MATCH($A838,土地清冊_匯入!$A$6:$A$1005,0)),""))</f>
        <v/>
      </c>
      <c r="E838" s="12">
        <f>IF($A838="","",IFERROR(INDEX(土地清冊_匯入!$Q$6:$Q$1005,MATCH($A838,土地清冊_匯入!$A$6:$A$1005,0)),""))</f>
        <v/>
      </c>
      <c r="F838" s="12">
        <f>IF($A838="","",IFERROR(INDEX(土地清冊_匯入!$R$6:$R$1005,MATCH($A838,土地清冊_匯入!$A$6:$A$1005,0)),""))</f>
        <v/>
      </c>
      <c r="G838" s="12">
        <f>IF($A838="","",IFERROR(INDEX(土地清冊_匯入!$S$6:$S$1005,MATCH($A838,土地清冊_匯入!$A$6:$A$1005,0)),""))</f>
        <v/>
      </c>
      <c r="H838" s="12">
        <f>IF($A838="","",IFERROR(INDEX(土地清冊_匯入!$T$6:$T$1005,MATCH($A838,土地清冊_匯入!$A$6:$A$1005,0)),""))</f>
        <v/>
      </c>
      <c r="I838" s="12">
        <f>IF($A838="","",IFERROR(INDEX(土地清冊_匯入!$V$6:$V$1005,MATCH($A838,土地清冊_匯入!$A$6:$A$1005,0)),""))</f>
        <v/>
      </c>
      <c r="J838" s="14" t="n"/>
      <c r="K838" s="7" t="n"/>
      <c r="L838" s="7" t="n"/>
      <c r="M838" s="7" t="n"/>
      <c r="N838" s="7" t="n"/>
      <c r="O838" s="7" t="n"/>
      <c r="P838" s="7" t="n"/>
      <c r="Q838" s="14" t="n"/>
      <c r="R838" s="7" t="n"/>
      <c r="S838" s="7" t="n"/>
      <c r="T838" s="7" t="n"/>
      <c r="U838" s="12">
        <f>IF(A838="","",IF(OR(J838="",L838=""),"建議補聯絡紀錄","") )</f>
        <v/>
      </c>
    </row>
    <row r="839" ht="24" customHeight="1">
      <c r="A839" s="7" t="n"/>
      <c r="B839" s="7" t="n"/>
      <c r="C839" s="12">
        <f>IF($A839="","",IFERROR(INDEX(土地清冊_匯入!$B$6:$B$1005,MATCH($A839,土地清冊_匯入!$A$6:$A$1005,0)),"查無資料"))</f>
        <v/>
      </c>
      <c r="D839" s="12">
        <f>IF($A839="","",IFERROR(INDEX(土地清冊_匯入!$P$6:$P$1005,MATCH($A839,土地清冊_匯入!$A$6:$A$1005,0)),""))</f>
        <v/>
      </c>
      <c r="E839" s="12">
        <f>IF($A839="","",IFERROR(INDEX(土地清冊_匯入!$Q$6:$Q$1005,MATCH($A839,土地清冊_匯入!$A$6:$A$1005,0)),""))</f>
        <v/>
      </c>
      <c r="F839" s="12">
        <f>IF($A839="","",IFERROR(INDEX(土地清冊_匯入!$R$6:$R$1005,MATCH($A839,土地清冊_匯入!$A$6:$A$1005,0)),""))</f>
        <v/>
      </c>
      <c r="G839" s="12">
        <f>IF($A839="","",IFERROR(INDEX(土地清冊_匯入!$S$6:$S$1005,MATCH($A839,土地清冊_匯入!$A$6:$A$1005,0)),""))</f>
        <v/>
      </c>
      <c r="H839" s="12">
        <f>IF($A839="","",IFERROR(INDEX(土地清冊_匯入!$T$6:$T$1005,MATCH($A839,土地清冊_匯入!$A$6:$A$1005,0)),""))</f>
        <v/>
      </c>
      <c r="I839" s="12">
        <f>IF($A839="","",IFERROR(INDEX(土地清冊_匯入!$V$6:$V$1005,MATCH($A839,土地清冊_匯入!$A$6:$A$1005,0)),""))</f>
        <v/>
      </c>
      <c r="J839" s="14" t="n"/>
      <c r="K839" s="7" t="n"/>
      <c r="L839" s="7" t="n"/>
      <c r="M839" s="7" t="n"/>
      <c r="N839" s="7" t="n"/>
      <c r="O839" s="7" t="n"/>
      <c r="P839" s="7" t="n"/>
      <c r="Q839" s="14" t="n"/>
      <c r="R839" s="7" t="n"/>
      <c r="S839" s="7" t="n"/>
      <c r="T839" s="7" t="n"/>
      <c r="U839" s="12">
        <f>IF(A839="","",IF(OR(J839="",L839=""),"建議補聯絡紀錄","") )</f>
        <v/>
      </c>
    </row>
    <row r="840" ht="24" customHeight="1">
      <c r="A840" s="7" t="n"/>
      <c r="B840" s="7" t="n"/>
      <c r="C840" s="12">
        <f>IF($A840="","",IFERROR(INDEX(土地清冊_匯入!$B$6:$B$1005,MATCH($A840,土地清冊_匯入!$A$6:$A$1005,0)),"查無資料"))</f>
        <v/>
      </c>
      <c r="D840" s="12">
        <f>IF($A840="","",IFERROR(INDEX(土地清冊_匯入!$P$6:$P$1005,MATCH($A840,土地清冊_匯入!$A$6:$A$1005,0)),""))</f>
        <v/>
      </c>
      <c r="E840" s="12">
        <f>IF($A840="","",IFERROR(INDEX(土地清冊_匯入!$Q$6:$Q$1005,MATCH($A840,土地清冊_匯入!$A$6:$A$1005,0)),""))</f>
        <v/>
      </c>
      <c r="F840" s="12">
        <f>IF($A840="","",IFERROR(INDEX(土地清冊_匯入!$R$6:$R$1005,MATCH($A840,土地清冊_匯入!$A$6:$A$1005,0)),""))</f>
        <v/>
      </c>
      <c r="G840" s="12">
        <f>IF($A840="","",IFERROR(INDEX(土地清冊_匯入!$S$6:$S$1005,MATCH($A840,土地清冊_匯入!$A$6:$A$1005,0)),""))</f>
        <v/>
      </c>
      <c r="H840" s="12">
        <f>IF($A840="","",IFERROR(INDEX(土地清冊_匯入!$T$6:$T$1005,MATCH($A840,土地清冊_匯入!$A$6:$A$1005,0)),""))</f>
        <v/>
      </c>
      <c r="I840" s="12">
        <f>IF($A840="","",IFERROR(INDEX(土地清冊_匯入!$V$6:$V$1005,MATCH($A840,土地清冊_匯入!$A$6:$A$1005,0)),""))</f>
        <v/>
      </c>
      <c r="J840" s="14" t="n"/>
      <c r="K840" s="7" t="n"/>
      <c r="L840" s="7" t="n"/>
      <c r="M840" s="7" t="n"/>
      <c r="N840" s="7" t="n"/>
      <c r="O840" s="7" t="n"/>
      <c r="P840" s="7" t="n"/>
      <c r="Q840" s="14" t="n"/>
      <c r="R840" s="7" t="n"/>
      <c r="S840" s="7" t="n"/>
      <c r="T840" s="7" t="n"/>
      <c r="U840" s="12">
        <f>IF(A840="","",IF(OR(J840="",L840=""),"建議補聯絡紀錄","") )</f>
        <v/>
      </c>
    </row>
    <row r="841" ht="24" customHeight="1">
      <c r="A841" s="7" t="n"/>
      <c r="B841" s="7" t="n"/>
      <c r="C841" s="12">
        <f>IF($A841="","",IFERROR(INDEX(土地清冊_匯入!$B$6:$B$1005,MATCH($A841,土地清冊_匯入!$A$6:$A$1005,0)),"查無資料"))</f>
        <v/>
      </c>
      <c r="D841" s="12">
        <f>IF($A841="","",IFERROR(INDEX(土地清冊_匯入!$P$6:$P$1005,MATCH($A841,土地清冊_匯入!$A$6:$A$1005,0)),""))</f>
        <v/>
      </c>
      <c r="E841" s="12">
        <f>IF($A841="","",IFERROR(INDEX(土地清冊_匯入!$Q$6:$Q$1005,MATCH($A841,土地清冊_匯入!$A$6:$A$1005,0)),""))</f>
        <v/>
      </c>
      <c r="F841" s="12">
        <f>IF($A841="","",IFERROR(INDEX(土地清冊_匯入!$R$6:$R$1005,MATCH($A841,土地清冊_匯入!$A$6:$A$1005,0)),""))</f>
        <v/>
      </c>
      <c r="G841" s="12">
        <f>IF($A841="","",IFERROR(INDEX(土地清冊_匯入!$S$6:$S$1005,MATCH($A841,土地清冊_匯入!$A$6:$A$1005,0)),""))</f>
        <v/>
      </c>
      <c r="H841" s="12">
        <f>IF($A841="","",IFERROR(INDEX(土地清冊_匯入!$T$6:$T$1005,MATCH($A841,土地清冊_匯入!$A$6:$A$1005,0)),""))</f>
        <v/>
      </c>
      <c r="I841" s="12">
        <f>IF($A841="","",IFERROR(INDEX(土地清冊_匯入!$V$6:$V$1005,MATCH($A841,土地清冊_匯入!$A$6:$A$1005,0)),""))</f>
        <v/>
      </c>
      <c r="J841" s="14" t="n"/>
      <c r="K841" s="7" t="n"/>
      <c r="L841" s="7" t="n"/>
      <c r="M841" s="7" t="n"/>
      <c r="N841" s="7" t="n"/>
      <c r="O841" s="7" t="n"/>
      <c r="P841" s="7" t="n"/>
      <c r="Q841" s="14" t="n"/>
      <c r="R841" s="7" t="n"/>
      <c r="S841" s="7" t="n"/>
      <c r="T841" s="7" t="n"/>
      <c r="U841" s="12">
        <f>IF(A841="","",IF(OR(J841="",L841=""),"建議補聯絡紀錄","") )</f>
        <v/>
      </c>
    </row>
    <row r="842" ht="24" customHeight="1">
      <c r="A842" s="7" t="n"/>
      <c r="B842" s="7" t="n"/>
      <c r="C842" s="12">
        <f>IF($A842="","",IFERROR(INDEX(土地清冊_匯入!$B$6:$B$1005,MATCH($A842,土地清冊_匯入!$A$6:$A$1005,0)),"查無資料"))</f>
        <v/>
      </c>
      <c r="D842" s="12">
        <f>IF($A842="","",IFERROR(INDEX(土地清冊_匯入!$P$6:$P$1005,MATCH($A842,土地清冊_匯入!$A$6:$A$1005,0)),""))</f>
        <v/>
      </c>
      <c r="E842" s="12">
        <f>IF($A842="","",IFERROR(INDEX(土地清冊_匯入!$Q$6:$Q$1005,MATCH($A842,土地清冊_匯入!$A$6:$A$1005,0)),""))</f>
        <v/>
      </c>
      <c r="F842" s="12">
        <f>IF($A842="","",IFERROR(INDEX(土地清冊_匯入!$R$6:$R$1005,MATCH($A842,土地清冊_匯入!$A$6:$A$1005,0)),""))</f>
        <v/>
      </c>
      <c r="G842" s="12">
        <f>IF($A842="","",IFERROR(INDEX(土地清冊_匯入!$S$6:$S$1005,MATCH($A842,土地清冊_匯入!$A$6:$A$1005,0)),""))</f>
        <v/>
      </c>
      <c r="H842" s="12">
        <f>IF($A842="","",IFERROR(INDEX(土地清冊_匯入!$T$6:$T$1005,MATCH($A842,土地清冊_匯入!$A$6:$A$1005,0)),""))</f>
        <v/>
      </c>
      <c r="I842" s="12">
        <f>IF($A842="","",IFERROR(INDEX(土地清冊_匯入!$V$6:$V$1005,MATCH($A842,土地清冊_匯入!$A$6:$A$1005,0)),""))</f>
        <v/>
      </c>
      <c r="J842" s="14" t="n"/>
      <c r="K842" s="7" t="n"/>
      <c r="L842" s="7" t="n"/>
      <c r="M842" s="7" t="n"/>
      <c r="N842" s="7" t="n"/>
      <c r="O842" s="7" t="n"/>
      <c r="P842" s="7" t="n"/>
      <c r="Q842" s="14" t="n"/>
      <c r="R842" s="7" t="n"/>
      <c r="S842" s="7" t="n"/>
      <c r="T842" s="7" t="n"/>
      <c r="U842" s="12">
        <f>IF(A842="","",IF(OR(J842="",L842=""),"建議補聯絡紀錄","") )</f>
        <v/>
      </c>
    </row>
    <row r="843" ht="24" customHeight="1">
      <c r="A843" s="7" t="n"/>
      <c r="B843" s="7" t="n"/>
      <c r="C843" s="12">
        <f>IF($A843="","",IFERROR(INDEX(土地清冊_匯入!$B$6:$B$1005,MATCH($A843,土地清冊_匯入!$A$6:$A$1005,0)),"查無資料"))</f>
        <v/>
      </c>
      <c r="D843" s="12">
        <f>IF($A843="","",IFERROR(INDEX(土地清冊_匯入!$P$6:$P$1005,MATCH($A843,土地清冊_匯入!$A$6:$A$1005,0)),""))</f>
        <v/>
      </c>
      <c r="E843" s="12">
        <f>IF($A843="","",IFERROR(INDEX(土地清冊_匯入!$Q$6:$Q$1005,MATCH($A843,土地清冊_匯入!$A$6:$A$1005,0)),""))</f>
        <v/>
      </c>
      <c r="F843" s="12">
        <f>IF($A843="","",IFERROR(INDEX(土地清冊_匯入!$R$6:$R$1005,MATCH($A843,土地清冊_匯入!$A$6:$A$1005,0)),""))</f>
        <v/>
      </c>
      <c r="G843" s="12">
        <f>IF($A843="","",IFERROR(INDEX(土地清冊_匯入!$S$6:$S$1005,MATCH($A843,土地清冊_匯入!$A$6:$A$1005,0)),""))</f>
        <v/>
      </c>
      <c r="H843" s="12">
        <f>IF($A843="","",IFERROR(INDEX(土地清冊_匯入!$T$6:$T$1005,MATCH($A843,土地清冊_匯入!$A$6:$A$1005,0)),""))</f>
        <v/>
      </c>
      <c r="I843" s="12">
        <f>IF($A843="","",IFERROR(INDEX(土地清冊_匯入!$V$6:$V$1005,MATCH($A843,土地清冊_匯入!$A$6:$A$1005,0)),""))</f>
        <v/>
      </c>
      <c r="J843" s="14" t="n"/>
      <c r="K843" s="7" t="n"/>
      <c r="L843" s="7" t="n"/>
      <c r="M843" s="7" t="n"/>
      <c r="N843" s="7" t="n"/>
      <c r="O843" s="7" t="n"/>
      <c r="P843" s="7" t="n"/>
      <c r="Q843" s="14" t="n"/>
      <c r="R843" s="7" t="n"/>
      <c r="S843" s="7" t="n"/>
      <c r="T843" s="7" t="n"/>
      <c r="U843" s="12">
        <f>IF(A843="","",IF(OR(J843="",L843=""),"建議補聯絡紀錄","") )</f>
        <v/>
      </c>
    </row>
    <row r="844" ht="24" customHeight="1">
      <c r="A844" s="7" t="n"/>
      <c r="B844" s="7" t="n"/>
      <c r="C844" s="12">
        <f>IF($A844="","",IFERROR(INDEX(土地清冊_匯入!$B$6:$B$1005,MATCH($A844,土地清冊_匯入!$A$6:$A$1005,0)),"查無資料"))</f>
        <v/>
      </c>
      <c r="D844" s="12">
        <f>IF($A844="","",IFERROR(INDEX(土地清冊_匯入!$P$6:$P$1005,MATCH($A844,土地清冊_匯入!$A$6:$A$1005,0)),""))</f>
        <v/>
      </c>
      <c r="E844" s="12">
        <f>IF($A844="","",IFERROR(INDEX(土地清冊_匯入!$Q$6:$Q$1005,MATCH($A844,土地清冊_匯入!$A$6:$A$1005,0)),""))</f>
        <v/>
      </c>
      <c r="F844" s="12">
        <f>IF($A844="","",IFERROR(INDEX(土地清冊_匯入!$R$6:$R$1005,MATCH($A844,土地清冊_匯入!$A$6:$A$1005,0)),""))</f>
        <v/>
      </c>
      <c r="G844" s="12">
        <f>IF($A844="","",IFERROR(INDEX(土地清冊_匯入!$S$6:$S$1005,MATCH($A844,土地清冊_匯入!$A$6:$A$1005,0)),""))</f>
        <v/>
      </c>
      <c r="H844" s="12">
        <f>IF($A844="","",IFERROR(INDEX(土地清冊_匯入!$T$6:$T$1005,MATCH($A844,土地清冊_匯入!$A$6:$A$1005,0)),""))</f>
        <v/>
      </c>
      <c r="I844" s="12">
        <f>IF($A844="","",IFERROR(INDEX(土地清冊_匯入!$V$6:$V$1005,MATCH($A844,土地清冊_匯入!$A$6:$A$1005,0)),""))</f>
        <v/>
      </c>
      <c r="J844" s="14" t="n"/>
      <c r="K844" s="7" t="n"/>
      <c r="L844" s="7" t="n"/>
      <c r="M844" s="7" t="n"/>
      <c r="N844" s="7" t="n"/>
      <c r="O844" s="7" t="n"/>
      <c r="P844" s="7" t="n"/>
      <c r="Q844" s="14" t="n"/>
      <c r="R844" s="7" t="n"/>
      <c r="S844" s="7" t="n"/>
      <c r="T844" s="7" t="n"/>
      <c r="U844" s="12">
        <f>IF(A844="","",IF(OR(J844="",L844=""),"建議補聯絡紀錄","") )</f>
        <v/>
      </c>
    </row>
    <row r="845" ht="24" customHeight="1">
      <c r="A845" s="7" t="n"/>
      <c r="B845" s="7" t="n"/>
      <c r="C845" s="12">
        <f>IF($A845="","",IFERROR(INDEX(土地清冊_匯入!$B$6:$B$1005,MATCH($A845,土地清冊_匯入!$A$6:$A$1005,0)),"查無資料"))</f>
        <v/>
      </c>
      <c r="D845" s="12">
        <f>IF($A845="","",IFERROR(INDEX(土地清冊_匯入!$P$6:$P$1005,MATCH($A845,土地清冊_匯入!$A$6:$A$1005,0)),""))</f>
        <v/>
      </c>
      <c r="E845" s="12">
        <f>IF($A845="","",IFERROR(INDEX(土地清冊_匯入!$Q$6:$Q$1005,MATCH($A845,土地清冊_匯入!$A$6:$A$1005,0)),""))</f>
        <v/>
      </c>
      <c r="F845" s="12">
        <f>IF($A845="","",IFERROR(INDEX(土地清冊_匯入!$R$6:$R$1005,MATCH($A845,土地清冊_匯入!$A$6:$A$1005,0)),""))</f>
        <v/>
      </c>
      <c r="G845" s="12">
        <f>IF($A845="","",IFERROR(INDEX(土地清冊_匯入!$S$6:$S$1005,MATCH($A845,土地清冊_匯入!$A$6:$A$1005,0)),""))</f>
        <v/>
      </c>
      <c r="H845" s="12">
        <f>IF($A845="","",IFERROR(INDEX(土地清冊_匯入!$T$6:$T$1005,MATCH($A845,土地清冊_匯入!$A$6:$A$1005,0)),""))</f>
        <v/>
      </c>
      <c r="I845" s="12">
        <f>IF($A845="","",IFERROR(INDEX(土地清冊_匯入!$V$6:$V$1005,MATCH($A845,土地清冊_匯入!$A$6:$A$1005,0)),""))</f>
        <v/>
      </c>
      <c r="J845" s="14" t="n"/>
      <c r="K845" s="7" t="n"/>
      <c r="L845" s="7" t="n"/>
      <c r="M845" s="7" t="n"/>
      <c r="N845" s="7" t="n"/>
      <c r="O845" s="7" t="n"/>
      <c r="P845" s="7" t="n"/>
      <c r="Q845" s="14" t="n"/>
      <c r="R845" s="7" t="n"/>
      <c r="S845" s="7" t="n"/>
      <c r="T845" s="7" t="n"/>
      <c r="U845" s="12">
        <f>IF(A845="","",IF(OR(J845="",L845=""),"建議補聯絡紀錄","") )</f>
        <v/>
      </c>
    </row>
    <row r="846" ht="24" customHeight="1">
      <c r="A846" s="7" t="n"/>
      <c r="B846" s="7" t="n"/>
      <c r="C846" s="12">
        <f>IF($A846="","",IFERROR(INDEX(土地清冊_匯入!$B$6:$B$1005,MATCH($A846,土地清冊_匯入!$A$6:$A$1005,0)),"查無資料"))</f>
        <v/>
      </c>
      <c r="D846" s="12">
        <f>IF($A846="","",IFERROR(INDEX(土地清冊_匯入!$P$6:$P$1005,MATCH($A846,土地清冊_匯入!$A$6:$A$1005,0)),""))</f>
        <v/>
      </c>
      <c r="E846" s="12">
        <f>IF($A846="","",IFERROR(INDEX(土地清冊_匯入!$Q$6:$Q$1005,MATCH($A846,土地清冊_匯入!$A$6:$A$1005,0)),""))</f>
        <v/>
      </c>
      <c r="F846" s="12">
        <f>IF($A846="","",IFERROR(INDEX(土地清冊_匯入!$R$6:$R$1005,MATCH($A846,土地清冊_匯入!$A$6:$A$1005,0)),""))</f>
        <v/>
      </c>
      <c r="G846" s="12">
        <f>IF($A846="","",IFERROR(INDEX(土地清冊_匯入!$S$6:$S$1005,MATCH($A846,土地清冊_匯入!$A$6:$A$1005,0)),""))</f>
        <v/>
      </c>
      <c r="H846" s="12">
        <f>IF($A846="","",IFERROR(INDEX(土地清冊_匯入!$T$6:$T$1005,MATCH($A846,土地清冊_匯入!$A$6:$A$1005,0)),""))</f>
        <v/>
      </c>
      <c r="I846" s="12">
        <f>IF($A846="","",IFERROR(INDEX(土地清冊_匯入!$V$6:$V$1005,MATCH($A846,土地清冊_匯入!$A$6:$A$1005,0)),""))</f>
        <v/>
      </c>
      <c r="J846" s="14" t="n"/>
      <c r="K846" s="7" t="n"/>
      <c r="L846" s="7" t="n"/>
      <c r="M846" s="7" t="n"/>
      <c r="N846" s="7" t="n"/>
      <c r="O846" s="7" t="n"/>
      <c r="P846" s="7" t="n"/>
      <c r="Q846" s="14" t="n"/>
      <c r="R846" s="7" t="n"/>
      <c r="S846" s="7" t="n"/>
      <c r="T846" s="7" t="n"/>
      <c r="U846" s="12">
        <f>IF(A846="","",IF(OR(J846="",L846=""),"建議補聯絡紀錄","") )</f>
        <v/>
      </c>
    </row>
    <row r="847" ht="24" customHeight="1">
      <c r="A847" s="7" t="n"/>
      <c r="B847" s="7" t="n"/>
      <c r="C847" s="12">
        <f>IF($A847="","",IFERROR(INDEX(土地清冊_匯入!$B$6:$B$1005,MATCH($A847,土地清冊_匯入!$A$6:$A$1005,0)),"查無資料"))</f>
        <v/>
      </c>
      <c r="D847" s="12">
        <f>IF($A847="","",IFERROR(INDEX(土地清冊_匯入!$P$6:$P$1005,MATCH($A847,土地清冊_匯入!$A$6:$A$1005,0)),""))</f>
        <v/>
      </c>
      <c r="E847" s="12">
        <f>IF($A847="","",IFERROR(INDEX(土地清冊_匯入!$Q$6:$Q$1005,MATCH($A847,土地清冊_匯入!$A$6:$A$1005,0)),""))</f>
        <v/>
      </c>
      <c r="F847" s="12">
        <f>IF($A847="","",IFERROR(INDEX(土地清冊_匯入!$R$6:$R$1005,MATCH($A847,土地清冊_匯入!$A$6:$A$1005,0)),""))</f>
        <v/>
      </c>
      <c r="G847" s="12">
        <f>IF($A847="","",IFERROR(INDEX(土地清冊_匯入!$S$6:$S$1005,MATCH($A847,土地清冊_匯入!$A$6:$A$1005,0)),""))</f>
        <v/>
      </c>
      <c r="H847" s="12">
        <f>IF($A847="","",IFERROR(INDEX(土地清冊_匯入!$T$6:$T$1005,MATCH($A847,土地清冊_匯入!$A$6:$A$1005,0)),""))</f>
        <v/>
      </c>
      <c r="I847" s="12">
        <f>IF($A847="","",IFERROR(INDEX(土地清冊_匯入!$V$6:$V$1005,MATCH($A847,土地清冊_匯入!$A$6:$A$1005,0)),""))</f>
        <v/>
      </c>
      <c r="J847" s="14" t="n"/>
      <c r="K847" s="7" t="n"/>
      <c r="L847" s="7" t="n"/>
      <c r="M847" s="7" t="n"/>
      <c r="N847" s="7" t="n"/>
      <c r="O847" s="7" t="n"/>
      <c r="P847" s="7" t="n"/>
      <c r="Q847" s="14" t="n"/>
      <c r="R847" s="7" t="n"/>
      <c r="S847" s="7" t="n"/>
      <c r="T847" s="7" t="n"/>
      <c r="U847" s="12">
        <f>IF(A847="","",IF(OR(J847="",L847=""),"建議補聯絡紀錄","") )</f>
        <v/>
      </c>
    </row>
    <row r="848" ht="24" customHeight="1">
      <c r="A848" s="7" t="n"/>
      <c r="B848" s="7" t="n"/>
      <c r="C848" s="12">
        <f>IF($A848="","",IFERROR(INDEX(土地清冊_匯入!$B$6:$B$1005,MATCH($A848,土地清冊_匯入!$A$6:$A$1005,0)),"查無資料"))</f>
        <v/>
      </c>
      <c r="D848" s="12">
        <f>IF($A848="","",IFERROR(INDEX(土地清冊_匯入!$P$6:$P$1005,MATCH($A848,土地清冊_匯入!$A$6:$A$1005,0)),""))</f>
        <v/>
      </c>
      <c r="E848" s="12">
        <f>IF($A848="","",IFERROR(INDEX(土地清冊_匯入!$Q$6:$Q$1005,MATCH($A848,土地清冊_匯入!$A$6:$A$1005,0)),""))</f>
        <v/>
      </c>
      <c r="F848" s="12">
        <f>IF($A848="","",IFERROR(INDEX(土地清冊_匯入!$R$6:$R$1005,MATCH($A848,土地清冊_匯入!$A$6:$A$1005,0)),""))</f>
        <v/>
      </c>
      <c r="G848" s="12">
        <f>IF($A848="","",IFERROR(INDEX(土地清冊_匯入!$S$6:$S$1005,MATCH($A848,土地清冊_匯入!$A$6:$A$1005,0)),""))</f>
        <v/>
      </c>
      <c r="H848" s="12">
        <f>IF($A848="","",IFERROR(INDEX(土地清冊_匯入!$T$6:$T$1005,MATCH($A848,土地清冊_匯入!$A$6:$A$1005,0)),""))</f>
        <v/>
      </c>
      <c r="I848" s="12">
        <f>IF($A848="","",IFERROR(INDEX(土地清冊_匯入!$V$6:$V$1005,MATCH($A848,土地清冊_匯入!$A$6:$A$1005,0)),""))</f>
        <v/>
      </c>
      <c r="J848" s="14" t="n"/>
      <c r="K848" s="7" t="n"/>
      <c r="L848" s="7" t="n"/>
      <c r="M848" s="7" t="n"/>
      <c r="N848" s="7" t="n"/>
      <c r="O848" s="7" t="n"/>
      <c r="P848" s="7" t="n"/>
      <c r="Q848" s="14" t="n"/>
      <c r="R848" s="7" t="n"/>
      <c r="S848" s="7" t="n"/>
      <c r="T848" s="7" t="n"/>
      <c r="U848" s="12">
        <f>IF(A848="","",IF(OR(J848="",L848=""),"建議補聯絡紀錄","") )</f>
        <v/>
      </c>
    </row>
    <row r="849" ht="24" customHeight="1">
      <c r="A849" s="7" t="n"/>
      <c r="B849" s="7" t="n"/>
      <c r="C849" s="12">
        <f>IF($A849="","",IFERROR(INDEX(土地清冊_匯入!$B$6:$B$1005,MATCH($A849,土地清冊_匯入!$A$6:$A$1005,0)),"查無資料"))</f>
        <v/>
      </c>
      <c r="D849" s="12">
        <f>IF($A849="","",IFERROR(INDEX(土地清冊_匯入!$P$6:$P$1005,MATCH($A849,土地清冊_匯入!$A$6:$A$1005,0)),""))</f>
        <v/>
      </c>
      <c r="E849" s="12">
        <f>IF($A849="","",IFERROR(INDEX(土地清冊_匯入!$Q$6:$Q$1005,MATCH($A849,土地清冊_匯入!$A$6:$A$1005,0)),""))</f>
        <v/>
      </c>
      <c r="F849" s="12">
        <f>IF($A849="","",IFERROR(INDEX(土地清冊_匯入!$R$6:$R$1005,MATCH($A849,土地清冊_匯入!$A$6:$A$1005,0)),""))</f>
        <v/>
      </c>
      <c r="G849" s="12">
        <f>IF($A849="","",IFERROR(INDEX(土地清冊_匯入!$S$6:$S$1005,MATCH($A849,土地清冊_匯入!$A$6:$A$1005,0)),""))</f>
        <v/>
      </c>
      <c r="H849" s="12">
        <f>IF($A849="","",IFERROR(INDEX(土地清冊_匯入!$T$6:$T$1005,MATCH($A849,土地清冊_匯入!$A$6:$A$1005,0)),""))</f>
        <v/>
      </c>
      <c r="I849" s="12">
        <f>IF($A849="","",IFERROR(INDEX(土地清冊_匯入!$V$6:$V$1005,MATCH($A849,土地清冊_匯入!$A$6:$A$1005,0)),""))</f>
        <v/>
      </c>
      <c r="J849" s="14" t="n"/>
      <c r="K849" s="7" t="n"/>
      <c r="L849" s="7" t="n"/>
      <c r="M849" s="7" t="n"/>
      <c r="N849" s="7" t="n"/>
      <c r="O849" s="7" t="n"/>
      <c r="P849" s="7" t="n"/>
      <c r="Q849" s="14" t="n"/>
      <c r="R849" s="7" t="n"/>
      <c r="S849" s="7" t="n"/>
      <c r="T849" s="7" t="n"/>
      <c r="U849" s="12">
        <f>IF(A849="","",IF(OR(J849="",L849=""),"建議補聯絡紀錄","") )</f>
        <v/>
      </c>
    </row>
    <row r="850" ht="24" customHeight="1">
      <c r="A850" s="7" t="n"/>
      <c r="B850" s="7" t="n"/>
      <c r="C850" s="12">
        <f>IF($A850="","",IFERROR(INDEX(土地清冊_匯入!$B$6:$B$1005,MATCH($A850,土地清冊_匯入!$A$6:$A$1005,0)),"查無資料"))</f>
        <v/>
      </c>
      <c r="D850" s="12">
        <f>IF($A850="","",IFERROR(INDEX(土地清冊_匯入!$P$6:$P$1005,MATCH($A850,土地清冊_匯入!$A$6:$A$1005,0)),""))</f>
        <v/>
      </c>
      <c r="E850" s="12">
        <f>IF($A850="","",IFERROR(INDEX(土地清冊_匯入!$Q$6:$Q$1005,MATCH($A850,土地清冊_匯入!$A$6:$A$1005,0)),""))</f>
        <v/>
      </c>
      <c r="F850" s="12">
        <f>IF($A850="","",IFERROR(INDEX(土地清冊_匯入!$R$6:$R$1005,MATCH($A850,土地清冊_匯入!$A$6:$A$1005,0)),""))</f>
        <v/>
      </c>
      <c r="G850" s="12">
        <f>IF($A850="","",IFERROR(INDEX(土地清冊_匯入!$S$6:$S$1005,MATCH($A850,土地清冊_匯入!$A$6:$A$1005,0)),""))</f>
        <v/>
      </c>
      <c r="H850" s="12">
        <f>IF($A850="","",IFERROR(INDEX(土地清冊_匯入!$T$6:$T$1005,MATCH($A850,土地清冊_匯入!$A$6:$A$1005,0)),""))</f>
        <v/>
      </c>
      <c r="I850" s="12">
        <f>IF($A850="","",IFERROR(INDEX(土地清冊_匯入!$V$6:$V$1005,MATCH($A850,土地清冊_匯入!$A$6:$A$1005,0)),""))</f>
        <v/>
      </c>
      <c r="J850" s="14" t="n"/>
      <c r="K850" s="7" t="n"/>
      <c r="L850" s="7" t="n"/>
      <c r="M850" s="7" t="n"/>
      <c r="N850" s="7" t="n"/>
      <c r="O850" s="7" t="n"/>
      <c r="P850" s="7" t="n"/>
      <c r="Q850" s="14" t="n"/>
      <c r="R850" s="7" t="n"/>
      <c r="S850" s="7" t="n"/>
      <c r="T850" s="7" t="n"/>
      <c r="U850" s="12">
        <f>IF(A850="","",IF(OR(J850="",L850=""),"建議補聯絡紀錄","") )</f>
        <v/>
      </c>
    </row>
    <row r="851" ht="24" customHeight="1">
      <c r="A851" s="7" t="n"/>
      <c r="B851" s="7" t="n"/>
      <c r="C851" s="12">
        <f>IF($A851="","",IFERROR(INDEX(土地清冊_匯入!$B$6:$B$1005,MATCH($A851,土地清冊_匯入!$A$6:$A$1005,0)),"查無資料"))</f>
        <v/>
      </c>
      <c r="D851" s="12">
        <f>IF($A851="","",IFERROR(INDEX(土地清冊_匯入!$P$6:$P$1005,MATCH($A851,土地清冊_匯入!$A$6:$A$1005,0)),""))</f>
        <v/>
      </c>
      <c r="E851" s="12">
        <f>IF($A851="","",IFERROR(INDEX(土地清冊_匯入!$Q$6:$Q$1005,MATCH($A851,土地清冊_匯入!$A$6:$A$1005,0)),""))</f>
        <v/>
      </c>
      <c r="F851" s="12">
        <f>IF($A851="","",IFERROR(INDEX(土地清冊_匯入!$R$6:$R$1005,MATCH($A851,土地清冊_匯入!$A$6:$A$1005,0)),""))</f>
        <v/>
      </c>
      <c r="G851" s="12">
        <f>IF($A851="","",IFERROR(INDEX(土地清冊_匯入!$S$6:$S$1005,MATCH($A851,土地清冊_匯入!$A$6:$A$1005,0)),""))</f>
        <v/>
      </c>
      <c r="H851" s="12">
        <f>IF($A851="","",IFERROR(INDEX(土地清冊_匯入!$T$6:$T$1005,MATCH($A851,土地清冊_匯入!$A$6:$A$1005,0)),""))</f>
        <v/>
      </c>
      <c r="I851" s="12">
        <f>IF($A851="","",IFERROR(INDEX(土地清冊_匯入!$V$6:$V$1005,MATCH($A851,土地清冊_匯入!$A$6:$A$1005,0)),""))</f>
        <v/>
      </c>
      <c r="J851" s="14" t="n"/>
      <c r="K851" s="7" t="n"/>
      <c r="L851" s="7" t="n"/>
      <c r="M851" s="7" t="n"/>
      <c r="N851" s="7" t="n"/>
      <c r="O851" s="7" t="n"/>
      <c r="P851" s="7" t="n"/>
      <c r="Q851" s="14" t="n"/>
      <c r="R851" s="7" t="n"/>
      <c r="S851" s="7" t="n"/>
      <c r="T851" s="7" t="n"/>
      <c r="U851" s="12">
        <f>IF(A851="","",IF(OR(J851="",L851=""),"建議補聯絡紀錄","") )</f>
        <v/>
      </c>
    </row>
    <row r="852" ht="24" customHeight="1">
      <c r="A852" s="7" t="n"/>
      <c r="B852" s="7" t="n"/>
      <c r="C852" s="12">
        <f>IF($A852="","",IFERROR(INDEX(土地清冊_匯入!$B$6:$B$1005,MATCH($A852,土地清冊_匯入!$A$6:$A$1005,0)),"查無資料"))</f>
        <v/>
      </c>
      <c r="D852" s="12">
        <f>IF($A852="","",IFERROR(INDEX(土地清冊_匯入!$P$6:$P$1005,MATCH($A852,土地清冊_匯入!$A$6:$A$1005,0)),""))</f>
        <v/>
      </c>
      <c r="E852" s="12">
        <f>IF($A852="","",IFERROR(INDEX(土地清冊_匯入!$Q$6:$Q$1005,MATCH($A852,土地清冊_匯入!$A$6:$A$1005,0)),""))</f>
        <v/>
      </c>
      <c r="F852" s="12">
        <f>IF($A852="","",IFERROR(INDEX(土地清冊_匯入!$R$6:$R$1005,MATCH($A852,土地清冊_匯入!$A$6:$A$1005,0)),""))</f>
        <v/>
      </c>
      <c r="G852" s="12">
        <f>IF($A852="","",IFERROR(INDEX(土地清冊_匯入!$S$6:$S$1005,MATCH($A852,土地清冊_匯入!$A$6:$A$1005,0)),""))</f>
        <v/>
      </c>
      <c r="H852" s="12">
        <f>IF($A852="","",IFERROR(INDEX(土地清冊_匯入!$T$6:$T$1005,MATCH($A852,土地清冊_匯入!$A$6:$A$1005,0)),""))</f>
        <v/>
      </c>
      <c r="I852" s="12">
        <f>IF($A852="","",IFERROR(INDEX(土地清冊_匯入!$V$6:$V$1005,MATCH($A852,土地清冊_匯入!$A$6:$A$1005,0)),""))</f>
        <v/>
      </c>
      <c r="J852" s="14" t="n"/>
      <c r="K852" s="7" t="n"/>
      <c r="L852" s="7" t="n"/>
      <c r="M852" s="7" t="n"/>
      <c r="N852" s="7" t="n"/>
      <c r="O852" s="7" t="n"/>
      <c r="P852" s="7" t="n"/>
      <c r="Q852" s="14" t="n"/>
      <c r="R852" s="7" t="n"/>
      <c r="S852" s="7" t="n"/>
      <c r="T852" s="7" t="n"/>
      <c r="U852" s="12">
        <f>IF(A852="","",IF(OR(J852="",L852=""),"建議補聯絡紀錄","") )</f>
        <v/>
      </c>
    </row>
    <row r="853" ht="24" customHeight="1">
      <c r="A853" s="7" t="n"/>
      <c r="B853" s="7" t="n"/>
      <c r="C853" s="12">
        <f>IF($A853="","",IFERROR(INDEX(土地清冊_匯入!$B$6:$B$1005,MATCH($A853,土地清冊_匯入!$A$6:$A$1005,0)),"查無資料"))</f>
        <v/>
      </c>
      <c r="D853" s="12">
        <f>IF($A853="","",IFERROR(INDEX(土地清冊_匯入!$P$6:$P$1005,MATCH($A853,土地清冊_匯入!$A$6:$A$1005,0)),""))</f>
        <v/>
      </c>
      <c r="E853" s="12">
        <f>IF($A853="","",IFERROR(INDEX(土地清冊_匯入!$Q$6:$Q$1005,MATCH($A853,土地清冊_匯入!$A$6:$A$1005,0)),""))</f>
        <v/>
      </c>
      <c r="F853" s="12">
        <f>IF($A853="","",IFERROR(INDEX(土地清冊_匯入!$R$6:$R$1005,MATCH($A853,土地清冊_匯入!$A$6:$A$1005,0)),""))</f>
        <v/>
      </c>
      <c r="G853" s="12">
        <f>IF($A853="","",IFERROR(INDEX(土地清冊_匯入!$S$6:$S$1005,MATCH($A853,土地清冊_匯入!$A$6:$A$1005,0)),""))</f>
        <v/>
      </c>
      <c r="H853" s="12">
        <f>IF($A853="","",IFERROR(INDEX(土地清冊_匯入!$T$6:$T$1005,MATCH($A853,土地清冊_匯入!$A$6:$A$1005,0)),""))</f>
        <v/>
      </c>
      <c r="I853" s="12">
        <f>IF($A853="","",IFERROR(INDEX(土地清冊_匯入!$V$6:$V$1005,MATCH($A853,土地清冊_匯入!$A$6:$A$1005,0)),""))</f>
        <v/>
      </c>
      <c r="J853" s="14" t="n"/>
      <c r="K853" s="7" t="n"/>
      <c r="L853" s="7" t="n"/>
      <c r="M853" s="7" t="n"/>
      <c r="N853" s="7" t="n"/>
      <c r="O853" s="7" t="n"/>
      <c r="P853" s="7" t="n"/>
      <c r="Q853" s="14" t="n"/>
      <c r="R853" s="7" t="n"/>
      <c r="S853" s="7" t="n"/>
      <c r="T853" s="7" t="n"/>
      <c r="U853" s="12">
        <f>IF(A853="","",IF(OR(J853="",L853=""),"建議補聯絡紀錄","") )</f>
        <v/>
      </c>
    </row>
    <row r="854" ht="24" customHeight="1">
      <c r="A854" s="7" t="n"/>
      <c r="B854" s="7" t="n"/>
      <c r="C854" s="12">
        <f>IF($A854="","",IFERROR(INDEX(土地清冊_匯入!$B$6:$B$1005,MATCH($A854,土地清冊_匯入!$A$6:$A$1005,0)),"查無資料"))</f>
        <v/>
      </c>
      <c r="D854" s="12">
        <f>IF($A854="","",IFERROR(INDEX(土地清冊_匯入!$P$6:$P$1005,MATCH($A854,土地清冊_匯入!$A$6:$A$1005,0)),""))</f>
        <v/>
      </c>
      <c r="E854" s="12">
        <f>IF($A854="","",IFERROR(INDEX(土地清冊_匯入!$Q$6:$Q$1005,MATCH($A854,土地清冊_匯入!$A$6:$A$1005,0)),""))</f>
        <v/>
      </c>
      <c r="F854" s="12">
        <f>IF($A854="","",IFERROR(INDEX(土地清冊_匯入!$R$6:$R$1005,MATCH($A854,土地清冊_匯入!$A$6:$A$1005,0)),""))</f>
        <v/>
      </c>
      <c r="G854" s="12">
        <f>IF($A854="","",IFERROR(INDEX(土地清冊_匯入!$S$6:$S$1005,MATCH($A854,土地清冊_匯入!$A$6:$A$1005,0)),""))</f>
        <v/>
      </c>
      <c r="H854" s="12">
        <f>IF($A854="","",IFERROR(INDEX(土地清冊_匯入!$T$6:$T$1005,MATCH($A854,土地清冊_匯入!$A$6:$A$1005,0)),""))</f>
        <v/>
      </c>
      <c r="I854" s="12">
        <f>IF($A854="","",IFERROR(INDEX(土地清冊_匯入!$V$6:$V$1005,MATCH($A854,土地清冊_匯入!$A$6:$A$1005,0)),""))</f>
        <v/>
      </c>
      <c r="J854" s="14" t="n"/>
      <c r="K854" s="7" t="n"/>
      <c r="L854" s="7" t="n"/>
      <c r="M854" s="7" t="n"/>
      <c r="N854" s="7" t="n"/>
      <c r="O854" s="7" t="n"/>
      <c r="P854" s="7" t="n"/>
      <c r="Q854" s="14" t="n"/>
      <c r="R854" s="7" t="n"/>
      <c r="S854" s="7" t="n"/>
      <c r="T854" s="7" t="n"/>
      <c r="U854" s="12">
        <f>IF(A854="","",IF(OR(J854="",L854=""),"建議補聯絡紀錄","") )</f>
        <v/>
      </c>
    </row>
    <row r="855" ht="24" customHeight="1">
      <c r="A855" s="7" t="n"/>
      <c r="B855" s="7" t="n"/>
      <c r="C855" s="12">
        <f>IF($A855="","",IFERROR(INDEX(土地清冊_匯入!$B$6:$B$1005,MATCH($A855,土地清冊_匯入!$A$6:$A$1005,0)),"查無資料"))</f>
        <v/>
      </c>
      <c r="D855" s="12">
        <f>IF($A855="","",IFERROR(INDEX(土地清冊_匯入!$P$6:$P$1005,MATCH($A855,土地清冊_匯入!$A$6:$A$1005,0)),""))</f>
        <v/>
      </c>
      <c r="E855" s="12">
        <f>IF($A855="","",IFERROR(INDEX(土地清冊_匯入!$Q$6:$Q$1005,MATCH($A855,土地清冊_匯入!$A$6:$A$1005,0)),""))</f>
        <v/>
      </c>
      <c r="F855" s="12">
        <f>IF($A855="","",IFERROR(INDEX(土地清冊_匯入!$R$6:$R$1005,MATCH($A855,土地清冊_匯入!$A$6:$A$1005,0)),""))</f>
        <v/>
      </c>
      <c r="G855" s="12">
        <f>IF($A855="","",IFERROR(INDEX(土地清冊_匯入!$S$6:$S$1005,MATCH($A855,土地清冊_匯入!$A$6:$A$1005,0)),""))</f>
        <v/>
      </c>
      <c r="H855" s="12">
        <f>IF($A855="","",IFERROR(INDEX(土地清冊_匯入!$T$6:$T$1005,MATCH($A855,土地清冊_匯入!$A$6:$A$1005,0)),""))</f>
        <v/>
      </c>
      <c r="I855" s="12">
        <f>IF($A855="","",IFERROR(INDEX(土地清冊_匯入!$V$6:$V$1005,MATCH($A855,土地清冊_匯入!$A$6:$A$1005,0)),""))</f>
        <v/>
      </c>
      <c r="J855" s="14" t="n"/>
      <c r="K855" s="7" t="n"/>
      <c r="L855" s="7" t="n"/>
      <c r="M855" s="7" t="n"/>
      <c r="N855" s="7" t="n"/>
      <c r="O855" s="7" t="n"/>
      <c r="P855" s="7" t="n"/>
      <c r="Q855" s="14" t="n"/>
      <c r="R855" s="7" t="n"/>
      <c r="S855" s="7" t="n"/>
      <c r="T855" s="7" t="n"/>
      <c r="U855" s="12">
        <f>IF(A855="","",IF(OR(J855="",L855=""),"建議補聯絡紀錄","") )</f>
        <v/>
      </c>
    </row>
    <row r="856" ht="24" customHeight="1">
      <c r="A856" s="7" t="n"/>
      <c r="B856" s="7" t="n"/>
      <c r="C856" s="12">
        <f>IF($A856="","",IFERROR(INDEX(土地清冊_匯入!$B$6:$B$1005,MATCH($A856,土地清冊_匯入!$A$6:$A$1005,0)),"查無資料"))</f>
        <v/>
      </c>
      <c r="D856" s="12">
        <f>IF($A856="","",IFERROR(INDEX(土地清冊_匯入!$P$6:$P$1005,MATCH($A856,土地清冊_匯入!$A$6:$A$1005,0)),""))</f>
        <v/>
      </c>
      <c r="E856" s="12">
        <f>IF($A856="","",IFERROR(INDEX(土地清冊_匯入!$Q$6:$Q$1005,MATCH($A856,土地清冊_匯入!$A$6:$A$1005,0)),""))</f>
        <v/>
      </c>
      <c r="F856" s="12">
        <f>IF($A856="","",IFERROR(INDEX(土地清冊_匯入!$R$6:$R$1005,MATCH($A856,土地清冊_匯入!$A$6:$A$1005,0)),""))</f>
        <v/>
      </c>
      <c r="G856" s="12">
        <f>IF($A856="","",IFERROR(INDEX(土地清冊_匯入!$S$6:$S$1005,MATCH($A856,土地清冊_匯入!$A$6:$A$1005,0)),""))</f>
        <v/>
      </c>
      <c r="H856" s="12">
        <f>IF($A856="","",IFERROR(INDEX(土地清冊_匯入!$T$6:$T$1005,MATCH($A856,土地清冊_匯入!$A$6:$A$1005,0)),""))</f>
        <v/>
      </c>
      <c r="I856" s="12">
        <f>IF($A856="","",IFERROR(INDEX(土地清冊_匯入!$V$6:$V$1005,MATCH($A856,土地清冊_匯入!$A$6:$A$1005,0)),""))</f>
        <v/>
      </c>
      <c r="J856" s="14" t="n"/>
      <c r="K856" s="7" t="n"/>
      <c r="L856" s="7" t="n"/>
      <c r="M856" s="7" t="n"/>
      <c r="N856" s="7" t="n"/>
      <c r="O856" s="7" t="n"/>
      <c r="P856" s="7" t="n"/>
      <c r="Q856" s="14" t="n"/>
      <c r="R856" s="7" t="n"/>
      <c r="S856" s="7" t="n"/>
      <c r="T856" s="7" t="n"/>
      <c r="U856" s="12">
        <f>IF(A856="","",IF(OR(J856="",L856=""),"建議補聯絡紀錄","") )</f>
        <v/>
      </c>
    </row>
    <row r="857" ht="24" customHeight="1">
      <c r="A857" s="7" t="n"/>
      <c r="B857" s="7" t="n"/>
      <c r="C857" s="12">
        <f>IF($A857="","",IFERROR(INDEX(土地清冊_匯入!$B$6:$B$1005,MATCH($A857,土地清冊_匯入!$A$6:$A$1005,0)),"查無資料"))</f>
        <v/>
      </c>
      <c r="D857" s="12">
        <f>IF($A857="","",IFERROR(INDEX(土地清冊_匯入!$P$6:$P$1005,MATCH($A857,土地清冊_匯入!$A$6:$A$1005,0)),""))</f>
        <v/>
      </c>
      <c r="E857" s="12">
        <f>IF($A857="","",IFERROR(INDEX(土地清冊_匯入!$Q$6:$Q$1005,MATCH($A857,土地清冊_匯入!$A$6:$A$1005,0)),""))</f>
        <v/>
      </c>
      <c r="F857" s="12">
        <f>IF($A857="","",IFERROR(INDEX(土地清冊_匯入!$R$6:$R$1005,MATCH($A857,土地清冊_匯入!$A$6:$A$1005,0)),""))</f>
        <v/>
      </c>
      <c r="G857" s="12">
        <f>IF($A857="","",IFERROR(INDEX(土地清冊_匯入!$S$6:$S$1005,MATCH($A857,土地清冊_匯入!$A$6:$A$1005,0)),""))</f>
        <v/>
      </c>
      <c r="H857" s="12">
        <f>IF($A857="","",IFERROR(INDEX(土地清冊_匯入!$T$6:$T$1005,MATCH($A857,土地清冊_匯入!$A$6:$A$1005,0)),""))</f>
        <v/>
      </c>
      <c r="I857" s="12">
        <f>IF($A857="","",IFERROR(INDEX(土地清冊_匯入!$V$6:$V$1005,MATCH($A857,土地清冊_匯入!$A$6:$A$1005,0)),""))</f>
        <v/>
      </c>
      <c r="J857" s="14" t="n"/>
      <c r="K857" s="7" t="n"/>
      <c r="L857" s="7" t="n"/>
      <c r="M857" s="7" t="n"/>
      <c r="N857" s="7" t="n"/>
      <c r="O857" s="7" t="n"/>
      <c r="P857" s="7" t="n"/>
      <c r="Q857" s="14" t="n"/>
      <c r="R857" s="7" t="n"/>
      <c r="S857" s="7" t="n"/>
      <c r="T857" s="7" t="n"/>
      <c r="U857" s="12">
        <f>IF(A857="","",IF(OR(J857="",L857=""),"建議補聯絡紀錄","") )</f>
        <v/>
      </c>
    </row>
    <row r="858" ht="24" customHeight="1">
      <c r="A858" s="7" t="n"/>
      <c r="B858" s="7" t="n"/>
      <c r="C858" s="12">
        <f>IF($A858="","",IFERROR(INDEX(土地清冊_匯入!$B$6:$B$1005,MATCH($A858,土地清冊_匯入!$A$6:$A$1005,0)),"查無資料"))</f>
        <v/>
      </c>
      <c r="D858" s="12">
        <f>IF($A858="","",IFERROR(INDEX(土地清冊_匯入!$P$6:$P$1005,MATCH($A858,土地清冊_匯入!$A$6:$A$1005,0)),""))</f>
        <v/>
      </c>
      <c r="E858" s="12">
        <f>IF($A858="","",IFERROR(INDEX(土地清冊_匯入!$Q$6:$Q$1005,MATCH($A858,土地清冊_匯入!$A$6:$A$1005,0)),""))</f>
        <v/>
      </c>
      <c r="F858" s="12">
        <f>IF($A858="","",IFERROR(INDEX(土地清冊_匯入!$R$6:$R$1005,MATCH($A858,土地清冊_匯入!$A$6:$A$1005,0)),""))</f>
        <v/>
      </c>
      <c r="G858" s="12">
        <f>IF($A858="","",IFERROR(INDEX(土地清冊_匯入!$S$6:$S$1005,MATCH($A858,土地清冊_匯入!$A$6:$A$1005,0)),""))</f>
        <v/>
      </c>
      <c r="H858" s="12">
        <f>IF($A858="","",IFERROR(INDEX(土地清冊_匯入!$T$6:$T$1005,MATCH($A858,土地清冊_匯入!$A$6:$A$1005,0)),""))</f>
        <v/>
      </c>
      <c r="I858" s="12">
        <f>IF($A858="","",IFERROR(INDEX(土地清冊_匯入!$V$6:$V$1005,MATCH($A858,土地清冊_匯入!$A$6:$A$1005,0)),""))</f>
        <v/>
      </c>
      <c r="J858" s="14" t="n"/>
      <c r="K858" s="7" t="n"/>
      <c r="L858" s="7" t="n"/>
      <c r="M858" s="7" t="n"/>
      <c r="N858" s="7" t="n"/>
      <c r="O858" s="7" t="n"/>
      <c r="P858" s="7" t="n"/>
      <c r="Q858" s="14" t="n"/>
      <c r="R858" s="7" t="n"/>
      <c r="S858" s="7" t="n"/>
      <c r="T858" s="7" t="n"/>
      <c r="U858" s="12">
        <f>IF(A858="","",IF(OR(J858="",L858=""),"建議補聯絡紀錄","") )</f>
        <v/>
      </c>
    </row>
    <row r="859" ht="24" customHeight="1">
      <c r="A859" s="7" t="n"/>
      <c r="B859" s="7" t="n"/>
      <c r="C859" s="12">
        <f>IF($A859="","",IFERROR(INDEX(土地清冊_匯入!$B$6:$B$1005,MATCH($A859,土地清冊_匯入!$A$6:$A$1005,0)),"查無資料"))</f>
        <v/>
      </c>
      <c r="D859" s="12">
        <f>IF($A859="","",IFERROR(INDEX(土地清冊_匯入!$P$6:$P$1005,MATCH($A859,土地清冊_匯入!$A$6:$A$1005,0)),""))</f>
        <v/>
      </c>
      <c r="E859" s="12">
        <f>IF($A859="","",IFERROR(INDEX(土地清冊_匯入!$Q$6:$Q$1005,MATCH($A859,土地清冊_匯入!$A$6:$A$1005,0)),""))</f>
        <v/>
      </c>
      <c r="F859" s="12">
        <f>IF($A859="","",IFERROR(INDEX(土地清冊_匯入!$R$6:$R$1005,MATCH($A859,土地清冊_匯入!$A$6:$A$1005,0)),""))</f>
        <v/>
      </c>
      <c r="G859" s="12">
        <f>IF($A859="","",IFERROR(INDEX(土地清冊_匯入!$S$6:$S$1005,MATCH($A859,土地清冊_匯入!$A$6:$A$1005,0)),""))</f>
        <v/>
      </c>
      <c r="H859" s="12">
        <f>IF($A859="","",IFERROR(INDEX(土地清冊_匯入!$T$6:$T$1005,MATCH($A859,土地清冊_匯入!$A$6:$A$1005,0)),""))</f>
        <v/>
      </c>
      <c r="I859" s="12">
        <f>IF($A859="","",IFERROR(INDEX(土地清冊_匯入!$V$6:$V$1005,MATCH($A859,土地清冊_匯入!$A$6:$A$1005,0)),""))</f>
        <v/>
      </c>
      <c r="J859" s="14" t="n"/>
      <c r="K859" s="7" t="n"/>
      <c r="L859" s="7" t="n"/>
      <c r="M859" s="7" t="n"/>
      <c r="N859" s="7" t="n"/>
      <c r="O859" s="7" t="n"/>
      <c r="P859" s="7" t="n"/>
      <c r="Q859" s="14" t="n"/>
      <c r="R859" s="7" t="n"/>
      <c r="S859" s="7" t="n"/>
      <c r="T859" s="7" t="n"/>
      <c r="U859" s="12">
        <f>IF(A859="","",IF(OR(J859="",L859=""),"建議補聯絡紀錄","") )</f>
        <v/>
      </c>
    </row>
    <row r="860" ht="24" customHeight="1">
      <c r="A860" s="7" t="n"/>
      <c r="B860" s="7" t="n"/>
      <c r="C860" s="12">
        <f>IF($A860="","",IFERROR(INDEX(土地清冊_匯入!$B$6:$B$1005,MATCH($A860,土地清冊_匯入!$A$6:$A$1005,0)),"查無資料"))</f>
        <v/>
      </c>
      <c r="D860" s="12">
        <f>IF($A860="","",IFERROR(INDEX(土地清冊_匯入!$P$6:$P$1005,MATCH($A860,土地清冊_匯入!$A$6:$A$1005,0)),""))</f>
        <v/>
      </c>
      <c r="E860" s="12">
        <f>IF($A860="","",IFERROR(INDEX(土地清冊_匯入!$Q$6:$Q$1005,MATCH($A860,土地清冊_匯入!$A$6:$A$1005,0)),""))</f>
        <v/>
      </c>
      <c r="F860" s="12">
        <f>IF($A860="","",IFERROR(INDEX(土地清冊_匯入!$R$6:$R$1005,MATCH($A860,土地清冊_匯入!$A$6:$A$1005,0)),""))</f>
        <v/>
      </c>
      <c r="G860" s="12">
        <f>IF($A860="","",IFERROR(INDEX(土地清冊_匯入!$S$6:$S$1005,MATCH($A860,土地清冊_匯入!$A$6:$A$1005,0)),""))</f>
        <v/>
      </c>
      <c r="H860" s="12">
        <f>IF($A860="","",IFERROR(INDEX(土地清冊_匯入!$T$6:$T$1005,MATCH($A860,土地清冊_匯入!$A$6:$A$1005,0)),""))</f>
        <v/>
      </c>
      <c r="I860" s="12">
        <f>IF($A860="","",IFERROR(INDEX(土地清冊_匯入!$V$6:$V$1005,MATCH($A860,土地清冊_匯入!$A$6:$A$1005,0)),""))</f>
        <v/>
      </c>
      <c r="J860" s="14" t="n"/>
      <c r="K860" s="7" t="n"/>
      <c r="L860" s="7" t="n"/>
      <c r="M860" s="7" t="n"/>
      <c r="N860" s="7" t="n"/>
      <c r="O860" s="7" t="n"/>
      <c r="P860" s="7" t="n"/>
      <c r="Q860" s="14" t="n"/>
      <c r="R860" s="7" t="n"/>
      <c r="S860" s="7" t="n"/>
      <c r="T860" s="7" t="n"/>
      <c r="U860" s="12">
        <f>IF(A860="","",IF(OR(J860="",L860=""),"建議補聯絡紀錄","") )</f>
        <v/>
      </c>
    </row>
    <row r="861" ht="24" customHeight="1">
      <c r="A861" s="7" t="n"/>
      <c r="B861" s="7" t="n"/>
      <c r="C861" s="12">
        <f>IF($A861="","",IFERROR(INDEX(土地清冊_匯入!$B$6:$B$1005,MATCH($A861,土地清冊_匯入!$A$6:$A$1005,0)),"查無資料"))</f>
        <v/>
      </c>
      <c r="D861" s="12">
        <f>IF($A861="","",IFERROR(INDEX(土地清冊_匯入!$P$6:$P$1005,MATCH($A861,土地清冊_匯入!$A$6:$A$1005,0)),""))</f>
        <v/>
      </c>
      <c r="E861" s="12">
        <f>IF($A861="","",IFERROR(INDEX(土地清冊_匯入!$Q$6:$Q$1005,MATCH($A861,土地清冊_匯入!$A$6:$A$1005,0)),""))</f>
        <v/>
      </c>
      <c r="F861" s="12">
        <f>IF($A861="","",IFERROR(INDEX(土地清冊_匯入!$R$6:$R$1005,MATCH($A861,土地清冊_匯入!$A$6:$A$1005,0)),""))</f>
        <v/>
      </c>
      <c r="G861" s="12">
        <f>IF($A861="","",IFERROR(INDEX(土地清冊_匯入!$S$6:$S$1005,MATCH($A861,土地清冊_匯入!$A$6:$A$1005,0)),""))</f>
        <v/>
      </c>
      <c r="H861" s="12">
        <f>IF($A861="","",IFERROR(INDEX(土地清冊_匯入!$T$6:$T$1005,MATCH($A861,土地清冊_匯入!$A$6:$A$1005,0)),""))</f>
        <v/>
      </c>
      <c r="I861" s="12">
        <f>IF($A861="","",IFERROR(INDEX(土地清冊_匯入!$V$6:$V$1005,MATCH($A861,土地清冊_匯入!$A$6:$A$1005,0)),""))</f>
        <v/>
      </c>
      <c r="J861" s="14" t="n"/>
      <c r="K861" s="7" t="n"/>
      <c r="L861" s="7" t="n"/>
      <c r="M861" s="7" t="n"/>
      <c r="N861" s="7" t="n"/>
      <c r="O861" s="7" t="n"/>
      <c r="P861" s="7" t="n"/>
      <c r="Q861" s="14" t="n"/>
      <c r="R861" s="7" t="n"/>
      <c r="S861" s="7" t="n"/>
      <c r="T861" s="7" t="n"/>
      <c r="U861" s="12">
        <f>IF(A861="","",IF(OR(J861="",L861=""),"建議補聯絡紀錄","") )</f>
        <v/>
      </c>
    </row>
    <row r="862" ht="24" customHeight="1">
      <c r="A862" s="7" t="n"/>
      <c r="B862" s="7" t="n"/>
      <c r="C862" s="12">
        <f>IF($A862="","",IFERROR(INDEX(土地清冊_匯入!$B$6:$B$1005,MATCH($A862,土地清冊_匯入!$A$6:$A$1005,0)),"查無資料"))</f>
        <v/>
      </c>
      <c r="D862" s="12">
        <f>IF($A862="","",IFERROR(INDEX(土地清冊_匯入!$P$6:$P$1005,MATCH($A862,土地清冊_匯入!$A$6:$A$1005,0)),""))</f>
        <v/>
      </c>
      <c r="E862" s="12">
        <f>IF($A862="","",IFERROR(INDEX(土地清冊_匯入!$Q$6:$Q$1005,MATCH($A862,土地清冊_匯入!$A$6:$A$1005,0)),""))</f>
        <v/>
      </c>
      <c r="F862" s="12">
        <f>IF($A862="","",IFERROR(INDEX(土地清冊_匯入!$R$6:$R$1005,MATCH($A862,土地清冊_匯入!$A$6:$A$1005,0)),""))</f>
        <v/>
      </c>
      <c r="G862" s="12">
        <f>IF($A862="","",IFERROR(INDEX(土地清冊_匯入!$S$6:$S$1005,MATCH($A862,土地清冊_匯入!$A$6:$A$1005,0)),""))</f>
        <v/>
      </c>
      <c r="H862" s="12">
        <f>IF($A862="","",IFERROR(INDEX(土地清冊_匯入!$T$6:$T$1005,MATCH($A862,土地清冊_匯入!$A$6:$A$1005,0)),""))</f>
        <v/>
      </c>
      <c r="I862" s="12">
        <f>IF($A862="","",IFERROR(INDEX(土地清冊_匯入!$V$6:$V$1005,MATCH($A862,土地清冊_匯入!$A$6:$A$1005,0)),""))</f>
        <v/>
      </c>
      <c r="J862" s="14" t="n"/>
      <c r="K862" s="7" t="n"/>
      <c r="L862" s="7" t="n"/>
      <c r="M862" s="7" t="n"/>
      <c r="N862" s="7" t="n"/>
      <c r="O862" s="7" t="n"/>
      <c r="P862" s="7" t="n"/>
      <c r="Q862" s="14" t="n"/>
      <c r="R862" s="7" t="n"/>
      <c r="S862" s="7" t="n"/>
      <c r="T862" s="7" t="n"/>
      <c r="U862" s="12">
        <f>IF(A862="","",IF(OR(J862="",L862=""),"建議補聯絡紀錄","") )</f>
        <v/>
      </c>
    </row>
    <row r="863" ht="24" customHeight="1">
      <c r="A863" s="7" t="n"/>
      <c r="B863" s="7" t="n"/>
      <c r="C863" s="12">
        <f>IF($A863="","",IFERROR(INDEX(土地清冊_匯入!$B$6:$B$1005,MATCH($A863,土地清冊_匯入!$A$6:$A$1005,0)),"查無資料"))</f>
        <v/>
      </c>
      <c r="D863" s="12">
        <f>IF($A863="","",IFERROR(INDEX(土地清冊_匯入!$P$6:$P$1005,MATCH($A863,土地清冊_匯入!$A$6:$A$1005,0)),""))</f>
        <v/>
      </c>
      <c r="E863" s="12">
        <f>IF($A863="","",IFERROR(INDEX(土地清冊_匯入!$Q$6:$Q$1005,MATCH($A863,土地清冊_匯入!$A$6:$A$1005,0)),""))</f>
        <v/>
      </c>
      <c r="F863" s="12">
        <f>IF($A863="","",IFERROR(INDEX(土地清冊_匯入!$R$6:$R$1005,MATCH($A863,土地清冊_匯入!$A$6:$A$1005,0)),""))</f>
        <v/>
      </c>
      <c r="G863" s="12">
        <f>IF($A863="","",IFERROR(INDEX(土地清冊_匯入!$S$6:$S$1005,MATCH($A863,土地清冊_匯入!$A$6:$A$1005,0)),""))</f>
        <v/>
      </c>
      <c r="H863" s="12">
        <f>IF($A863="","",IFERROR(INDEX(土地清冊_匯入!$T$6:$T$1005,MATCH($A863,土地清冊_匯入!$A$6:$A$1005,0)),""))</f>
        <v/>
      </c>
      <c r="I863" s="12">
        <f>IF($A863="","",IFERROR(INDEX(土地清冊_匯入!$V$6:$V$1005,MATCH($A863,土地清冊_匯入!$A$6:$A$1005,0)),""))</f>
        <v/>
      </c>
      <c r="J863" s="14" t="n"/>
      <c r="K863" s="7" t="n"/>
      <c r="L863" s="7" t="n"/>
      <c r="M863" s="7" t="n"/>
      <c r="N863" s="7" t="n"/>
      <c r="O863" s="7" t="n"/>
      <c r="P863" s="7" t="n"/>
      <c r="Q863" s="14" t="n"/>
      <c r="R863" s="7" t="n"/>
      <c r="S863" s="7" t="n"/>
      <c r="T863" s="7" t="n"/>
      <c r="U863" s="12">
        <f>IF(A863="","",IF(OR(J863="",L863=""),"建議補聯絡紀錄","") )</f>
        <v/>
      </c>
    </row>
    <row r="864" ht="24" customHeight="1">
      <c r="A864" s="7" t="n"/>
      <c r="B864" s="7" t="n"/>
      <c r="C864" s="12">
        <f>IF($A864="","",IFERROR(INDEX(土地清冊_匯入!$B$6:$B$1005,MATCH($A864,土地清冊_匯入!$A$6:$A$1005,0)),"查無資料"))</f>
        <v/>
      </c>
      <c r="D864" s="12">
        <f>IF($A864="","",IFERROR(INDEX(土地清冊_匯入!$P$6:$P$1005,MATCH($A864,土地清冊_匯入!$A$6:$A$1005,0)),""))</f>
        <v/>
      </c>
      <c r="E864" s="12">
        <f>IF($A864="","",IFERROR(INDEX(土地清冊_匯入!$Q$6:$Q$1005,MATCH($A864,土地清冊_匯入!$A$6:$A$1005,0)),""))</f>
        <v/>
      </c>
      <c r="F864" s="12">
        <f>IF($A864="","",IFERROR(INDEX(土地清冊_匯入!$R$6:$R$1005,MATCH($A864,土地清冊_匯入!$A$6:$A$1005,0)),""))</f>
        <v/>
      </c>
      <c r="G864" s="12">
        <f>IF($A864="","",IFERROR(INDEX(土地清冊_匯入!$S$6:$S$1005,MATCH($A864,土地清冊_匯入!$A$6:$A$1005,0)),""))</f>
        <v/>
      </c>
      <c r="H864" s="12">
        <f>IF($A864="","",IFERROR(INDEX(土地清冊_匯入!$T$6:$T$1005,MATCH($A864,土地清冊_匯入!$A$6:$A$1005,0)),""))</f>
        <v/>
      </c>
      <c r="I864" s="12">
        <f>IF($A864="","",IFERROR(INDEX(土地清冊_匯入!$V$6:$V$1005,MATCH($A864,土地清冊_匯入!$A$6:$A$1005,0)),""))</f>
        <v/>
      </c>
      <c r="J864" s="14" t="n"/>
      <c r="K864" s="7" t="n"/>
      <c r="L864" s="7" t="n"/>
      <c r="M864" s="7" t="n"/>
      <c r="N864" s="7" t="n"/>
      <c r="O864" s="7" t="n"/>
      <c r="P864" s="7" t="n"/>
      <c r="Q864" s="14" t="n"/>
      <c r="R864" s="7" t="n"/>
      <c r="S864" s="7" t="n"/>
      <c r="T864" s="7" t="n"/>
      <c r="U864" s="12">
        <f>IF(A864="","",IF(OR(J864="",L864=""),"建議補聯絡紀錄","") )</f>
        <v/>
      </c>
    </row>
    <row r="865" ht="24" customHeight="1">
      <c r="A865" s="7" t="n"/>
      <c r="B865" s="7" t="n"/>
      <c r="C865" s="12">
        <f>IF($A865="","",IFERROR(INDEX(土地清冊_匯入!$B$6:$B$1005,MATCH($A865,土地清冊_匯入!$A$6:$A$1005,0)),"查無資料"))</f>
        <v/>
      </c>
      <c r="D865" s="12">
        <f>IF($A865="","",IFERROR(INDEX(土地清冊_匯入!$P$6:$P$1005,MATCH($A865,土地清冊_匯入!$A$6:$A$1005,0)),""))</f>
        <v/>
      </c>
      <c r="E865" s="12">
        <f>IF($A865="","",IFERROR(INDEX(土地清冊_匯入!$Q$6:$Q$1005,MATCH($A865,土地清冊_匯入!$A$6:$A$1005,0)),""))</f>
        <v/>
      </c>
      <c r="F865" s="12">
        <f>IF($A865="","",IFERROR(INDEX(土地清冊_匯入!$R$6:$R$1005,MATCH($A865,土地清冊_匯入!$A$6:$A$1005,0)),""))</f>
        <v/>
      </c>
      <c r="G865" s="12">
        <f>IF($A865="","",IFERROR(INDEX(土地清冊_匯入!$S$6:$S$1005,MATCH($A865,土地清冊_匯入!$A$6:$A$1005,0)),""))</f>
        <v/>
      </c>
      <c r="H865" s="12">
        <f>IF($A865="","",IFERROR(INDEX(土地清冊_匯入!$T$6:$T$1005,MATCH($A865,土地清冊_匯入!$A$6:$A$1005,0)),""))</f>
        <v/>
      </c>
      <c r="I865" s="12">
        <f>IF($A865="","",IFERROR(INDEX(土地清冊_匯入!$V$6:$V$1005,MATCH($A865,土地清冊_匯入!$A$6:$A$1005,0)),""))</f>
        <v/>
      </c>
      <c r="J865" s="14" t="n"/>
      <c r="K865" s="7" t="n"/>
      <c r="L865" s="7" t="n"/>
      <c r="M865" s="7" t="n"/>
      <c r="N865" s="7" t="n"/>
      <c r="O865" s="7" t="n"/>
      <c r="P865" s="7" t="n"/>
      <c r="Q865" s="14" t="n"/>
      <c r="R865" s="7" t="n"/>
      <c r="S865" s="7" t="n"/>
      <c r="T865" s="7" t="n"/>
      <c r="U865" s="12">
        <f>IF(A865="","",IF(OR(J865="",L865=""),"建議補聯絡紀錄","") )</f>
        <v/>
      </c>
    </row>
    <row r="866" ht="24" customHeight="1">
      <c r="A866" s="7" t="n"/>
      <c r="B866" s="7" t="n"/>
      <c r="C866" s="12">
        <f>IF($A866="","",IFERROR(INDEX(土地清冊_匯入!$B$6:$B$1005,MATCH($A866,土地清冊_匯入!$A$6:$A$1005,0)),"查無資料"))</f>
        <v/>
      </c>
      <c r="D866" s="12">
        <f>IF($A866="","",IFERROR(INDEX(土地清冊_匯入!$P$6:$P$1005,MATCH($A866,土地清冊_匯入!$A$6:$A$1005,0)),""))</f>
        <v/>
      </c>
      <c r="E866" s="12">
        <f>IF($A866="","",IFERROR(INDEX(土地清冊_匯入!$Q$6:$Q$1005,MATCH($A866,土地清冊_匯入!$A$6:$A$1005,0)),""))</f>
        <v/>
      </c>
      <c r="F866" s="12">
        <f>IF($A866="","",IFERROR(INDEX(土地清冊_匯入!$R$6:$R$1005,MATCH($A866,土地清冊_匯入!$A$6:$A$1005,0)),""))</f>
        <v/>
      </c>
      <c r="G866" s="12">
        <f>IF($A866="","",IFERROR(INDEX(土地清冊_匯入!$S$6:$S$1005,MATCH($A866,土地清冊_匯入!$A$6:$A$1005,0)),""))</f>
        <v/>
      </c>
      <c r="H866" s="12">
        <f>IF($A866="","",IFERROR(INDEX(土地清冊_匯入!$T$6:$T$1005,MATCH($A866,土地清冊_匯入!$A$6:$A$1005,0)),""))</f>
        <v/>
      </c>
      <c r="I866" s="12">
        <f>IF($A866="","",IFERROR(INDEX(土地清冊_匯入!$V$6:$V$1005,MATCH($A866,土地清冊_匯入!$A$6:$A$1005,0)),""))</f>
        <v/>
      </c>
      <c r="J866" s="14" t="n"/>
      <c r="K866" s="7" t="n"/>
      <c r="L866" s="7" t="n"/>
      <c r="M866" s="7" t="n"/>
      <c r="N866" s="7" t="n"/>
      <c r="O866" s="7" t="n"/>
      <c r="P866" s="7" t="n"/>
      <c r="Q866" s="14" t="n"/>
      <c r="R866" s="7" t="n"/>
      <c r="S866" s="7" t="n"/>
      <c r="T866" s="7" t="n"/>
      <c r="U866" s="12">
        <f>IF(A866="","",IF(OR(J866="",L866=""),"建議補聯絡紀錄","") )</f>
        <v/>
      </c>
    </row>
    <row r="867" ht="24" customHeight="1">
      <c r="A867" s="7" t="n"/>
      <c r="B867" s="7" t="n"/>
      <c r="C867" s="12">
        <f>IF($A867="","",IFERROR(INDEX(土地清冊_匯入!$B$6:$B$1005,MATCH($A867,土地清冊_匯入!$A$6:$A$1005,0)),"查無資料"))</f>
        <v/>
      </c>
      <c r="D867" s="12">
        <f>IF($A867="","",IFERROR(INDEX(土地清冊_匯入!$P$6:$P$1005,MATCH($A867,土地清冊_匯入!$A$6:$A$1005,0)),""))</f>
        <v/>
      </c>
      <c r="E867" s="12">
        <f>IF($A867="","",IFERROR(INDEX(土地清冊_匯入!$Q$6:$Q$1005,MATCH($A867,土地清冊_匯入!$A$6:$A$1005,0)),""))</f>
        <v/>
      </c>
      <c r="F867" s="12">
        <f>IF($A867="","",IFERROR(INDEX(土地清冊_匯入!$R$6:$R$1005,MATCH($A867,土地清冊_匯入!$A$6:$A$1005,0)),""))</f>
        <v/>
      </c>
      <c r="G867" s="12">
        <f>IF($A867="","",IFERROR(INDEX(土地清冊_匯入!$S$6:$S$1005,MATCH($A867,土地清冊_匯入!$A$6:$A$1005,0)),""))</f>
        <v/>
      </c>
      <c r="H867" s="12">
        <f>IF($A867="","",IFERROR(INDEX(土地清冊_匯入!$T$6:$T$1005,MATCH($A867,土地清冊_匯入!$A$6:$A$1005,0)),""))</f>
        <v/>
      </c>
      <c r="I867" s="12">
        <f>IF($A867="","",IFERROR(INDEX(土地清冊_匯入!$V$6:$V$1005,MATCH($A867,土地清冊_匯入!$A$6:$A$1005,0)),""))</f>
        <v/>
      </c>
      <c r="J867" s="14" t="n"/>
      <c r="K867" s="7" t="n"/>
      <c r="L867" s="7" t="n"/>
      <c r="M867" s="7" t="n"/>
      <c r="N867" s="7" t="n"/>
      <c r="O867" s="7" t="n"/>
      <c r="P867" s="7" t="n"/>
      <c r="Q867" s="14" t="n"/>
      <c r="R867" s="7" t="n"/>
      <c r="S867" s="7" t="n"/>
      <c r="T867" s="7" t="n"/>
      <c r="U867" s="12">
        <f>IF(A867="","",IF(OR(J867="",L867=""),"建議補聯絡紀錄","") )</f>
        <v/>
      </c>
    </row>
    <row r="868" ht="24" customHeight="1">
      <c r="A868" s="7" t="n"/>
      <c r="B868" s="7" t="n"/>
      <c r="C868" s="12">
        <f>IF($A868="","",IFERROR(INDEX(土地清冊_匯入!$B$6:$B$1005,MATCH($A868,土地清冊_匯入!$A$6:$A$1005,0)),"查無資料"))</f>
        <v/>
      </c>
      <c r="D868" s="12">
        <f>IF($A868="","",IFERROR(INDEX(土地清冊_匯入!$P$6:$P$1005,MATCH($A868,土地清冊_匯入!$A$6:$A$1005,0)),""))</f>
        <v/>
      </c>
      <c r="E868" s="12">
        <f>IF($A868="","",IFERROR(INDEX(土地清冊_匯入!$Q$6:$Q$1005,MATCH($A868,土地清冊_匯入!$A$6:$A$1005,0)),""))</f>
        <v/>
      </c>
      <c r="F868" s="12">
        <f>IF($A868="","",IFERROR(INDEX(土地清冊_匯入!$R$6:$R$1005,MATCH($A868,土地清冊_匯入!$A$6:$A$1005,0)),""))</f>
        <v/>
      </c>
      <c r="G868" s="12">
        <f>IF($A868="","",IFERROR(INDEX(土地清冊_匯入!$S$6:$S$1005,MATCH($A868,土地清冊_匯入!$A$6:$A$1005,0)),""))</f>
        <v/>
      </c>
      <c r="H868" s="12">
        <f>IF($A868="","",IFERROR(INDEX(土地清冊_匯入!$T$6:$T$1005,MATCH($A868,土地清冊_匯入!$A$6:$A$1005,0)),""))</f>
        <v/>
      </c>
      <c r="I868" s="12">
        <f>IF($A868="","",IFERROR(INDEX(土地清冊_匯入!$V$6:$V$1005,MATCH($A868,土地清冊_匯入!$A$6:$A$1005,0)),""))</f>
        <v/>
      </c>
      <c r="J868" s="14" t="n"/>
      <c r="K868" s="7" t="n"/>
      <c r="L868" s="7" t="n"/>
      <c r="M868" s="7" t="n"/>
      <c r="N868" s="7" t="n"/>
      <c r="O868" s="7" t="n"/>
      <c r="P868" s="7" t="n"/>
      <c r="Q868" s="14" t="n"/>
      <c r="R868" s="7" t="n"/>
      <c r="S868" s="7" t="n"/>
      <c r="T868" s="7" t="n"/>
      <c r="U868" s="12">
        <f>IF(A868="","",IF(OR(J868="",L868=""),"建議補聯絡紀錄","") )</f>
        <v/>
      </c>
    </row>
    <row r="869" ht="24" customHeight="1">
      <c r="A869" s="7" t="n"/>
      <c r="B869" s="7" t="n"/>
      <c r="C869" s="12">
        <f>IF($A869="","",IFERROR(INDEX(土地清冊_匯入!$B$6:$B$1005,MATCH($A869,土地清冊_匯入!$A$6:$A$1005,0)),"查無資料"))</f>
        <v/>
      </c>
      <c r="D869" s="12">
        <f>IF($A869="","",IFERROR(INDEX(土地清冊_匯入!$P$6:$P$1005,MATCH($A869,土地清冊_匯入!$A$6:$A$1005,0)),""))</f>
        <v/>
      </c>
      <c r="E869" s="12">
        <f>IF($A869="","",IFERROR(INDEX(土地清冊_匯入!$Q$6:$Q$1005,MATCH($A869,土地清冊_匯入!$A$6:$A$1005,0)),""))</f>
        <v/>
      </c>
      <c r="F869" s="12">
        <f>IF($A869="","",IFERROR(INDEX(土地清冊_匯入!$R$6:$R$1005,MATCH($A869,土地清冊_匯入!$A$6:$A$1005,0)),""))</f>
        <v/>
      </c>
      <c r="G869" s="12">
        <f>IF($A869="","",IFERROR(INDEX(土地清冊_匯入!$S$6:$S$1005,MATCH($A869,土地清冊_匯入!$A$6:$A$1005,0)),""))</f>
        <v/>
      </c>
      <c r="H869" s="12">
        <f>IF($A869="","",IFERROR(INDEX(土地清冊_匯入!$T$6:$T$1005,MATCH($A869,土地清冊_匯入!$A$6:$A$1005,0)),""))</f>
        <v/>
      </c>
      <c r="I869" s="12">
        <f>IF($A869="","",IFERROR(INDEX(土地清冊_匯入!$V$6:$V$1005,MATCH($A869,土地清冊_匯入!$A$6:$A$1005,0)),""))</f>
        <v/>
      </c>
      <c r="J869" s="14" t="n"/>
      <c r="K869" s="7" t="n"/>
      <c r="L869" s="7" t="n"/>
      <c r="M869" s="7" t="n"/>
      <c r="N869" s="7" t="n"/>
      <c r="O869" s="7" t="n"/>
      <c r="P869" s="7" t="n"/>
      <c r="Q869" s="14" t="n"/>
      <c r="R869" s="7" t="n"/>
      <c r="S869" s="7" t="n"/>
      <c r="T869" s="7" t="n"/>
      <c r="U869" s="12">
        <f>IF(A869="","",IF(OR(J869="",L869=""),"建議補聯絡紀錄","") )</f>
        <v/>
      </c>
    </row>
    <row r="870" ht="24" customHeight="1">
      <c r="A870" s="7" t="n"/>
      <c r="B870" s="7" t="n"/>
      <c r="C870" s="12">
        <f>IF($A870="","",IFERROR(INDEX(土地清冊_匯入!$B$6:$B$1005,MATCH($A870,土地清冊_匯入!$A$6:$A$1005,0)),"查無資料"))</f>
        <v/>
      </c>
      <c r="D870" s="12">
        <f>IF($A870="","",IFERROR(INDEX(土地清冊_匯入!$P$6:$P$1005,MATCH($A870,土地清冊_匯入!$A$6:$A$1005,0)),""))</f>
        <v/>
      </c>
      <c r="E870" s="12">
        <f>IF($A870="","",IFERROR(INDEX(土地清冊_匯入!$Q$6:$Q$1005,MATCH($A870,土地清冊_匯入!$A$6:$A$1005,0)),""))</f>
        <v/>
      </c>
      <c r="F870" s="12">
        <f>IF($A870="","",IFERROR(INDEX(土地清冊_匯入!$R$6:$R$1005,MATCH($A870,土地清冊_匯入!$A$6:$A$1005,0)),""))</f>
        <v/>
      </c>
      <c r="G870" s="12">
        <f>IF($A870="","",IFERROR(INDEX(土地清冊_匯入!$S$6:$S$1005,MATCH($A870,土地清冊_匯入!$A$6:$A$1005,0)),""))</f>
        <v/>
      </c>
      <c r="H870" s="12">
        <f>IF($A870="","",IFERROR(INDEX(土地清冊_匯入!$T$6:$T$1005,MATCH($A870,土地清冊_匯入!$A$6:$A$1005,0)),""))</f>
        <v/>
      </c>
      <c r="I870" s="12">
        <f>IF($A870="","",IFERROR(INDEX(土地清冊_匯入!$V$6:$V$1005,MATCH($A870,土地清冊_匯入!$A$6:$A$1005,0)),""))</f>
        <v/>
      </c>
      <c r="J870" s="14" t="n"/>
      <c r="K870" s="7" t="n"/>
      <c r="L870" s="7" t="n"/>
      <c r="M870" s="7" t="n"/>
      <c r="N870" s="7" t="n"/>
      <c r="O870" s="7" t="n"/>
      <c r="P870" s="7" t="n"/>
      <c r="Q870" s="14" t="n"/>
      <c r="R870" s="7" t="n"/>
      <c r="S870" s="7" t="n"/>
      <c r="T870" s="7" t="n"/>
      <c r="U870" s="12">
        <f>IF(A870="","",IF(OR(J870="",L870=""),"建議補聯絡紀錄","") )</f>
        <v/>
      </c>
    </row>
    <row r="871" ht="24" customHeight="1">
      <c r="A871" s="7" t="n"/>
      <c r="B871" s="7" t="n"/>
      <c r="C871" s="12">
        <f>IF($A871="","",IFERROR(INDEX(土地清冊_匯入!$B$6:$B$1005,MATCH($A871,土地清冊_匯入!$A$6:$A$1005,0)),"查無資料"))</f>
        <v/>
      </c>
      <c r="D871" s="12">
        <f>IF($A871="","",IFERROR(INDEX(土地清冊_匯入!$P$6:$P$1005,MATCH($A871,土地清冊_匯入!$A$6:$A$1005,0)),""))</f>
        <v/>
      </c>
      <c r="E871" s="12">
        <f>IF($A871="","",IFERROR(INDEX(土地清冊_匯入!$Q$6:$Q$1005,MATCH($A871,土地清冊_匯入!$A$6:$A$1005,0)),""))</f>
        <v/>
      </c>
      <c r="F871" s="12">
        <f>IF($A871="","",IFERROR(INDEX(土地清冊_匯入!$R$6:$R$1005,MATCH($A871,土地清冊_匯入!$A$6:$A$1005,0)),""))</f>
        <v/>
      </c>
      <c r="G871" s="12">
        <f>IF($A871="","",IFERROR(INDEX(土地清冊_匯入!$S$6:$S$1005,MATCH($A871,土地清冊_匯入!$A$6:$A$1005,0)),""))</f>
        <v/>
      </c>
      <c r="H871" s="12">
        <f>IF($A871="","",IFERROR(INDEX(土地清冊_匯入!$T$6:$T$1005,MATCH($A871,土地清冊_匯入!$A$6:$A$1005,0)),""))</f>
        <v/>
      </c>
      <c r="I871" s="12">
        <f>IF($A871="","",IFERROR(INDEX(土地清冊_匯入!$V$6:$V$1005,MATCH($A871,土地清冊_匯入!$A$6:$A$1005,0)),""))</f>
        <v/>
      </c>
      <c r="J871" s="14" t="n"/>
      <c r="K871" s="7" t="n"/>
      <c r="L871" s="7" t="n"/>
      <c r="M871" s="7" t="n"/>
      <c r="N871" s="7" t="n"/>
      <c r="O871" s="7" t="n"/>
      <c r="P871" s="7" t="n"/>
      <c r="Q871" s="14" t="n"/>
      <c r="R871" s="7" t="n"/>
      <c r="S871" s="7" t="n"/>
      <c r="T871" s="7" t="n"/>
      <c r="U871" s="12">
        <f>IF(A871="","",IF(OR(J871="",L871=""),"建議補聯絡紀錄","") )</f>
        <v/>
      </c>
    </row>
    <row r="872" ht="24" customHeight="1">
      <c r="A872" s="7" t="n"/>
      <c r="B872" s="7" t="n"/>
      <c r="C872" s="12">
        <f>IF($A872="","",IFERROR(INDEX(土地清冊_匯入!$B$6:$B$1005,MATCH($A872,土地清冊_匯入!$A$6:$A$1005,0)),"查無資料"))</f>
        <v/>
      </c>
      <c r="D872" s="12">
        <f>IF($A872="","",IFERROR(INDEX(土地清冊_匯入!$P$6:$P$1005,MATCH($A872,土地清冊_匯入!$A$6:$A$1005,0)),""))</f>
        <v/>
      </c>
      <c r="E872" s="12">
        <f>IF($A872="","",IFERROR(INDEX(土地清冊_匯入!$Q$6:$Q$1005,MATCH($A872,土地清冊_匯入!$A$6:$A$1005,0)),""))</f>
        <v/>
      </c>
      <c r="F872" s="12">
        <f>IF($A872="","",IFERROR(INDEX(土地清冊_匯入!$R$6:$R$1005,MATCH($A872,土地清冊_匯入!$A$6:$A$1005,0)),""))</f>
        <v/>
      </c>
      <c r="G872" s="12">
        <f>IF($A872="","",IFERROR(INDEX(土地清冊_匯入!$S$6:$S$1005,MATCH($A872,土地清冊_匯入!$A$6:$A$1005,0)),""))</f>
        <v/>
      </c>
      <c r="H872" s="12">
        <f>IF($A872="","",IFERROR(INDEX(土地清冊_匯入!$T$6:$T$1005,MATCH($A872,土地清冊_匯入!$A$6:$A$1005,0)),""))</f>
        <v/>
      </c>
      <c r="I872" s="12">
        <f>IF($A872="","",IFERROR(INDEX(土地清冊_匯入!$V$6:$V$1005,MATCH($A872,土地清冊_匯入!$A$6:$A$1005,0)),""))</f>
        <v/>
      </c>
      <c r="J872" s="14" t="n"/>
      <c r="K872" s="7" t="n"/>
      <c r="L872" s="7" t="n"/>
      <c r="M872" s="7" t="n"/>
      <c r="N872" s="7" t="n"/>
      <c r="O872" s="7" t="n"/>
      <c r="P872" s="7" t="n"/>
      <c r="Q872" s="14" t="n"/>
      <c r="R872" s="7" t="n"/>
      <c r="S872" s="7" t="n"/>
      <c r="T872" s="7" t="n"/>
      <c r="U872" s="12">
        <f>IF(A872="","",IF(OR(J872="",L872=""),"建議補聯絡紀錄","") )</f>
        <v/>
      </c>
    </row>
    <row r="873" ht="24" customHeight="1">
      <c r="A873" s="7" t="n"/>
      <c r="B873" s="7" t="n"/>
      <c r="C873" s="12">
        <f>IF($A873="","",IFERROR(INDEX(土地清冊_匯入!$B$6:$B$1005,MATCH($A873,土地清冊_匯入!$A$6:$A$1005,0)),"查無資料"))</f>
        <v/>
      </c>
      <c r="D873" s="12">
        <f>IF($A873="","",IFERROR(INDEX(土地清冊_匯入!$P$6:$P$1005,MATCH($A873,土地清冊_匯入!$A$6:$A$1005,0)),""))</f>
        <v/>
      </c>
      <c r="E873" s="12">
        <f>IF($A873="","",IFERROR(INDEX(土地清冊_匯入!$Q$6:$Q$1005,MATCH($A873,土地清冊_匯入!$A$6:$A$1005,0)),""))</f>
        <v/>
      </c>
      <c r="F873" s="12">
        <f>IF($A873="","",IFERROR(INDEX(土地清冊_匯入!$R$6:$R$1005,MATCH($A873,土地清冊_匯入!$A$6:$A$1005,0)),""))</f>
        <v/>
      </c>
      <c r="G873" s="12">
        <f>IF($A873="","",IFERROR(INDEX(土地清冊_匯入!$S$6:$S$1005,MATCH($A873,土地清冊_匯入!$A$6:$A$1005,0)),""))</f>
        <v/>
      </c>
      <c r="H873" s="12">
        <f>IF($A873="","",IFERROR(INDEX(土地清冊_匯入!$T$6:$T$1005,MATCH($A873,土地清冊_匯入!$A$6:$A$1005,0)),""))</f>
        <v/>
      </c>
      <c r="I873" s="12">
        <f>IF($A873="","",IFERROR(INDEX(土地清冊_匯入!$V$6:$V$1005,MATCH($A873,土地清冊_匯入!$A$6:$A$1005,0)),""))</f>
        <v/>
      </c>
      <c r="J873" s="14" t="n"/>
      <c r="K873" s="7" t="n"/>
      <c r="L873" s="7" t="n"/>
      <c r="M873" s="7" t="n"/>
      <c r="N873" s="7" t="n"/>
      <c r="O873" s="7" t="n"/>
      <c r="P873" s="7" t="n"/>
      <c r="Q873" s="14" t="n"/>
      <c r="R873" s="7" t="n"/>
      <c r="S873" s="7" t="n"/>
      <c r="T873" s="7" t="n"/>
      <c r="U873" s="12">
        <f>IF(A873="","",IF(OR(J873="",L873=""),"建議補聯絡紀錄","") )</f>
        <v/>
      </c>
    </row>
    <row r="874" ht="24" customHeight="1">
      <c r="A874" s="7" t="n"/>
      <c r="B874" s="7" t="n"/>
      <c r="C874" s="12">
        <f>IF($A874="","",IFERROR(INDEX(土地清冊_匯入!$B$6:$B$1005,MATCH($A874,土地清冊_匯入!$A$6:$A$1005,0)),"查無資料"))</f>
        <v/>
      </c>
      <c r="D874" s="12">
        <f>IF($A874="","",IFERROR(INDEX(土地清冊_匯入!$P$6:$P$1005,MATCH($A874,土地清冊_匯入!$A$6:$A$1005,0)),""))</f>
        <v/>
      </c>
      <c r="E874" s="12">
        <f>IF($A874="","",IFERROR(INDEX(土地清冊_匯入!$Q$6:$Q$1005,MATCH($A874,土地清冊_匯入!$A$6:$A$1005,0)),""))</f>
        <v/>
      </c>
      <c r="F874" s="12">
        <f>IF($A874="","",IFERROR(INDEX(土地清冊_匯入!$R$6:$R$1005,MATCH($A874,土地清冊_匯入!$A$6:$A$1005,0)),""))</f>
        <v/>
      </c>
      <c r="G874" s="12">
        <f>IF($A874="","",IFERROR(INDEX(土地清冊_匯入!$S$6:$S$1005,MATCH($A874,土地清冊_匯入!$A$6:$A$1005,0)),""))</f>
        <v/>
      </c>
      <c r="H874" s="12">
        <f>IF($A874="","",IFERROR(INDEX(土地清冊_匯入!$T$6:$T$1005,MATCH($A874,土地清冊_匯入!$A$6:$A$1005,0)),""))</f>
        <v/>
      </c>
      <c r="I874" s="12">
        <f>IF($A874="","",IFERROR(INDEX(土地清冊_匯入!$V$6:$V$1005,MATCH($A874,土地清冊_匯入!$A$6:$A$1005,0)),""))</f>
        <v/>
      </c>
      <c r="J874" s="14" t="n"/>
      <c r="K874" s="7" t="n"/>
      <c r="L874" s="7" t="n"/>
      <c r="M874" s="7" t="n"/>
      <c r="N874" s="7" t="n"/>
      <c r="O874" s="7" t="n"/>
      <c r="P874" s="7" t="n"/>
      <c r="Q874" s="14" t="n"/>
      <c r="R874" s="7" t="n"/>
      <c r="S874" s="7" t="n"/>
      <c r="T874" s="7" t="n"/>
      <c r="U874" s="12">
        <f>IF(A874="","",IF(OR(J874="",L874=""),"建議補聯絡紀錄","") )</f>
        <v/>
      </c>
    </row>
    <row r="875" ht="24" customHeight="1">
      <c r="A875" s="7" t="n"/>
      <c r="B875" s="7" t="n"/>
      <c r="C875" s="12">
        <f>IF($A875="","",IFERROR(INDEX(土地清冊_匯入!$B$6:$B$1005,MATCH($A875,土地清冊_匯入!$A$6:$A$1005,0)),"查無資料"))</f>
        <v/>
      </c>
      <c r="D875" s="12">
        <f>IF($A875="","",IFERROR(INDEX(土地清冊_匯入!$P$6:$P$1005,MATCH($A875,土地清冊_匯入!$A$6:$A$1005,0)),""))</f>
        <v/>
      </c>
      <c r="E875" s="12">
        <f>IF($A875="","",IFERROR(INDEX(土地清冊_匯入!$Q$6:$Q$1005,MATCH($A875,土地清冊_匯入!$A$6:$A$1005,0)),""))</f>
        <v/>
      </c>
      <c r="F875" s="12">
        <f>IF($A875="","",IFERROR(INDEX(土地清冊_匯入!$R$6:$R$1005,MATCH($A875,土地清冊_匯入!$A$6:$A$1005,0)),""))</f>
        <v/>
      </c>
      <c r="G875" s="12">
        <f>IF($A875="","",IFERROR(INDEX(土地清冊_匯入!$S$6:$S$1005,MATCH($A875,土地清冊_匯入!$A$6:$A$1005,0)),""))</f>
        <v/>
      </c>
      <c r="H875" s="12">
        <f>IF($A875="","",IFERROR(INDEX(土地清冊_匯入!$T$6:$T$1005,MATCH($A875,土地清冊_匯入!$A$6:$A$1005,0)),""))</f>
        <v/>
      </c>
      <c r="I875" s="12">
        <f>IF($A875="","",IFERROR(INDEX(土地清冊_匯入!$V$6:$V$1005,MATCH($A875,土地清冊_匯入!$A$6:$A$1005,0)),""))</f>
        <v/>
      </c>
      <c r="J875" s="14" t="n"/>
      <c r="K875" s="7" t="n"/>
      <c r="L875" s="7" t="n"/>
      <c r="M875" s="7" t="n"/>
      <c r="N875" s="7" t="n"/>
      <c r="O875" s="7" t="n"/>
      <c r="P875" s="7" t="n"/>
      <c r="Q875" s="14" t="n"/>
      <c r="R875" s="7" t="n"/>
      <c r="S875" s="7" t="n"/>
      <c r="T875" s="7" t="n"/>
      <c r="U875" s="12">
        <f>IF(A875="","",IF(OR(J875="",L875=""),"建議補聯絡紀錄","") )</f>
        <v/>
      </c>
    </row>
    <row r="876" ht="24" customHeight="1">
      <c r="A876" s="7" t="n"/>
      <c r="B876" s="7" t="n"/>
      <c r="C876" s="12">
        <f>IF($A876="","",IFERROR(INDEX(土地清冊_匯入!$B$6:$B$1005,MATCH($A876,土地清冊_匯入!$A$6:$A$1005,0)),"查無資料"))</f>
        <v/>
      </c>
      <c r="D876" s="12">
        <f>IF($A876="","",IFERROR(INDEX(土地清冊_匯入!$P$6:$P$1005,MATCH($A876,土地清冊_匯入!$A$6:$A$1005,0)),""))</f>
        <v/>
      </c>
      <c r="E876" s="12">
        <f>IF($A876="","",IFERROR(INDEX(土地清冊_匯入!$Q$6:$Q$1005,MATCH($A876,土地清冊_匯入!$A$6:$A$1005,0)),""))</f>
        <v/>
      </c>
      <c r="F876" s="12">
        <f>IF($A876="","",IFERROR(INDEX(土地清冊_匯入!$R$6:$R$1005,MATCH($A876,土地清冊_匯入!$A$6:$A$1005,0)),""))</f>
        <v/>
      </c>
      <c r="G876" s="12">
        <f>IF($A876="","",IFERROR(INDEX(土地清冊_匯入!$S$6:$S$1005,MATCH($A876,土地清冊_匯入!$A$6:$A$1005,0)),""))</f>
        <v/>
      </c>
      <c r="H876" s="12">
        <f>IF($A876="","",IFERROR(INDEX(土地清冊_匯入!$T$6:$T$1005,MATCH($A876,土地清冊_匯入!$A$6:$A$1005,0)),""))</f>
        <v/>
      </c>
      <c r="I876" s="12">
        <f>IF($A876="","",IFERROR(INDEX(土地清冊_匯入!$V$6:$V$1005,MATCH($A876,土地清冊_匯入!$A$6:$A$1005,0)),""))</f>
        <v/>
      </c>
      <c r="J876" s="14" t="n"/>
      <c r="K876" s="7" t="n"/>
      <c r="L876" s="7" t="n"/>
      <c r="M876" s="7" t="n"/>
      <c r="N876" s="7" t="n"/>
      <c r="O876" s="7" t="n"/>
      <c r="P876" s="7" t="n"/>
      <c r="Q876" s="14" t="n"/>
      <c r="R876" s="7" t="n"/>
      <c r="S876" s="7" t="n"/>
      <c r="T876" s="7" t="n"/>
      <c r="U876" s="12">
        <f>IF(A876="","",IF(OR(J876="",L876=""),"建議補聯絡紀錄","") )</f>
        <v/>
      </c>
    </row>
    <row r="877" ht="24" customHeight="1">
      <c r="A877" s="7" t="n"/>
      <c r="B877" s="7" t="n"/>
      <c r="C877" s="12">
        <f>IF($A877="","",IFERROR(INDEX(土地清冊_匯入!$B$6:$B$1005,MATCH($A877,土地清冊_匯入!$A$6:$A$1005,0)),"查無資料"))</f>
        <v/>
      </c>
      <c r="D877" s="12">
        <f>IF($A877="","",IFERROR(INDEX(土地清冊_匯入!$P$6:$P$1005,MATCH($A877,土地清冊_匯入!$A$6:$A$1005,0)),""))</f>
        <v/>
      </c>
      <c r="E877" s="12">
        <f>IF($A877="","",IFERROR(INDEX(土地清冊_匯入!$Q$6:$Q$1005,MATCH($A877,土地清冊_匯入!$A$6:$A$1005,0)),""))</f>
        <v/>
      </c>
      <c r="F877" s="12">
        <f>IF($A877="","",IFERROR(INDEX(土地清冊_匯入!$R$6:$R$1005,MATCH($A877,土地清冊_匯入!$A$6:$A$1005,0)),""))</f>
        <v/>
      </c>
      <c r="G877" s="12">
        <f>IF($A877="","",IFERROR(INDEX(土地清冊_匯入!$S$6:$S$1005,MATCH($A877,土地清冊_匯入!$A$6:$A$1005,0)),""))</f>
        <v/>
      </c>
      <c r="H877" s="12">
        <f>IF($A877="","",IFERROR(INDEX(土地清冊_匯入!$T$6:$T$1005,MATCH($A877,土地清冊_匯入!$A$6:$A$1005,0)),""))</f>
        <v/>
      </c>
      <c r="I877" s="12">
        <f>IF($A877="","",IFERROR(INDEX(土地清冊_匯入!$V$6:$V$1005,MATCH($A877,土地清冊_匯入!$A$6:$A$1005,0)),""))</f>
        <v/>
      </c>
      <c r="J877" s="14" t="n"/>
      <c r="K877" s="7" t="n"/>
      <c r="L877" s="7" t="n"/>
      <c r="M877" s="7" t="n"/>
      <c r="N877" s="7" t="n"/>
      <c r="O877" s="7" t="n"/>
      <c r="P877" s="7" t="n"/>
      <c r="Q877" s="14" t="n"/>
      <c r="R877" s="7" t="n"/>
      <c r="S877" s="7" t="n"/>
      <c r="T877" s="7" t="n"/>
      <c r="U877" s="12">
        <f>IF(A877="","",IF(OR(J877="",L877=""),"建議補聯絡紀錄","") )</f>
        <v/>
      </c>
    </row>
    <row r="878" ht="24" customHeight="1">
      <c r="A878" s="7" t="n"/>
      <c r="B878" s="7" t="n"/>
      <c r="C878" s="12">
        <f>IF($A878="","",IFERROR(INDEX(土地清冊_匯入!$B$6:$B$1005,MATCH($A878,土地清冊_匯入!$A$6:$A$1005,0)),"查無資料"))</f>
        <v/>
      </c>
      <c r="D878" s="12">
        <f>IF($A878="","",IFERROR(INDEX(土地清冊_匯入!$P$6:$P$1005,MATCH($A878,土地清冊_匯入!$A$6:$A$1005,0)),""))</f>
        <v/>
      </c>
      <c r="E878" s="12">
        <f>IF($A878="","",IFERROR(INDEX(土地清冊_匯入!$Q$6:$Q$1005,MATCH($A878,土地清冊_匯入!$A$6:$A$1005,0)),""))</f>
        <v/>
      </c>
      <c r="F878" s="12">
        <f>IF($A878="","",IFERROR(INDEX(土地清冊_匯入!$R$6:$R$1005,MATCH($A878,土地清冊_匯入!$A$6:$A$1005,0)),""))</f>
        <v/>
      </c>
      <c r="G878" s="12">
        <f>IF($A878="","",IFERROR(INDEX(土地清冊_匯入!$S$6:$S$1005,MATCH($A878,土地清冊_匯入!$A$6:$A$1005,0)),""))</f>
        <v/>
      </c>
      <c r="H878" s="12">
        <f>IF($A878="","",IFERROR(INDEX(土地清冊_匯入!$T$6:$T$1005,MATCH($A878,土地清冊_匯入!$A$6:$A$1005,0)),""))</f>
        <v/>
      </c>
      <c r="I878" s="12">
        <f>IF($A878="","",IFERROR(INDEX(土地清冊_匯入!$V$6:$V$1005,MATCH($A878,土地清冊_匯入!$A$6:$A$1005,0)),""))</f>
        <v/>
      </c>
      <c r="J878" s="14" t="n"/>
      <c r="K878" s="7" t="n"/>
      <c r="L878" s="7" t="n"/>
      <c r="M878" s="7" t="n"/>
      <c r="N878" s="7" t="n"/>
      <c r="O878" s="7" t="n"/>
      <c r="P878" s="7" t="n"/>
      <c r="Q878" s="14" t="n"/>
      <c r="R878" s="7" t="n"/>
      <c r="S878" s="7" t="n"/>
      <c r="T878" s="7" t="n"/>
      <c r="U878" s="12">
        <f>IF(A878="","",IF(OR(J878="",L878=""),"建議補聯絡紀錄","") )</f>
        <v/>
      </c>
    </row>
    <row r="879" ht="24" customHeight="1">
      <c r="A879" s="7" t="n"/>
      <c r="B879" s="7" t="n"/>
      <c r="C879" s="12">
        <f>IF($A879="","",IFERROR(INDEX(土地清冊_匯入!$B$6:$B$1005,MATCH($A879,土地清冊_匯入!$A$6:$A$1005,0)),"查無資料"))</f>
        <v/>
      </c>
      <c r="D879" s="12">
        <f>IF($A879="","",IFERROR(INDEX(土地清冊_匯入!$P$6:$P$1005,MATCH($A879,土地清冊_匯入!$A$6:$A$1005,0)),""))</f>
        <v/>
      </c>
      <c r="E879" s="12">
        <f>IF($A879="","",IFERROR(INDEX(土地清冊_匯入!$Q$6:$Q$1005,MATCH($A879,土地清冊_匯入!$A$6:$A$1005,0)),""))</f>
        <v/>
      </c>
      <c r="F879" s="12">
        <f>IF($A879="","",IFERROR(INDEX(土地清冊_匯入!$R$6:$R$1005,MATCH($A879,土地清冊_匯入!$A$6:$A$1005,0)),""))</f>
        <v/>
      </c>
      <c r="G879" s="12">
        <f>IF($A879="","",IFERROR(INDEX(土地清冊_匯入!$S$6:$S$1005,MATCH($A879,土地清冊_匯入!$A$6:$A$1005,0)),""))</f>
        <v/>
      </c>
      <c r="H879" s="12">
        <f>IF($A879="","",IFERROR(INDEX(土地清冊_匯入!$T$6:$T$1005,MATCH($A879,土地清冊_匯入!$A$6:$A$1005,0)),""))</f>
        <v/>
      </c>
      <c r="I879" s="12">
        <f>IF($A879="","",IFERROR(INDEX(土地清冊_匯入!$V$6:$V$1005,MATCH($A879,土地清冊_匯入!$A$6:$A$1005,0)),""))</f>
        <v/>
      </c>
      <c r="J879" s="14" t="n"/>
      <c r="K879" s="7" t="n"/>
      <c r="L879" s="7" t="n"/>
      <c r="M879" s="7" t="n"/>
      <c r="N879" s="7" t="n"/>
      <c r="O879" s="7" t="n"/>
      <c r="P879" s="7" t="n"/>
      <c r="Q879" s="14" t="n"/>
      <c r="R879" s="7" t="n"/>
      <c r="S879" s="7" t="n"/>
      <c r="T879" s="7" t="n"/>
      <c r="U879" s="12">
        <f>IF(A879="","",IF(OR(J879="",L879=""),"建議補聯絡紀錄","") )</f>
        <v/>
      </c>
    </row>
    <row r="880" ht="24" customHeight="1">
      <c r="A880" s="7" t="n"/>
      <c r="B880" s="7" t="n"/>
      <c r="C880" s="12">
        <f>IF($A880="","",IFERROR(INDEX(土地清冊_匯入!$B$6:$B$1005,MATCH($A880,土地清冊_匯入!$A$6:$A$1005,0)),"查無資料"))</f>
        <v/>
      </c>
      <c r="D880" s="12">
        <f>IF($A880="","",IFERROR(INDEX(土地清冊_匯入!$P$6:$P$1005,MATCH($A880,土地清冊_匯入!$A$6:$A$1005,0)),""))</f>
        <v/>
      </c>
      <c r="E880" s="12">
        <f>IF($A880="","",IFERROR(INDEX(土地清冊_匯入!$Q$6:$Q$1005,MATCH($A880,土地清冊_匯入!$A$6:$A$1005,0)),""))</f>
        <v/>
      </c>
      <c r="F880" s="12">
        <f>IF($A880="","",IFERROR(INDEX(土地清冊_匯入!$R$6:$R$1005,MATCH($A880,土地清冊_匯入!$A$6:$A$1005,0)),""))</f>
        <v/>
      </c>
      <c r="G880" s="12">
        <f>IF($A880="","",IFERROR(INDEX(土地清冊_匯入!$S$6:$S$1005,MATCH($A880,土地清冊_匯入!$A$6:$A$1005,0)),""))</f>
        <v/>
      </c>
      <c r="H880" s="12">
        <f>IF($A880="","",IFERROR(INDEX(土地清冊_匯入!$T$6:$T$1005,MATCH($A880,土地清冊_匯入!$A$6:$A$1005,0)),""))</f>
        <v/>
      </c>
      <c r="I880" s="12">
        <f>IF($A880="","",IFERROR(INDEX(土地清冊_匯入!$V$6:$V$1005,MATCH($A880,土地清冊_匯入!$A$6:$A$1005,0)),""))</f>
        <v/>
      </c>
      <c r="J880" s="14" t="n"/>
      <c r="K880" s="7" t="n"/>
      <c r="L880" s="7" t="n"/>
      <c r="M880" s="7" t="n"/>
      <c r="N880" s="7" t="n"/>
      <c r="O880" s="7" t="n"/>
      <c r="P880" s="7" t="n"/>
      <c r="Q880" s="14" t="n"/>
      <c r="R880" s="7" t="n"/>
      <c r="S880" s="7" t="n"/>
      <c r="T880" s="7" t="n"/>
      <c r="U880" s="12">
        <f>IF(A880="","",IF(OR(J880="",L880=""),"建議補聯絡紀錄","") )</f>
        <v/>
      </c>
    </row>
    <row r="881" ht="24" customHeight="1">
      <c r="A881" s="7" t="n"/>
      <c r="B881" s="7" t="n"/>
      <c r="C881" s="12">
        <f>IF($A881="","",IFERROR(INDEX(土地清冊_匯入!$B$6:$B$1005,MATCH($A881,土地清冊_匯入!$A$6:$A$1005,0)),"查無資料"))</f>
        <v/>
      </c>
      <c r="D881" s="12">
        <f>IF($A881="","",IFERROR(INDEX(土地清冊_匯入!$P$6:$P$1005,MATCH($A881,土地清冊_匯入!$A$6:$A$1005,0)),""))</f>
        <v/>
      </c>
      <c r="E881" s="12">
        <f>IF($A881="","",IFERROR(INDEX(土地清冊_匯入!$Q$6:$Q$1005,MATCH($A881,土地清冊_匯入!$A$6:$A$1005,0)),""))</f>
        <v/>
      </c>
      <c r="F881" s="12">
        <f>IF($A881="","",IFERROR(INDEX(土地清冊_匯入!$R$6:$R$1005,MATCH($A881,土地清冊_匯入!$A$6:$A$1005,0)),""))</f>
        <v/>
      </c>
      <c r="G881" s="12">
        <f>IF($A881="","",IFERROR(INDEX(土地清冊_匯入!$S$6:$S$1005,MATCH($A881,土地清冊_匯入!$A$6:$A$1005,0)),""))</f>
        <v/>
      </c>
      <c r="H881" s="12">
        <f>IF($A881="","",IFERROR(INDEX(土地清冊_匯入!$T$6:$T$1005,MATCH($A881,土地清冊_匯入!$A$6:$A$1005,0)),""))</f>
        <v/>
      </c>
      <c r="I881" s="12">
        <f>IF($A881="","",IFERROR(INDEX(土地清冊_匯入!$V$6:$V$1005,MATCH($A881,土地清冊_匯入!$A$6:$A$1005,0)),""))</f>
        <v/>
      </c>
      <c r="J881" s="14" t="n"/>
      <c r="K881" s="7" t="n"/>
      <c r="L881" s="7" t="n"/>
      <c r="M881" s="7" t="n"/>
      <c r="N881" s="7" t="n"/>
      <c r="O881" s="7" t="n"/>
      <c r="P881" s="7" t="n"/>
      <c r="Q881" s="14" t="n"/>
      <c r="R881" s="7" t="n"/>
      <c r="S881" s="7" t="n"/>
      <c r="T881" s="7" t="n"/>
      <c r="U881" s="12">
        <f>IF(A881="","",IF(OR(J881="",L881=""),"建議補聯絡紀錄","") )</f>
        <v/>
      </c>
    </row>
    <row r="882" ht="24" customHeight="1">
      <c r="A882" s="7" t="n"/>
      <c r="B882" s="7" t="n"/>
      <c r="C882" s="12">
        <f>IF($A882="","",IFERROR(INDEX(土地清冊_匯入!$B$6:$B$1005,MATCH($A882,土地清冊_匯入!$A$6:$A$1005,0)),"查無資料"))</f>
        <v/>
      </c>
      <c r="D882" s="12">
        <f>IF($A882="","",IFERROR(INDEX(土地清冊_匯入!$P$6:$P$1005,MATCH($A882,土地清冊_匯入!$A$6:$A$1005,0)),""))</f>
        <v/>
      </c>
      <c r="E882" s="12">
        <f>IF($A882="","",IFERROR(INDEX(土地清冊_匯入!$Q$6:$Q$1005,MATCH($A882,土地清冊_匯入!$A$6:$A$1005,0)),""))</f>
        <v/>
      </c>
      <c r="F882" s="12">
        <f>IF($A882="","",IFERROR(INDEX(土地清冊_匯入!$R$6:$R$1005,MATCH($A882,土地清冊_匯入!$A$6:$A$1005,0)),""))</f>
        <v/>
      </c>
      <c r="G882" s="12">
        <f>IF($A882="","",IFERROR(INDEX(土地清冊_匯入!$S$6:$S$1005,MATCH($A882,土地清冊_匯入!$A$6:$A$1005,0)),""))</f>
        <v/>
      </c>
      <c r="H882" s="12">
        <f>IF($A882="","",IFERROR(INDEX(土地清冊_匯入!$T$6:$T$1005,MATCH($A882,土地清冊_匯入!$A$6:$A$1005,0)),""))</f>
        <v/>
      </c>
      <c r="I882" s="12">
        <f>IF($A882="","",IFERROR(INDEX(土地清冊_匯入!$V$6:$V$1005,MATCH($A882,土地清冊_匯入!$A$6:$A$1005,0)),""))</f>
        <v/>
      </c>
      <c r="J882" s="14" t="n"/>
      <c r="K882" s="7" t="n"/>
      <c r="L882" s="7" t="n"/>
      <c r="M882" s="7" t="n"/>
      <c r="N882" s="7" t="n"/>
      <c r="O882" s="7" t="n"/>
      <c r="P882" s="7" t="n"/>
      <c r="Q882" s="14" t="n"/>
      <c r="R882" s="7" t="n"/>
      <c r="S882" s="7" t="n"/>
      <c r="T882" s="7" t="n"/>
      <c r="U882" s="12">
        <f>IF(A882="","",IF(OR(J882="",L882=""),"建議補聯絡紀錄","") )</f>
        <v/>
      </c>
    </row>
    <row r="883" ht="24" customHeight="1">
      <c r="A883" s="7" t="n"/>
      <c r="B883" s="7" t="n"/>
      <c r="C883" s="12">
        <f>IF($A883="","",IFERROR(INDEX(土地清冊_匯入!$B$6:$B$1005,MATCH($A883,土地清冊_匯入!$A$6:$A$1005,0)),"查無資料"))</f>
        <v/>
      </c>
      <c r="D883" s="12">
        <f>IF($A883="","",IFERROR(INDEX(土地清冊_匯入!$P$6:$P$1005,MATCH($A883,土地清冊_匯入!$A$6:$A$1005,0)),""))</f>
        <v/>
      </c>
      <c r="E883" s="12">
        <f>IF($A883="","",IFERROR(INDEX(土地清冊_匯入!$Q$6:$Q$1005,MATCH($A883,土地清冊_匯入!$A$6:$A$1005,0)),""))</f>
        <v/>
      </c>
      <c r="F883" s="12">
        <f>IF($A883="","",IFERROR(INDEX(土地清冊_匯入!$R$6:$R$1005,MATCH($A883,土地清冊_匯入!$A$6:$A$1005,0)),""))</f>
        <v/>
      </c>
      <c r="G883" s="12">
        <f>IF($A883="","",IFERROR(INDEX(土地清冊_匯入!$S$6:$S$1005,MATCH($A883,土地清冊_匯入!$A$6:$A$1005,0)),""))</f>
        <v/>
      </c>
      <c r="H883" s="12">
        <f>IF($A883="","",IFERROR(INDEX(土地清冊_匯入!$T$6:$T$1005,MATCH($A883,土地清冊_匯入!$A$6:$A$1005,0)),""))</f>
        <v/>
      </c>
      <c r="I883" s="12">
        <f>IF($A883="","",IFERROR(INDEX(土地清冊_匯入!$V$6:$V$1005,MATCH($A883,土地清冊_匯入!$A$6:$A$1005,0)),""))</f>
        <v/>
      </c>
      <c r="J883" s="14" t="n"/>
      <c r="K883" s="7" t="n"/>
      <c r="L883" s="7" t="n"/>
      <c r="M883" s="7" t="n"/>
      <c r="N883" s="7" t="n"/>
      <c r="O883" s="7" t="n"/>
      <c r="P883" s="7" t="n"/>
      <c r="Q883" s="14" t="n"/>
      <c r="R883" s="7" t="n"/>
      <c r="S883" s="7" t="n"/>
      <c r="T883" s="7" t="n"/>
      <c r="U883" s="12">
        <f>IF(A883="","",IF(OR(J883="",L883=""),"建議補聯絡紀錄","") )</f>
        <v/>
      </c>
    </row>
    <row r="884" ht="24" customHeight="1">
      <c r="A884" s="7" t="n"/>
      <c r="B884" s="7" t="n"/>
      <c r="C884" s="12">
        <f>IF($A884="","",IFERROR(INDEX(土地清冊_匯入!$B$6:$B$1005,MATCH($A884,土地清冊_匯入!$A$6:$A$1005,0)),"查無資料"))</f>
        <v/>
      </c>
      <c r="D884" s="12">
        <f>IF($A884="","",IFERROR(INDEX(土地清冊_匯入!$P$6:$P$1005,MATCH($A884,土地清冊_匯入!$A$6:$A$1005,0)),""))</f>
        <v/>
      </c>
      <c r="E884" s="12">
        <f>IF($A884="","",IFERROR(INDEX(土地清冊_匯入!$Q$6:$Q$1005,MATCH($A884,土地清冊_匯入!$A$6:$A$1005,0)),""))</f>
        <v/>
      </c>
      <c r="F884" s="12">
        <f>IF($A884="","",IFERROR(INDEX(土地清冊_匯入!$R$6:$R$1005,MATCH($A884,土地清冊_匯入!$A$6:$A$1005,0)),""))</f>
        <v/>
      </c>
      <c r="G884" s="12">
        <f>IF($A884="","",IFERROR(INDEX(土地清冊_匯入!$S$6:$S$1005,MATCH($A884,土地清冊_匯入!$A$6:$A$1005,0)),""))</f>
        <v/>
      </c>
      <c r="H884" s="12">
        <f>IF($A884="","",IFERROR(INDEX(土地清冊_匯入!$T$6:$T$1005,MATCH($A884,土地清冊_匯入!$A$6:$A$1005,0)),""))</f>
        <v/>
      </c>
      <c r="I884" s="12">
        <f>IF($A884="","",IFERROR(INDEX(土地清冊_匯入!$V$6:$V$1005,MATCH($A884,土地清冊_匯入!$A$6:$A$1005,0)),""))</f>
        <v/>
      </c>
      <c r="J884" s="14" t="n"/>
      <c r="K884" s="7" t="n"/>
      <c r="L884" s="7" t="n"/>
      <c r="M884" s="7" t="n"/>
      <c r="N884" s="7" t="n"/>
      <c r="O884" s="7" t="n"/>
      <c r="P884" s="7" t="n"/>
      <c r="Q884" s="14" t="n"/>
      <c r="R884" s="7" t="n"/>
      <c r="S884" s="7" t="n"/>
      <c r="T884" s="7" t="n"/>
      <c r="U884" s="12">
        <f>IF(A884="","",IF(OR(J884="",L884=""),"建議補聯絡紀錄","") )</f>
        <v/>
      </c>
    </row>
    <row r="885" ht="24" customHeight="1">
      <c r="A885" s="7" t="n"/>
      <c r="B885" s="7" t="n"/>
      <c r="C885" s="12">
        <f>IF($A885="","",IFERROR(INDEX(土地清冊_匯入!$B$6:$B$1005,MATCH($A885,土地清冊_匯入!$A$6:$A$1005,0)),"查無資料"))</f>
        <v/>
      </c>
      <c r="D885" s="12">
        <f>IF($A885="","",IFERROR(INDEX(土地清冊_匯入!$P$6:$P$1005,MATCH($A885,土地清冊_匯入!$A$6:$A$1005,0)),""))</f>
        <v/>
      </c>
      <c r="E885" s="12">
        <f>IF($A885="","",IFERROR(INDEX(土地清冊_匯入!$Q$6:$Q$1005,MATCH($A885,土地清冊_匯入!$A$6:$A$1005,0)),""))</f>
        <v/>
      </c>
      <c r="F885" s="12">
        <f>IF($A885="","",IFERROR(INDEX(土地清冊_匯入!$R$6:$R$1005,MATCH($A885,土地清冊_匯入!$A$6:$A$1005,0)),""))</f>
        <v/>
      </c>
      <c r="G885" s="12">
        <f>IF($A885="","",IFERROR(INDEX(土地清冊_匯入!$S$6:$S$1005,MATCH($A885,土地清冊_匯入!$A$6:$A$1005,0)),""))</f>
        <v/>
      </c>
      <c r="H885" s="12">
        <f>IF($A885="","",IFERROR(INDEX(土地清冊_匯入!$T$6:$T$1005,MATCH($A885,土地清冊_匯入!$A$6:$A$1005,0)),""))</f>
        <v/>
      </c>
      <c r="I885" s="12">
        <f>IF($A885="","",IFERROR(INDEX(土地清冊_匯入!$V$6:$V$1005,MATCH($A885,土地清冊_匯入!$A$6:$A$1005,0)),""))</f>
        <v/>
      </c>
      <c r="J885" s="14" t="n"/>
      <c r="K885" s="7" t="n"/>
      <c r="L885" s="7" t="n"/>
      <c r="M885" s="7" t="n"/>
      <c r="N885" s="7" t="n"/>
      <c r="O885" s="7" t="n"/>
      <c r="P885" s="7" t="n"/>
      <c r="Q885" s="14" t="n"/>
      <c r="R885" s="7" t="n"/>
      <c r="S885" s="7" t="n"/>
      <c r="T885" s="7" t="n"/>
      <c r="U885" s="12">
        <f>IF(A885="","",IF(OR(J885="",L885=""),"建議補聯絡紀錄","") )</f>
        <v/>
      </c>
    </row>
    <row r="886" ht="24" customHeight="1">
      <c r="A886" s="7" t="n"/>
      <c r="B886" s="7" t="n"/>
      <c r="C886" s="12">
        <f>IF($A886="","",IFERROR(INDEX(土地清冊_匯入!$B$6:$B$1005,MATCH($A886,土地清冊_匯入!$A$6:$A$1005,0)),"查無資料"))</f>
        <v/>
      </c>
      <c r="D886" s="12">
        <f>IF($A886="","",IFERROR(INDEX(土地清冊_匯入!$P$6:$P$1005,MATCH($A886,土地清冊_匯入!$A$6:$A$1005,0)),""))</f>
        <v/>
      </c>
      <c r="E886" s="12">
        <f>IF($A886="","",IFERROR(INDEX(土地清冊_匯入!$Q$6:$Q$1005,MATCH($A886,土地清冊_匯入!$A$6:$A$1005,0)),""))</f>
        <v/>
      </c>
      <c r="F886" s="12">
        <f>IF($A886="","",IFERROR(INDEX(土地清冊_匯入!$R$6:$R$1005,MATCH($A886,土地清冊_匯入!$A$6:$A$1005,0)),""))</f>
        <v/>
      </c>
      <c r="G886" s="12">
        <f>IF($A886="","",IFERROR(INDEX(土地清冊_匯入!$S$6:$S$1005,MATCH($A886,土地清冊_匯入!$A$6:$A$1005,0)),""))</f>
        <v/>
      </c>
      <c r="H886" s="12">
        <f>IF($A886="","",IFERROR(INDEX(土地清冊_匯入!$T$6:$T$1005,MATCH($A886,土地清冊_匯入!$A$6:$A$1005,0)),""))</f>
        <v/>
      </c>
      <c r="I886" s="12">
        <f>IF($A886="","",IFERROR(INDEX(土地清冊_匯入!$V$6:$V$1005,MATCH($A886,土地清冊_匯入!$A$6:$A$1005,0)),""))</f>
        <v/>
      </c>
      <c r="J886" s="14" t="n"/>
      <c r="K886" s="7" t="n"/>
      <c r="L886" s="7" t="n"/>
      <c r="M886" s="7" t="n"/>
      <c r="N886" s="7" t="n"/>
      <c r="O886" s="7" t="n"/>
      <c r="P886" s="7" t="n"/>
      <c r="Q886" s="14" t="n"/>
      <c r="R886" s="7" t="n"/>
      <c r="S886" s="7" t="n"/>
      <c r="T886" s="7" t="n"/>
      <c r="U886" s="12">
        <f>IF(A886="","",IF(OR(J886="",L886=""),"建議補聯絡紀錄","") )</f>
        <v/>
      </c>
    </row>
    <row r="887" ht="24" customHeight="1">
      <c r="A887" s="7" t="n"/>
      <c r="B887" s="7" t="n"/>
      <c r="C887" s="12">
        <f>IF($A887="","",IFERROR(INDEX(土地清冊_匯入!$B$6:$B$1005,MATCH($A887,土地清冊_匯入!$A$6:$A$1005,0)),"查無資料"))</f>
        <v/>
      </c>
      <c r="D887" s="12">
        <f>IF($A887="","",IFERROR(INDEX(土地清冊_匯入!$P$6:$P$1005,MATCH($A887,土地清冊_匯入!$A$6:$A$1005,0)),""))</f>
        <v/>
      </c>
      <c r="E887" s="12">
        <f>IF($A887="","",IFERROR(INDEX(土地清冊_匯入!$Q$6:$Q$1005,MATCH($A887,土地清冊_匯入!$A$6:$A$1005,0)),""))</f>
        <v/>
      </c>
      <c r="F887" s="12">
        <f>IF($A887="","",IFERROR(INDEX(土地清冊_匯入!$R$6:$R$1005,MATCH($A887,土地清冊_匯入!$A$6:$A$1005,0)),""))</f>
        <v/>
      </c>
      <c r="G887" s="12">
        <f>IF($A887="","",IFERROR(INDEX(土地清冊_匯入!$S$6:$S$1005,MATCH($A887,土地清冊_匯入!$A$6:$A$1005,0)),""))</f>
        <v/>
      </c>
      <c r="H887" s="12">
        <f>IF($A887="","",IFERROR(INDEX(土地清冊_匯入!$T$6:$T$1005,MATCH($A887,土地清冊_匯入!$A$6:$A$1005,0)),""))</f>
        <v/>
      </c>
      <c r="I887" s="12">
        <f>IF($A887="","",IFERROR(INDEX(土地清冊_匯入!$V$6:$V$1005,MATCH($A887,土地清冊_匯入!$A$6:$A$1005,0)),""))</f>
        <v/>
      </c>
      <c r="J887" s="14" t="n"/>
      <c r="K887" s="7" t="n"/>
      <c r="L887" s="7" t="n"/>
      <c r="M887" s="7" t="n"/>
      <c r="N887" s="7" t="n"/>
      <c r="O887" s="7" t="n"/>
      <c r="P887" s="7" t="n"/>
      <c r="Q887" s="14" t="n"/>
      <c r="R887" s="7" t="n"/>
      <c r="S887" s="7" t="n"/>
      <c r="T887" s="7" t="n"/>
      <c r="U887" s="12">
        <f>IF(A887="","",IF(OR(J887="",L887=""),"建議補聯絡紀錄","") )</f>
        <v/>
      </c>
    </row>
    <row r="888" ht="24" customHeight="1">
      <c r="A888" s="7" t="n"/>
      <c r="B888" s="7" t="n"/>
      <c r="C888" s="12">
        <f>IF($A888="","",IFERROR(INDEX(土地清冊_匯入!$B$6:$B$1005,MATCH($A888,土地清冊_匯入!$A$6:$A$1005,0)),"查無資料"))</f>
        <v/>
      </c>
      <c r="D888" s="12">
        <f>IF($A888="","",IFERROR(INDEX(土地清冊_匯入!$P$6:$P$1005,MATCH($A888,土地清冊_匯入!$A$6:$A$1005,0)),""))</f>
        <v/>
      </c>
      <c r="E888" s="12">
        <f>IF($A888="","",IFERROR(INDEX(土地清冊_匯入!$Q$6:$Q$1005,MATCH($A888,土地清冊_匯入!$A$6:$A$1005,0)),""))</f>
        <v/>
      </c>
      <c r="F888" s="12">
        <f>IF($A888="","",IFERROR(INDEX(土地清冊_匯入!$R$6:$R$1005,MATCH($A888,土地清冊_匯入!$A$6:$A$1005,0)),""))</f>
        <v/>
      </c>
      <c r="G888" s="12">
        <f>IF($A888="","",IFERROR(INDEX(土地清冊_匯入!$S$6:$S$1005,MATCH($A888,土地清冊_匯入!$A$6:$A$1005,0)),""))</f>
        <v/>
      </c>
      <c r="H888" s="12">
        <f>IF($A888="","",IFERROR(INDEX(土地清冊_匯入!$T$6:$T$1005,MATCH($A888,土地清冊_匯入!$A$6:$A$1005,0)),""))</f>
        <v/>
      </c>
      <c r="I888" s="12">
        <f>IF($A888="","",IFERROR(INDEX(土地清冊_匯入!$V$6:$V$1005,MATCH($A888,土地清冊_匯入!$A$6:$A$1005,0)),""))</f>
        <v/>
      </c>
      <c r="J888" s="14" t="n"/>
      <c r="K888" s="7" t="n"/>
      <c r="L888" s="7" t="n"/>
      <c r="M888" s="7" t="n"/>
      <c r="N888" s="7" t="n"/>
      <c r="O888" s="7" t="n"/>
      <c r="P888" s="7" t="n"/>
      <c r="Q888" s="14" t="n"/>
      <c r="R888" s="7" t="n"/>
      <c r="S888" s="7" t="n"/>
      <c r="T888" s="7" t="n"/>
      <c r="U888" s="12">
        <f>IF(A888="","",IF(OR(J888="",L888=""),"建議補聯絡紀錄","") )</f>
        <v/>
      </c>
    </row>
    <row r="889" ht="24" customHeight="1">
      <c r="A889" s="7" t="n"/>
      <c r="B889" s="7" t="n"/>
      <c r="C889" s="12">
        <f>IF($A889="","",IFERROR(INDEX(土地清冊_匯入!$B$6:$B$1005,MATCH($A889,土地清冊_匯入!$A$6:$A$1005,0)),"查無資料"))</f>
        <v/>
      </c>
      <c r="D889" s="12">
        <f>IF($A889="","",IFERROR(INDEX(土地清冊_匯入!$P$6:$P$1005,MATCH($A889,土地清冊_匯入!$A$6:$A$1005,0)),""))</f>
        <v/>
      </c>
      <c r="E889" s="12">
        <f>IF($A889="","",IFERROR(INDEX(土地清冊_匯入!$Q$6:$Q$1005,MATCH($A889,土地清冊_匯入!$A$6:$A$1005,0)),""))</f>
        <v/>
      </c>
      <c r="F889" s="12">
        <f>IF($A889="","",IFERROR(INDEX(土地清冊_匯入!$R$6:$R$1005,MATCH($A889,土地清冊_匯入!$A$6:$A$1005,0)),""))</f>
        <v/>
      </c>
      <c r="G889" s="12">
        <f>IF($A889="","",IFERROR(INDEX(土地清冊_匯入!$S$6:$S$1005,MATCH($A889,土地清冊_匯入!$A$6:$A$1005,0)),""))</f>
        <v/>
      </c>
      <c r="H889" s="12">
        <f>IF($A889="","",IFERROR(INDEX(土地清冊_匯入!$T$6:$T$1005,MATCH($A889,土地清冊_匯入!$A$6:$A$1005,0)),""))</f>
        <v/>
      </c>
      <c r="I889" s="12">
        <f>IF($A889="","",IFERROR(INDEX(土地清冊_匯入!$V$6:$V$1005,MATCH($A889,土地清冊_匯入!$A$6:$A$1005,0)),""))</f>
        <v/>
      </c>
      <c r="J889" s="14" t="n"/>
      <c r="K889" s="7" t="n"/>
      <c r="L889" s="7" t="n"/>
      <c r="M889" s="7" t="n"/>
      <c r="N889" s="7" t="n"/>
      <c r="O889" s="7" t="n"/>
      <c r="P889" s="7" t="n"/>
      <c r="Q889" s="14" t="n"/>
      <c r="R889" s="7" t="n"/>
      <c r="S889" s="7" t="n"/>
      <c r="T889" s="7" t="n"/>
      <c r="U889" s="12">
        <f>IF(A889="","",IF(OR(J889="",L889=""),"建議補聯絡紀錄","") )</f>
        <v/>
      </c>
    </row>
    <row r="890" ht="24" customHeight="1">
      <c r="A890" s="7" t="n"/>
      <c r="B890" s="7" t="n"/>
      <c r="C890" s="12">
        <f>IF($A890="","",IFERROR(INDEX(土地清冊_匯入!$B$6:$B$1005,MATCH($A890,土地清冊_匯入!$A$6:$A$1005,0)),"查無資料"))</f>
        <v/>
      </c>
      <c r="D890" s="12">
        <f>IF($A890="","",IFERROR(INDEX(土地清冊_匯入!$P$6:$P$1005,MATCH($A890,土地清冊_匯入!$A$6:$A$1005,0)),""))</f>
        <v/>
      </c>
      <c r="E890" s="12">
        <f>IF($A890="","",IFERROR(INDEX(土地清冊_匯入!$Q$6:$Q$1005,MATCH($A890,土地清冊_匯入!$A$6:$A$1005,0)),""))</f>
        <v/>
      </c>
      <c r="F890" s="12">
        <f>IF($A890="","",IFERROR(INDEX(土地清冊_匯入!$R$6:$R$1005,MATCH($A890,土地清冊_匯入!$A$6:$A$1005,0)),""))</f>
        <v/>
      </c>
      <c r="G890" s="12">
        <f>IF($A890="","",IFERROR(INDEX(土地清冊_匯入!$S$6:$S$1005,MATCH($A890,土地清冊_匯入!$A$6:$A$1005,0)),""))</f>
        <v/>
      </c>
      <c r="H890" s="12">
        <f>IF($A890="","",IFERROR(INDEX(土地清冊_匯入!$T$6:$T$1005,MATCH($A890,土地清冊_匯入!$A$6:$A$1005,0)),""))</f>
        <v/>
      </c>
      <c r="I890" s="12">
        <f>IF($A890="","",IFERROR(INDEX(土地清冊_匯入!$V$6:$V$1005,MATCH($A890,土地清冊_匯入!$A$6:$A$1005,0)),""))</f>
        <v/>
      </c>
      <c r="J890" s="14" t="n"/>
      <c r="K890" s="7" t="n"/>
      <c r="L890" s="7" t="n"/>
      <c r="M890" s="7" t="n"/>
      <c r="N890" s="7" t="n"/>
      <c r="O890" s="7" t="n"/>
      <c r="P890" s="7" t="n"/>
      <c r="Q890" s="14" t="n"/>
      <c r="R890" s="7" t="n"/>
      <c r="S890" s="7" t="n"/>
      <c r="T890" s="7" t="n"/>
      <c r="U890" s="12">
        <f>IF(A890="","",IF(OR(J890="",L890=""),"建議補聯絡紀錄","") )</f>
        <v/>
      </c>
    </row>
    <row r="891" ht="24" customHeight="1">
      <c r="A891" s="7" t="n"/>
      <c r="B891" s="7" t="n"/>
      <c r="C891" s="12">
        <f>IF($A891="","",IFERROR(INDEX(土地清冊_匯入!$B$6:$B$1005,MATCH($A891,土地清冊_匯入!$A$6:$A$1005,0)),"查無資料"))</f>
        <v/>
      </c>
      <c r="D891" s="12">
        <f>IF($A891="","",IFERROR(INDEX(土地清冊_匯入!$P$6:$P$1005,MATCH($A891,土地清冊_匯入!$A$6:$A$1005,0)),""))</f>
        <v/>
      </c>
      <c r="E891" s="12">
        <f>IF($A891="","",IFERROR(INDEX(土地清冊_匯入!$Q$6:$Q$1005,MATCH($A891,土地清冊_匯入!$A$6:$A$1005,0)),""))</f>
        <v/>
      </c>
      <c r="F891" s="12">
        <f>IF($A891="","",IFERROR(INDEX(土地清冊_匯入!$R$6:$R$1005,MATCH($A891,土地清冊_匯入!$A$6:$A$1005,0)),""))</f>
        <v/>
      </c>
      <c r="G891" s="12">
        <f>IF($A891="","",IFERROR(INDEX(土地清冊_匯入!$S$6:$S$1005,MATCH($A891,土地清冊_匯入!$A$6:$A$1005,0)),""))</f>
        <v/>
      </c>
      <c r="H891" s="12">
        <f>IF($A891="","",IFERROR(INDEX(土地清冊_匯入!$T$6:$T$1005,MATCH($A891,土地清冊_匯入!$A$6:$A$1005,0)),""))</f>
        <v/>
      </c>
      <c r="I891" s="12">
        <f>IF($A891="","",IFERROR(INDEX(土地清冊_匯入!$V$6:$V$1005,MATCH($A891,土地清冊_匯入!$A$6:$A$1005,0)),""))</f>
        <v/>
      </c>
      <c r="J891" s="14" t="n"/>
      <c r="K891" s="7" t="n"/>
      <c r="L891" s="7" t="n"/>
      <c r="M891" s="7" t="n"/>
      <c r="N891" s="7" t="n"/>
      <c r="O891" s="7" t="n"/>
      <c r="P891" s="7" t="n"/>
      <c r="Q891" s="14" t="n"/>
      <c r="R891" s="7" t="n"/>
      <c r="S891" s="7" t="n"/>
      <c r="T891" s="7" t="n"/>
      <c r="U891" s="12">
        <f>IF(A891="","",IF(OR(J891="",L891=""),"建議補聯絡紀錄","") )</f>
        <v/>
      </c>
    </row>
    <row r="892" ht="24" customHeight="1">
      <c r="A892" s="7" t="n"/>
      <c r="B892" s="7" t="n"/>
      <c r="C892" s="12">
        <f>IF($A892="","",IFERROR(INDEX(土地清冊_匯入!$B$6:$B$1005,MATCH($A892,土地清冊_匯入!$A$6:$A$1005,0)),"查無資料"))</f>
        <v/>
      </c>
      <c r="D892" s="12">
        <f>IF($A892="","",IFERROR(INDEX(土地清冊_匯入!$P$6:$P$1005,MATCH($A892,土地清冊_匯入!$A$6:$A$1005,0)),""))</f>
        <v/>
      </c>
      <c r="E892" s="12">
        <f>IF($A892="","",IFERROR(INDEX(土地清冊_匯入!$Q$6:$Q$1005,MATCH($A892,土地清冊_匯入!$A$6:$A$1005,0)),""))</f>
        <v/>
      </c>
      <c r="F892" s="12">
        <f>IF($A892="","",IFERROR(INDEX(土地清冊_匯入!$R$6:$R$1005,MATCH($A892,土地清冊_匯入!$A$6:$A$1005,0)),""))</f>
        <v/>
      </c>
      <c r="G892" s="12">
        <f>IF($A892="","",IFERROR(INDEX(土地清冊_匯入!$S$6:$S$1005,MATCH($A892,土地清冊_匯入!$A$6:$A$1005,0)),""))</f>
        <v/>
      </c>
      <c r="H892" s="12">
        <f>IF($A892="","",IFERROR(INDEX(土地清冊_匯入!$T$6:$T$1005,MATCH($A892,土地清冊_匯入!$A$6:$A$1005,0)),""))</f>
        <v/>
      </c>
      <c r="I892" s="12">
        <f>IF($A892="","",IFERROR(INDEX(土地清冊_匯入!$V$6:$V$1005,MATCH($A892,土地清冊_匯入!$A$6:$A$1005,0)),""))</f>
        <v/>
      </c>
      <c r="J892" s="14" t="n"/>
      <c r="K892" s="7" t="n"/>
      <c r="L892" s="7" t="n"/>
      <c r="M892" s="7" t="n"/>
      <c r="N892" s="7" t="n"/>
      <c r="O892" s="7" t="n"/>
      <c r="P892" s="7" t="n"/>
      <c r="Q892" s="14" t="n"/>
      <c r="R892" s="7" t="n"/>
      <c r="S892" s="7" t="n"/>
      <c r="T892" s="7" t="n"/>
      <c r="U892" s="12">
        <f>IF(A892="","",IF(OR(J892="",L892=""),"建議補聯絡紀錄","") )</f>
        <v/>
      </c>
    </row>
    <row r="893" ht="24" customHeight="1">
      <c r="A893" s="7" t="n"/>
      <c r="B893" s="7" t="n"/>
      <c r="C893" s="12">
        <f>IF($A893="","",IFERROR(INDEX(土地清冊_匯入!$B$6:$B$1005,MATCH($A893,土地清冊_匯入!$A$6:$A$1005,0)),"查無資料"))</f>
        <v/>
      </c>
      <c r="D893" s="12">
        <f>IF($A893="","",IFERROR(INDEX(土地清冊_匯入!$P$6:$P$1005,MATCH($A893,土地清冊_匯入!$A$6:$A$1005,0)),""))</f>
        <v/>
      </c>
      <c r="E893" s="12">
        <f>IF($A893="","",IFERROR(INDEX(土地清冊_匯入!$Q$6:$Q$1005,MATCH($A893,土地清冊_匯入!$A$6:$A$1005,0)),""))</f>
        <v/>
      </c>
      <c r="F893" s="12">
        <f>IF($A893="","",IFERROR(INDEX(土地清冊_匯入!$R$6:$R$1005,MATCH($A893,土地清冊_匯入!$A$6:$A$1005,0)),""))</f>
        <v/>
      </c>
      <c r="G893" s="12">
        <f>IF($A893="","",IFERROR(INDEX(土地清冊_匯入!$S$6:$S$1005,MATCH($A893,土地清冊_匯入!$A$6:$A$1005,0)),""))</f>
        <v/>
      </c>
      <c r="H893" s="12">
        <f>IF($A893="","",IFERROR(INDEX(土地清冊_匯入!$T$6:$T$1005,MATCH($A893,土地清冊_匯入!$A$6:$A$1005,0)),""))</f>
        <v/>
      </c>
      <c r="I893" s="12">
        <f>IF($A893="","",IFERROR(INDEX(土地清冊_匯入!$V$6:$V$1005,MATCH($A893,土地清冊_匯入!$A$6:$A$1005,0)),""))</f>
        <v/>
      </c>
      <c r="J893" s="14" t="n"/>
      <c r="K893" s="7" t="n"/>
      <c r="L893" s="7" t="n"/>
      <c r="M893" s="7" t="n"/>
      <c r="N893" s="7" t="n"/>
      <c r="O893" s="7" t="n"/>
      <c r="P893" s="7" t="n"/>
      <c r="Q893" s="14" t="n"/>
      <c r="R893" s="7" t="n"/>
      <c r="S893" s="7" t="n"/>
      <c r="T893" s="7" t="n"/>
      <c r="U893" s="12">
        <f>IF(A893="","",IF(OR(J893="",L893=""),"建議補聯絡紀錄","") )</f>
        <v/>
      </c>
    </row>
    <row r="894" ht="24" customHeight="1">
      <c r="A894" s="7" t="n"/>
      <c r="B894" s="7" t="n"/>
      <c r="C894" s="12">
        <f>IF($A894="","",IFERROR(INDEX(土地清冊_匯入!$B$6:$B$1005,MATCH($A894,土地清冊_匯入!$A$6:$A$1005,0)),"查無資料"))</f>
        <v/>
      </c>
      <c r="D894" s="12">
        <f>IF($A894="","",IFERROR(INDEX(土地清冊_匯入!$P$6:$P$1005,MATCH($A894,土地清冊_匯入!$A$6:$A$1005,0)),""))</f>
        <v/>
      </c>
      <c r="E894" s="12">
        <f>IF($A894="","",IFERROR(INDEX(土地清冊_匯入!$Q$6:$Q$1005,MATCH($A894,土地清冊_匯入!$A$6:$A$1005,0)),""))</f>
        <v/>
      </c>
      <c r="F894" s="12">
        <f>IF($A894="","",IFERROR(INDEX(土地清冊_匯入!$R$6:$R$1005,MATCH($A894,土地清冊_匯入!$A$6:$A$1005,0)),""))</f>
        <v/>
      </c>
      <c r="G894" s="12">
        <f>IF($A894="","",IFERROR(INDEX(土地清冊_匯入!$S$6:$S$1005,MATCH($A894,土地清冊_匯入!$A$6:$A$1005,0)),""))</f>
        <v/>
      </c>
      <c r="H894" s="12">
        <f>IF($A894="","",IFERROR(INDEX(土地清冊_匯入!$T$6:$T$1005,MATCH($A894,土地清冊_匯入!$A$6:$A$1005,0)),""))</f>
        <v/>
      </c>
      <c r="I894" s="12">
        <f>IF($A894="","",IFERROR(INDEX(土地清冊_匯入!$V$6:$V$1005,MATCH($A894,土地清冊_匯入!$A$6:$A$1005,0)),""))</f>
        <v/>
      </c>
      <c r="J894" s="14" t="n"/>
      <c r="K894" s="7" t="n"/>
      <c r="L894" s="7" t="n"/>
      <c r="M894" s="7" t="n"/>
      <c r="N894" s="7" t="n"/>
      <c r="O894" s="7" t="n"/>
      <c r="P894" s="7" t="n"/>
      <c r="Q894" s="14" t="n"/>
      <c r="R894" s="7" t="n"/>
      <c r="S894" s="7" t="n"/>
      <c r="T894" s="7" t="n"/>
      <c r="U894" s="12">
        <f>IF(A894="","",IF(OR(J894="",L894=""),"建議補聯絡紀錄","") )</f>
        <v/>
      </c>
    </row>
    <row r="895" ht="24" customHeight="1">
      <c r="A895" s="7" t="n"/>
      <c r="B895" s="7" t="n"/>
      <c r="C895" s="12">
        <f>IF($A895="","",IFERROR(INDEX(土地清冊_匯入!$B$6:$B$1005,MATCH($A895,土地清冊_匯入!$A$6:$A$1005,0)),"查無資料"))</f>
        <v/>
      </c>
      <c r="D895" s="12">
        <f>IF($A895="","",IFERROR(INDEX(土地清冊_匯入!$P$6:$P$1005,MATCH($A895,土地清冊_匯入!$A$6:$A$1005,0)),""))</f>
        <v/>
      </c>
      <c r="E895" s="12">
        <f>IF($A895="","",IFERROR(INDEX(土地清冊_匯入!$Q$6:$Q$1005,MATCH($A895,土地清冊_匯入!$A$6:$A$1005,0)),""))</f>
        <v/>
      </c>
      <c r="F895" s="12">
        <f>IF($A895="","",IFERROR(INDEX(土地清冊_匯入!$R$6:$R$1005,MATCH($A895,土地清冊_匯入!$A$6:$A$1005,0)),""))</f>
        <v/>
      </c>
      <c r="G895" s="12">
        <f>IF($A895="","",IFERROR(INDEX(土地清冊_匯入!$S$6:$S$1005,MATCH($A895,土地清冊_匯入!$A$6:$A$1005,0)),""))</f>
        <v/>
      </c>
      <c r="H895" s="12">
        <f>IF($A895="","",IFERROR(INDEX(土地清冊_匯入!$T$6:$T$1005,MATCH($A895,土地清冊_匯入!$A$6:$A$1005,0)),""))</f>
        <v/>
      </c>
      <c r="I895" s="12">
        <f>IF($A895="","",IFERROR(INDEX(土地清冊_匯入!$V$6:$V$1005,MATCH($A895,土地清冊_匯入!$A$6:$A$1005,0)),""))</f>
        <v/>
      </c>
      <c r="J895" s="14" t="n"/>
      <c r="K895" s="7" t="n"/>
      <c r="L895" s="7" t="n"/>
      <c r="M895" s="7" t="n"/>
      <c r="N895" s="7" t="n"/>
      <c r="O895" s="7" t="n"/>
      <c r="P895" s="7" t="n"/>
      <c r="Q895" s="14" t="n"/>
      <c r="R895" s="7" t="n"/>
      <c r="S895" s="7" t="n"/>
      <c r="T895" s="7" t="n"/>
      <c r="U895" s="12">
        <f>IF(A895="","",IF(OR(J895="",L895=""),"建議補聯絡紀錄","") )</f>
        <v/>
      </c>
    </row>
    <row r="896" ht="24" customHeight="1">
      <c r="A896" s="7" t="n"/>
      <c r="B896" s="7" t="n"/>
      <c r="C896" s="12">
        <f>IF($A896="","",IFERROR(INDEX(土地清冊_匯入!$B$6:$B$1005,MATCH($A896,土地清冊_匯入!$A$6:$A$1005,0)),"查無資料"))</f>
        <v/>
      </c>
      <c r="D896" s="12">
        <f>IF($A896="","",IFERROR(INDEX(土地清冊_匯入!$P$6:$P$1005,MATCH($A896,土地清冊_匯入!$A$6:$A$1005,0)),""))</f>
        <v/>
      </c>
      <c r="E896" s="12">
        <f>IF($A896="","",IFERROR(INDEX(土地清冊_匯入!$Q$6:$Q$1005,MATCH($A896,土地清冊_匯入!$A$6:$A$1005,0)),""))</f>
        <v/>
      </c>
      <c r="F896" s="12">
        <f>IF($A896="","",IFERROR(INDEX(土地清冊_匯入!$R$6:$R$1005,MATCH($A896,土地清冊_匯入!$A$6:$A$1005,0)),""))</f>
        <v/>
      </c>
      <c r="G896" s="12">
        <f>IF($A896="","",IFERROR(INDEX(土地清冊_匯入!$S$6:$S$1005,MATCH($A896,土地清冊_匯入!$A$6:$A$1005,0)),""))</f>
        <v/>
      </c>
      <c r="H896" s="12">
        <f>IF($A896="","",IFERROR(INDEX(土地清冊_匯入!$T$6:$T$1005,MATCH($A896,土地清冊_匯入!$A$6:$A$1005,0)),""))</f>
        <v/>
      </c>
      <c r="I896" s="12">
        <f>IF($A896="","",IFERROR(INDEX(土地清冊_匯入!$V$6:$V$1005,MATCH($A896,土地清冊_匯入!$A$6:$A$1005,0)),""))</f>
        <v/>
      </c>
      <c r="J896" s="14" t="n"/>
      <c r="K896" s="7" t="n"/>
      <c r="L896" s="7" t="n"/>
      <c r="M896" s="7" t="n"/>
      <c r="N896" s="7" t="n"/>
      <c r="O896" s="7" t="n"/>
      <c r="P896" s="7" t="n"/>
      <c r="Q896" s="14" t="n"/>
      <c r="R896" s="7" t="n"/>
      <c r="S896" s="7" t="n"/>
      <c r="T896" s="7" t="n"/>
      <c r="U896" s="12">
        <f>IF(A896="","",IF(OR(J896="",L896=""),"建議補聯絡紀錄","") )</f>
        <v/>
      </c>
    </row>
    <row r="897" ht="24" customHeight="1">
      <c r="A897" s="7" t="n"/>
      <c r="B897" s="7" t="n"/>
      <c r="C897" s="12">
        <f>IF($A897="","",IFERROR(INDEX(土地清冊_匯入!$B$6:$B$1005,MATCH($A897,土地清冊_匯入!$A$6:$A$1005,0)),"查無資料"))</f>
        <v/>
      </c>
      <c r="D897" s="12">
        <f>IF($A897="","",IFERROR(INDEX(土地清冊_匯入!$P$6:$P$1005,MATCH($A897,土地清冊_匯入!$A$6:$A$1005,0)),""))</f>
        <v/>
      </c>
      <c r="E897" s="12">
        <f>IF($A897="","",IFERROR(INDEX(土地清冊_匯入!$Q$6:$Q$1005,MATCH($A897,土地清冊_匯入!$A$6:$A$1005,0)),""))</f>
        <v/>
      </c>
      <c r="F897" s="12">
        <f>IF($A897="","",IFERROR(INDEX(土地清冊_匯入!$R$6:$R$1005,MATCH($A897,土地清冊_匯入!$A$6:$A$1005,0)),""))</f>
        <v/>
      </c>
      <c r="G897" s="12">
        <f>IF($A897="","",IFERROR(INDEX(土地清冊_匯入!$S$6:$S$1005,MATCH($A897,土地清冊_匯入!$A$6:$A$1005,0)),""))</f>
        <v/>
      </c>
      <c r="H897" s="12">
        <f>IF($A897="","",IFERROR(INDEX(土地清冊_匯入!$T$6:$T$1005,MATCH($A897,土地清冊_匯入!$A$6:$A$1005,0)),""))</f>
        <v/>
      </c>
      <c r="I897" s="12">
        <f>IF($A897="","",IFERROR(INDEX(土地清冊_匯入!$V$6:$V$1005,MATCH($A897,土地清冊_匯入!$A$6:$A$1005,0)),""))</f>
        <v/>
      </c>
      <c r="J897" s="14" t="n"/>
      <c r="K897" s="7" t="n"/>
      <c r="L897" s="7" t="n"/>
      <c r="M897" s="7" t="n"/>
      <c r="N897" s="7" t="n"/>
      <c r="O897" s="7" t="n"/>
      <c r="P897" s="7" t="n"/>
      <c r="Q897" s="14" t="n"/>
      <c r="R897" s="7" t="n"/>
      <c r="S897" s="7" t="n"/>
      <c r="T897" s="7" t="n"/>
      <c r="U897" s="12">
        <f>IF(A897="","",IF(OR(J897="",L897=""),"建議補聯絡紀錄","") )</f>
        <v/>
      </c>
    </row>
    <row r="898" ht="24" customHeight="1">
      <c r="A898" s="7" t="n"/>
      <c r="B898" s="7" t="n"/>
      <c r="C898" s="12">
        <f>IF($A898="","",IFERROR(INDEX(土地清冊_匯入!$B$6:$B$1005,MATCH($A898,土地清冊_匯入!$A$6:$A$1005,0)),"查無資料"))</f>
        <v/>
      </c>
      <c r="D898" s="12">
        <f>IF($A898="","",IFERROR(INDEX(土地清冊_匯入!$P$6:$P$1005,MATCH($A898,土地清冊_匯入!$A$6:$A$1005,0)),""))</f>
        <v/>
      </c>
      <c r="E898" s="12">
        <f>IF($A898="","",IFERROR(INDEX(土地清冊_匯入!$Q$6:$Q$1005,MATCH($A898,土地清冊_匯入!$A$6:$A$1005,0)),""))</f>
        <v/>
      </c>
      <c r="F898" s="12">
        <f>IF($A898="","",IFERROR(INDEX(土地清冊_匯入!$R$6:$R$1005,MATCH($A898,土地清冊_匯入!$A$6:$A$1005,0)),""))</f>
        <v/>
      </c>
      <c r="G898" s="12">
        <f>IF($A898="","",IFERROR(INDEX(土地清冊_匯入!$S$6:$S$1005,MATCH($A898,土地清冊_匯入!$A$6:$A$1005,0)),""))</f>
        <v/>
      </c>
      <c r="H898" s="12">
        <f>IF($A898="","",IFERROR(INDEX(土地清冊_匯入!$T$6:$T$1005,MATCH($A898,土地清冊_匯入!$A$6:$A$1005,0)),""))</f>
        <v/>
      </c>
      <c r="I898" s="12">
        <f>IF($A898="","",IFERROR(INDEX(土地清冊_匯入!$V$6:$V$1005,MATCH($A898,土地清冊_匯入!$A$6:$A$1005,0)),""))</f>
        <v/>
      </c>
      <c r="J898" s="14" t="n"/>
      <c r="K898" s="7" t="n"/>
      <c r="L898" s="7" t="n"/>
      <c r="M898" s="7" t="n"/>
      <c r="N898" s="7" t="n"/>
      <c r="O898" s="7" t="n"/>
      <c r="P898" s="7" t="n"/>
      <c r="Q898" s="14" t="n"/>
      <c r="R898" s="7" t="n"/>
      <c r="S898" s="7" t="n"/>
      <c r="T898" s="7" t="n"/>
      <c r="U898" s="12">
        <f>IF(A898="","",IF(OR(J898="",L898=""),"建議補聯絡紀錄","") )</f>
        <v/>
      </c>
    </row>
    <row r="899" ht="24" customHeight="1">
      <c r="A899" s="7" t="n"/>
      <c r="B899" s="7" t="n"/>
      <c r="C899" s="12">
        <f>IF($A899="","",IFERROR(INDEX(土地清冊_匯入!$B$6:$B$1005,MATCH($A899,土地清冊_匯入!$A$6:$A$1005,0)),"查無資料"))</f>
        <v/>
      </c>
      <c r="D899" s="12">
        <f>IF($A899="","",IFERROR(INDEX(土地清冊_匯入!$P$6:$P$1005,MATCH($A899,土地清冊_匯入!$A$6:$A$1005,0)),""))</f>
        <v/>
      </c>
      <c r="E899" s="12">
        <f>IF($A899="","",IFERROR(INDEX(土地清冊_匯入!$Q$6:$Q$1005,MATCH($A899,土地清冊_匯入!$A$6:$A$1005,0)),""))</f>
        <v/>
      </c>
      <c r="F899" s="12">
        <f>IF($A899="","",IFERROR(INDEX(土地清冊_匯入!$R$6:$R$1005,MATCH($A899,土地清冊_匯入!$A$6:$A$1005,0)),""))</f>
        <v/>
      </c>
      <c r="G899" s="12">
        <f>IF($A899="","",IFERROR(INDEX(土地清冊_匯入!$S$6:$S$1005,MATCH($A899,土地清冊_匯入!$A$6:$A$1005,0)),""))</f>
        <v/>
      </c>
      <c r="H899" s="12">
        <f>IF($A899="","",IFERROR(INDEX(土地清冊_匯入!$T$6:$T$1005,MATCH($A899,土地清冊_匯入!$A$6:$A$1005,0)),""))</f>
        <v/>
      </c>
      <c r="I899" s="12">
        <f>IF($A899="","",IFERROR(INDEX(土地清冊_匯入!$V$6:$V$1005,MATCH($A899,土地清冊_匯入!$A$6:$A$1005,0)),""))</f>
        <v/>
      </c>
      <c r="J899" s="14" t="n"/>
      <c r="K899" s="7" t="n"/>
      <c r="L899" s="7" t="n"/>
      <c r="M899" s="7" t="n"/>
      <c r="N899" s="7" t="n"/>
      <c r="O899" s="7" t="n"/>
      <c r="P899" s="7" t="n"/>
      <c r="Q899" s="14" t="n"/>
      <c r="R899" s="7" t="n"/>
      <c r="S899" s="7" t="n"/>
      <c r="T899" s="7" t="n"/>
      <c r="U899" s="12">
        <f>IF(A899="","",IF(OR(J899="",L899=""),"建議補聯絡紀錄","") )</f>
        <v/>
      </c>
    </row>
    <row r="900" ht="24" customHeight="1">
      <c r="A900" s="7" t="n"/>
      <c r="B900" s="7" t="n"/>
      <c r="C900" s="12">
        <f>IF($A900="","",IFERROR(INDEX(土地清冊_匯入!$B$6:$B$1005,MATCH($A900,土地清冊_匯入!$A$6:$A$1005,0)),"查無資料"))</f>
        <v/>
      </c>
      <c r="D900" s="12">
        <f>IF($A900="","",IFERROR(INDEX(土地清冊_匯入!$P$6:$P$1005,MATCH($A900,土地清冊_匯入!$A$6:$A$1005,0)),""))</f>
        <v/>
      </c>
      <c r="E900" s="12">
        <f>IF($A900="","",IFERROR(INDEX(土地清冊_匯入!$Q$6:$Q$1005,MATCH($A900,土地清冊_匯入!$A$6:$A$1005,0)),""))</f>
        <v/>
      </c>
      <c r="F900" s="12">
        <f>IF($A900="","",IFERROR(INDEX(土地清冊_匯入!$R$6:$R$1005,MATCH($A900,土地清冊_匯入!$A$6:$A$1005,0)),""))</f>
        <v/>
      </c>
      <c r="G900" s="12">
        <f>IF($A900="","",IFERROR(INDEX(土地清冊_匯入!$S$6:$S$1005,MATCH($A900,土地清冊_匯入!$A$6:$A$1005,0)),""))</f>
        <v/>
      </c>
      <c r="H900" s="12">
        <f>IF($A900="","",IFERROR(INDEX(土地清冊_匯入!$T$6:$T$1005,MATCH($A900,土地清冊_匯入!$A$6:$A$1005,0)),""))</f>
        <v/>
      </c>
      <c r="I900" s="12">
        <f>IF($A900="","",IFERROR(INDEX(土地清冊_匯入!$V$6:$V$1005,MATCH($A900,土地清冊_匯入!$A$6:$A$1005,0)),""))</f>
        <v/>
      </c>
      <c r="J900" s="14" t="n"/>
      <c r="K900" s="7" t="n"/>
      <c r="L900" s="7" t="n"/>
      <c r="M900" s="7" t="n"/>
      <c r="N900" s="7" t="n"/>
      <c r="O900" s="7" t="n"/>
      <c r="P900" s="7" t="n"/>
      <c r="Q900" s="14" t="n"/>
      <c r="R900" s="7" t="n"/>
      <c r="S900" s="7" t="n"/>
      <c r="T900" s="7" t="n"/>
      <c r="U900" s="12">
        <f>IF(A900="","",IF(OR(J900="",L900=""),"建議補聯絡紀錄","") )</f>
        <v/>
      </c>
    </row>
    <row r="901" ht="24" customHeight="1">
      <c r="A901" s="7" t="n"/>
      <c r="B901" s="7" t="n"/>
      <c r="C901" s="12">
        <f>IF($A901="","",IFERROR(INDEX(土地清冊_匯入!$B$6:$B$1005,MATCH($A901,土地清冊_匯入!$A$6:$A$1005,0)),"查無資料"))</f>
        <v/>
      </c>
      <c r="D901" s="12">
        <f>IF($A901="","",IFERROR(INDEX(土地清冊_匯入!$P$6:$P$1005,MATCH($A901,土地清冊_匯入!$A$6:$A$1005,0)),""))</f>
        <v/>
      </c>
      <c r="E901" s="12">
        <f>IF($A901="","",IFERROR(INDEX(土地清冊_匯入!$Q$6:$Q$1005,MATCH($A901,土地清冊_匯入!$A$6:$A$1005,0)),""))</f>
        <v/>
      </c>
      <c r="F901" s="12">
        <f>IF($A901="","",IFERROR(INDEX(土地清冊_匯入!$R$6:$R$1005,MATCH($A901,土地清冊_匯入!$A$6:$A$1005,0)),""))</f>
        <v/>
      </c>
      <c r="G901" s="12">
        <f>IF($A901="","",IFERROR(INDEX(土地清冊_匯入!$S$6:$S$1005,MATCH($A901,土地清冊_匯入!$A$6:$A$1005,0)),""))</f>
        <v/>
      </c>
      <c r="H901" s="12">
        <f>IF($A901="","",IFERROR(INDEX(土地清冊_匯入!$T$6:$T$1005,MATCH($A901,土地清冊_匯入!$A$6:$A$1005,0)),""))</f>
        <v/>
      </c>
      <c r="I901" s="12">
        <f>IF($A901="","",IFERROR(INDEX(土地清冊_匯入!$V$6:$V$1005,MATCH($A901,土地清冊_匯入!$A$6:$A$1005,0)),""))</f>
        <v/>
      </c>
      <c r="J901" s="14" t="n"/>
      <c r="K901" s="7" t="n"/>
      <c r="L901" s="7" t="n"/>
      <c r="M901" s="7" t="n"/>
      <c r="N901" s="7" t="n"/>
      <c r="O901" s="7" t="n"/>
      <c r="P901" s="7" t="n"/>
      <c r="Q901" s="14" t="n"/>
      <c r="R901" s="7" t="n"/>
      <c r="S901" s="7" t="n"/>
      <c r="T901" s="7" t="n"/>
      <c r="U901" s="12">
        <f>IF(A901="","",IF(OR(J901="",L901=""),"建議補聯絡紀錄","") )</f>
        <v/>
      </c>
    </row>
    <row r="902" ht="24" customHeight="1">
      <c r="A902" s="7" t="n"/>
      <c r="B902" s="7" t="n"/>
      <c r="C902" s="12">
        <f>IF($A902="","",IFERROR(INDEX(土地清冊_匯入!$B$6:$B$1005,MATCH($A902,土地清冊_匯入!$A$6:$A$1005,0)),"查無資料"))</f>
        <v/>
      </c>
      <c r="D902" s="12">
        <f>IF($A902="","",IFERROR(INDEX(土地清冊_匯入!$P$6:$P$1005,MATCH($A902,土地清冊_匯入!$A$6:$A$1005,0)),""))</f>
        <v/>
      </c>
      <c r="E902" s="12">
        <f>IF($A902="","",IFERROR(INDEX(土地清冊_匯入!$Q$6:$Q$1005,MATCH($A902,土地清冊_匯入!$A$6:$A$1005,0)),""))</f>
        <v/>
      </c>
      <c r="F902" s="12">
        <f>IF($A902="","",IFERROR(INDEX(土地清冊_匯入!$R$6:$R$1005,MATCH($A902,土地清冊_匯入!$A$6:$A$1005,0)),""))</f>
        <v/>
      </c>
      <c r="G902" s="12">
        <f>IF($A902="","",IFERROR(INDEX(土地清冊_匯入!$S$6:$S$1005,MATCH($A902,土地清冊_匯入!$A$6:$A$1005,0)),""))</f>
        <v/>
      </c>
      <c r="H902" s="12">
        <f>IF($A902="","",IFERROR(INDEX(土地清冊_匯入!$T$6:$T$1005,MATCH($A902,土地清冊_匯入!$A$6:$A$1005,0)),""))</f>
        <v/>
      </c>
      <c r="I902" s="12">
        <f>IF($A902="","",IFERROR(INDEX(土地清冊_匯入!$V$6:$V$1005,MATCH($A902,土地清冊_匯入!$A$6:$A$1005,0)),""))</f>
        <v/>
      </c>
      <c r="J902" s="14" t="n"/>
      <c r="K902" s="7" t="n"/>
      <c r="L902" s="7" t="n"/>
      <c r="M902" s="7" t="n"/>
      <c r="N902" s="7" t="n"/>
      <c r="O902" s="7" t="n"/>
      <c r="P902" s="7" t="n"/>
      <c r="Q902" s="14" t="n"/>
      <c r="R902" s="7" t="n"/>
      <c r="S902" s="7" t="n"/>
      <c r="T902" s="7" t="n"/>
      <c r="U902" s="12">
        <f>IF(A902="","",IF(OR(J902="",L902=""),"建議補聯絡紀錄","") )</f>
        <v/>
      </c>
    </row>
    <row r="903" ht="24" customHeight="1">
      <c r="A903" s="7" t="n"/>
      <c r="B903" s="7" t="n"/>
      <c r="C903" s="12">
        <f>IF($A903="","",IFERROR(INDEX(土地清冊_匯入!$B$6:$B$1005,MATCH($A903,土地清冊_匯入!$A$6:$A$1005,0)),"查無資料"))</f>
        <v/>
      </c>
      <c r="D903" s="12">
        <f>IF($A903="","",IFERROR(INDEX(土地清冊_匯入!$P$6:$P$1005,MATCH($A903,土地清冊_匯入!$A$6:$A$1005,0)),""))</f>
        <v/>
      </c>
      <c r="E903" s="12">
        <f>IF($A903="","",IFERROR(INDEX(土地清冊_匯入!$Q$6:$Q$1005,MATCH($A903,土地清冊_匯入!$A$6:$A$1005,0)),""))</f>
        <v/>
      </c>
      <c r="F903" s="12">
        <f>IF($A903="","",IFERROR(INDEX(土地清冊_匯入!$R$6:$R$1005,MATCH($A903,土地清冊_匯入!$A$6:$A$1005,0)),""))</f>
        <v/>
      </c>
      <c r="G903" s="12">
        <f>IF($A903="","",IFERROR(INDEX(土地清冊_匯入!$S$6:$S$1005,MATCH($A903,土地清冊_匯入!$A$6:$A$1005,0)),""))</f>
        <v/>
      </c>
      <c r="H903" s="12">
        <f>IF($A903="","",IFERROR(INDEX(土地清冊_匯入!$T$6:$T$1005,MATCH($A903,土地清冊_匯入!$A$6:$A$1005,0)),""))</f>
        <v/>
      </c>
      <c r="I903" s="12">
        <f>IF($A903="","",IFERROR(INDEX(土地清冊_匯入!$V$6:$V$1005,MATCH($A903,土地清冊_匯入!$A$6:$A$1005,0)),""))</f>
        <v/>
      </c>
      <c r="J903" s="14" t="n"/>
      <c r="K903" s="7" t="n"/>
      <c r="L903" s="7" t="n"/>
      <c r="M903" s="7" t="n"/>
      <c r="N903" s="7" t="n"/>
      <c r="O903" s="7" t="n"/>
      <c r="P903" s="7" t="n"/>
      <c r="Q903" s="14" t="n"/>
      <c r="R903" s="7" t="n"/>
      <c r="S903" s="7" t="n"/>
      <c r="T903" s="7" t="n"/>
      <c r="U903" s="12">
        <f>IF(A903="","",IF(OR(J903="",L903=""),"建議補聯絡紀錄","") )</f>
        <v/>
      </c>
    </row>
    <row r="904" ht="24" customHeight="1">
      <c r="A904" s="7" t="n"/>
      <c r="B904" s="7" t="n"/>
      <c r="C904" s="12">
        <f>IF($A904="","",IFERROR(INDEX(土地清冊_匯入!$B$6:$B$1005,MATCH($A904,土地清冊_匯入!$A$6:$A$1005,0)),"查無資料"))</f>
        <v/>
      </c>
      <c r="D904" s="12">
        <f>IF($A904="","",IFERROR(INDEX(土地清冊_匯入!$P$6:$P$1005,MATCH($A904,土地清冊_匯入!$A$6:$A$1005,0)),""))</f>
        <v/>
      </c>
      <c r="E904" s="12">
        <f>IF($A904="","",IFERROR(INDEX(土地清冊_匯入!$Q$6:$Q$1005,MATCH($A904,土地清冊_匯入!$A$6:$A$1005,0)),""))</f>
        <v/>
      </c>
      <c r="F904" s="12">
        <f>IF($A904="","",IFERROR(INDEX(土地清冊_匯入!$R$6:$R$1005,MATCH($A904,土地清冊_匯入!$A$6:$A$1005,0)),""))</f>
        <v/>
      </c>
      <c r="G904" s="12">
        <f>IF($A904="","",IFERROR(INDEX(土地清冊_匯入!$S$6:$S$1005,MATCH($A904,土地清冊_匯入!$A$6:$A$1005,0)),""))</f>
        <v/>
      </c>
      <c r="H904" s="12">
        <f>IF($A904="","",IFERROR(INDEX(土地清冊_匯入!$T$6:$T$1005,MATCH($A904,土地清冊_匯入!$A$6:$A$1005,0)),""))</f>
        <v/>
      </c>
      <c r="I904" s="12">
        <f>IF($A904="","",IFERROR(INDEX(土地清冊_匯入!$V$6:$V$1005,MATCH($A904,土地清冊_匯入!$A$6:$A$1005,0)),""))</f>
        <v/>
      </c>
      <c r="J904" s="14" t="n"/>
      <c r="K904" s="7" t="n"/>
      <c r="L904" s="7" t="n"/>
      <c r="M904" s="7" t="n"/>
      <c r="N904" s="7" t="n"/>
      <c r="O904" s="7" t="n"/>
      <c r="P904" s="7" t="n"/>
      <c r="Q904" s="14" t="n"/>
      <c r="R904" s="7" t="n"/>
      <c r="S904" s="7" t="n"/>
      <c r="T904" s="7" t="n"/>
      <c r="U904" s="12">
        <f>IF(A904="","",IF(OR(J904="",L904=""),"建議補聯絡紀錄","") )</f>
        <v/>
      </c>
    </row>
    <row r="905" ht="24" customHeight="1">
      <c r="A905" s="7" t="n"/>
      <c r="B905" s="7" t="n"/>
      <c r="C905" s="12">
        <f>IF($A905="","",IFERROR(INDEX(土地清冊_匯入!$B$6:$B$1005,MATCH($A905,土地清冊_匯入!$A$6:$A$1005,0)),"查無資料"))</f>
        <v/>
      </c>
      <c r="D905" s="12">
        <f>IF($A905="","",IFERROR(INDEX(土地清冊_匯入!$P$6:$P$1005,MATCH($A905,土地清冊_匯入!$A$6:$A$1005,0)),""))</f>
        <v/>
      </c>
      <c r="E905" s="12">
        <f>IF($A905="","",IFERROR(INDEX(土地清冊_匯入!$Q$6:$Q$1005,MATCH($A905,土地清冊_匯入!$A$6:$A$1005,0)),""))</f>
        <v/>
      </c>
      <c r="F905" s="12">
        <f>IF($A905="","",IFERROR(INDEX(土地清冊_匯入!$R$6:$R$1005,MATCH($A905,土地清冊_匯入!$A$6:$A$1005,0)),""))</f>
        <v/>
      </c>
      <c r="G905" s="12">
        <f>IF($A905="","",IFERROR(INDEX(土地清冊_匯入!$S$6:$S$1005,MATCH($A905,土地清冊_匯入!$A$6:$A$1005,0)),""))</f>
        <v/>
      </c>
      <c r="H905" s="12">
        <f>IF($A905="","",IFERROR(INDEX(土地清冊_匯入!$T$6:$T$1005,MATCH($A905,土地清冊_匯入!$A$6:$A$1005,0)),""))</f>
        <v/>
      </c>
      <c r="I905" s="12">
        <f>IF($A905="","",IFERROR(INDEX(土地清冊_匯入!$V$6:$V$1005,MATCH($A905,土地清冊_匯入!$A$6:$A$1005,0)),""))</f>
        <v/>
      </c>
      <c r="J905" s="14" t="n"/>
      <c r="K905" s="7" t="n"/>
      <c r="L905" s="7" t="n"/>
      <c r="M905" s="7" t="n"/>
      <c r="N905" s="7" t="n"/>
      <c r="O905" s="7" t="n"/>
      <c r="P905" s="7" t="n"/>
      <c r="Q905" s="14" t="n"/>
      <c r="R905" s="7" t="n"/>
      <c r="S905" s="7" t="n"/>
      <c r="T905" s="7" t="n"/>
      <c r="U905" s="12">
        <f>IF(A905="","",IF(OR(J905="",L905=""),"建議補聯絡紀錄","") )</f>
        <v/>
      </c>
    </row>
    <row r="906" ht="24" customHeight="1">
      <c r="A906" s="7" t="n"/>
      <c r="B906" s="7" t="n"/>
      <c r="C906" s="12">
        <f>IF($A906="","",IFERROR(INDEX(土地清冊_匯入!$B$6:$B$1005,MATCH($A906,土地清冊_匯入!$A$6:$A$1005,0)),"查無資料"))</f>
        <v/>
      </c>
      <c r="D906" s="12">
        <f>IF($A906="","",IFERROR(INDEX(土地清冊_匯入!$P$6:$P$1005,MATCH($A906,土地清冊_匯入!$A$6:$A$1005,0)),""))</f>
        <v/>
      </c>
      <c r="E906" s="12">
        <f>IF($A906="","",IFERROR(INDEX(土地清冊_匯入!$Q$6:$Q$1005,MATCH($A906,土地清冊_匯入!$A$6:$A$1005,0)),""))</f>
        <v/>
      </c>
      <c r="F906" s="12">
        <f>IF($A906="","",IFERROR(INDEX(土地清冊_匯入!$R$6:$R$1005,MATCH($A906,土地清冊_匯入!$A$6:$A$1005,0)),""))</f>
        <v/>
      </c>
      <c r="G906" s="12">
        <f>IF($A906="","",IFERROR(INDEX(土地清冊_匯入!$S$6:$S$1005,MATCH($A906,土地清冊_匯入!$A$6:$A$1005,0)),""))</f>
        <v/>
      </c>
      <c r="H906" s="12">
        <f>IF($A906="","",IFERROR(INDEX(土地清冊_匯入!$T$6:$T$1005,MATCH($A906,土地清冊_匯入!$A$6:$A$1005,0)),""))</f>
        <v/>
      </c>
      <c r="I906" s="12">
        <f>IF($A906="","",IFERROR(INDEX(土地清冊_匯入!$V$6:$V$1005,MATCH($A906,土地清冊_匯入!$A$6:$A$1005,0)),""))</f>
        <v/>
      </c>
      <c r="J906" s="14" t="n"/>
      <c r="K906" s="7" t="n"/>
      <c r="L906" s="7" t="n"/>
      <c r="M906" s="7" t="n"/>
      <c r="N906" s="7" t="n"/>
      <c r="O906" s="7" t="n"/>
      <c r="P906" s="7" t="n"/>
      <c r="Q906" s="14" t="n"/>
      <c r="R906" s="7" t="n"/>
      <c r="S906" s="7" t="n"/>
      <c r="T906" s="7" t="n"/>
      <c r="U906" s="12">
        <f>IF(A906="","",IF(OR(J906="",L906=""),"建議補聯絡紀錄","") )</f>
        <v/>
      </c>
    </row>
    <row r="907" ht="24" customHeight="1">
      <c r="A907" s="7" t="n"/>
      <c r="B907" s="7" t="n"/>
      <c r="C907" s="12">
        <f>IF($A907="","",IFERROR(INDEX(土地清冊_匯入!$B$6:$B$1005,MATCH($A907,土地清冊_匯入!$A$6:$A$1005,0)),"查無資料"))</f>
        <v/>
      </c>
      <c r="D907" s="12">
        <f>IF($A907="","",IFERROR(INDEX(土地清冊_匯入!$P$6:$P$1005,MATCH($A907,土地清冊_匯入!$A$6:$A$1005,0)),""))</f>
        <v/>
      </c>
      <c r="E907" s="12">
        <f>IF($A907="","",IFERROR(INDEX(土地清冊_匯入!$Q$6:$Q$1005,MATCH($A907,土地清冊_匯入!$A$6:$A$1005,0)),""))</f>
        <v/>
      </c>
      <c r="F907" s="12">
        <f>IF($A907="","",IFERROR(INDEX(土地清冊_匯入!$R$6:$R$1005,MATCH($A907,土地清冊_匯入!$A$6:$A$1005,0)),""))</f>
        <v/>
      </c>
      <c r="G907" s="12">
        <f>IF($A907="","",IFERROR(INDEX(土地清冊_匯入!$S$6:$S$1005,MATCH($A907,土地清冊_匯入!$A$6:$A$1005,0)),""))</f>
        <v/>
      </c>
      <c r="H907" s="12">
        <f>IF($A907="","",IFERROR(INDEX(土地清冊_匯入!$T$6:$T$1005,MATCH($A907,土地清冊_匯入!$A$6:$A$1005,0)),""))</f>
        <v/>
      </c>
      <c r="I907" s="12">
        <f>IF($A907="","",IFERROR(INDEX(土地清冊_匯入!$V$6:$V$1005,MATCH($A907,土地清冊_匯入!$A$6:$A$1005,0)),""))</f>
        <v/>
      </c>
      <c r="J907" s="14" t="n"/>
      <c r="K907" s="7" t="n"/>
      <c r="L907" s="7" t="n"/>
      <c r="M907" s="7" t="n"/>
      <c r="N907" s="7" t="n"/>
      <c r="O907" s="7" t="n"/>
      <c r="P907" s="7" t="n"/>
      <c r="Q907" s="14" t="n"/>
      <c r="R907" s="7" t="n"/>
      <c r="S907" s="7" t="n"/>
      <c r="T907" s="7" t="n"/>
      <c r="U907" s="12">
        <f>IF(A907="","",IF(OR(J907="",L907=""),"建議補聯絡紀錄","") )</f>
        <v/>
      </c>
    </row>
    <row r="908" ht="24" customHeight="1">
      <c r="A908" s="7" t="n"/>
      <c r="B908" s="7" t="n"/>
      <c r="C908" s="12">
        <f>IF($A908="","",IFERROR(INDEX(土地清冊_匯入!$B$6:$B$1005,MATCH($A908,土地清冊_匯入!$A$6:$A$1005,0)),"查無資料"))</f>
        <v/>
      </c>
      <c r="D908" s="12">
        <f>IF($A908="","",IFERROR(INDEX(土地清冊_匯入!$P$6:$P$1005,MATCH($A908,土地清冊_匯入!$A$6:$A$1005,0)),""))</f>
        <v/>
      </c>
      <c r="E908" s="12">
        <f>IF($A908="","",IFERROR(INDEX(土地清冊_匯入!$Q$6:$Q$1005,MATCH($A908,土地清冊_匯入!$A$6:$A$1005,0)),""))</f>
        <v/>
      </c>
      <c r="F908" s="12">
        <f>IF($A908="","",IFERROR(INDEX(土地清冊_匯入!$R$6:$R$1005,MATCH($A908,土地清冊_匯入!$A$6:$A$1005,0)),""))</f>
        <v/>
      </c>
      <c r="G908" s="12">
        <f>IF($A908="","",IFERROR(INDEX(土地清冊_匯入!$S$6:$S$1005,MATCH($A908,土地清冊_匯入!$A$6:$A$1005,0)),""))</f>
        <v/>
      </c>
      <c r="H908" s="12">
        <f>IF($A908="","",IFERROR(INDEX(土地清冊_匯入!$T$6:$T$1005,MATCH($A908,土地清冊_匯入!$A$6:$A$1005,0)),""))</f>
        <v/>
      </c>
      <c r="I908" s="12">
        <f>IF($A908="","",IFERROR(INDEX(土地清冊_匯入!$V$6:$V$1005,MATCH($A908,土地清冊_匯入!$A$6:$A$1005,0)),""))</f>
        <v/>
      </c>
      <c r="J908" s="14" t="n"/>
      <c r="K908" s="7" t="n"/>
      <c r="L908" s="7" t="n"/>
      <c r="M908" s="7" t="n"/>
      <c r="N908" s="7" t="n"/>
      <c r="O908" s="7" t="n"/>
      <c r="P908" s="7" t="n"/>
      <c r="Q908" s="14" t="n"/>
      <c r="R908" s="7" t="n"/>
      <c r="S908" s="7" t="n"/>
      <c r="T908" s="7" t="n"/>
      <c r="U908" s="12">
        <f>IF(A908="","",IF(OR(J908="",L908=""),"建議補聯絡紀錄","") )</f>
        <v/>
      </c>
    </row>
    <row r="909" ht="24" customHeight="1">
      <c r="A909" s="7" t="n"/>
      <c r="B909" s="7" t="n"/>
      <c r="C909" s="12">
        <f>IF($A909="","",IFERROR(INDEX(土地清冊_匯入!$B$6:$B$1005,MATCH($A909,土地清冊_匯入!$A$6:$A$1005,0)),"查無資料"))</f>
        <v/>
      </c>
      <c r="D909" s="12">
        <f>IF($A909="","",IFERROR(INDEX(土地清冊_匯入!$P$6:$P$1005,MATCH($A909,土地清冊_匯入!$A$6:$A$1005,0)),""))</f>
        <v/>
      </c>
      <c r="E909" s="12">
        <f>IF($A909="","",IFERROR(INDEX(土地清冊_匯入!$Q$6:$Q$1005,MATCH($A909,土地清冊_匯入!$A$6:$A$1005,0)),""))</f>
        <v/>
      </c>
      <c r="F909" s="12">
        <f>IF($A909="","",IFERROR(INDEX(土地清冊_匯入!$R$6:$R$1005,MATCH($A909,土地清冊_匯入!$A$6:$A$1005,0)),""))</f>
        <v/>
      </c>
      <c r="G909" s="12">
        <f>IF($A909="","",IFERROR(INDEX(土地清冊_匯入!$S$6:$S$1005,MATCH($A909,土地清冊_匯入!$A$6:$A$1005,0)),""))</f>
        <v/>
      </c>
      <c r="H909" s="12">
        <f>IF($A909="","",IFERROR(INDEX(土地清冊_匯入!$T$6:$T$1005,MATCH($A909,土地清冊_匯入!$A$6:$A$1005,0)),""))</f>
        <v/>
      </c>
      <c r="I909" s="12">
        <f>IF($A909="","",IFERROR(INDEX(土地清冊_匯入!$V$6:$V$1005,MATCH($A909,土地清冊_匯入!$A$6:$A$1005,0)),""))</f>
        <v/>
      </c>
      <c r="J909" s="14" t="n"/>
      <c r="K909" s="7" t="n"/>
      <c r="L909" s="7" t="n"/>
      <c r="M909" s="7" t="n"/>
      <c r="N909" s="7" t="n"/>
      <c r="O909" s="7" t="n"/>
      <c r="P909" s="7" t="n"/>
      <c r="Q909" s="14" t="n"/>
      <c r="R909" s="7" t="n"/>
      <c r="S909" s="7" t="n"/>
      <c r="T909" s="7" t="n"/>
      <c r="U909" s="12">
        <f>IF(A909="","",IF(OR(J909="",L909=""),"建議補聯絡紀錄","") )</f>
        <v/>
      </c>
    </row>
    <row r="910" ht="24" customHeight="1">
      <c r="A910" s="7" t="n"/>
      <c r="B910" s="7" t="n"/>
      <c r="C910" s="12">
        <f>IF($A910="","",IFERROR(INDEX(土地清冊_匯入!$B$6:$B$1005,MATCH($A910,土地清冊_匯入!$A$6:$A$1005,0)),"查無資料"))</f>
        <v/>
      </c>
      <c r="D910" s="12">
        <f>IF($A910="","",IFERROR(INDEX(土地清冊_匯入!$P$6:$P$1005,MATCH($A910,土地清冊_匯入!$A$6:$A$1005,0)),""))</f>
        <v/>
      </c>
      <c r="E910" s="12">
        <f>IF($A910="","",IFERROR(INDEX(土地清冊_匯入!$Q$6:$Q$1005,MATCH($A910,土地清冊_匯入!$A$6:$A$1005,0)),""))</f>
        <v/>
      </c>
      <c r="F910" s="12">
        <f>IF($A910="","",IFERROR(INDEX(土地清冊_匯入!$R$6:$R$1005,MATCH($A910,土地清冊_匯入!$A$6:$A$1005,0)),""))</f>
        <v/>
      </c>
      <c r="G910" s="12">
        <f>IF($A910="","",IFERROR(INDEX(土地清冊_匯入!$S$6:$S$1005,MATCH($A910,土地清冊_匯入!$A$6:$A$1005,0)),""))</f>
        <v/>
      </c>
      <c r="H910" s="12">
        <f>IF($A910="","",IFERROR(INDEX(土地清冊_匯入!$T$6:$T$1005,MATCH($A910,土地清冊_匯入!$A$6:$A$1005,0)),""))</f>
        <v/>
      </c>
      <c r="I910" s="12">
        <f>IF($A910="","",IFERROR(INDEX(土地清冊_匯入!$V$6:$V$1005,MATCH($A910,土地清冊_匯入!$A$6:$A$1005,0)),""))</f>
        <v/>
      </c>
      <c r="J910" s="14" t="n"/>
      <c r="K910" s="7" t="n"/>
      <c r="L910" s="7" t="n"/>
      <c r="M910" s="7" t="n"/>
      <c r="N910" s="7" t="n"/>
      <c r="O910" s="7" t="n"/>
      <c r="P910" s="7" t="n"/>
      <c r="Q910" s="14" t="n"/>
      <c r="R910" s="7" t="n"/>
      <c r="S910" s="7" t="n"/>
      <c r="T910" s="7" t="n"/>
      <c r="U910" s="12">
        <f>IF(A910="","",IF(OR(J910="",L910=""),"建議補聯絡紀錄","") )</f>
        <v/>
      </c>
    </row>
    <row r="911" ht="24" customHeight="1">
      <c r="A911" s="7" t="n"/>
      <c r="B911" s="7" t="n"/>
      <c r="C911" s="12">
        <f>IF($A911="","",IFERROR(INDEX(土地清冊_匯入!$B$6:$B$1005,MATCH($A911,土地清冊_匯入!$A$6:$A$1005,0)),"查無資料"))</f>
        <v/>
      </c>
      <c r="D911" s="12">
        <f>IF($A911="","",IFERROR(INDEX(土地清冊_匯入!$P$6:$P$1005,MATCH($A911,土地清冊_匯入!$A$6:$A$1005,0)),""))</f>
        <v/>
      </c>
      <c r="E911" s="12">
        <f>IF($A911="","",IFERROR(INDEX(土地清冊_匯入!$Q$6:$Q$1005,MATCH($A911,土地清冊_匯入!$A$6:$A$1005,0)),""))</f>
        <v/>
      </c>
      <c r="F911" s="12">
        <f>IF($A911="","",IFERROR(INDEX(土地清冊_匯入!$R$6:$R$1005,MATCH($A911,土地清冊_匯入!$A$6:$A$1005,0)),""))</f>
        <v/>
      </c>
      <c r="G911" s="12">
        <f>IF($A911="","",IFERROR(INDEX(土地清冊_匯入!$S$6:$S$1005,MATCH($A911,土地清冊_匯入!$A$6:$A$1005,0)),""))</f>
        <v/>
      </c>
      <c r="H911" s="12">
        <f>IF($A911="","",IFERROR(INDEX(土地清冊_匯入!$T$6:$T$1005,MATCH($A911,土地清冊_匯入!$A$6:$A$1005,0)),""))</f>
        <v/>
      </c>
      <c r="I911" s="12">
        <f>IF($A911="","",IFERROR(INDEX(土地清冊_匯入!$V$6:$V$1005,MATCH($A911,土地清冊_匯入!$A$6:$A$1005,0)),""))</f>
        <v/>
      </c>
      <c r="J911" s="14" t="n"/>
      <c r="K911" s="7" t="n"/>
      <c r="L911" s="7" t="n"/>
      <c r="M911" s="7" t="n"/>
      <c r="N911" s="7" t="n"/>
      <c r="O911" s="7" t="n"/>
      <c r="P911" s="7" t="n"/>
      <c r="Q911" s="14" t="n"/>
      <c r="R911" s="7" t="n"/>
      <c r="S911" s="7" t="n"/>
      <c r="T911" s="7" t="n"/>
      <c r="U911" s="12">
        <f>IF(A911="","",IF(OR(J911="",L911=""),"建議補聯絡紀錄","") )</f>
        <v/>
      </c>
    </row>
    <row r="912" ht="24" customHeight="1">
      <c r="A912" s="7" t="n"/>
      <c r="B912" s="7" t="n"/>
      <c r="C912" s="12">
        <f>IF($A912="","",IFERROR(INDEX(土地清冊_匯入!$B$6:$B$1005,MATCH($A912,土地清冊_匯入!$A$6:$A$1005,0)),"查無資料"))</f>
        <v/>
      </c>
      <c r="D912" s="12">
        <f>IF($A912="","",IFERROR(INDEX(土地清冊_匯入!$P$6:$P$1005,MATCH($A912,土地清冊_匯入!$A$6:$A$1005,0)),""))</f>
        <v/>
      </c>
      <c r="E912" s="12">
        <f>IF($A912="","",IFERROR(INDEX(土地清冊_匯入!$Q$6:$Q$1005,MATCH($A912,土地清冊_匯入!$A$6:$A$1005,0)),""))</f>
        <v/>
      </c>
      <c r="F912" s="12">
        <f>IF($A912="","",IFERROR(INDEX(土地清冊_匯入!$R$6:$R$1005,MATCH($A912,土地清冊_匯入!$A$6:$A$1005,0)),""))</f>
        <v/>
      </c>
      <c r="G912" s="12">
        <f>IF($A912="","",IFERROR(INDEX(土地清冊_匯入!$S$6:$S$1005,MATCH($A912,土地清冊_匯入!$A$6:$A$1005,0)),""))</f>
        <v/>
      </c>
      <c r="H912" s="12">
        <f>IF($A912="","",IFERROR(INDEX(土地清冊_匯入!$T$6:$T$1005,MATCH($A912,土地清冊_匯入!$A$6:$A$1005,0)),""))</f>
        <v/>
      </c>
      <c r="I912" s="12">
        <f>IF($A912="","",IFERROR(INDEX(土地清冊_匯入!$V$6:$V$1005,MATCH($A912,土地清冊_匯入!$A$6:$A$1005,0)),""))</f>
        <v/>
      </c>
      <c r="J912" s="14" t="n"/>
      <c r="K912" s="7" t="n"/>
      <c r="L912" s="7" t="n"/>
      <c r="M912" s="7" t="n"/>
      <c r="N912" s="7" t="n"/>
      <c r="O912" s="7" t="n"/>
      <c r="P912" s="7" t="n"/>
      <c r="Q912" s="14" t="n"/>
      <c r="R912" s="7" t="n"/>
      <c r="S912" s="7" t="n"/>
      <c r="T912" s="7" t="n"/>
      <c r="U912" s="12">
        <f>IF(A912="","",IF(OR(J912="",L912=""),"建議補聯絡紀錄","") )</f>
        <v/>
      </c>
    </row>
    <row r="913" ht="24" customHeight="1">
      <c r="A913" s="7" t="n"/>
      <c r="B913" s="7" t="n"/>
      <c r="C913" s="12">
        <f>IF($A913="","",IFERROR(INDEX(土地清冊_匯入!$B$6:$B$1005,MATCH($A913,土地清冊_匯入!$A$6:$A$1005,0)),"查無資料"))</f>
        <v/>
      </c>
      <c r="D913" s="12">
        <f>IF($A913="","",IFERROR(INDEX(土地清冊_匯入!$P$6:$P$1005,MATCH($A913,土地清冊_匯入!$A$6:$A$1005,0)),""))</f>
        <v/>
      </c>
      <c r="E913" s="12">
        <f>IF($A913="","",IFERROR(INDEX(土地清冊_匯入!$Q$6:$Q$1005,MATCH($A913,土地清冊_匯入!$A$6:$A$1005,0)),""))</f>
        <v/>
      </c>
      <c r="F913" s="12">
        <f>IF($A913="","",IFERROR(INDEX(土地清冊_匯入!$R$6:$R$1005,MATCH($A913,土地清冊_匯入!$A$6:$A$1005,0)),""))</f>
        <v/>
      </c>
      <c r="G913" s="12">
        <f>IF($A913="","",IFERROR(INDEX(土地清冊_匯入!$S$6:$S$1005,MATCH($A913,土地清冊_匯入!$A$6:$A$1005,0)),""))</f>
        <v/>
      </c>
      <c r="H913" s="12">
        <f>IF($A913="","",IFERROR(INDEX(土地清冊_匯入!$T$6:$T$1005,MATCH($A913,土地清冊_匯入!$A$6:$A$1005,0)),""))</f>
        <v/>
      </c>
      <c r="I913" s="12">
        <f>IF($A913="","",IFERROR(INDEX(土地清冊_匯入!$V$6:$V$1005,MATCH($A913,土地清冊_匯入!$A$6:$A$1005,0)),""))</f>
        <v/>
      </c>
      <c r="J913" s="14" t="n"/>
      <c r="K913" s="7" t="n"/>
      <c r="L913" s="7" t="n"/>
      <c r="M913" s="7" t="n"/>
      <c r="N913" s="7" t="n"/>
      <c r="O913" s="7" t="n"/>
      <c r="P913" s="7" t="n"/>
      <c r="Q913" s="14" t="n"/>
      <c r="R913" s="7" t="n"/>
      <c r="S913" s="7" t="n"/>
      <c r="T913" s="7" t="n"/>
      <c r="U913" s="12">
        <f>IF(A913="","",IF(OR(J913="",L913=""),"建議補聯絡紀錄","") )</f>
        <v/>
      </c>
    </row>
    <row r="914" ht="24" customHeight="1">
      <c r="A914" s="7" t="n"/>
      <c r="B914" s="7" t="n"/>
      <c r="C914" s="12">
        <f>IF($A914="","",IFERROR(INDEX(土地清冊_匯入!$B$6:$B$1005,MATCH($A914,土地清冊_匯入!$A$6:$A$1005,0)),"查無資料"))</f>
        <v/>
      </c>
      <c r="D914" s="12">
        <f>IF($A914="","",IFERROR(INDEX(土地清冊_匯入!$P$6:$P$1005,MATCH($A914,土地清冊_匯入!$A$6:$A$1005,0)),""))</f>
        <v/>
      </c>
      <c r="E914" s="12">
        <f>IF($A914="","",IFERROR(INDEX(土地清冊_匯入!$Q$6:$Q$1005,MATCH($A914,土地清冊_匯入!$A$6:$A$1005,0)),""))</f>
        <v/>
      </c>
      <c r="F914" s="12">
        <f>IF($A914="","",IFERROR(INDEX(土地清冊_匯入!$R$6:$R$1005,MATCH($A914,土地清冊_匯入!$A$6:$A$1005,0)),""))</f>
        <v/>
      </c>
      <c r="G914" s="12">
        <f>IF($A914="","",IFERROR(INDEX(土地清冊_匯入!$S$6:$S$1005,MATCH($A914,土地清冊_匯入!$A$6:$A$1005,0)),""))</f>
        <v/>
      </c>
      <c r="H914" s="12">
        <f>IF($A914="","",IFERROR(INDEX(土地清冊_匯入!$T$6:$T$1005,MATCH($A914,土地清冊_匯入!$A$6:$A$1005,0)),""))</f>
        <v/>
      </c>
      <c r="I914" s="12">
        <f>IF($A914="","",IFERROR(INDEX(土地清冊_匯入!$V$6:$V$1005,MATCH($A914,土地清冊_匯入!$A$6:$A$1005,0)),""))</f>
        <v/>
      </c>
      <c r="J914" s="14" t="n"/>
      <c r="K914" s="7" t="n"/>
      <c r="L914" s="7" t="n"/>
      <c r="M914" s="7" t="n"/>
      <c r="N914" s="7" t="n"/>
      <c r="O914" s="7" t="n"/>
      <c r="P914" s="7" t="n"/>
      <c r="Q914" s="14" t="n"/>
      <c r="R914" s="7" t="n"/>
      <c r="S914" s="7" t="n"/>
      <c r="T914" s="7" t="n"/>
      <c r="U914" s="12">
        <f>IF(A914="","",IF(OR(J914="",L914=""),"建議補聯絡紀錄","") )</f>
        <v/>
      </c>
    </row>
    <row r="915" ht="24" customHeight="1">
      <c r="A915" s="7" t="n"/>
      <c r="B915" s="7" t="n"/>
      <c r="C915" s="12">
        <f>IF($A915="","",IFERROR(INDEX(土地清冊_匯入!$B$6:$B$1005,MATCH($A915,土地清冊_匯入!$A$6:$A$1005,0)),"查無資料"))</f>
        <v/>
      </c>
      <c r="D915" s="12">
        <f>IF($A915="","",IFERROR(INDEX(土地清冊_匯入!$P$6:$P$1005,MATCH($A915,土地清冊_匯入!$A$6:$A$1005,0)),""))</f>
        <v/>
      </c>
      <c r="E915" s="12">
        <f>IF($A915="","",IFERROR(INDEX(土地清冊_匯入!$Q$6:$Q$1005,MATCH($A915,土地清冊_匯入!$A$6:$A$1005,0)),""))</f>
        <v/>
      </c>
      <c r="F915" s="12">
        <f>IF($A915="","",IFERROR(INDEX(土地清冊_匯入!$R$6:$R$1005,MATCH($A915,土地清冊_匯入!$A$6:$A$1005,0)),""))</f>
        <v/>
      </c>
      <c r="G915" s="12">
        <f>IF($A915="","",IFERROR(INDEX(土地清冊_匯入!$S$6:$S$1005,MATCH($A915,土地清冊_匯入!$A$6:$A$1005,0)),""))</f>
        <v/>
      </c>
      <c r="H915" s="12">
        <f>IF($A915="","",IFERROR(INDEX(土地清冊_匯入!$T$6:$T$1005,MATCH($A915,土地清冊_匯入!$A$6:$A$1005,0)),""))</f>
        <v/>
      </c>
      <c r="I915" s="12">
        <f>IF($A915="","",IFERROR(INDEX(土地清冊_匯入!$V$6:$V$1005,MATCH($A915,土地清冊_匯入!$A$6:$A$1005,0)),""))</f>
        <v/>
      </c>
      <c r="J915" s="14" t="n"/>
      <c r="K915" s="7" t="n"/>
      <c r="L915" s="7" t="n"/>
      <c r="M915" s="7" t="n"/>
      <c r="N915" s="7" t="n"/>
      <c r="O915" s="7" t="n"/>
      <c r="P915" s="7" t="n"/>
      <c r="Q915" s="14" t="n"/>
      <c r="R915" s="7" t="n"/>
      <c r="S915" s="7" t="n"/>
      <c r="T915" s="7" t="n"/>
      <c r="U915" s="12">
        <f>IF(A915="","",IF(OR(J915="",L915=""),"建議補聯絡紀錄","") )</f>
        <v/>
      </c>
    </row>
    <row r="916" ht="24" customHeight="1">
      <c r="A916" s="7" t="n"/>
      <c r="B916" s="7" t="n"/>
      <c r="C916" s="12">
        <f>IF($A916="","",IFERROR(INDEX(土地清冊_匯入!$B$6:$B$1005,MATCH($A916,土地清冊_匯入!$A$6:$A$1005,0)),"查無資料"))</f>
        <v/>
      </c>
      <c r="D916" s="12">
        <f>IF($A916="","",IFERROR(INDEX(土地清冊_匯入!$P$6:$P$1005,MATCH($A916,土地清冊_匯入!$A$6:$A$1005,0)),""))</f>
        <v/>
      </c>
      <c r="E916" s="12">
        <f>IF($A916="","",IFERROR(INDEX(土地清冊_匯入!$Q$6:$Q$1005,MATCH($A916,土地清冊_匯入!$A$6:$A$1005,0)),""))</f>
        <v/>
      </c>
      <c r="F916" s="12">
        <f>IF($A916="","",IFERROR(INDEX(土地清冊_匯入!$R$6:$R$1005,MATCH($A916,土地清冊_匯入!$A$6:$A$1005,0)),""))</f>
        <v/>
      </c>
      <c r="G916" s="12">
        <f>IF($A916="","",IFERROR(INDEX(土地清冊_匯入!$S$6:$S$1005,MATCH($A916,土地清冊_匯入!$A$6:$A$1005,0)),""))</f>
        <v/>
      </c>
      <c r="H916" s="12">
        <f>IF($A916="","",IFERROR(INDEX(土地清冊_匯入!$T$6:$T$1005,MATCH($A916,土地清冊_匯入!$A$6:$A$1005,0)),""))</f>
        <v/>
      </c>
      <c r="I916" s="12">
        <f>IF($A916="","",IFERROR(INDEX(土地清冊_匯入!$V$6:$V$1005,MATCH($A916,土地清冊_匯入!$A$6:$A$1005,0)),""))</f>
        <v/>
      </c>
      <c r="J916" s="14" t="n"/>
      <c r="K916" s="7" t="n"/>
      <c r="L916" s="7" t="n"/>
      <c r="M916" s="7" t="n"/>
      <c r="N916" s="7" t="n"/>
      <c r="O916" s="7" t="n"/>
      <c r="P916" s="7" t="n"/>
      <c r="Q916" s="14" t="n"/>
      <c r="R916" s="7" t="n"/>
      <c r="S916" s="7" t="n"/>
      <c r="T916" s="7" t="n"/>
      <c r="U916" s="12">
        <f>IF(A916="","",IF(OR(J916="",L916=""),"建議補聯絡紀錄","") )</f>
        <v/>
      </c>
    </row>
    <row r="917" ht="24" customHeight="1">
      <c r="A917" s="7" t="n"/>
      <c r="B917" s="7" t="n"/>
      <c r="C917" s="12">
        <f>IF($A917="","",IFERROR(INDEX(土地清冊_匯入!$B$6:$B$1005,MATCH($A917,土地清冊_匯入!$A$6:$A$1005,0)),"查無資料"))</f>
        <v/>
      </c>
      <c r="D917" s="12">
        <f>IF($A917="","",IFERROR(INDEX(土地清冊_匯入!$P$6:$P$1005,MATCH($A917,土地清冊_匯入!$A$6:$A$1005,0)),""))</f>
        <v/>
      </c>
      <c r="E917" s="12">
        <f>IF($A917="","",IFERROR(INDEX(土地清冊_匯入!$Q$6:$Q$1005,MATCH($A917,土地清冊_匯入!$A$6:$A$1005,0)),""))</f>
        <v/>
      </c>
      <c r="F917" s="12">
        <f>IF($A917="","",IFERROR(INDEX(土地清冊_匯入!$R$6:$R$1005,MATCH($A917,土地清冊_匯入!$A$6:$A$1005,0)),""))</f>
        <v/>
      </c>
      <c r="G917" s="12">
        <f>IF($A917="","",IFERROR(INDEX(土地清冊_匯入!$S$6:$S$1005,MATCH($A917,土地清冊_匯入!$A$6:$A$1005,0)),""))</f>
        <v/>
      </c>
      <c r="H917" s="12">
        <f>IF($A917="","",IFERROR(INDEX(土地清冊_匯入!$T$6:$T$1005,MATCH($A917,土地清冊_匯入!$A$6:$A$1005,0)),""))</f>
        <v/>
      </c>
      <c r="I917" s="12">
        <f>IF($A917="","",IFERROR(INDEX(土地清冊_匯入!$V$6:$V$1005,MATCH($A917,土地清冊_匯入!$A$6:$A$1005,0)),""))</f>
        <v/>
      </c>
      <c r="J917" s="14" t="n"/>
      <c r="K917" s="7" t="n"/>
      <c r="L917" s="7" t="n"/>
      <c r="M917" s="7" t="n"/>
      <c r="N917" s="7" t="n"/>
      <c r="O917" s="7" t="n"/>
      <c r="P917" s="7" t="n"/>
      <c r="Q917" s="14" t="n"/>
      <c r="R917" s="7" t="n"/>
      <c r="S917" s="7" t="n"/>
      <c r="T917" s="7" t="n"/>
      <c r="U917" s="12">
        <f>IF(A917="","",IF(OR(J917="",L917=""),"建議補聯絡紀錄","") )</f>
        <v/>
      </c>
    </row>
    <row r="918" ht="24" customHeight="1">
      <c r="A918" s="7" t="n"/>
      <c r="B918" s="7" t="n"/>
      <c r="C918" s="12">
        <f>IF($A918="","",IFERROR(INDEX(土地清冊_匯入!$B$6:$B$1005,MATCH($A918,土地清冊_匯入!$A$6:$A$1005,0)),"查無資料"))</f>
        <v/>
      </c>
      <c r="D918" s="12">
        <f>IF($A918="","",IFERROR(INDEX(土地清冊_匯入!$P$6:$P$1005,MATCH($A918,土地清冊_匯入!$A$6:$A$1005,0)),""))</f>
        <v/>
      </c>
      <c r="E918" s="12">
        <f>IF($A918="","",IFERROR(INDEX(土地清冊_匯入!$Q$6:$Q$1005,MATCH($A918,土地清冊_匯入!$A$6:$A$1005,0)),""))</f>
        <v/>
      </c>
      <c r="F918" s="12">
        <f>IF($A918="","",IFERROR(INDEX(土地清冊_匯入!$R$6:$R$1005,MATCH($A918,土地清冊_匯入!$A$6:$A$1005,0)),""))</f>
        <v/>
      </c>
      <c r="G918" s="12">
        <f>IF($A918="","",IFERROR(INDEX(土地清冊_匯入!$S$6:$S$1005,MATCH($A918,土地清冊_匯入!$A$6:$A$1005,0)),""))</f>
        <v/>
      </c>
      <c r="H918" s="12">
        <f>IF($A918="","",IFERROR(INDEX(土地清冊_匯入!$T$6:$T$1005,MATCH($A918,土地清冊_匯入!$A$6:$A$1005,0)),""))</f>
        <v/>
      </c>
      <c r="I918" s="12">
        <f>IF($A918="","",IFERROR(INDEX(土地清冊_匯入!$V$6:$V$1005,MATCH($A918,土地清冊_匯入!$A$6:$A$1005,0)),""))</f>
        <v/>
      </c>
      <c r="J918" s="14" t="n"/>
      <c r="K918" s="7" t="n"/>
      <c r="L918" s="7" t="n"/>
      <c r="M918" s="7" t="n"/>
      <c r="N918" s="7" t="n"/>
      <c r="O918" s="7" t="n"/>
      <c r="P918" s="7" t="n"/>
      <c r="Q918" s="14" t="n"/>
      <c r="R918" s="7" t="n"/>
      <c r="S918" s="7" t="n"/>
      <c r="T918" s="7" t="n"/>
      <c r="U918" s="12">
        <f>IF(A918="","",IF(OR(J918="",L918=""),"建議補聯絡紀錄","") )</f>
        <v/>
      </c>
    </row>
    <row r="919" ht="24" customHeight="1">
      <c r="A919" s="7" t="n"/>
      <c r="B919" s="7" t="n"/>
      <c r="C919" s="12">
        <f>IF($A919="","",IFERROR(INDEX(土地清冊_匯入!$B$6:$B$1005,MATCH($A919,土地清冊_匯入!$A$6:$A$1005,0)),"查無資料"))</f>
        <v/>
      </c>
      <c r="D919" s="12">
        <f>IF($A919="","",IFERROR(INDEX(土地清冊_匯入!$P$6:$P$1005,MATCH($A919,土地清冊_匯入!$A$6:$A$1005,0)),""))</f>
        <v/>
      </c>
      <c r="E919" s="12">
        <f>IF($A919="","",IFERROR(INDEX(土地清冊_匯入!$Q$6:$Q$1005,MATCH($A919,土地清冊_匯入!$A$6:$A$1005,0)),""))</f>
        <v/>
      </c>
      <c r="F919" s="12">
        <f>IF($A919="","",IFERROR(INDEX(土地清冊_匯入!$R$6:$R$1005,MATCH($A919,土地清冊_匯入!$A$6:$A$1005,0)),""))</f>
        <v/>
      </c>
      <c r="G919" s="12">
        <f>IF($A919="","",IFERROR(INDEX(土地清冊_匯入!$S$6:$S$1005,MATCH($A919,土地清冊_匯入!$A$6:$A$1005,0)),""))</f>
        <v/>
      </c>
      <c r="H919" s="12">
        <f>IF($A919="","",IFERROR(INDEX(土地清冊_匯入!$T$6:$T$1005,MATCH($A919,土地清冊_匯入!$A$6:$A$1005,0)),""))</f>
        <v/>
      </c>
      <c r="I919" s="12">
        <f>IF($A919="","",IFERROR(INDEX(土地清冊_匯入!$V$6:$V$1005,MATCH($A919,土地清冊_匯入!$A$6:$A$1005,0)),""))</f>
        <v/>
      </c>
      <c r="J919" s="14" t="n"/>
      <c r="K919" s="7" t="n"/>
      <c r="L919" s="7" t="n"/>
      <c r="M919" s="7" t="n"/>
      <c r="N919" s="7" t="n"/>
      <c r="O919" s="7" t="n"/>
      <c r="P919" s="7" t="n"/>
      <c r="Q919" s="14" t="n"/>
      <c r="R919" s="7" t="n"/>
      <c r="S919" s="7" t="n"/>
      <c r="T919" s="7" t="n"/>
      <c r="U919" s="12">
        <f>IF(A919="","",IF(OR(J919="",L919=""),"建議補聯絡紀錄","") )</f>
        <v/>
      </c>
    </row>
    <row r="920" ht="24" customHeight="1">
      <c r="A920" s="7" t="n"/>
      <c r="B920" s="7" t="n"/>
      <c r="C920" s="12">
        <f>IF($A920="","",IFERROR(INDEX(土地清冊_匯入!$B$6:$B$1005,MATCH($A920,土地清冊_匯入!$A$6:$A$1005,0)),"查無資料"))</f>
        <v/>
      </c>
      <c r="D920" s="12">
        <f>IF($A920="","",IFERROR(INDEX(土地清冊_匯入!$P$6:$P$1005,MATCH($A920,土地清冊_匯入!$A$6:$A$1005,0)),""))</f>
        <v/>
      </c>
      <c r="E920" s="12">
        <f>IF($A920="","",IFERROR(INDEX(土地清冊_匯入!$Q$6:$Q$1005,MATCH($A920,土地清冊_匯入!$A$6:$A$1005,0)),""))</f>
        <v/>
      </c>
      <c r="F920" s="12">
        <f>IF($A920="","",IFERROR(INDEX(土地清冊_匯入!$R$6:$R$1005,MATCH($A920,土地清冊_匯入!$A$6:$A$1005,0)),""))</f>
        <v/>
      </c>
      <c r="G920" s="12">
        <f>IF($A920="","",IFERROR(INDEX(土地清冊_匯入!$S$6:$S$1005,MATCH($A920,土地清冊_匯入!$A$6:$A$1005,0)),""))</f>
        <v/>
      </c>
      <c r="H920" s="12">
        <f>IF($A920="","",IFERROR(INDEX(土地清冊_匯入!$T$6:$T$1005,MATCH($A920,土地清冊_匯入!$A$6:$A$1005,0)),""))</f>
        <v/>
      </c>
      <c r="I920" s="12">
        <f>IF($A920="","",IFERROR(INDEX(土地清冊_匯入!$V$6:$V$1005,MATCH($A920,土地清冊_匯入!$A$6:$A$1005,0)),""))</f>
        <v/>
      </c>
      <c r="J920" s="14" t="n"/>
      <c r="K920" s="7" t="n"/>
      <c r="L920" s="7" t="n"/>
      <c r="M920" s="7" t="n"/>
      <c r="N920" s="7" t="n"/>
      <c r="O920" s="7" t="n"/>
      <c r="P920" s="7" t="n"/>
      <c r="Q920" s="14" t="n"/>
      <c r="R920" s="7" t="n"/>
      <c r="S920" s="7" t="n"/>
      <c r="T920" s="7" t="n"/>
      <c r="U920" s="12">
        <f>IF(A920="","",IF(OR(J920="",L920=""),"建議補聯絡紀錄","") )</f>
        <v/>
      </c>
    </row>
    <row r="921" ht="24" customHeight="1">
      <c r="A921" s="7" t="n"/>
      <c r="B921" s="7" t="n"/>
      <c r="C921" s="12">
        <f>IF($A921="","",IFERROR(INDEX(土地清冊_匯入!$B$6:$B$1005,MATCH($A921,土地清冊_匯入!$A$6:$A$1005,0)),"查無資料"))</f>
        <v/>
      </c>
      <c r="D921" s="12">
        <f>IF($A921="","",IFERROR(INDEX(土地清冊_匯入!$P$6:$P$1005,MATCH($A921,土地清冊_匯入!$A$6:$A$1005,0)),""))</f>
        <v/>
      </c>
      <c r="E921" s="12">
        <f>IF($A921="","",IFERROR(INDEX(土地清冊_匯入!$Q$6:$Q$1005,MATCH($A921,土地清冊_匯入!$A$6:$A$1005,0)),""))</f>
        <v/>
      </c>
      <c r="F921" s="12">
        <f>IF($A921="","",IFERROR(INDEX(土地清冊_匯入!$R$6:$R$1005,MATCH($A921,土地清冊_匯入!$A$6:$A$1005,0)),""))</f>
        <v/>
      </c>
      <c r="G921" s="12">
        <f>IF($A921="","",IFERROR(INDEX(土地清冊_匯入!$S$6:$S$1005,MATCH($A921,土地清冊_匯入!$A$6:$A$1005,0)),""))</f>
        <v/>
      </c>
      <c r="H921" s="12">
        <f>IF($A921="","",IFERROR(INDEX(土地清冊_匯入!$T$6:$T$1005,MATCH($A921,土地清冊_匯入!$A$6:$A$1005,0)),""))</f>
        <v/>
      </c>
      <c r="I921" s="12">
        <f>IF($A921="","",IFERROR(INDEX(土地清冊_匯入!$V$6:$V$1005,MATCH($A921,土地清冊_匯入!$A$6:$A$1005,0)),""))</f>
        <v/>
      </c>
      <c r="J921" s="14" t="n"/>
      <c r="K921" s="7" t="n"/>
      <c r="L921" s="7" t="n"/>
      <c r="M921" s="7" t="n"/>
      <c r="N921" s="7" t="n"/>
      <c r="O921" s="7" t="n"/>
      <c r="P921" s="7" t="n"/>
      <c r="Q921" s="14" t="n"/>
      <c r="R921" s="7" t="n"/>
      <c r="S921" s="7" t="n"/>
      <c r="T921" s="7" t="n"/>
      <c r="U921" s="12">
        <f>IF(A921="","",IF(OR(J921="",L921=""),"建議補聯絡紀錄","") )</f>
        <v/>
      </c>
    </row>
    <row r="922" ht="24" customHeight="1">
      <c r="A922" s="7" t="n"/>
      <c r="B922" s="7" t="n"/>
      <c r="C922" s="12">
        <f>IF($A922="","",IFERROR(INDEX(土地清冊_匯入!$B$6:$B$1005,MATCH($A922,土地清冊_匯入!$A$6:$A$1005,0)),"查無資料"))</f>
        <v/>
      </c>
      <c r="D922" s="12">
        <f>IF($A922="","",IFERROR(INDEX(土地清冊_匯入!$P$6:$P$1005,MATCH($A922,土地清冊_匯入!$A$6:$A$1005,0)),""))</f>
        <v/>
      </c>
      <c r="E922" s="12">
        <f>IF($A922="","",IFERROR(INDEX(土地清冊_匯入!$Q$6:$Q$1005,MATCH($A922,土地清冊_匯入!$A$6:$A$1005,0)),""))</f>
        <v/>
      </c>
      <c r="F922" s="12">
        <f>IF($A922="","",IFERROR(INDEX(土地清冊_匯入!$R$6:$R$1005,MATCH($A922,土地清冊_匯入!$A$6:$A$1005,0)),""))</f>
        <v/>
      </c>
      <c r="G922" s="12">
        <f>IF($A922="","",IFERROR(INDEX(土地清冊_匯入!$S$6:$S$1005,MATCH($A922,土地清冊_匯入!$A$6:$A$1005,0)),""))</f>
        <v/>
      </c>
      <c r="H922" s="12">
        <f>IF($A922="","",IFERROR(INDEX(土地清冊_匯入!$T$6:$T$1005,MATCH($A922,土地清冊_匯入!$A$6:$A$1005,0)),""))</f>
        <v/>
      </c>
      <c r="I922" s="12">
        <f>IF($A922="","",IFERROR(INDEX(土地清冊_匯入!$V$6:$V$1005,MATCH($A922,土地清冊_匯入!$A$6:$A$1005,0)),""))</f>
        <v/>
      </c>
      <c r="J922" s="14" t="n"/>
      <c r="K922" s="7" t="n"/>
      <c r="L922" s="7" t="n"/>
      <c r="M922" s="7" t="n"/>
      <c r="N922" s="7" t="n"/>
      <c r="O922" s="7" t="n"/>
      <c r="P922" s="7" t="n"/>
      <c r="Q922" s="14" t="n"/>
      <c r="R922" s="7" t="n"/>
      <c r="S922" s="7" t="n"/>
      <c r="T922" s="7" t="n"/>
      <c r="U922" s="12">
        <f>IF(A922="","",IF(OR(J922="",L922=""),"建議補聯絡紀錄","") )</f>
        <v/>
      </c>
    </row>
    <row r="923" ht="24" customHeight="1">
      <c r="A923" s="7" t="n"/>
      <c r="B923" s="7" t="n"/>
      <c r="C923" s="12">
        <f>IF($A923="","",IFERROR(INDEX(土地清冊_匯入!$B$6:$B$1005,MATCH($A923,土地清冊_匯入!$A$6:$A$1005,0)),"查無資料"))</f>
        <v/>
      </c>
      <c r="D923" s="12">
        <f>IF($A923="","",IFERROR(INDEX(土地清冊_匯入!$P$6:$P$1005,MATCH($A923,土地清冊_匯入!$A$6:$A$1005,0)),""))</f>
        <v/>
      </c>
      <c r="E923" s="12">
        <f>IF($A923="","",IFERROR(INDEX(土地清冊_匯入!$Q$6:$Q$1005,MATCH($A923,土地清冊_匯入!$A$6:$A$1005,0)),""))</f>
        <v/>
      </c>
      <c r="F923" s="12">
        <f>IF($A923="","",IFERROR(INDEX(土地清冊_匯入!$R$6:$R$1005,MATCH($A923,土地清冊_匯入!$A$6:$A$1005,0)),""))</f>
        <v/>
      </c>
      <c r="G923" s="12">
        <f>IF($A923="","",IFERROR(INDEX(土地清冊_匯入!$S$6:$S$1005,MATCH($A923,土地清冊_匯入!$A$6:$A$1005,0)),""))</f>
        <v/>
      </c>
      <c r="H923" s="12">
        <f>IF($A923="","",IFERROR(INDEX(土地清冊_匯入!$T$6:$T$1005,MATCH($A923,土地清冊_匯入!$A$6:$A$1005,0)),""))</f>
        <v/>
      </c>
      <c r="I923" s="12">
        <f>IF($A923="","",IFERROR(INDEX(土地清冊_匯入!$V$6:$V$1005,MATCH($A923,土地清冊_匯入!$A$6:$A$1005,0)),""))</f>
        <v/>
      </c>
      <c r="J923" s="14" t="n"/>
      <c r="K923" s="7" t="n"/>
      <c r="L923" s="7" t="n"/>
      <c r="M923" s="7" t="n"/>
      <c r="N923" s="7" t="n"/>
      <c r="O923" s="7" t="n"/>
      <c r="P923" s="7" t="n"/>
      <c r="Q923" s="14" t="n"/>
      <c r="R923" s="7" t="n"/>
      <c r="S923" s="7" t="n"/>
      <c r="T923" s="7" t="n"/>
      <c r="U923" s="12">
        <f>IF(A923="","",IF(OR(J923="",L923=""),"建議補聯絡紀錄","") )</f>
        <v/>
      </c>
    </row>
    <row r="924" ht="24" customHeight="1">
      <c r="A924" s="7" t="n"/>
      <c r="B924" s="7" t="n"/>
      <c r="C924" s="12">
        <f>IF($A924="","",IFERROR(INDEX(土地清冊_匯入!$B$6:$B$1005,MATCH($A924,土地清冊_匯入!$A$6:$A$1005,0)),"查無資料"))</f>
        <v/>
      </c>
      <c r="D924" s="12">
        <f>IF($A924="","",IFERROR(INDEX(土地清冊_匯入!$P$6:$P$1005,MATCH($A924,土地清冊_匯入!$A$6:$A$1005,0)),""))</f>
        <v/>
      </c>
      <c r="E924" s="12">
        <f>IF($A924="","",IFERROR(INDEX(土地清冊_匯入!$Q$6:$Q$1005,MATCH($A924,土地清冊_匯入!$A$6:$A$1005,0)),""))</f>
        <v/>
      </c>
      <c r="F924" s="12">
        <f>IF($A924="","",IFERROR(INDEX(土地清冊_匯入!$R$6:$R$1005,MATCH($A924,土地清冊_匯入!$A$6:$A$1005,0)),""))</f>
        <v/>
      </c>
      <c r="G924" s="12">
        <f>IF($A924="","",IFERROR(INDEX(土地清冊_匯入!$S$6:$S$1005,MATCH($A924,土地清冊_匯入!$A$6:$A$1005,0)),""))</f>
        <v/>
      </c>
      <c r="H924" s="12">
        <f>IF($A924="","",IFERROR(INDEX(土地清冊_匯入!$T$6:$T$1005,MATCH($A924,土地清冊_匯入!$A$6:$A$1005,0)),""))</f>
        <v/>
      </c>
      <c r="I924" s="12">
        <f>IF($A924="","",IFERROR(INDEX(土地清冊_匯入!$V$6:$V$1005,MATCH($A924,土地清冊_匯入!$A$6:$A$1005,0)),""))</f>
        <v/>
      </c>
      <c r="J924" s="14" t="n"/>
      <c r="K924" s="7" t="n"/>
      <c r="L924" s="7" t="n"/>
      <c r="M924" s="7" t="n"/>
      <c r="N924" s="7" t="n"/>
      <c r="O924" s="7" t="n"/>
      <c r="P924" s="7" t="n"/>
      <c r="Q924" s="14" t="n"/>
      <c r="R924" s="7" t="n"/>
      <c r="S924" s="7" t="n"/>
      <c r="T924" s="7" t="n"/>
      <c r="U924" s="12">
        <f>IF(A924="","",IF(OR(J924="",L924=""),"建議補聯絡紀錄","") )</f>
        <v/>
      </c>
    </row>
    <row r="925" ht="24" customHeight="1">
      <c r="A925" s="7" t="n"/>
      <c r="B925" s="7" t="n"/>
      <c r="C925" s="12">
        <f>IF($A925="","",IFERROR(INDEX(土地清冊_匯入!$B$6:$B$1005,MATCH($A925,土地清冊_匯入!$A$6:$A$1005,0)),"查無資料"))</f>
        <v/>
      </c>
      <c r="D925" s="12">
        <f>IF($A925="","",IFERROR(INDEX(土地清冊_匯入!$P$6:$P$1005,MATCH($A925,土地清冊_匯入!$A$6:$A$1005,0)),""))</f>
        <v/>
      </c>
      <c r="E925" s="12">
        <f>IF($A925="","",IFERROR(INDEX(土地清冊_匯入!$Q$6:$Q$1005,MATCH($A925,土地清冊_匯入!$A$6:$A$1005,0)),""))</f>
        <v/>
      </c>
      <c r="F925" s="12">
        <f>IF($A925="","",IFERROR(INDEX(土地清冊_匯入!$R$6:$R$1005,MATCH($A925,土地清冊_匯入!$A$6:$A$1005,0)),""))</f>
        <v/>
      </c>
      <c r="G925" s="12">
        <f>IF($A925="","",IFERROR(INDEX(土地清冊_匯入!$S$6:$S$1005,MATCH($A925,土地清冊_匯入!$A$6:$A$1005,0)),""))</f>
        <v/>
      </c>
      <c r="H925" s="12">
        <f>IF($A925="","",IFERROR(INDEX(土地清冊_匯入!$T$6:$T$1005,MATCH($A925,土地清冊_匯入!$A$6:$A$1005,0)),""))</f>
        <v/>
      </c>
      <c r="I925" s="12">
        <f>IF($A925="","",IFERROR(INDEX(土地清冊_匯入!$V$6:$V$1005,MATCH($A925,土地清冊_匯入!$A$6:$A$1005,0)),""))</f>
        <v/>
      </c>
      <c r="J925" s="14" t="n"/>
      <c r="K925" s="7" t="n"/>
      <c r="L925" s="7" t="n"/>
      <c r="M925" s="7" t="n"/>
      <c r="N925" s="7" t="n"/>
      <c r="O925" s="7" t="n"/>
      <c r="P925" s="7" t="n"/>
      <c r="Q925" s="14" t="n"/>
      <c r="R925" s="7" t="n"/>
      <c r="S925" s="7" t="n"/>
      <c r="T925" s="7" t="n"/>
      <c r="U925" s="12">
        <f>IF(A925="","",IF(OR(J925="",L925=""),"建議補聯絡紀錄","") )</f>
        <v/>
      </c>
    </row>
    <row r="926" ht="24" customHeight="1">
      <c r="A926" s="7" t="n"/>
      <c r="B926" s="7" t="n"/>
      <c r="C926" s="12">
        <f>IF($A926="","",IFERROR(INDEX(土地清冊_匯入!$B$6:$B$1005,MATCH($A926,土地清冊_匯入!$A$6:$A$1005,0)),"查無資料"))</f>
        <v/>
      </c>
      <c r="D926" s="12">
        <f>IF($A926="","",IFERROR(INDEX(土地清冊_匯入!$P$6:$P$1005,MATCH($A926,土地清冊_匯入!$A$6:$A$1005,0)),""))</f>
        <v/>
      </c>
      <c r="E926" s="12">
        <f>IF($A926="","",IFERROR(INDEX(土地清冊_匯入!$Q$6:$Q$1005,MATCH($A926,土地清冊_匯入!$A$6:$A$1005,0)),""))</f>
        <v/>
      </c>
      <c r="F926" s="12">
        <f>IF($A926="","",IFERROR(INDEX(土地清冊_匯入!$R$6:$R$1005,MATCH($A926,土地清冊_匯入!$A$6:$A$1005,0)),""))</f>
        <v/>
      </c>
      <c r="G926" s="12">
        <f>IF($A926="","",IFERROR(INDEX(土地清冊_匯入!$S$6:$S$1005,MATCH($A926,土地清冊_匯入!$A$6:$A$1005,0)),""))</f>
        <v/>
      </c>
      <c r="H926" s="12">
        <f>IF($A926="","",IFERROR(INDEX(土地清冊_匯入!$T$6:$T$1005,MATCH($A926,土地清冊_匯入!$A$6:$A$1005,0)),""))</f>
        <v/>
      </c>
      <c r="I926" s="12">
        <f>IF($A926="","",IFERROR(INDEX(土地清冊_匯入!$V$6:$V$1005,MATCH($A926,土地清冊_匯入!$A$6:$A$1005,0)),""))</f>
        <v/>
      </c>
      <c r="J926" s="14" t="n"/>
      <c r="K926" s="7" t="n"/>
      <c r="L926" s="7" t="n"/>
      <c r="M926" s="7" t="n"/>
      <c r="N926" s="7" t="n"/>
      <c r="O926" s="7" t="n"/>
      <c r="P926" s="7" t="n"/>
      <c r="Q926" s="14" t="n"/>
      <c r="R926" s="7" t="n"/>
      <c r="S926" s="7" t="n"/>
      <c r="T926" s="7" t="n"/>
      <c r="U926" s="12">
        <f>IF(A926="","",IF(OR(J926="",L926=""),"建議補聯絡紀錄","") )</f>
        <v/>
      </c>
    </row>
    <row r="927" ht="24" customHeight="1">
      <c r="A927" s="7" t="n"/>
      <c r="B927" s="7" t="n"/>
      <c r="C927" s="12">
        <f>IF($A927="","",IFERROR(INDEX(土地清冊_匯入!$B$6:$B$1005,MATCH($A927,土地清冊_匯入!$A$6:$A$1005,0)),"查無資料"))</f>
        <v/>
      </c>
      <c r="D927" s="12">
        <f>IF($A927="","",IFERROR(INDEX(土地清冊_匯入!$P$6:$P$1005,MATCH($A927,土地清冊_匯入!$A$6:$A$1005,0)),""))</f>
        <v/>
      </c>
      <c r="E927" s="12">
        <f>IF($A927="","",IFERROR(INDEX(土地清冊_匯入!$Q$6:$Q$1005,MATCH($A927,土地清冊_匯入!$A$6:$A$1005,0)),""))</f>
        <v/>
      </c>
      <c r="F927" s="12">
        <f>IF($A927="","",IFERROR(INDEX(土地清冊_匯入!$R$6:$R$1005,MATCH($A927,土地清冊_匯入!$A$6:$A$1005,0)),""))</f>
        <v/>
      </c>
      <c r="G927" s="12">
        <f>IF($A927="","",IFERROR(INDEX(土地清冊_匯入!$S$6:$S$1005,MATCH($A927,土地清冊_匯入!$A$6:$A$1005,0)),""))</f>
        <v/>
      </c>
      <c r="H927" s="12">
        <f>IF($A927="","",IFERROR(INDEX(土地清冊_匯入!$T$6:$T$1005,MATCH($A927,土地清冊_匯入!$A$6:$A$1005,0)),""))</f>
        <v/>
      </c>
      <c r="I927" s="12">
        <f>IF($A927="","",IFERROR(INDEX(土地清冊_匯入!$V$6:$V$1005,MATCH($A927,土地清冊_匯入!$A$6:$A$1005,0)),""))</f>
        <v/>
      </c>
      <c r="J927" s="14" t="n"/>
      <c r="K927" s="7" t="n"/>
      <c r="L927" s="7" t="n"/>
      <c r="M927" s="7" t="n"/>
      <c r="N927" s="7" t="n"/>
      <c r="O927" s="7" t="n"/>
      <c r="P927" s="7" t="n"/>
      <c r="Q927" s="14" t="n"/>
      <c r="R927" s="7" t="n"/>
      <c r="S927" s="7" t="n"/>
      <c r="T927" s="7" t="n"/>
      <c r="U927" s="12">
        <f>IF(A927="","",IF(OR(J927="",L927=""),"建議補聯絡紀錄","") )</f>
        <v/>
      </c>
    </row>
    <row r="928" ht="24" customHeight="1">
      <c r="A928" s="7" t="n"/>
      <c r="B928" s="7" t="n"/>
      <c r="C928" s="12">
        <f>IF($A928="","",IFERROR(INDEX(土地清冊_匯入!$B$6:$B$1005,MATCH($A928,土地清冊_匯入!$A$6:$A$1005,0)),"查無資料"))</f>
        <v/>
      </c>
      <c r="D928" s="12">
        <f>IF($A928="","",IFERROR(INDEX(土地清冊_匯入!$P$6:$P$1005,MATCH($A928,土地清冊_匯入!$A$6:$A$1005,0)),""))</f>
        <v/>
      </c>
      <c r="E928" s="12">
        <f>IF($A928="","",IFERROR(INDEX(土地清冊_匯入!$Q$6:$Q$1005,MATCH($A928,土地清冊_匯入!$A$6:$A$1005,0)),""))</f>
        <v/>
      </c>
      <c r="F928" s="12">
        <f>IF($A928="","",IFERROR(INDEX(土地清冊_匯入!$R$6:$R$1005,MATCH($A928,土地清冊_匯入!$A$6:$A$1005,0)),""))</f>
        <v/>
      </c>
      <c r="G928" s="12">
        <f>IF($A928="","",IFERROR(INDEX(土地清冊_匯入!$S$6:$S$1005,MATCH($A928,土地清冊_匯入!$A$6:$A$1005,0)),""))</f>
        <v/>
      </c>
      <c r="H928" s="12">
        <f>IF($A928="","",IFERROR(INDEX(土地清冊_匯入!$T$6:$T$1005,MATCH($A928,土地清冊_匯入!$A$6:$A$1005,0)),""))</f>
        <v/>
      </c>
      <c r="I928" s="12">
        <f>IF($A928="","",IFERROR(INDEX(土地清冊_匯入!$V$6:$V$1005,MATCH($A928,土地清冊_匯入!$A$6:$A$1005,0)),""))</f>
        <v/>
      </c>
      <c r="J928" s="14" t="n"/>
      <c r="K928" s="7" t="n"/>
      <c r="L928" s="7" t="n"/>
      <c r="M928" s="7" t="n"/>
      <c r="N928" s="7" t="n"/>
      <c r="O928" s="7" t="n"/>
      <c r="P928" s="7" t="n"/>
      <c r="Q928" s="14" t="n"/>
      <c r="R928" s="7" t="n"/>
      <c r="S928" s="7" t="n"/>
      <c r="T928" s="7" t="n"/>
      <c r="U928" s="12">
        <f>IF(A928="","",IF(OR(J928="",L928=""),"建議補聯絡紀錄","") )</f>
        <v/>
      </c>
    </row>
    <row r="929" ht="24" customHeight="1">
      <c r="A929" s="7" t="n"/>
      <c r="B929" s="7" t="n"/>
      <c r="C929" s="12">
        <f>IF($A929="","",IFERROR(INDEX(土地清冊_匯入!$B$6:$B$1005,MATCH($A929,土地清冊_匯入!$A$6:$A$1005,0)),"查無資料"))</f>
        <v/>
      </c>
      <c r="D929" s="12">
        <f>IF($A929="","",IFERROR(INDEX(土地清冊_匯入!$P$6:$P$1005,MATCH($A929,土地清冊_匯入!$A$6:$A$1005,0)),""))</f>
        <v/>
      </c>
      <c r="E929" s="12">
        <f>IF($A929="","",IFERROR(INDEX(土地清冊_匯入!$Q$6:$Q$1005,MATCH($A929,土地清冊_匯入!$A$6:$A$1005,0)),""))</f>
        <v/>
      </c>
      <c r="F929" s="12">
        <f>IF($A929="","",IFERROR(INDEX(土地清冊_匯入!$R$6:$R$1005,MATCH($A929,土地清冊_匯入!$A$6:$A$1005,0)),""))</f>
        <v/>
      </c>
      <c r="G929" s="12">
        <f>IF($A929="","",IFERROR(INDEX(土地清冊_匯入!$S$6:$S$1005,MATCH($A929,土地清冊_匯入!$A$6:$A$1005,0)),""))</f>
        <v/>
      </c>
      <c r="H929" s="12">
        <f>IF($A929="","",IFERROR(INDEX(土地清冊_匯入!$T$6:$T$1005,MATCH($A929,土地清冊_匯入!$A$6:$A$1005,0)),""))</f>
        <v/>
      </c>
      <c r="I929" s="12">
        <f>IF($A929="","",IFERROR(INDEX(土地清冊_匯入!$V$6:$V$1005,MATCH($A929,土地清冊_匯入!$A$6:$A$1005,0)),""))</f>
        <v/>
      </c>
      <c r="J929" s="14" t="n"/>
      <c r="K929" s="7" t="n"/>
      <c r="L929" s="7" t="n"/>
      <c r="M929" s="7" t="n"/>
      <c r="N929" s="7" t="n"/>
      <c r="O929" s="7" t="n"/>
      <c r="P929" s="7" t="n"/>
      <c r="Q929" s="14" t="n"/>
      <c r="R929" s="7" t="n"/>
      <c r="S929" s="7" t="n"/>
      <c r="T929" s="7" t="n"/>
      <c r="U929" s="12">
        <f>IF(A929="","",IF(OR(J929="",L929=""),"建議補聯絡紀錄","") )</f>
        <v/>
      </c>
    </row>
    <row r="930" ht="24" customHeight="1">
      <c r="A930" s="7" t="n"/>
      <c r="B930" s="7" t="n"/>
      <c r="C930" s="12">
        <f>IF($A930="","",IFERROR(INDEX(土地清冊_匯入!$B$6:$B$1005,MATCH($A930,土地清冊_匯入!$A$6:$A$1005,0)),"查無資料"))</f>
        <v/>
      </c>
      <c r="D930" s="12">
        <f>IF($A930="","",IFERROR(INDEX(土地清冊_匯入!$P$6:$P$1005,MATCH($A930,土地清冊_匯入!$A$6:$A$1005,0)),""))</f>
        <v/>
      </c>
      <c r="E930" s="12">
        <f>IF($A930="","",IFERROR(INDEX(土地清冊_匯入!$Q$6:$Q$1005,MATCH($A930,土地清冊_匯入!$A$6:$A$1005,0)),""))</f>
        <v/>
      </c>
      <c r="F930" s="12">
        <f>IF($A930="","",IFERROR(INDEX(土地清冊_匯入!$R$6:$R$1005,MATCH($A930,土地清冊_匯入!$A$6:$A$1005,0)),""))</f>
        <v/>
      </c>
      <c r="G930" s="12">
        <f>IF($A930="","",IFERROR(INDEX(土地清冊_匯入!$S$6:$S$1005,MATCH($A930,土地清冊_匯入!$A$6:$A$1005,0)),""))</f>
        <v/>
      </c>
      <c r="H930" s="12">
        <f>IF($A930="","",IFERROR(INDEX(土地清冊_匯入!$T$6:$T$1005,MATCH($A930,土地清冊_匯入!$A$6:$A$1005,0)),""))</f>
        <v/>
      </c>
      <c r="I930" s="12">
        <f>IF($A930="","",IFERROR(INDEX(土地清冊_匯入!$V$6:$V$1005,MATCH($A930,土地清冊_匯入!$A$6:$A$1005,0)),""))</f>
        <v/>
      </c>
      <c r="J930" s="14" t="n"/>
      <c r="K930" s="7" t="n"/>
      <c r="L930" s="7" t="n"/>
      <c r="M930" s="7" t="n"/>
      <c r="N930" s="7" t="n"/>
      <c r="O930" s="7" t="n"/>
      <c r="P930" s="7" t="n"/>
      <c r="Q930" s="14" t="n"/>
      <c r="R930" s="7" t="n"/>
      <c r="S930" s="7" t="n"/>
      <c r="T930" s="7" t="n"/>
      <c r="U930" s="12">
        <f>IF(A930="","",IF(OR(J930="",L930=""),"建議補聯絡紀錄","") )</f>
        <v/>
      </c>
    </row>
    <row r="931" ht="24" customHeight="1">
      <c r="A931" s="7" t="n"/>
      <c r="B931" s="7" t="n"/>
      <c r="C931" s="12">
        <f>IF($A931="","",IFERROR(INDEX(土地清冊_匯入!$B$6:$B$1005,MATCH($A931,土地清冊_匯入!$A$6:$A$1005,0)),"查無資料"))</f>
        <v/>
      </c>
      <c r="D931" s="12">
        <f>IF($A931="","",IFERROR(INDEX(土地清冊_匯入!$P$6:$P$1005,MATCH($A931,土地清冊_匯入!$A$6:$A$1005,0)),""))</f>
        <v/>
      </c>
      <c r="E931" s="12">
        <f>IF($A931="","",IFERROR(INDEX(土地清冊_匯入!$Q$6:$Q$1005,MATCH($A931,土地清冊_匯入!$A$6:$A$1005,0)),""))</f>
        <v/>
      </c>
      <c r="F931" s="12">
        <f>IF($A931="","",IFERROR(INDEX(土地清冊_匯入!$R$6:$R$1005,MATCH($A931,土地清冊_匯入!$A$6:$A$1005,0)),""))</f>
        <v/>
      </c>
      <c r="G931" s="12">
        <f>IF($A931="","",IFERROR(INDEX(土地清冊_匯入!$S$6:$S$1005,MATCH($A931,土地清冊_匯入!$A$6:$A$1005,0)),""))</f>
        <v/>
      </c>
      <c r="H931" s="12">
        <f>IF($A931="","",IFERROR(INDEX(土地清冊_匯入!$T$6:$T$1005,MATCH($A931,土地清冊_匯入!$A$6:$A$1005,0)),""))</f>
        <v/>
      </c>
      <c r="I931" s="12">
        <f>IF($A931="","",IFERROR(INDEX(土地清冊_匯入!$V$6:$V$1005,MATCH($A931,土地清冊_匯入!$A$6:$A$1005,0)),""))</f>
        <v/>
      </c>
      <c r="J931" s="14" t="n"/>
      <c r="K931" s="7" t="n"/>
      <c r="L931" s="7" t="n"/>
      <c r="M931" s="7" t="n"/>
      <c r="N931" s="7" t="n"/>
      <c r="O931" s="7" t="n"/>
      <c r="P931" s="7" t="n"/>
      <c r="Q931" s="14" t="n"/>
      <c r="R931" s="7" t="n"/>
      <c r="S931" s="7" t="n"/>
      <c r="T931" s="7" t="n"/>
      <c r="U931" s="12">
        <f>IF(A931="","",IF(OR(J931="",L931=""),"建議補聯絡紀錄","") )</f>
        <v/>
      </c>
    </row>
    <row r="932" ht="24" customHeight="1">
      <c r="A932" s="7" t="n"/>
      <c r="B932" s="7" t="n"/>
      <c r="C932" s="12">
        <f>IF($A932="","",IFERROR(INDEX(土地清冊_匯入!$B$6:$B$1005,MATCH($A932,土地清冊_匯入!$A$6:$A$1005,0)),"查無資料"))</f>
        <v/>
      </c>
      <c r="D932" s="12">
        <f>IF($A932="","",IFERROR(INDEX(土地清冊_匯入!$P$6:$P$1005,MATCH($A932,土地清冊_匯入!$A$6:$A$1005,0)),""))</f>
        <v/>
      </c>
      <c r="E932" s="12">
        <f>IF($A932="","",IFERROR(INDEX(土地清冊_匯入!$Q$6:$Q$1005,MATCH($A932,土地清冊_匯入!$A$6:$A$1005,0)),""))</f>
        <v/>
      </c>
      <c r="F932" s="12">
        <f>IF($A932="","",IFERROR(INDEX(土地清冊_匯入!$R$6:$R$1005,MATCH($A932,土地清冊_匯入!$A$6:$A$1005,0)),""))</f>
        <v/>
      </c>
      <c r="G932" s="12">
        <f>IF($A932="","",IFERROR(INDEX(土地清冊_匯入!$S$6:$S$1005,MATCH($A932,土地清冊_匯入!$A$6:$A$1005,0)),""))</f>
        <v/>
      </c>
      <c r="H932" s="12">
        <f>IF($A932="","",IFERROR(INDEX(土地清冊_匯入!$T$6:$T$1005,MATCH($A932,土地清冊_匯入!$A$6:$A$1005,0)),""))</f>
        <v/>
      </c>
      <c r="I932" s="12">
        <f>IF($A932="","",IFERROR(INDEX(土地清冊_匯入!$V$6:$V$1005,MATCH($A932,土地清冊_匯入!$A$6:$A$1005,0)),""))</f>
        <v/>
      </c>
      <c r="J932" s="14" t="n"/>
      <c r="K932" s="7" t="n"/>
      <c r="L932" s="7" t="n"/>
      <c r="M932" s="7" t="n"/>
      <c r="N932" s="7" t="n"/>
      <c r="O932" s="7" t="n"/>
      <c r="P932" s="7" t="n"/>
      <c r="Q932" s="14" t="n"/>
      <c r="R932" s="7" t="n"/>
      <c r="S932" s="7" t="n"/>
      <c r="T932" s="7" t="n"/>
      <c r="U932" s="12">
        <f>IF(A932="","",IF(OR(J932="",L932=""),"建議補聯絡紀錄","") )</f>
        <v/>
      </c>
    </row>
    <row r="933" ht="24" customHeight="1">
      <c r="A933" s="7" t="n"/>
      <c r="B933" s="7" t="n"/>
      <c r="C933" s="12">
        <f>IF($A933="","",IFERROR(INDEX(土地清冊_匯入!$B$6:$B$1005,MATCH($A933,土地清冊_匯入!$A$6:$A$1005,0)),"查無資料"))</f>
        <v/>
      </c>
      <c r="D933" s="12">
        <f>IF($A933="","",IFERROR(INDEX(土地清冊_匯入!$P$6:$P$1005,MATCH($A933,土地清冊_匯入!$A$6:$A$1005,0)),""))</f>
        <v/>
      </c>
      <c r="E933" s="12">
        <f>IF($A933="","",IFERROR(INDEX(土地清冊_匯入!$Q$6:$Q$1005,MATCH($A933,土地清冊_匯入!$A$6:$A$1005,0)),""))</f>
        <v/>
      </c>
      <c r="F933" s="12">
        <f>IF($A933="","",IFERROR(INDEX(土地清冊_匯入!$R$6:$R$1005,MATCH($A933,土地清冊_匯入!$A$6:$A$1005,0)),""))</f>
        <v/>
      </c>
      <c r="G933" s="12">
        <f>IF($A933="","",IFERROR(INDEX(土地清冊_匯入!$S$6:$S$1005,MATCH($A933,土地清冊_匯入!$A$6:$A$1005,0)),""))</f>
        <v/>
      </c>
      <c r="H933" s="12">
        <f>IF($A933="","",IFERROR(INDEX(土地清冊_匯入!$T$6:$T$1005,MATCH($A933,土地清冊_匯入!$A$6:$A$1005,0)),""))</f>
        <v/>
      </c>
      <c r="I933" s="12">
        <f>IF($A933="","",IFERROR(INDEX(土地清冊_匯入!$V$6:$V$1005,MATCH($A933,土地清冊_匯入!$A$6:$A$1005,0)),""))</f>
        <v/>
      </c>
      <c r="J933" s="14" t="n"/>
      <c r="K933" s="7" t="n"/>
      <c r="L933" s="7" t="n"/>
      <c r="M933" s="7" t="n"/>
      <c r="N933" s="7" t="n"/>
      <c r="O933" s="7" t="n"/>
      <c r="P933" s="7" t="n"/>
      <c r="Q933" s="14" t="n"/>
      <c r="R933" s="7" t="n"/>
      <c r="S933" s="7" t="n"/>
      <c r="T933" s="7" t="n"/>
      <c r="U933" s="12">
        <f>IF(A933="","",IF(OR(J933="",L933=""),"建議補聯絡紀錄","") )</f>
        <v/>
      </c>
    </row>
    <row r="934" ht="24" customHeight="1">
      <c r="A934" s="7" t="n"/>
      <c r="B934" s="7" t="n"/>
      <c r="C934" s="12">
        <f>IF($A934="","",IFERROR(INDEX(土地清冊_匯入!$B$6:$B$1005,MATCH($A934,土地清冊_匯入!$A$6:$A$1005,0)),"查無資料"))</f>
        <v/>
      </c>
      <c r="D934" s="12">
        <f>IF($A934="","",IFERROR(INDEX(土地清冊_匯入!$P$6:$P$1005,MATCH($A934,土地清冊_匯入!$A$6:$A$1005,0)),""))</f>
        <v/>
      </c>
      <c r="E934" s="12">
        <f>IF($A934="","",IFERROR(INDEX(土地清冊_匯入!$Q$6:$Q$1005,MATCH($A934,土地清冊_匯入!$A$6:$A$1005,0)),""))</f>
        <v/>
      </c>
      <c r="F934" s="12">
        <f>IF($A934="","",IFERROR(INDEX(土地清冊_匯入!$R$6:$R$1005,MATCH($A934,土地清冊_匯入!$A$6:$A$1005,0)),""))</f>
        <v/>
      </c>
      <c r="G934" s="12">
        <f>IF($A934="","",IFERROR(INDEX(土地清冊_匯入!$S$6:$S$1005,MATCH($A934,土地清冊_匯入!$A$6:$A$1005,0)),""))</f>
        <v/>
      </c>
      <c r="H934" s="12">
        <f>IF($A934="","",IFERROR(INDEX(土地清冊_匯入!$T$6:$T$1005,MATCH($A934,土地清冊_匯入!$A$6:$A$1005,0)),""))</f>
        <v/>
      </c>
      <c r="I934" s="12">
        <f>IF($A934="","",IFERROR(INDEX(土地清冊_匯入!$V$6:$V$1005,MATCH($A934,土地清冊_匯入!$A$6:$A$1005,0)),""))</f>
        <v/>
      </c>
      <c r="J934" s="14" t="n"/>
      <c r="K934" s="7" t="n"/>
      <c r="L934" s="7" t="n"/>
      <c r="M934" s="7" t="n"/>
      <c r="N934" s="7" t="n"/>
      <c r="O934" s="7" t="n"/>
      <c r="P934" s="7" t="n"/>
      <c r="Q934" s="14" t="n"/>
      <c r="R934" s="7" t="n"/>
      <c r="S934" s="7" t="n"/>
      <c r="T934" s="7" t="n"/>
      <c r="U934" s="12">
        <f>IF(A934="","",IF(OR(J934="",L934=""),"建議補聯絡紀錄","") )</f>
        <v/>
      </c>
    </row>
    <row r="935" ht="24" customHeight="1">
      <c r="A935" s="7" t="n"/>
      <c r="B935" s="7" t="n"/>
      <c r="C935" s="12">
        <f>IF($A935="","",IFERROR(INDEX(土地清冊_匯入!$B$6:$B$1005,MATCH($A935,土地清冊_匯入!$A$6:$A$1005,0)),"查無資料"))</f>
        <v/>
      </c>
      <c r="D935" s="12">
        <f>IF($A935="","",IFERROR(INDEX(土地清冊_匯入!$P$6:$P$1005,MATCH($A935,土地清冊_匯入!$A$6:$A$1005,0)),""))</f>
        <v/>
      </c>
      <c r="E935" s="12">
        <f>IF($A935="","",IFERROR(INDEX(土地清冊_匯入!$Q$6:$Q$1005,MATCH($A935,土地清冊_匯入!$A$6:$A$1005,0)),""))</f>
        <v/>
      </c>
      <c r="F935" s="12">
        <f>IF($A935="","",IFERROR(INDEX(土地清冊_匯入!$R$6:$R$1005,MATCH($A935,土地清冊_匯入!$A$6:$A$1005,0)),""))</f>
        <v/>
      </c>
      <c r="G935" s="12">
        <f>IF($A935="","",IFERROR(INDEX(土地清冊_匯入!$S$6:$S$1005,MATCH($A935,土地清冊_匯入!$A$6:$A$1005,0)),""))</f>
        <v/>
      </c>
      <c r="H935" s="12">
        <f>IF($A935="","",IFERROR(INDEX(土地清冊_匯入!$T$6:$T$1005,MATCH($A935,土地清冊_匯入!$A$6:$A$1005,0)),""))</f>
        <v/>
      </c>
      <c r="I935" s="12">
        <f>IF($A935="","",IFERROR(INDEX(土地清冊_匯入!$V$6:$V$1005,MATCH($A935,土地清冊_匯入!$A$6:$A$1005,0)),""))</f>
        <v/>
      </c>
      <c r="J935" s="14" t="n"/>
      <c r="K935" s="7" t="n"/>
      <c r="L935" s="7" t="n"/>
      <c r="M935" s="7" t="n"/>
      <c r="N935" s="7" t="n"/>
      <c r="O935" s="7" t="n"/>
      <c r="P935" s="7" t="n"/>
      <c r="Q935" s="14" t="n"/>
      <c r="R935" s="7" t="n"/>
      <c r="S935" s="7" t="n"/>
      <c r="T935" s="7" t="n"/>
      <c r="U935" s="12">
        <f>IF(A935="","",IF(OR(J935="",L935=""),"建議補聯絡紀錄","") )</f>
        <v/>
      </c>
    </row>
    <row r="936" ht="24" customHeight="1">
      <c r="A936" s="7" t="n"/>
      <c r="B936" s="7" t="n"/>
      <c r="C936" s="12">
        <f>IF($A936="","",IFERROR(INDEX(土地清冊_匯入!$B$6:$B$1005,MATCH($A936,土地清冊_匯入!$A$6:$A$1005,0)),"查無資料"))</f>
        <v/>
      </c>
      <c r="D936" s="12">
        <f>IF($A936="","",IFERROR(INDEX(土地清冊_匯入!$P$6:$P$1005,MATCH($A936,土地清冊_匯入!$A$6:$A$1005,0)),""))</f>
        <v/>
      </c>
      <c r="E936" s="12">
        <f>IF($A936="","",IFERROR(INDEX(土地清冊_匯入!$Q$6:$Q$1005,MATCH($A936,土地清冊_匯入!$A$6:$A$1005,0)),""))</f>
        <v/>
      </c>
      <c r="F936" s="12">
        <f>IF($A936="","",IFERROR(INDEX(土地清冊_匯入!$R$6:$R$1005,MATCH($A936,土地清冊_匯入!$A$6:$A$1005,0)),""))</f>
        <v/>
      </c>
      <c r="G936" s="12">
        <f>IF($A936="","",IFERROR(INDEX(土地清冊_匯入!$S$6:$S$1005,MATCH($A936,土地清冊_匯入!$A$6:$A$1005,0)),""))</f>
        <v/>
      </c>
      <c r="H936" s="12">
        <f>IF($A936="","",IFERROR(INDEX(土地清冊_匯入!$T$6:$T$1005,MATCH($A936,土地清冊_匯入!$A$6:$A$1005,0)),""))</f>
        <v/>
      </c>
      <c r="I936" s="12">
        <f>IF($A936="","",IFERROR(INDEX(土地清冊_匯入!$V$6:$V$1005,MATCH($A936,土地清冊_匯入!$A$6:$A$1005,0)),""))</f>
        <v/>
      </c>
      <c r="J936" s="14" t="n"/>
      <c r="K936" s="7" t="n"/>
      <c r="L936" s="7" t="n"/>
      <c r="M936" s="7" t="n"/>
      <c r="N936" s="7" t="n"/>
      <c r="O936" s="7" t="n"/>
      <c r="P936" s="7" t="n"/>
      <c r="Q936" s="14" t="n"/>
      <c r="R936" s="7" t="n"/>
      <c r="S936" s="7" t="n"/>
      <c r="T936" s="7" t="n"/>
      <c r="U936" s="12">
        <f>IF(A936="","",IF(OR(J936="",L936=""),"建議補聯絡紀錄","") )</f>
        <v/>
      </c>
    </row>
    <row r="937" ht="24" customHeight="1">
      <c r="A937" s="7" t="n"/>
      <c r="B937" s="7" t="n"/>
      <c r="C937" s="12">
        <f>IF($A937="","",IFERROR(INDEX(土地清冊_匯入!$B$6:$B$1005,MATCH($A937,土地清冊_匯入!$A$6:$A$1005,0)),"查無資料"))</f>
        <v/>
      </c>
      <c r="D937" s="12">
        <f>IF($A937="","",IFERROR(INDEX(土地清冊_匯入!$P$6:$P$1005,MATCH($A937,土地清冊_匯入!$A$6:$A$1005,0)),""))</f>
        <v/>
      </c>
      <c r="E937" s="12">
        <f>IF($A937="","",IFERROR(INDEX(土地清冊_匯入!$Q$6:$Q$1005,MATCH($A937,土地清冊_匯入!$A$6:$A$1005,0)),""))</f>
        <v/>
      </c>
      <c r="F937" s="12">
        <f>IF($A937="","",IFERROR(INDEX(土地清冊_匯入!$R$6:$R$1005,MATCH($A937,土地清冊_匯入!$A$6:$A$1005,0)),""))</f>
        <v/>
      </c>
      <c r="G937" s="12">
        <f>IF($A937="","",IFERROR(INDEX(土地清冊_匯入!$S$6:$S$1005,MATCH($A937,土地清冊_匯入!$A$6:$A$1005,0)),""))</f>
        <v/>
      </c>
      <c r="H937" s="12">
        <f>IF($A937="","",IFERROR(INDEX(土地清冊_匯入!$T$6:$T$1005,MATCH($A937,土地清冊_匯入!$A$6:$A$1005,0)),""))</f>
        <v/>
      </c>
      <c r="I937" s="12">
        <f>IF($A937="","",IFERROR(INDEX(土地清冊_匯入!$V$6:$V$1005,MATCH($A937,土地清冊_匯入!$A$6:$A$1005,0)),""))</f>
        <v/>
      </c>
      <c r="J937" s="14" t="n"/>
      <c r="K937" s="7" t="n"/>
      <c r="L937" s="7" t="n"/>
      <c r="M937" s="7" t="n"/>
      <c r="N937" s="7" t="n"/>
      <c r="O937" s="7" t="n"/>
      <c r="P937" s="7" t="n"/>
      <c r="Q937" s="14" t="n"/>
      <c r="R937" s="7" t="n"/>
      <c r="S937" s="7" t="n"/>
      <c r="T937" s="7" t="n"/>
      <c r="U937" s="12">
        <f>IF(A937="","",IF(OR(J937="",L937=""),"建議補聯絡紀錄","") )</f>
        <v/>
      </c>
    </row>
    <row r="938" ht="24" customHeight="1">
      <c r="A938" s="7" t="n"/>
      <c r="B938" s="7" t="n"/>
      <c r="C938" s="12">
        <f>IF($A938="","",IFERROR(INDEX(土地清冊_匯入!$B$6:$B$1005,MATCH($A938,土地清冊_匯入!$A$6:$A$1005,0)),"查無資料"))</f>
        <v/>
      </c>
      <c r="D938" s="12">
        <f>IF($A938="","",IFERROR(INDEX(土地清冊_匯入!$P$6:$P$1005,MATCH($A938,土地清冊_匯入!$A$6:$A$1005,0)),""))</f>
        <v/>
      </c>
      <c r="E938" s="12">
        <f>IF($A938="","",IFERROR(INDEX(土地清冊_匯入!$Q$6:$Q$1005,MATCH($A938,土地清冊_匯入!$A$6:$A$1005,0)),""))</f>
        <v/>
      </c>
      <c r="F938" s="12">
        <f>IF($A938="","",IFERROR(INDEX(土地清冊_匯入!$R$6:$R$1005,MATCH($A938,土地清冊_匯入!$A$6:$A$1005,0)),""))</f>
        <v/>
      </c>
      <c r="G938" s="12">
        <f>IF($A938="","",IFERROR(INDEX(土地清冊_匯入!$S$6:$S$1005,MATCH($A938,土地清冊_匯入!$A$6:$A$1005,0)),""))</f>
        <v/>
      </c>
      <c r="H938" s="12">
        <f>IF($A938="","",IFERROR(INDEX(土地清冊_匯入!$T$6:$T$1005,MATCH($A938,土地清冊_匯入!$A$6:$A$1005,0)),""))</f>
        <v/>
      </c>
      <c r="I938" s="12">
        <f>IF($A938="","",IFERROR(INDEX(土地清冊_匯入!$V$6:$V$1005,MATCH($A938,土地清冊_匯入!$A$6:$A$1005,0)),""))</f>
        <v/>
      </c>
      <c r="J938" s="14" t="n"/>
      <c r="K938" s="7" t="n"/>
      <c r="L938" s="7" t="n"/>
      <c r="M938" s="7" t="n"/>
      <c r="N938" s="7" t="n"/>
      <c r="O938" s="7" t="n"/>
      <c r="P938" s="7" t="n"/>
      <c r="Q938" s="14" t="n"/>
      <c r="R938" s="7" t="n"/>
      <c r="S938" s="7" t="n"/>
      <c r="T938" s="7" t="n"/>
      <c r="U938" s="12">
        <f>IF(A938="","",IF(OR(J938="",L938=""),"建議補聯絡紀錄","") )</f>
        <v/>
      </c>
    </row>
    <row r="939" ht="24" customHeight="1">
      <c r="A939" s="7" t="n"/>
      <c r="B939" s="7" t="n"/>
      <c r="C939" s="12">
        <f>IF($A939="","",IFERROR(INDEX(土地清冊_匯入!$B$6:$B$1005,MATCH($A939,土地清冊_匯入!$A$6:$A$1005,0)),"查無資料"))</f>
        <v/>
      </c>
      <c r="D939" s="12">
        <f>IF($A939="","",IFERROR(INDEX(土地清冊_匯入!$P$6:$P$1005,MATCH($A939,土地清冊_匯入!$A$6:$A$1005,0)),""))</f>
        <v/>
      </c>
      <c r="E939" s="12">
        <f>IF($A939="","",IFERROR(INDEX(土地清冊_匯入!$Q$6:$Q$1005,MATCH($A939,土地清冊_匯入!$A$6:$A$1005,0)),""))</f>
        <v/>
      </c>
      <c r="F939" s="12">
        <f>IF($A939="","",IFERROR(INDEX(土地清冊_匯入!$R$6:$R$1005,MATCH($A939,土地清冊_匯入!$A$6:$A$1005,0)),""))</f>
        <v/>
      </c>
      <c r="G939" s="12">
        <f>IF($A939="","",IFERROR(INDEX(土地清冊_匯入!$S$6:$S$1005,MATCH($A939,土地清冊_匯入!$A$6:$A$1005,0)),""))</f>
        <v/>
      </c>
      <c r="H939" s="12">
        <f>IF($A939="","",IFERROR(INDEX(土地清冊_匯入!$T$6:$T$1005,MATCH($A939,土地清冊_匯入!$A$6:$A$1005,0)),""))</f>
        <v/>
      </c>
      <c r="I939" s="12">
        <f>IF($A939="","",IFERROR(INDEX(土地清冊_匯入!$V$6:$V$1005,MATCH($A939,土地清冊_匯入!$A$6:$A$1005,0)),""))</f>
        <v/>
      </c>
      <c r="J939" s="14" t="n"/>
      <c r="K939" s="7" t="n"/>
      <c r="L939" s="7" t="n"/>
      <c r="M939" s="7" t="n"/>
      <c r="N939" s="7" t="n"/>
      <c r="O939" s="7" t="n"/>
      <c r="P939" s="7" t="n"/>
      <c r="Q939" s="14" t="n"/>
      <c r="R939" s="7" t="n"/>
      <c r="S939" s="7" t="n"/>
      <c r="T939" s="7" t="n"/>
      <c r="U939" s="12">
        <f>IF(A939="","",IF(OR(J939="",L939=""),"建議補聯絡紀錄","") )</f>
        <v/>
      </c>
    </row>
    <row r="940" ht="24" customHeight="1">
      <c r="A940" s="7" t="n"/>
      <c r="B940" s="7" t="n"/>
      <c r="C940" s="12">
        <f>IF($A940="","",IFERROR(INDEX(土地清冊_匯入!$B$6:$B$1005,MATCH($A940,土地清冊_匯入!$A$6:$A$1005,0)),"查無資料"))</f>
        <v/>
      </c>
      <c r="D940" s="12">
        <f>IF($A940="","",IFERROR(INDEX(土地清冊_匯入!$P$6:$P$1005,MATCH($A940,土地清冊_匯入!$A$6:$A$1005,0)),""))</f>
        <v/>
      </c>
      <c r="E940" s="12">
        <f>IF($A940="","",IFERROR(INDEX(土地清冊_匯入!$Q$6:$Q$1005,MATCH($A940,土地清冊_匯入!$A$6:$A$1005,0)),""))</f>
        <v/>
      </c>
      <c r="F940" s="12">
        <f>IF($A940="","",IFERROR(INDEX(土地清冊_匯入!$R$6:$R$1005,MATCH($A940,土地清冊_匯入!$A$6:$A$1005,0)),""))</f>
        <v/>
      </c>
      <c r="G940" s="12">
        <f>IF($A940="","",IFERROR(INDEX(土地清冊_匯入!$S$6:$S$1005,MATCH($A940,土地清冊_匯入!$A$6:$A$1005,0)),""))</f>
        <v/>
      </c>
      <c r="H940" s="12">
        <f>IF($A940="","",IFERROR(INDEX(土地清冊_匯入!$T$6:$T$1005,MATCH($A940,土地清冊_匯入!$A$6:$A$1005,0)),""))</f>
        <v/>
      </c>
      <c r="I940" s="12">
        <f>IF($A940="","",IFERROR(INDEX(土地清冊_匯入!$V$6:$V$1005,MATCH($A940,土地清冊_匯入!$A$6:$A$1005,0)),""))</f>
        <v/>
      </c>
      <c r="J940" s="14" t="n"/>
      <c r="K940" s="7" t="n"/>
      <c r="L940" s="7" t="n"/>
      <c r="M940" s="7" t="n"/>
      <c r="N940" s="7" t="n"/>
      <c r="O940" s="7" t="n"/>
      <c r="P940" s="7" t="n"/>
      <c r="Q940" s="14" t="n"/>
      <c r="R940" s="7" t="n"/>
      <c r="S940" s="7" t="n"/>
      <c r="T940" s="7" t="n"/>
      <c r="U940" s="12">
        <f>IF(A940="","",IF(OR(J940="",L940=""),"建議補聯絡紀錄","") )</f>
        <v/>
      </c>
    </row>
    <row r="941" ht="24" customHeight="1">
      <c r="A941" s="7" t="n"/>
      <c r="B941" s="7" t="n"/>
      <c r="C941" s="12">
        <f>IF($A941="","",IFERROR(INDEX(土地清冊_匯入!$B$6:$B$1005,MATCH($A941,土地清冊_匯入!$A$6:$A$1005,0)),"查無資料"))</f>
        <v/>
      </c>
      <c r="D941" s="12">
        <f>IF($A941="","",IFERROR(INDEX(土地清冊_匯入!$P$6:$P$1005,MATCH($A941,土地清冊_匯入!$A$6:$A$1005,0)),""))</f>
        <v/>
      </c>
      <c r="E941" s="12">
        <f>IF($A941="","",IFERROR(INDEX(土地清冊_匯入!$Q$6:$Q$1005,MATCH($A941,土地清冊_匯入!$A$6:$A$1005,0)),""))</f>
        <v/>
      </c>
      <c r="F941" s="12">
        <f>IF($A941="","",IFERROR(INDEX(土地清冊_匯入!$R$6:$R$1005,MATCH($A941,土地清冊_匯入!$A$6:$A$1005,0)),""))</f>
        <v/>
      </c>
      <c r="G941" s="12">
        <f>IF($A941="","",IFERROR(INDEX(土地清冊_匯入!$S$6:$S$1005,MATCH($A941,土地清冊_匯入!$A$6:$A$1005,0)),""))</f>
        <v/>
      </c>
      <c r="H941" s="12">
        <f>IF($A941="","",IFERROR(INDEX(土地清冊_匯入!$T$6:$T$1005,MATCH($A941,土地清冊_匯入!$A$6:$A$1005,0)),""))</f>
        <v/>
      </c>
      <c r="I941" s="12">
        <f>IF($A941="","",IFERROR(INDEX(土地清冊_匯入!$V$6:$V$1005,MATCH($A941,土地清冊_匯入!$A$6:$A$1005,0)),""))</f>
        <v/>
      </c>
      <c r="J941" s="14" t="n"/>
      <c r="K941" s="7" t="n"/>
      <c r="L941" s="7" t="n"/>
      <c r="M941" s="7" t="n"/>
      <c r="N941" s="7" t="n"/>
      <c r="O941" s="7" t="n"/>
      <c r="P941" s="7" t="n"/>
      <c r="Q941" s="14" t="n"/>
      <c r="R941" s="7" t="n"/>
      <c r="S941" s="7" t="n"/>
      <c r="T941" s="7" t="n"/>
      <c r="U941" s="12">
        <f>IF(A941="","",IF(OR(J941="",L941=""),"建議補聯絡紀錄","") )</f>
        <v/>
      </c>
    </row>
    <row r="942" ht="24" customHeight="1">
      <c r="A942" s="7" t="n"/>
      <c r="B942" s="7" t="n"/>
      <c r="C942" s="12">
        <f>IF($A942="","",IFERROR(INDEX(土地清冊_匯入!$B$6:$B$1005,MATCH($A942,土地清冊_匯入!$A$6:$A$1005,0)),"查無資料"))</f>
        <v/>
      </c>
      <c r="D942" s="12">
        <f>IF($A942="","",IFERROR(INDEX(土地清冊_匯入!$P$6:$P$1005,MATCH($A942,土地清冊_匯入!$A$6:$A$1005,0)),""))</f>
        <v/>
      </c>
      <c r="E942" s="12">
        <f>IF($A942="","",IFERROR(INDEX(土地清冊_匯入!$Q$6:$Q$1005,MATCH($A942,土地清冊_匯入!$A$6:$A$1005,0)),""))</f>
        <v/>
      </c>
      <c r="F942" s="12">
        <f>IF($A942="","",IFERROR(INDEX(土地清冊_匯入!$R$6:$R$1005,MATCH($A942,土地清冊_匯入!$A$6:$A$1005,0)),""))</f>
        <v/>
      </c>
      <c r="G942" s="12">
        <f>IF($A942="","",IFERROR(INDEX(土地清冊_匯入!$S$6:$S$1005,MATCH($A942,土地清冊_匯入!$A$6:$A$1005,0)),""))</f>
        <v/>
      </c>
      <c r="H942" s="12">
        <f>IF($A942="","",IFERROR(INDEX(土地清冊_匯入!$T$6:$T$1005,MATCH($A942,土地清冊_匯入!$A$6:$A$1005,0)),""))</f>
        <v/>
      </c>
      <c r="I942" s="12">
        <f>IF($A942="","",IFERROR(INDEX(土地清冊_匯入!$V$6:$V$1005,MATCH($A942,土地清冊_匯入!$A$6:$A$1005,0)),""))</f>
        <v/>
      </c>
      <c r="J942" s="14" t="n"/>
      <c r="K942" s="7" t="n"/>
      <c r="L942" s="7" t="n"/>
      <c r="M942" s="7" t="n"/>
      <c r="N942" s="7" t="n"/>
      <c r="O942" s="7" t="n"/>
      <c r="P942" s="7" t="n"/>
      <c r="Q942" s="14" t="n"/>
      <c r="R942" s="7" t="n"/>
      <c r="S942" s="7" t="n"/>
      <c r="T942" s="7" t="n"/>
      <c r="U942" s="12">
        <f>IF(A942="","",IF(OR(J942="",L942=""),"建議補聯絡紀錄","") )</f>
        <v/>
      </c>
    </row>
    <row r="943" ht="24" customHeight="1">
      <c r="A943" s="7" t="n"/>
      <c r="B943" s="7" t="n"/>
      <c r="C943" s="12">
        <f>IF($A943="","",IFERROR(INDEX(土地清冊_匯入!$B$6:$B$1005,MATCH($A943,土地清冊_匯入!$A$6:$A$1005,0)),"查無資料"))</f>
        <v/>
      </c>
      <c r="D943" s="12">
        <f>IF($A943="","",IFERROR(INDEX(土地清冊_匯入!$P$6:$P$1005,MATCH($A943,土地清冊_匯入!$A$6:$A$1005,0)),""))</f>
        <v/>
      </c>
      <c r="E943" s="12">
        <f>IF($A943="","",IFERROR(INDEX(土地清冊_匯入!$Q$6:$Q$1005,MATCH($A943,土地清冊_匯入!$A$6:$A$1005,0)),""))</f>
        <v/>
      </c>
      <c r="F943" s="12">
        <f>IF($A943="","",IFERROR(INDEX(土地清冊_匯入!$R$6:$R$1005,MATCH($A943,土地清冊_匯入!$A$6:$A$1005,0)),""))</f>
        <v/>
      </c>
      <c r="G943" s="12">
        <f>IF($A943="","",IFERROR(INDEX(土地清冊_匯入!$S$6:$S$1005,MATCH($A943,土地清冊_匯入!$A$6:$A$1005,0)),""))</f>
        <v/>
      </c>
      <c r="H943" s="12">
        <f>IF($A943="","",IFERROR(INDEX(土地清冊_匯入!$T$6:$T$1005,MATCH($A943,土地清冊_匯入!$A$6:$A$1005,0)),""))</f>
        <v/>
      </c>
      <c r="I943" s="12">
        <f>IF($A943="","",IFERROR(INDEX(土地清冊_匯入!$V$6:$V$1005,MATCH($A943,土地清冊_匯入!$A$6:$A$1005,0)),""))</f>
        <v/>
      </c>
      <c r="J943" s="14" t="n"/>
      <c r="K943" s="7" t="n"/>
      <c r="L943" s="7" t="n"/>
      <c r="M943" s="7" t="n"/>
      <c r="N943" s="7" t="n"/>
      <c r="O943" s="7" t="n"/>
      <c r="P943" s="7" t="n"/>
      <c r="Q943" s="14" t="n"/>
      <c r="R943" s="7" t="n"/>
      <c r="S943" s="7" t="n"/>
      <c r="T943" s="7" t="n"/>
      <c r="U943" s="12">
        <f>IF(A943="","",IF(OR(J943="",L943=""),"建議補聯絡紀錄","") )</f>
        <v/>
      </c>
    </row>
    <row r="944" ht="24" customHeight="1">
      <c r="A944" s="7" t="n"/>
      <c r="B944" s="7" t="n"/>
      <c r="C944" s="12">
        <f>IF($A944="","",IFERROR(INDEX(土地清冊_匯入!$B$6:$B$1005,MATCH($A944,土地清冊_匯入!$A$6:$A$1005,0)),"查無資料"))</f>
        <v/>
      </c>
      <c r="D944" s="12">
        <f>IF($A944="","",IFERROR(INDEX(土地清冊_匯入!$P$6:$P$1005,MATCH($A944,土地清冊_匯入!$A$6:$A$1005,0)),""))</f>
        <v/>
      </c>
      <c r="E944" s="12">
        <f>IF($A944="","",IFERROR(INDEX(土地清冊_匯入!$Q$6:$Q$1005,MATCH($A944,土地清冊_匯入!$A$6:$A$1005,0)),""))</f>
        <v/>
      </c>
      <c r="F944" s="12">
        <f>IF($A944="","",IFERROR(INDEX(土地清冊_匯入!$R$6:$R$1005,MATCH($A944,土地清冊_匯入!$A$6:$A$1005,0)),""))</f>
        <v/>
      </c>
      <c r="G944" s="12">
        <f>IF($A944="","",IFERROR(INDEX(土地清冊_匯入!$S$6:$S$1005,MATCH($A944,土地清冊_匯入!$A$6:$A$1005,0)),""))</f>
        <v/>
      </c>
      <c r="H944" s="12">
        <f>IF($A944="","",IFERROR(INDEX(土地清冊_匯入!$T$6:$T$1005,MATCH($A944,土地清冊_匯入!$A$6:$A$1005,0)),""))</f>
        <v/>
      </c>
      <c r="I944" s="12">
        <f>IF($A944="","",IFERROR(INDEX(土地清冊_匯入!$V$6:$V$1005,MATCH($A944,土地清冊_匯入!$A$6:$A$1005,0)),""))</f>
        <v/>
      </c>
      <c r="J944" s="14" t="n"/>
      <c r="K944" s="7" t="n"/>
      <c r="L944" s="7" t="n"/>
      <c r="M944" s="7" t="n"/>
      <c r="N944" s="7" t="n"/>
      <c r="O944" s="7" t="n"/>
      <c r="P944" s="7" t="n"/>
      <c r="Q944" s="14" t="n"/>
      <c r="R944" s="7" t="n"/>
      <c r="S944" s="7" t="n"/>
      <c r="T944" s="7" t="n"/>
      <c r="U944" s="12">
        <f>IF(A944="","",IF(OR(J944="",L944=""),"建議補聯絡紀錄","") )</f>
        <v/>
      </c>
    </row>
    <row r="945" ht="24" customHeight="1">
      <c r="A945" s="7" t="n"/>
      <c r="B945" s="7" t="n"/>
      <c r="C945" s="12">
        <f>IF($A945="","",IFERROR(INDEX(土地清冊_匯入!$B$6:$B$1005,MATCH($A945,土地清冊_匯入!$A$6:$A$1005,0)),"查無資料"))</f>
        <v/>
      </c>
      <c r="D945" s="12">
        <f>IF($A945="","",IFERROR(INDEX(土地清冊_匯入!$P$6:$P$1005,MATCH($A945,土地清冊_匯入!$A$6:$A$1005,0)),""))</f>
        <v/>
      </c>
      <c r="E945" s="12">
        <f>IF($A945="","",IFERROR(INDEX(土地清冊_匯入!$Q$6:$Q$1005,MATCH($A945,土地清冊_匯入!$A$6:$A$1005,0)),""))</f>
        <v/>
      </c>
      <c r="F945" s="12">
        <f>IF($A945="","",IFERROR(INDEX(土地清冊_匯入!$R$6:$R$1005,MATCH($A945,土地清冊_匯入!$A$6:$A$1005,0)),""))</f>
        <v/>
      </c>
      <c r="G945" s="12">
        <f>IF($A945="","",IFERROR(INDEX(土地清冊_匯入!$S$6:$S$1005,MATCH($A945,土地清冊_匯入!$A$6:$A$1005,0)),""))</f>
        <v/>
      </c>
      <c r="H945" s="12">
        <f>IF($A945="","",IFERROR(INDEX(土地清冊_匯入!$T$6:$T$1005,MATCH($A945,土地清冊_匯入!$A$6:$A$1005,0)),""))</f>
        <v/>
      </c>
      <c r="I945" s="12">
        <f>IF($A945="","",IFERROR(INDEX(土地清冊_匯入!$V$6:$V$1005,MATCH($A945,土地清冊_匯入!$A$6:$A$1005,0)),""))</f>
        <v/>
      </c>
      <c r="J945" s="14" t="n"/>
      <c r="K945" s="7" t="n"/>
      <c r="L945" s="7" t="n"/>
      <c r="M945" s="7" t="n"/>
      <c r="N945" s="7" t="n"/>
      <c r="O945" s="7" t="n"/>
      <c r="P945" s="7" t="n"/>
      <c r="Q945" s="14" t="n"/>
      <c r="R945" s="7" t="n"/>
      <c r="S945" s="7" t="n"/>
      <c r="T945" s="7" t="n"/>
      <c r="U945" s="12">
        <f>IF(A945="","",IF(OR(J945="",L945=""),"建議補聯絡紀錄","") )</f>
        <v/>
      </c>
    </row>
    <row r="946" ht="24" customHeight="1">
      <c r="A946" s="7" t="n"/>
      <c r="B946" s="7" t="n"/>
      <c r="C946" s="12">
        <f>IF($A946="","",IFERROR(INDEX(土地清冊_匯入!$B$6:$B$1005,MATCH($A946,土地清冊_匯入!$A$6:$A$1005,0)),"查無資料"))</f>
        <v/>
      </c>
      <c r="D946" s="12">
        <f>IF($A946="","",IFERROR(INDEX(土地清冊_匯入!$P$6:$P$1005,MATCH($A946,土地清冊_匯入!$A$6:$A$1005,0)),""))</f>
        <v/>
      </c>
      <c r="E946" s="12">
        <f>IF($A946="","",IFERROR(INDEX(土地清冊_匯入!$Q$6:$Q$1005,MATCH($A946,土地清冊_匯入!$A$6:$A$1005,0)),""))</f>
        <v/>
      </c>
      <c r="F946" s="12">
        <f>IF($A946="","",IFERROR(INDEX(土地清冊_匯入!$R$6:$R$1005,MATCH($A946,土地清冊_匯入!$A$6:$A$1005,0)),""))</f>
        <v/>
      </c>
      <c r="G946" s="12">
        <f>IF($A946="","",IFERROR(INDEX(土地清冊_匯入!$S$6:$S$1005,MATCH($A946,土地清冊_匯入!$A$6:$A$1005,0)),""))</f>
        <v/>
      </c>
      <c r="H946" s="12">
        <f>IF($A946="","",IFERROR(INDEX(土地清冊_匯入!$T$6:$T$1005,MATCH($A946,土地清冊_匯入!$A$6:$A$1005,0)),""))</f>
        <v/>
      </c>
      <c r="I946" s="12">
        <f>IF($A946="","",IFERROR(INDEX(土地清冊_匯入!$V$6:$V$1005,MATCH($A946,土地清冊_匯入!$A$6:$A$1005,0)),""))</f>
        <v/>
      </c>
      <c r="J946" s="14" t="n"/>
      <c r="K946" s="7" t="n"/>
      <c r="L946" s="7" t="n"/>
      <c r="M946" s="7" t="n"/>
      <c r="N946" s="7" t="n"/>
      <c r="O946" s="7" t="n"/>
      <c r="P946" s="7" t="n"/>
      <c r="Q946" s="14" t="n"/>
      <c r="R946" s="7" t="n"/>
      <c r="S946" s="7" t="n"/>
      <c r="T946" s="7" t="n"/>
      <c r="U946" s="12">
        <f>IF(A946="","",IF(OR(J946="",L946=""),"建議補聯絡紀錄","") )</f>
        <v/>
      </c>
    </row>
    <row r="947" ht="24" customHeight="1">
      <c r="A947" s="7" t="n"/>
      <c r="B947" s="7" t="n"/>
      <c r="C947" s="12">
        <f>IF($A947="","",IFERROR(INDEX(土地清冊_匯入!$B$6:$B$1005,MATCH($A947,土地清冊_匯入!$A$6:$A$1005,0)),"查無資料"))</f>
        <v/>
      </c>
      <c r="D947" s="12">
        <f>IF($A947="","",IFERROR(INDEX(土地清冊_匯入!$P$6:$P$1005,MATCH($A947,土地清冊_匯入!$A$6:$A$1005,0)),""))</f>
        <v/>
      </c>
      <c r="E947" s="12">
        <f>IF($A947="","",IFERROR(INDEX(土地清冊_匯入!$Q$6:$Q$1005,MATCH($A947,土地清冊_匯入!$A$6:$A$1005,0)),""))</f>
        <v/>
      </c>
      <c r="F947" s="12">
        <f>IF($A947="","",IFERROR(INDEX(土地清冊_匯入!$R$6:$R$1005,MATCH($A947,土地清冊_匯入!$A$6:$A$1005,0)),""))</f>
        <v/>
      </c>
      <c r="G947" s="12">
        <f>IF($A947="","",IFERROR(INDEX(土地清冊_匯入!$S$6:$S$1005,MATCH($A947,土地清冊_匯入!$A$6:$A$1005,0)),""))</f>
        <v/>
      </c>
      <c r="H947" s="12">
        <f>IF($A947="","",IFERROR(INDEX(土地清冊_匯入!$T$6:$T$1005,MATCH($A947,土地清冊_匯入!$A$6:$A$1005,0)),""))</f>
        <v/>
      </c>
      <c r="I947" s="12">
        <f>IF($A947="","",IFERROR(INDEX(土地清冊_匯入!$V$6:$V$1005,MATCH($A947,土地清冊_匯入!$A$6:$A$1005,0)),""))</f>
        <v/>
      </c>
      <c r="J947" s="14" t="n"/>
      <c r="K947" s="7" t="n"/>
      <c r="L947" s="7" t="n"/>
      <c r="M947" s="7" t="n"/>
      <c r="N947" s="7" t="n"/>
      <c r="O947" s="7" t="n"/>
      <c r="P947" s="7" t="n"/>
      <c r="Q947" s="14" t="n"/>
      <c r="R947" s="7" t="n"/>
      <c r="S947" s="7" t="n"/>
      <c r="T947" s="7" t="n"/>
      <c r="U947" s="12">
        <f>IF(A947="","",IF(OR(J947="",L947=""),"建議補聯絡紀錄","") )</f>
        <v/>
      </c>
    </row>
    <row r="948" ht="24" customHeight="1">
      <c r="A948" s="7" t="n"/>
      <c r="B948" s="7" t="n"/>
      <c r="C948" s="12">
        <f>IF($A948="","",IFERROR(INDEX(土地清冊_匯入!$B$6:$B$1005,MATCH($A948,土地清冊_匯入!$A$6:$A$1005,0)),"查無資料"))</f>
        <v/>
      </c>
      <c r="D948" s="12">
        <f>IF($A948="","",IFERROR(INDEX(土地清冊_匯入!$P$6:$P$1005,MATCH($A948,土地清冊_匯入!$A$6:$A$1005,0)),""))</f>
        <v/>
      </c>
      <c r="E948" s="12">
        <f>IF($A948="","",IFERROR(INDEX(土地清冊_匯入!$Q$6:$Q$1005,MATCH($A948,土地清冊_匯入!$A$6:$A$1005,0)),""))</f>
        <v/>
      </c>
      <c r="F948" s="12">
        <f>IF($A948="","",IFERROR(INDEX(土地清冊_匯入!$R$6:$R$1005,MATCH($A948,土地清冊_匯入!$A$6:$A$1005,0)),""))</f>
        <v/>
      </c>
      <c r="G948" s="12">
        <f>IF($A948="","",IFERROR(INDEX(土地清冊_匯入!$S$6:$S$1005,MATCH($A948,土地清冊_匯入!$A$6:$A$1005,0)),""))</f>
        <v/>
      </c>
      <c r="H948" s="12">
        <f>IF($A948="","",IFERROR(INDEX(土地清冊_匯入!$T$6:$T$1005,MATCH($A948,土地清冊_匯入!$A$6:$A$1005,0)),""))</f>
        <v/>
      </c>
      <c r="I948" s="12">
        <f>IF($A948="","",IFERROR(INDEX(土地清冊_匯入!$V$6:$V$1005,MATCH($A948,土地清冊_匯入!$A$6:$A$1005,0)),""))</f>
        <v/>
      </c>
      <c r="J948" s="14" t="n"/>
      <c r="K948" s="7" t="n"/>
      <c r="L948" s="7" t="n"/>
      <c r="M948" s="7" t="n"/>
      <c r="N948" s="7" t="n"/>
      <c r="O948" s="7" t="n"/>
      <c r="P948" s="7" t="n"/>
      <c r="Q948" s="14" t="n"/>
      <c r="R948" s="7" t="n"/>
      <c r="S948" s="7" t="n"/>
      <c r="T948" s="7" t="n"/>
      <c r="U948" s="12">
        <f>IF(A948="","",IF(OR(J948="",L948=""),"建議補聯絡紀錄","") )</f>
        <v/>
      </c>
    </row>
    <row r="949" ht="24" customHeight="1">
      <c r="A949" s="7" t="n"/>
      <c r="B949" s="7" t="n"/>
      <c r="C949" s="12">
        <f>IF($A949="","",IFERROR(INDEX(土地清冊_匯入!$B$6:$B$1005,MATCH($A949,土地清冊_匯入!$A$6:$A$1005,0)),"查無資料"))</f>
        <v/>
      </c>
      <c r="D949" s="12">
        <f>IF($A949="","",IFERROR(INDEX(土地清冊_匯入!$P$6:$P$1005,MATCH($A949,土地清冊_匯入!$A$6:$A$1005,0)),""))</f>
        <v/>
      </c>
      <c r="E949" s="12">
        <f>IF($A949="","",IFERROR(INDEX(土地清冊_匯入!$Q$6:$Q$1005,MATCH($A949,土地清冊_匯入!$A$6:$A$1005,0)),""))</f>
        <v/>
      </c>
      <c r="F949" s="12">
        <f>IF($A949="","",IFERROR(INDEX(土地清冊_匯入!$R$6:$R$1005,MATCH($A949,土地清冊_匯入!$A$6:$A$1005,0)),""))</f>
        <v/>
      </c>
      <c r="G949" s="12">
        <f>IF($A949="","",IFERROR(INDEX(土地清冊_匯入!$S$6:$S$1005,MATCH($A949,土地清冊_匯入!$A$6:$A$1005,0)),""))</f>
        <v/>
      </c>
      <c r="H949" s="12">
        <f>IF($A949="","",IFERROR(INDEX(土地清冊_匯入!$T$6:$T$1005,MATCH($A949,土地清冊_匯入!$A$6:$A$1005,0)),""))</f>
        <v/>
      </c>
      <c r="I949" s="12">
        <f>IF($A949="","",IFERROR(INDEX(土地清冊_匯入!$V$6:$V$1005,MATCH($A949,土地清冊_匯入!$A$6:$A$1005,0)),""))</f>
        <v/>
      </c>
      <c r="J949" s="14" t="n"/>
      <c r="K949" s="7" t="n"/>
      <c r="L949" s="7" t="n"/>
      <c r="M949" s="7" t="n"/>
      <c r="N949" s="7" t="n"/>
      <c r="O949" s="7" t="n"/>
      <c r="P949" s="7" t="n"/>
      <c r="Q949" s="14" t="n"/>
      <c r="R949" s="7" t="n"/>
      <c r="S949" s="7" t="n"/>
      <c r="T949" s="7" t="n"/>
      <c r="U949" s="12">
        <f>IF(A949="","",IF(OR(J949="",L949=""),"建議補聯絡紀錄","") )</f>
        <v/>
      </c>
    </row>
    <row r="950" ht="24" customHeight="1">
      <c r="A950" s="7" t="n"/>
      <c r="B950" s="7" t="n"/>
      <c r="C950" s="12">
        <f>IF($A950="","",IFERROR(INDEX(土地清冊_匯入!$B$6:$B$1005,MATCH($A950,土地清冊_匯入!$A$6:$A$1005,0)),"查無資料"))</f>
        <v/>
      </c>
      <c r="D950" s="12">
        <f>IF($A950="","",IFERROR(INDEX(土地清冊_匯入!$P$6:$P$1005,MATCH($A950,土地清冊_匯入!$A$6:$A$1005,0)),""))</f>
        <v/>
      </c>
      <c r="E950" s="12">
        <f>IF($A950="","",IFERROR(INDEX(土地清冊_匯入!$Q$6:$Q$1005,MATCH($A950,土地清冊_匯入!$A$6:$A$1005,0)),""))</f>
        <v/>
      </c>
      <c r="F950" s="12">
        <f>IF($A950="","",IFERROR(INDEX(土地清冊_匯入!$R$6:$R$1005,MATCH($A950,土地清冊_匯入!$A$6:$A$1005,0)),""))</f>
        <v/>
      </c>
      <c r="G950" s="12">
        <f>IF($A950="","",IFERROR(INDEX(土地清冊_匯入!$S$6:$S$1005,MATCH($A950,土地清冊_匯入!$A$6:$A$1005,0)),""))</f>
        <v/>
      </c>
      <c r="H950" s="12">
        <f>IF($A950="","",IFERROR(INDEX(土地清冊_匯入!$T$6:$T$1005,MATCH($A950,土地清冊_匯入!$A$6:$A$1005,0)),""))</f>
        <v/>
      </c>
      <c r="I950" s="12">
        <f>IF($A950="","",IFERROR(INDEX(土地清冊_匯入!$V$6:$V$1005,MATCH($A950,土地清冊_匯入!$A$6:$A$1005,0)),""))</f>
        <v/>
      </c>
      <c r="J950" s="14" t="n"/>
      <c r="K950" s="7" t="n"/>
      <c r="L950" s="7" t="n"/>
      <c r="M950" s="7" t="n"/>
      <c r="N950" s="7" t="n"/>
      <c r="O950" s="7" t="n"/>
      <c r="P950" s="7" t="n"/>
      <c r="Q950" s="14" t="n"/>
      <c r="R950" s="7" t="n"/>
      <c r="S950" s="7" t="n"/>
      <c r="T950" s="7" t="n"/>
      <c r="U950" s="12">
        <f>IF(A950="","",IF(OR(J950="",L950=""),"建議補聯絡紀錄","") )</f>
        <v/>
      </c>
    </row>
    <row r="951" ht="24" customHeight="1">
      <c r="A951" s="7" t="n"/>
      <c r="B951" s="7" t="n"/>
      <c r="C951" s="12">
        <f>IF($A951="","",IFERROR(INDEX(土地清冊_匯入!$B$6:$B$1005,MATCH($A951,土地清冊_匯入!$A$6:$A$1005,0)),"查無資料"))</f>
        <v/>
      </c>
      <c r="D951" s="12">
        <f>IF($A951="","",IFERROR(INDEX(土地清冊_匯入!$P$6:$P$1005,MATCH($A951,土地清冊_匯入!$A$6:$A$1005,0)),""))</f>
        <v/>
      </c>
      <c r="E951" s="12">
        <f>IF($A951="","",IFERROR(INDEX(土地清冊_匯入!$Q$6:$Q$1005,MATCH($A951,土地清冊_匯入!$A$6:$A$1005,0)),""))</f>
        <v/>
      </c>
      <c r="F951" s="12">
        <f>IF($A951="","",IFERROR(INDEX(土地清冊_匯入!$R$6:$R$1005,MATCH($A951,土地清冊_匯入!$A$6:$A$1005,0)),""))</f>
        <v/>
      </c>
      <c r="G951" s="12">
        <f>IF($A951="","",IFERROR(INDEX(土地清冊_匯入!$S$6:$S$1005,MATCH($A951,土地清冊_匯入!$A$6:$A$1005,0)),""))</f>
        <v/>
      </c>
      <c r="H951" s="12">
        <f>IF($A951="","",IFERROR(INDEX(土地清冊_匯入!$T$6:$T$1005,MATCH($A951,土地清冊_匯入!$A$6:$A$1005,0)),""))</f>
        <v/>
      </c>
      <c r="I951" s="12">
        <f>IF($A951="","",IFERROR(INDEX(土地清冊_匯入!$V$6:$V$1005,MATCH($A951,土地清冊_匯入!$A$6:$A$1005,0)),""))</f>
        <v/>
      </c>
      <c r="J951" s="14" t="n"/>
      <c r="K951" s="7" t="n"/>
      <c r="L951" s="7" t="n"/>
      <c r="M951" s="7" t="n"/>
      <c r="N951" s="7" t="n"/>
      <c r="O951" s="7" t="n"/>
      <c r="P951" s="7" t="n"/>
      <c r="Q951" s="14" t="n"/>
      <c r="R951" s="7" t="n"/>
      <c r="S951" s="7" t="n"/>
      <c r="T951" s="7" t="n"/>
      <c r="U951" s="12">
        <f>IF(A951="","",IF(OR(J951="",L951=""),"建議補聯絡紀錄","") )</f>
        <v/>
      </c>
    </row>
    <row r="952" ht="24" customHeight="1">
      <c r="A952" s="7" t="n"/>
      <c r="B952" s="7" t="n"/>
      <c r="C952" s="12">
        <f>IF($A952="","",IFERROR(INDEX(土地清冊_匯入!$B$6:$B$1005,MATCH($A952,土地清冊_匯入!$A$6:$A$1005,0)),"查無資料"))</f>
        <v/>
      </c>
      <c r="D952" s="12">
        <f>IF($A952="","",IFERROR(INDEX(土地清冊_匯入!$P$6:$P$1005,MATCH($A952,土地清冊_匯入!$A$6:$A$1005,0)),""))</f>
        <v/>
      </c>
      <c r="E952" s="12">
        <f>IF($A952="","",IFERROR(INDEX(土地清冊_匯入!$Q$6:$Q$1005,MATCH($A952,土地清冊_匯入!$A$6:$A$1005,0)),""))</f>
        <v/>
      </c>
      <c r="F952" s="12">
        <f>IF($A952="","",IFERROR(INDEX(土地清冊_匯入!$R$6:$R$1005,MATCH($A952,土地清冊_匯入!$A$6:$A$1005,0)),""))</f>
        <v/>
      </c>
      <c r="G952" s="12">
        <f>IF($A952="","",IFERROR(INDEX(土地清冊_匯入!$S$6:$S$1005,MATCH($A952,土地清冊_匯入!$A$6:$A$1005,0)),""))</f>
        <v/>
      </c>
      <c r="H952" s="12">
        <f>IF($A952="","",IFERROR(INDEX(土地清冊_匯入!$T$6:$T$1005,MATCH($A952,土地清冊_匯入!$A$6:$A$1005,0)),""))</f>
        <v/>
      </c>
      <c r="I952" s="12">
        <f>IF($A952="","",IFERROR(INDEX(土地清冊_匯入!$V$6:$V$1005,MATCH($A952,土地清冊_匯入!$A$6:$A$1005,0)),""))</f>
        <v/>
      </c>
      <c r="J952" s="14" t="n"/>
      <c r="K952" s="7" t="n"/>
      <c r="L952" s="7" t="n"/>
      <c r="M952" s="7" t="n"/>
      <c r="N952" s="7" t="n"/>
      <c r="O952" s="7" t="n"/>
      <c r="P952" s="7" t="n"/>
      <c r="Q952" s="14" t="n"/>
      <c r="R952" s="7" t="n"/>
      <c r="S952" s="7" t="n"/>
      <c r="T952" s="7" t="n"/>
      <c r="U952" s="12">
        <f>IF(A952="","",IF(OR(J952="",L952=""),"建議補聯絡紀錄","") )</f>
        <v/>
      </c>
    </row>
    <row r="953" ht="24" customHeight="1">
      <c r="A953" s="7" t="n"/>
      <c r="B953" s="7" t="n"/>
      <c r="C953" s="12">
        <f>IF($A953="","",IFERROR(INDEX(土地清冊_匯入!$B$6:$B$1005,MATCH($A953,土地清冊_匯入!$A$6:$A$1005,0)),"查無資料"))</f>
        <v/>
      </c>
      <c r="D953" s="12">
        <f>IF($A953="","",IFERROR(INDEX(土地清冊_匯入!$P$6:$P$1005,MATCH($A953,土地清冊_匯入!$A$6:$A$1005,0)),""))</f>
        <v/>
      </c>
      <c r="E953" s="12">
        <f>IF($A953="","",IFERROR(INDEX(土地清冊_匯入!$Q$6:$Q$1005,MATCH($A953,土地清冊_匯入!$A$6:$A$1005,0)),""))</f>
        <v/>
      </c>
      <c r="F953" s="12">
        <f>IF($A953="","",IFERROR(INDEX(土地清冊_匯入!$R$6:$R$1005,MATCH($A953,土地清冊_匯入!$A$6:$A$1005,0)),""))</f>
        <v/>
      </c>
      <c r="G953" s="12">
        <f>IF($A953="","",IFERROR(INDEX(土地清冊_匯入!$S$6:$S$1005,MATCH($A953,土地清冊_匯入!$A$6:$A$1005,0)),""))</f>
        <v/>
      </c>
      <c r="H953" s="12">
        <f>IF($A953="","",IFERROR(INDEX(土地清冊_匯入!$T$6:$T$1005,MATCH($A953,土地清冊_匯入!$A$6:$A$1005,0)),""))</f>
        <v/>
      </c>
      <c r="I953" s="12">
        <f>IF($A953="","",IFERROR(INDEX(土地清冊_匯入!$V$6:$V$1005,MATCH($A953,土地清冊_匯入!$A$6:$A$1005,0)),""))</f>
        <v/>
      </c>
      <c r="J953" s="14" t="n"/>
      <c r="K953" s="7" t="n"/>
      <c r="L953" s="7" t="n"/>
      <c r="M953" s="7" t="n"/>
      <c r="N953" s="7" t="n"/>
      <c r="O953" s="7" t="n"/>
      <c r="P953" s="7" t="n"/>
      <c r="Q953" s="14" t="n"/>
      <c r="R953" s="7" t="n"/>
      <c r="S953" s="7" t="n"/>
      <c r="T953" s="7" t="n"/>
      <c r="U953" s="12">
        <f>IF(A953="","",IF(OR(J953="",L953=""),"建議補聯絡紀錄","") )</f>
        <v/>
      </c>
    </row>
    <row r="954" ht="24" customHeight="1">
      <c r="A954" s="7" t="n"/>
      <c r="B954" s="7" t="n"/>
      <c r="C954" s="12">
        <f>IF($A954="","",IFERROR(INDEX(土地清冊_匯入!$B$6:$B$1005,MATCH($A954,土地清冊_匯入!$A$6:$A$1005,0)),"查無資料"))</f>
        <v/>
      </c>
      <c r="D954" s="12">
        <f>IF($A954="","",IFERROR(INDEX(土地清冊_匯入!$P$6:$P$1005,MATCH($A954,土地清冊_匯入!$A$6:$A$1005,0)),""))</f>
        <v/>
      </c>
      <c r="E954" s="12">
        <f>IF($A954="","",IFERROR(INDEX(土地清冊_匯入!$Q$6:$Q$1005,MATCH($A954,土地清冊_匯入!$A$6:$A$1005,0)),""))</f>
        <v/>
      </c>
      <c r="F954" s="12">
        <f>IF($A954="","",IFERROR(INDEX(土地清冊_匯入!$R$6:$R$1005,MATCH($A954,土地清冊_匯入!$A$6:$A$1005,0)),""))</f>
        <v/>
      </c>
      <c r="G954" s="12">
        <f>IF($A954="","",IFERROR(INDEX(土地清冊_匯入!$S$6:$S$1005,MATCH($A954,土地清冊_匯入!$A$6:$A$1005,0)),""))</f>
        <v/>
      </c>
      <c r="H954" s="12">
        <f>IF($A954="","",IFERROR(INDEX(土地清冊_匯入!$T$6:$T$1005,MATCH($A954,土地清冊_匯入!$A$6:$A$1005,0)),""))</f>
        <v/>
      </c>
      <c r="I954" s="12">
        <f>IF($A954="","",IFERROR(INDEX(土地清冊_匯入!$V$6:$V$1005,MATCH($A954,土地清冊_匯入!$A$6:$A$1005,0)),""))</f>
        <v/>
      </c>
      <c r="J954" s="14" t="n"/>
      <c r="K954" s="7" t="n"/>
      <c r="L954" s="7" t="n"/>
      <c r="M954" s="7" t="n"/>
      <c r="N954" s="7" t="n"/>
      <c r="O954" s="7" t="n"/>
      <c r="P954" s="7" t="n"/>
      <c r="Q954" s="14" t="n"/>
      <c r="R954" s="7" t="n"/>
      <c r="S954" s="7" t="n"/>
      <c r="T954" s="7" t="n"/>
      <c r="U954" s="12">
        <f>IF(A954="","",IF(OR(J954="",L954=""),"建議補聯絡紀錄","") )</f>
        <v/>
      </c>
    </row>
    <row r="955" ht="24" customHeight="1">
      <c r="A955" s="7" t="n"/>
      <c r="B955" s="7" t="n"/>
      <c r="C955" s="12">
        <f>IF($A955="","",IFERROR(INDEX(土地清冊_匯入!$B$6:$B$1005,MATCH($A955,土地清冊_匯入!$A$6:$A$1005,0)),"查無資料"))</f>
        <v/>
      </c>
      <c r="D955" s="12">
        <f>IF($A955="","",IFERROR(INDEX(土地清冊_匯入!$P$6:$P$1005,MATCH($A955,土地清冊_匯入!$A$6:$A$1005,0)),""))</f>
        <v/>
      </c>
      <c r="E955" s="12">
        <f>IF($A955="","",IFERROR(INDEX(土地清冊_匯入!$Q$6:$Q$1005,MATCH($A955,土地清冊_匯入!$A$6:$A$1005,0)),""))</f>
        <v/>
      </c>
      <c r="F955" s="12">
        <f>IF($A955="","",IFERROR(INDEX(土地清冊_匯入!$R$6:$R$1005,MATCH($A955,土地清冊_匯入!$A$6:$A$1005,0)),""))</f>
        <v/>
      </c>
      <c r="G955" s="12">
        <f>IF($A955="","",IFERROR(INDEX(土地清冊_匯入!$S$6:$S$1005,MATCH($A955,土地清冊_匯入!$A$6:$A$1005,0)),""))</f>
        <v/>
      </c>
      <c r="H955" s="12">
        <f>IF($A955="","",IFERROR(INDEX(土地清冊_匯入!$T$6:$T$1005,MATCH($A955,土地清冊_匯入!$A$6:$A$1005,0)),""))</f>
        <v/>
      </c>
      <c r="I955" s="12">
        <f>IF($A955="","",IFERROR(INDEX(土地清冊_匯入!$V$6:$V$1005,MATCH($A955,土地清冊_匯入!$A$6:$A$1005,0)),""))</f>
        <v/>
      </c>
      <c r="J955" s="14" t="n"/>
      <c r="K955" s="7" t="n"/>
      <c r="L955" s="7" t="n"/>
      <c r="M955" s="7" t="n"/>
      <c r="N955" s="7" t="n"/>
      <c r="O955" s="7" t="n"/>
      <c r="P955" s="7" t="n"/>
      <c r="Q955" s="14" t="n"/>
      <c r="R955" s="7" t="n"/>
      <c r="S955" s="7" t="n"/>
      <c r="T955" s="7" t="n"/>
      <c r="U955" s="12">
        <f>IF(A955="","",IF(OR(J955="",L955=""),"建議補聯絡紀錄","") )</f>
        <v/>
      </c>
    </row>
    <row r="956" ht="24" customHeight="1">
      <c r="A956" s="7" t="n"/>
      <c r="B956" s="7" t="n"/>
      <c r="C956" s="12">
        <f>IF($A956="","",IFERROR(INDEX(土地清冊_匯入!$B$6:$B$1005,MATCH($A956,土地清冊_匯入!$A$6:$A$1005,0)),"查無資料"))</f>
        <v/>
      </c>
      <c r="D956" s="12">
        <f>IF($A956="","",IFERROR(INDEX(土地清冊_匯入!$P$6:$P$1005,MATCH($A956,土地清冊_匯入!$A$6:$A$1005,0)),""))</f>
        <v/>
      </c>
      <c r="E956" s="12">
        <f>IF($A956="","",IFERROR(INDEX(土地清冊_匯入!$Q$6:$Q$1005,MATCH($A956,土地清冊_匯入!$A$6:$A$1005,0)),""))</f>
        <v/>
      </c>
      <c r="F956" s="12">
        <f>IF($A956="","",IFERROR(INDEX(土地清冊_匯入!$R$6:$R$1005,MATCH($A956,土地清冊_匯入!$A$6:$A$1005,0)),""))</f>
        <v/>
      </c>
      <c r="G956" s="12">
        <f>IF($A956="","",IFERROR(INDEX(土地清冊_匯入!$S$6:$S$1005,MATCH($A956,土地清冊_匯入!$A$6:$A$1005,0)),""))</f>
        <v/>
      </c>
      <c r="H956" s="12">
        <f>IF($A956="","",IFERROR(INDEX(土地清冊_匯入!$T$6:$T$1005,MATCH($A956,土地清冊_匯入!$A$6:$A$1005,0)),""))</f>
        <v/>
      </c>
      <c r="I956" s="12">
        <f>IF($A956="","",IFERROR(INDEX(土地清冊_匯入!$V$6:$V$1005,MATCH($A956,土地清冊_匯入!$A$6:$A$1005,0)),""))</f>
        <v/>
      </c>
      <c r="J956" s="14" t="n"/>
      <c r="K956" s="7" t="n"/>
      <c r="L956" s="7" t="n"/>
      <c r="M956" s="7" t="n"/>
      <c r="N956" s="7" t="n"/>
      <c r="O956" s="7" t="n"/>
      <c r="P956" s="7" t="n"/>
      <c r="Q956" s="14" t="n"/>
      <c r="R956" s="7" t="n"/>
      <c r="S956" s="7" t="n"/>
      <c r="T956" s="7" t="n"/>
      <c r="U956" s="12">
        <f>IF(A956="","",IF(OR(J956="",L956=""),"建議補聯絡紀錄","") )</f>
        <v/>
      </c>
    </row>
    <row r="957" ht="24" customHeight="1">
      <c r="A957" s="7" t="n"/>
      <c r="B957" s="7" t="n"/>
      <c r="C957" s="12">
        <f>IF($A957="","",IFERROR(INDEX(土地清冊_匯入!$B$6:$B$1005,MATCH($A957,土地清冊_匯入!$A$6:$A$1005,0)),"查無資料"))</f>
        <v/>
      </c>
      <c r="D957" s="12">
        <f>IF($A957="","",IFERROR(INDEX(土地清冊_匯入!$P$6:$P$1005,MATCH($A957,土地清冊_匯入!$A$6:$A$1005,0)),""))</f>
        <v/>
      </c>
      <c r="E957" s="12">
        <f>IF($A957="","",IFERROR(INDEX(土地清冊_匯入!$Q$6:$Q$1005,MATCH($A957,土地清冊_匯入!$A$6:$A$1005,0)),""))</f>
        <v/>
      </c>
      <c r="F957" s="12">
        <f>IF($A957="","",IFERROR(INDEX(土地清冊_匯入!$R$6:$R$1005,MATCH($A957,土地清冊_匯入!$A$6:$A$1005,0)),""))</f>
        <v/>
      </c>
      <c r="G957" s="12">
        <f>IF($A957="","",IFERROR(INDEX(土地清冊_匯入!$S$6:$S$1005,MATCH($A957,土地清冊_匯入!$A$6:$A$1005,0)),""))</f>
        <v/>
      </c>
      <c r="H957" s="12">
        <f>IF($A957="","",IFERROR(INDEX(土地清冊_匯入!$T$6:$T$1005,MATCH($A957,土地清冊_匯入!$A$6:$A$1005,0)),""))</f>
        <v/>
      </c>
      <c r="I957" s="12">
        <f>IF($A957="","",IFERROR(INDEX(土地清冊_匯入!$V$6:$V$1005,MATCH($A957,土地清冊_匯入!$A$6:$A$1005,0)),""))</f>
        <v/>
      </c>
      <c r="J957" s="14" t="n"/>
      <c r="K957" s="7" t="n"/>
      <c r="L957" s="7" t="n"/>
      <c r="M957" s="7" t="n"/>
      <c r="N957" s="7" t="n"/>
      <c r="O957" s="7" t="n"/>
      <c r="P957" s="7" t="n"/>
      <c r="Q957" s="14" t="n"/>
      <c r="R957" s="7" t="n"/>
      <c r="S957" s="7" t="n"/>
      <c r="T957" s="7" t="n"/>
      <c r="U957" s="12">
        <f>IF(A957="","",IF(OR(J957="",L957=""),"建議補聯絡紀錄","") )</f>
        <v/>
      </c>
    </row>
    <row r="958" ht="24" customHeight="1">
      <c r="A958" s="7" t="n"/>
      <c r="B958" s="7" t="n"/>
      <c r="C958" s="12">
        <f>IF($A958="","",IFERROR(INDEX(土地清冊_匯入!$B$6:$B$1005,MATCH($A958,土地清冊_匯入!$A$6:$A$1005,0)),"查無資料"))</f>
        <v/>
      </c>
      <c r="D958" s="12">
        <f>IF($A958="","",IFERROR(INDEX(土地清冊_匯入!$P$6:$P$1005,MATCH($A958,土地清冊_匯入!$A$6:$A$1005,0)),""))</f>
        <v/>
      </c>
      <c r="E958" s="12">
        <f>IF($A958="","",IFERROR(INDEX(土地清冊_匯入!$Q$6:$Q$1005,MATCH($A958,土地清冊_匯入!$A$6:$A$1005,0)),""))</f>
        <v/>
      </c>
      <c r="F958" s="12">
        <f>IF($A958="","",IFERROR(INDEX(土地清冊_匯入!$R$6:$R$1005,MATCH($A958,土地清冊_匯入!$A$6:$A$1005,0)),""))</f>
        <v/>
      </c>
      <c r="G958" s="12">
        <f>IF($A958="","",IFERROR(INDEX(土地清冊_匯入!$S$6:$S$1005,MATCH($A958,土地清冊_匯入!$A$6:$A$1005,0)),""))</f>
        <v/>
      </c>
      <c r="H958" s="12">
        <f>IF($A958="","",IFERROR(INDEX(土地清冊_匯入!$T$6:$T$1005,MATCH($A958,土地清冊_匯入!$A$6:$A$1005,0)),""))</f>
        <v/>
      </c>
      <c r="I958" s="12">
        <f>IF($A958="","",IFERROR(INDEX(土地清冊_匯入!$V$6:$V$1005,MATCH($A958,土地清冊_匯入!$A$6:$A$1005,0)),""))</f>
        <v/>
      </c>
      <c r="J958" s="14" t="n"/>
      <c r="K958" s="7" t="n"/>
      <c r="L958" s="7" t="n"/>
      <c r="M958" s="7" t="n"/>
      <c r="N958" s="7" t="n"/>
      <c r="O958" s="7" t="n"/>
      <c r="P958" s="7" t="n"/>
      <c r="Q958" s="14" t="n"/>
      <c r="R958" s="7" t="n"/>
      <c r="S958" s="7" t="n"/>
      <c r="T958" s="7" t="n"/>
      <c r="U958" s="12">
        <f>IF(A958="","",IF(OR(J958="",L958=""),"建議補聯絡紀錄","") )</f>
        <v/>
      </c>
    </row>
    <row r="959" ht="24" customHeight="1">
      <c r="A959" s="7" t="n"/>
      <c r="B959" s="7" t="n"/>
      <c r="C959" s="12">
        <f>IF($A959="","",IFERROR(INDEX(土地清冊_匯入!$B$6:$B$1005,MATCH($A959,土地清冊_匯入!$A$6:$A$1005,0)),"查無資料"))</f>
        <v/>
      </c>
      <c r="D959" s="12">
        <f>IF($A959="","",IFERROR(INDEX(土地清冊_匯入!$P$6:$P$1005,MATCH($A959,土地清冊_匯入!$A$6:$A$1005,0)),""))</f>
        <v/>
      </c>
      <c r="E959" s="12">
        <f>IF($A959="","",IFERROR(INDEX(土地清冊_匯入!$Q$6:$Q$1005,MATCH($A959,土地清冊_匯入!$A$6:$A$1005,0)),""))</f>
        <v/>
      </c>
      <c r="F959" s="12">
        <f>IF($A959="","",IFERROR(INDEX(土地清冊_匯入!$R$6:$R$1005,MATCH($A959,土地清冊_匯入!$A$6:$A$1005,0)),""))</f>
        <v/>
      </c>
      <c r="G959" s="12">
        <f>IF($A959="","",IFERROR(INDEX(土地清冊_匯入!$S$6:$S$1005,MATCH($A959,土地清冊_匯入!$A$6:$A$1005,0)),""))</f>
        <v/>
      </c>
      <c r="H959" s="12">
        <f>IF($A959="","",IFERROR(INDEX(土地清冊_匯入!$T$6:$T$1005,MATCH($A959,土地清冊_匯入!$A$6:$A$1005,0)),""))</f>
        <v/>
      </c>
      <c r="I959" s="12">
        <f>IF($A959="","",IFERROR(INDEX(土地清冊_匯入!$V$6:$V$1005,MATCH($A959,土地清冊_匯入!$A$6:$A$1005,0)),""))</f>
        <v/>
      </c>
      <c r="J959" s="14" t="n"/>
      <c r="K959" s="7" t="n"/>
      <c r="L959" s="7" t="n"/>
      <c r="M959" s="7" t="n"/>
      <c r="N959" s="7" t="n"/>
      <c r="O959" s="7" t="n"/>
      <c r="P959" s="7" t="n"/>
      <c r="Q959" s="14" t="n"/>
      <c r="R959" s="7" t="n"/>
      <c r="S959" s="7" t="n"/>
      <c r="T959" s="7" t="n"/>
      <c r="U959" s="12">
        <f>IF(A959="","",IF(OR(J959="",L959=""),"建議補聯絡紀錄","") )</f>
        <v/>
      </c>
    </row>
    <row r="960" ht="24" customHeight="1">
      <c r="A960" s="7" t="n"/>
      <c r="B960" s="7" t="n"/>
      <c r="C960" s="12">
        <f>IF($A960="","",IFERROR(INDEX(土地清冊_匯入!$B$6:$B$1005,MATCH($A960,土地清冊_匯入!$A$6:$A$1005,0)),"查無資料"))</f>
        <v/>
      </c>
      <c r="D960" s="12">
        <f>IF($A960="","",IFERROR(INDEX(土地清冊_匯入!$P$6:$P$1005,MATCH($A960,土地清冊_匯入!$A$6:$A$1005,0)),""))</f>
        <v/>
      </c>
      <c r="E960" s="12">
        <f>IF($A960="","",IFERROR(INDEX(土地清冊_匯入!$Q$6:$Q$1005,MATCH($A960,土地清冊_匯入!$A$6:$A$1005,0)),""))</f>
        <v/>
      </c>
      <c r="F960" s="12">
        <f>IF($A960="","",IFERROR(INDEX(土地清冊_匯入!$R$6:$R$1005,MATCH($A960,土地清冊_匯入!$A$6:$A$1005,0)),""))</f>
        <v/>
      </c>
      <c r="G960" s="12">
        <f>IF($A960="","",IFERROR(INDEX(土地清冊_匯入!$S$6:$S$1005,MATCH($A960,土地清冊_匯入!$A$6:$A$1005,0)),""))</f>
        <v/>
      </c>
      <c r="H960" s="12">
        <f>IF($A960="","",IFERROR(INDEX(土地清冊_匯入!$T$6:$T$1005,MATCH($A960,土地清冊_匯入!$A$6:$A$1005,0)),""))</f>
        <v/>
      </c>
      <c r="I960" s="12">
        <f>IF($A960="","",IFERROR(INDEX(土地清冊_匯入!$V$6:$V$1005,MATCH($A960,土地清冊_匯入!$A$6:$A$1005,0)),""))</f>
        <v/>
      </c>
      <c r="J960" s="14" t="n"/>
      <c r="K960" s="7" t="n"/>
      <c r="L960" s="7" t="n"/>
      <c r="M960" s="7" t="n"/>
      <c r="N960" s="7" t="n"/>
      <c r="O960" s="7" t="n"/>
      <c r="P960" s="7" t="n"/>
      <c r="Q960" s="14" t="n"/>
      <c r="R960" s="7" t="n"/>
      <c r="S960" s="7" t="n"/>
      <c r="T960" s="7" t="n"/>
      <c r="U960" s="12">
        <f>IF(A960="","",IF(OR(J960="",L960=""),"建議補聯絡紀錄","") )</f>
        <v/>
      </c>
    </row>
    <row r="961" ht="24" customHeight="1">
      <c r="A961" s="7" t="n"/>
      <c r="B961" s="7" t="n"/>
      <c r="C961" s="12">
        <f>IF($A961="","",IFERROR(INDEX(土地清冊_匯入!$B$6:$B$1005,MATCH($A961,土地清冊_匯入!$A$6:$A$1005,0)),"查無資料"))</f>
        <v/>
      </c>
      <c r="D961" s="12">
        <f>IF($A961="","",IFERROR(INDEX(土地清冊_匯入!$P$6:$P$1005,MATCH($A961,土地清冊_匯入!$A$6:$A$1005,0)),""))</f>
        <v/>
      </c>
      <c r="E961" s="12">
        <f>IF($A961="","",IFERROR(INDEX(土地清冊_匯入!$Q$6:$Q$1005,MATCH($A961,土地清冊_匯入!$A$6:$A$1005,0)),""))</f>
        <v/>
      </c>
      <c r="F961" s="12">
        <f>IF($A961="","",IFERROR(INDEX(土地清冊_匯入!$R$6:$R$1005,MATCH($A961,土地清冊_匯入!$A$6:$A$1005,0)),""))</f>
        <v/>
      </c>
      <c r="G961" s="12">
        <f>IF($A961="","",IFERROR(INDEX(土地清冊_匯入!$S$6:$S$1005,MATCH($A961,土地清冊_匯入!$A$6:$A$1005,0)),""))</f>
        <v/>
      </c>
      <c r="H961" s="12">
        <f>IF($A961="","",IFERROR(INDEX(土地清冊_匯入!$T$6:$T$1005,MATCH($A961,土地清冊_匯入!$A$6:$A$1005,0)),""))</f>
        <v/>
      </c>
      <c r="I961" s="12">
        <f>IF($A961="","",IFERROR(INDEX(土地清冊_匯入!$V$6:$V$1005,MATCH($A961,土地清冊_匯入!$A$6:$A$1005,0)),""))</f>
        <v/>
      </c>
      <c r="J961" s="14" t="n"/>
      <c r="K961" s="7" t="n"/>
      <c r="L961" s="7" t="n"/>
      <c r="M961" s="7" t="n"/>
      <c r="N961" s="7" t="n"/>
      <c r="O961" s="7" t="n"/>
      <c r="P961" s="7" t="n"/>
      <c r="Q961" s="14" t="n"/>
      <c r="R961" s="7" t="n"/>
      <c r="S961" s="7" t="n"/>
      <c r="T961" s="7" t="n"/>
      <c r="U961" s="12">
        <f>IF(A961="","",IF(OR(J961="",L961=""),"建議補聯絡紀錄","") )</f>
        <v/>
      </c>
    </row>
    <row r="962" ht="24" customHeight="1">
      <c r="A962" s="7" t="n"/>
      <c r="B962" s="7" t="n"/>
      <c r="C962" s="12">
        <f>IF($A962="","",IFERROR(INDEX(土地清冊_匯入!$B$6:$B$1005,MATCH($A962,土地清冊_匯入!$A$6:$A$1005,0)),"查無資料"))</f>
        <v/>
      </c>
      <c r="D962" s="12">
        <f>IF($A962="","",IFERROR(INDEX(土地清冊_匯入!$P$6:$P$1005,MATCH($A962,土地清冊_匯入!$A$6:$A$1005,0)),""))</f>
        <v/>
      </c>
      <c r="E962" s="12">
        <f>IF($A962="","",IFERROR(INDEX(土地清冊_匯入!$Q$6:$Q$1005,MATCH($A962,土地清冊_匯入!$A$6:$A$1005,0)),""))</f>
        <v/>
      </c>
      <c r="F962" s="12">
        <f>IF($A962="","",IFERROR(INDEX(土地清冊_匯入!$R$6:$R$1005,MATCH($A962,土地清冊_匯入!$A$6:$A$1005,0)),""))</f>
        <v/>
      </c>
      <c r="G962" s="12">
        <f>IF($A962="","",IFERROR(INDEX(土地清冊_匯入!$S$6:$S$1005,MATCH($A962,土地清冊_匯入!$A$6:$A$1005,0)),""))</f>
        <v/>
      </c>
      <c r="H962" s="12">
        <f>IF($A962="","",IFERROR(INDEX(土地清冊_匯入!$T$6:$T$1005,MATCH($A962,土地清冊_匯入!$A$6:$A$1005,0)),""))</f>
        <v/>
      </c>
      <c r="I962" s="12">
        <f>IF($A962="","",IFERROR(INDEX(土地清冊_匯入!$V$6:$V$1005,MATCH($A962,土地清冊_匯入!$A$6:$A$1005,0)),""))</f>
        <v/>
      </c>
      <c r="J962" s="14" t="n"/>
      <c r="K962" s="7" t="n"/>
      <c r="L962" s="7" t="n"/>
      <c r="M962" s="7" t="n"/>
      <c r="N962" s="7" t="n"/>
      <c r="O962" s="7" t="n"/>
      <c r="P962" s="7" t="n"/>
      <c r="Q962" s="14" t="n"/>
      <c r="R962" s="7" t="n"/>
      <c r="S962" s="7" t="n"/>
      <c r="T962" s="7" t="n"/>
      <c r="U962" s="12">
        <f>IF(A962="","",IF(OR(J962="",L962=""),"建議補聯絡紀錄","") )</f>
        <v/>
      </c>
    </row>
    <row r="963" ht="24" customHeight="1">
      <c r="A963" s="7" t="n"/>
      <c r="B963" s="7" t="n"/>
      <c r="C963" s="12">
        <f>IF($A963="","",IFERROR(INDEX(土地清冊_匯入!$B$6:$B$1005,MATCH($A963,土地清冊_匯入!$A$6:$A$1005,0)),"查無資料"))</f>
        <v/>
      </c>
      <c r="D963" s="12">
        <f>IF($A963="","",IFERROR(INDEX(土地清冊_匯入!$P$6:$P$1005,MATCH($A963,土地清冊_匯入!$A$6:$A$1005,0)),""))</f>
        <v/>
      </c>
      <c r="E963" s="12">
        <f>IF($A963="","",IFERROR(INDEX(土地清冊_匯入!$Q$6:$Q$1005,MATCH($A963,土地清冊_匯入!$A$6:$A$1005,0)),""))</f>
        <v/>
      </c>
      <c r="F963" s="12">
        <f>IF($A963="","",IFERROR(INDEX(土地清冊_匯入!$R$6:$R$1005,MATCH($A963,土地清冊_匯入!$A$6:$A$1005,0)),""))</f>
        <v/>
      </c>
      <c r="G963" s="12">
        <f>IF($A963="","",IFERROR(INDEX(土地清冊_匯入!$S$6:$S$1005,MATCH($A963,土地清冊_匯入!$A$6:$A$1005,0)),""))</f>
        <v/>
      </c>
      <c r="H963" s="12">
        <f>IF($A963="","",IFERROR(INDEX(土地清冊_匯入!$T$6:$T$1005,MATCH($A963,土地清冊_匯入!$A$6:$A$1005,0)),""))</f>
        <v/>
      </c>
      <c r="I963" s="12">
        <f>IF($A963="","",IFERROR(INDEX(土地清冊_匯入!$V$6:$V$1005,MATCH($A963,土地清冊_匯入!$A$6:$A$1005,0)),""))</f>
        <v/>
      </c>
      <c r="J963" s="14" t="n"/>
      <c r="K963" s="7" t="n"/>
      <c r="L963" s="7" t="n"/>
      <c r="M963" s="7" t="n"/>
      <c r="N963" s="7" t="n"/>
      <c r="O963" s="7" t="n"/>
      <c r="P963" s="7" t="n"/>
      <c r="Q963" s="14" t="n"/>
      <c r="R963" s="7" t="n"/>
      <c r="S963" s="7" t="n"/>
      <c r="T963" s="7" t="n"/>
      <c r="U963" s="12">
        <f>IF(A963="","",IF(OR(J963="",L963=""),"建議補聯絡紀錄","") )</f>
        <v/>
      </c>
    </row>
    <row r="964" ht="24" customHeight="1">
      <c r="A964" s="7" t="n"/>
      <c r="B964" s="7" t="n"/>
      <c r="C964" s="12">
        <f>IF($A964="","",IFERROR(INDEX(土地清冊_匯入!$B$6:$B$1005,MATCH($A964,土地清冊_匯入!$A$6:$A$1005,0)),"查無資料"))</f>
        <v/>
      </c>
      <c r="D964" s="12">
        <f>IF($A964="","",IFERROR(INDEX(土地清冊_匯入!$P$6:$P$1005,MATCH($A964,土地清冊_匯入!$A$6:$A$1005,0)),""))</f>
        <v/>
      </c>
      <c r="E964" s="12">
        <f>IF($A964="","",IFERROR(INDEX(土地清冊_匯入!$Q$6:$Q$1005,MATCH($A964,土地清冊_匯入!$A$6:$A$1005,0)),""))</f>
        <v/>
      </c>
      <c r="F964" s="12">
        <f>IF($A964="","",IFERROR(INDEX(土地清冊_匯入!$R$6:$R$1005,MATCH($A964,土地清冊_匯入!$A$6:$A$1005,0)),""))</f>
        <v/>
      </c>
      <c r="G964" s="12">
        <f>IF($A964="","",IFERROR(INDEX(土地清冊_匯入!$S$6:$S$1005,MATCH($A964,土地清冊_匯入!$A$6:$A$1005,0)),""))</f>
        <v/>
      </c>
      <c r="H964" s="12">
        <f>IF($A964="","",IFERROR(INDEX(土地清冊_匯入!$T$6:$T$1005,MATCH($A964,土地清冊_匯入!$A$6:$A$1005,0)),""))</f>
        <v/>
      </c>
      <c r="I964" s="12">
        <f>IF($A964="","",IFERROR(INDEX(土地清冊_匯入!$V$6:$V$1005,MATCH($A964,土地清冊_匯入!$A$6:$A$1005,0)),""))</f>
        <v/>
      </c>
      <c r="J964" s="14" t="n"/>
      <c r="K964" s="7" t="n"/>
      <c r="L964" s="7" t="n"/>
      <c r="M964" s="7" t="n"/>
      <c r="N964" s="7" t="n"/>
      <c r="O964" s="7" t="n"/>
      <c r="P964" s="7" t="n"/>
      <c r="Q964" s="14" t="n"/>
      <c r="R964" s="7" t="n"/>
      <c r="S964" s="7" t="n"/>
      <c r="T964" s="7" t="n"/>
      <c r="U964" s="12">
        <f>IF(A964="","",IF(OR(J964="",L964=""),"建議補聯絡紀錄","") )</f>
        <v/>
      </c>
    </row>
    <row r="965" ht="24" customHeight="1">
      <c r="A965" s="7" t="n"/>
      <c r="B965" s="7" t="n"/>
      <c r="C965" s="12">
        <f>IF($A965="","",IFERROR(INDEX(土地清冊_匯入!$B$6:$B$1005,MATCH($A965,土地清冊_匯入!$A$6:$A$1005,0)),"查無資料"))</f>
        <v/>
      </c>
      <c r="D965" s="12">
        <f>IF($A965="","",IFERROR(INDEX(土地清冊_匯入!$P$6:$P$1005,MATCH($A965,土地清冊_匯入!$A$6:$A$1005,0)),""))</f>
        <v/>
      </c>
      <c r="E965" s="12">
        <f>IF($A965="","",IFERROR(INDEX(土地清冊_匯入!$Q$6:$Q$1005,MATCH($A965,土地清冊_匯入!$A$6:$A$1005,0)),""))</f>
        <v/>
      </c>
      <c r="F965" s="12">
        <f>IF($A965="","",IFERROR(INDEX(土地清冊_匯入!$R$6:$R$1005,MATCH($A965,土地清冊_匯入!$A$6:$A$1005,0)),""))</f>
        <v/>
      </c>
      <c r="G965" s="12">
        <f>IF($A965="","",IFERROR(INDEX(土地清冊_匯入!$S$6:$S$1005,MATCH($A965,土地清冊_匯入!$A$6:$A$1005,0)),""))</f>
        <v/>
      </c>
      <c r="H965" s="12">
        <f>IF($A965="","",IFERROR(INDEX(土地清冊_匯入!$T$6:$T$1005,MATCH($A965,土地清冊_匯入!$A$6:$A$1005,0)),""))</f>
        <v/>
      </c>
      <c r="I965" s="12">
        <f>IF($A965="","",IFERROR(INDEX(土地清冊_匯入!$V$6:$V$1005,MATCH($A965,土地清冊_匯入!$A$6:$A$1005,0)),""))</f>
        <v/>
      </c>
      <c r="J965" s="14" t="n"/>
      <c r="K965" s="7" t="n"/>
      <c r="L965" s="7" t="n"/>
      <c r="M965" s="7" t="n"/>
      <c r="N965" s="7" t="n"/>
      <c r="O965" s="7" t="n"/>
      <c r="P965" s="7" t="n"/>
      <c r="Q965" s="14" t="n"/>
      <c r="R965" s="7" t="n"/>
      <c r="S965" s="7" t="n"/>
      <c r="T965" s="7" t="n"/>
      <c r="U965" s="12">
        <f>IF(A965="","",IF(OR(J965="",L965=""),"建議補聯絡紀錄","") )</f>
        <v/>
      </c>
    </row>
    <row r="966" ht="24" customHeight="1">
      <c r="A966" s="7" t="n"/>
      <c r="B966" s="7" t="n"/>
      <c r="C966" s="12">
        <f>IF($A966="","",IFERROR(INDEX(土地清冊_匯入!$B$6:$B$1005,MATCH($A966,土地清冊_匯入!$A$6:$A$1005,0)),"查無資料"))</f>
        <v/>
      </c>
      <c r="D966" s="12">
        <f>IF($A966="","",IFERROR(INDEX(土地清冊_匯入!$P$6:$P$1005,MATCH($A966,土地清冊_匯入!$A$6:$A$1005,0)),""))</f>
        <v/>
      </c>
      <c r="E966" s="12">
        <f>IF($A966="","",IFERROR(INDEX(土地清冊_匯入!$Q$6:$Q$1005,MATCH($A966,土地清冊_匯入!$A$6:$A$1005,0)),""))</f>
        <v/>
      </c>
      <c r="F966" s="12">
        <f>IF($A966="","",IFERROR(INDEX(土地清冊_匯入!$R$6:$R$1005,MATCH($A966,土地清冊_匯入!$A$6:$A$1005,0)),""))</f>
        <v/>
      </c>
      <c r="G966" s="12">
        <f>IF($A966="","",IFERROR(INDEX(土地清冊_匯入!$S$6:$S$1005,MATCH($A966,土地清冊_匯入!$A$6:$A$1005,0)),""))</f>
        <v/>
      </c>
      <c r="H966" s="12">
        <f>IF($A966="","",IFERROR(INDEX(土地清冊_匯入!$T$6:$T$1005,MATCH($A966,土地清冊_匯入!$A$6:$A$1005,0)),""))</f>
        <v/>
      </c>
      <c r="I966" s="12">
        <f>IF($A966="","",IFERROR(INDEX(土地清冊_匯入!$V$6:$V$1005,MATCH($A966,土地清冊_匯入!$A$6:$A$1005,0)),""))</f>
        <v/>
      </c>
      <c r="J966" s="14" t="n"/>
      <c r="K966" s="7" t="n"/>
      <c r="L966" s="7" t="n"/>
      <c r="M966" s="7" t="n"/>
      <c r="N966" s="7" t="n"/>
      <c r="O966" s="7" t="n"/>
      <c r="P966" s="7" t="n"/>
      <c r="Q966" s="14" t="n"/>
      <c r="R966" s="7" t="n"/>
      <c r="S966" s="7" t="n"/>
      <c r="T966" s="7" t="n"/>
      <c r="U966" s="12">
        <f>IF(A966="","",IF(OR(J966="",L966=""),"建議補聯絡紀錄","") )</f>
        <v/>
      </c>
    </row>
    <row r="967" ht="24" customHeight="1">
      <c r="A967" s="7" t="n"/>
      <c r="B967" s="7" t="n"/>
      <c r="C967" s="12">
        <f>IF($A967="","",IFERROR(INDEX(土地清冊_匯入!$B$6:$B$1005,MATCH($A967,土地清冊_匯入!$A$6:$A$1005,0)),"查無資料"))</f>
        <v/>
      </c>
      <c r="D967" s="12">
        <f>IF($A967="","",IFERROR(INDEX(土地清冊_匯入!$P$6:$P$1005,MATCH($A967,土地清冊_匯入!$A$6:$A$1005,0)),""))</f>
        <v/>
      </c>
      <c r="E967" s="12">
        <f>IF($A967="","",IFERROR(INDEX(土地清冊_匯入!$Q$6:$Q$1005,MATCH($A967,土地清冊_匯入!$A$6:$A$1005,0)),""))</f>
        <v/>
      </c>
      <c r="F967" s="12">
        <f>IF($A967="","",IFERROR(INDEX(土地清冊_匯入!$R$6:$R$1005,MATCH($A967,土地清冊_匯入!$A$6:$A$1005,0)),""))</f>
        <v/>
      </c>
      <c r="G967" s="12">
        <f>IF($A967="","",IFERROR(INDEX(土地清冊_匯入!$S$6:$S$1005,MATCH($A967,土地清冊_匯入!$A$6:$A$1005,0)),""))</f>
        <v/>
      </c>
      <c r="H967" s="12">
        <f>IF($A967="","",IFERROR(INDEX(土地清冊_匯入!$T$6:$T$1005,MATCH($A967,土地清冊_匯入!$A$6:$A$1005,0)),""))</f>
        <v/>
      </c>
      <c r="I967" s="12">
        <f>IF($A967="","",IFERROR(INDEX(土地清冊_匯入!$V$6:$V$1005,MATCH($A967,土地清冊_匯入!$A$6:$A$1005,0)),""))</f>
        <v/>
      </c>
      <c r="J967" s="14" t="n"/>
      <c r="K967" s="7" t="n"/>
      <c r="L967" s="7" t="n"/>
      <c r="M967" s="7" t="n"/>
      <c r="N967" s="7" t="n"/>
      <c r="O967" s="7" t="n"/>
      <c r="P967" s="7" t="n"/>
      <c r="Q967" s="14" t="n"/>
      <c r="R967" s="7" t="n"/>
      <c r="S967" s="7" t="n"/>
      <c r="T967" s="7" t="n"/>
      <c r="U967" s="12">
        <f>IF(A967="","",IF(OR(J967="",L967=""),"建議補聯絡紀錄","") )</f>
        <v/>
      </c>
    </row>
    <row r="968" ht="24" customHeight="1">
      <c r="A968" s="7" t="n"/>
      <c r="B968" s="7" t="n"/>
      <c r="C968" s="12">
        <f>IF($A968="","",IFERROR(INDEX(土地清冊_匯入!$B$6:$B$1005,MATCH($A968,土地清冊_匯入!$A$6:$A$1005,0)),"查無資料"))</f>
        <v/>
      </c>
      <c r="D968" s="12">
        <f>IF($A968="","",IFERROR(INDEX(土地清冊_匯入!$P$6:$P$1005,MATCH($A968,土地清冊_匯入!$A$6:$A$1005,0)),""))</f>
        <v/>
      </c>
      <c r="E968" s="12">
        <f>IF($A968="","",IFERROR(INDEX(土地清冊_匯入!$Q$6:$Q$1005,MATCH($A968,土地清冊_匯入!$A$6:$A$1005,0)),""))</f>
        <v/>
      </c>
      <c r="F968" s="12">
        <f>IF($A968="","",IFERROR(INDEX(土地清冊_匯入!$R$6:$R$1005,MATCH($A968,土地清冊_匯入!$A$6:$A$1005,0)),""))</f>
        <v/>
      </c>
      <c r="G968" s="12">
        <f>IF($A968="","",IFERROR(INDEX(土地清冊_匯入!$S$6:$S$1005,MATCH($A968,土地清冊_匯入!$A$6:$A$1005,0)),""))</f>
        <v/>
      </c>
      <c r="H968" s="12">
        <f>IF($A968="","",IFERROR(INDEX(土地清冊_匯入!$T$6:$T$1005,MATCH($A968,土地清冊_匯入!$A$6:$A$1005,0)),""))</f>
        <v/>
      </c>
      <c r="I968" s="12">
        <f>IF($A968="","",IFERROR(INDEX(土地清冊_匯入!$V$6:$V$1005,MATCH($A968,土地清冊_匯入!$A$6:$A$1005,0)),""))</f>
        <v/>
      </c>
      <c r="J968" s="14" t="n"/>
      <c r="K968" s="7" t="n"/>
      <c r="L968" s="7" t="n"/>
      <c r="M968" s="7" t="n"/>
      <c r="N968" s="7" t="n"/>
      <c r="O968" s="7" t="n"/>
      <c r="P968" s="7" t="n"/>
      <c r="Q968" s="14" t="n"/>
      <c r="R968" s="7" t="n"/>
      <c r="S968" s="7" t="n"/>
      <c r="T968" s="7" t="n"/>
      <c r="U968" s="12">
        <f>IF(A968="","",IF(OR(J968="",L968=""),"建議補聯絡紀錄","") )</f>
        <v/>
      </c>
    </row>
    <row r="969" ht="24" customHeight="1">
      <c r="A969" s="7" t="n"/>
      <c r="B969" s="7" t="n"/>
      <c r="C969" s="12">
        <f>IF($A969="","",IFERROR(INDEX(土地清冊_匯入!$B$6:$B$1005,MATCH($A969,土地清冊_匯入!$A$6:$A$1005,0)),"查無資料"))</f>
        <v/>
      </c>
      <c r="D969" s="12">
        <f>IF($A969="","",IFERROR(INDEX(土地清冊_匯入!$P$6:$P$1005,MATCH($A969,土地清冊_匯入!$A$6:$A$1005,0)),""))</f>
        <v/>
      </c>
      <c r="E969" s="12">
        <f>IF($A969="","",IFERROR(INDEX(土地清冊_匯入!$Q$6:$Q$1005,MATCH($A969,土地清冊_匯入!$A$6:$A$1005,0)),""))</f>
        <v/>
      </c>
      <c r="F969" s="12">
        <f>IF($A969="","",IFERROR(INDEX(土地清冊_匯入!$R$6:$R$1005,MATCH($A969,土地清冊_匯入!$A$6:$A$1005,0)),""))</f>
        <v/>
      </c>
      <c r="G969" s="12">
        <f>IF($A969="","",IFERROR(INDEX(土地清冊_匯入!$S$6:$S$1005,MATCH($A969,土地清冊_匯入!$A$6:$A$1005,0)),""))</f>
        <v/>
      </c>
      <c r="H969" s="12">
        <f>IF($A969="","",IFERROR(INDEX(土地清冊_匯入!$T$6:$T$1005,MATCH($A969,土地清冊_匯入!$A$6:$A$1005,0)),""))</f>
        <v/>
      </c>
      <c r="I969" s="12">
        <f>IF($A969="","",IFERROR(INDEX(土地清冊_匯入!$V$6:$V$1005,MATCH($A969,土地清冊_匯入!$A$6:$A$1005,0)),""))</f>
        <v/>
      </c>
      <c r="J969" s="14" t="n"/>
      <c r="K969" s="7" t="n"/>
      <c r="L969" s="7" t="n"/>
      <c r="M969" s="7" t="n"/>
      <c r="N969" s="7" t="n"/>
      <c r="O969" s="7" t="n"/>
      <c r="P969" s="7" t="n"/>
      <c r="Q969" s="14" t="n"/>
      <c r="R969" s="7" t="n"/>
      <c r="S969" s="7" t="n"/>
      <c r="T969" s="7" t="n"/>
      <c r="U969" s="12">
        <f>IF(A969="","",IF(OR(J969="",L969=""),"建議補聯絡紀錄","") )</f>
        <v/>
      </c>
    </row>
    <row r="970" ht="24" customHeight="1">
      <c r="A970" s="7" t="n"/>
      <c r="B970" s="7" t="n"/>
      <c r="C970" s="12">
        <f>IF($A970="","",IFERROR(INDEX(土地清冊_匯入!$B$6:$B$1005,MATCH($A970,土地清冊_匯入!$A$6:$A$1005,0)),"查無資料"))</f>
        <v/>
      </c>
      <c r="D970" s="12">
        <f>IF($A970="","",IFERROR(INDEX(土地清冊_匯入!$P$6:$P$1005,MATCH($A970,土地清冊_匯入!$A$6:$A$1005,0)),""))</f>
        <v/>
      </c>
      <c r="E970" s="12">
        <f>IF($A970="","",IFERROR(INDEX(土地清冊_匯入!$Q$6:$Q$1005,MATCH($A970,土地清冊_匯入!$A$6:$A$1005,0)),""))</f>
        <v/>
      </c>
      <c r="F970" s="12">
        <f>IF($A970="","",IFERROR(INDEX(土地清冊_匯入!$R$6:$R$1005,MATCH($A970,土地清冊_匯入!$A$6:$A$1005,0)),""))</f>
        <v/>
      </c>
      <c r="G970" s="12">
        <f>IF($A970="","",IFERROR(INDEX(土地清冊_匯入!$S$6:$S$1005,MATCH($A970,土地清冊_匯入!$A$6:$A$1005,0)),""))</f>
        <v/>
      </c>
      <c r="H970" s="12">
        <f>IF($A970="","",IFERROR(INDEX(土地清冊_匯入!$T$6:$T$1005,MATCH($A970,土地清冊_匯入!$A$6:$A$1005,0)),""))</f>
        <v/>
      </c>
      <c r="I970" s="12">
        <f>IF($A970="","",IFERROR(INDEX(土地清冊_匯入!$V$6:$V$1005,MATCH($A970,土地清冊_匯入!$A$6:$A$1005,0)),""))</f>
        <v/>
      </c>
      <c r="J970" s="14" t="n"/>
      <c r="K970" s="7" t="n"/>
      <c r="L970" s="7" t="n"/>
      <c r="M970" s="7" t="n"/>
      <c r="N970" s="7" t="n"/>
      <c r="O970" s="7" t="n"/>
      <c r="P970" s="7" t="n"/>
      <c r="Q970" s="14" t="n"/>
      <c r="R970" s="7" t="n"/>
      <c r="S970" s="7" t="n"/>
      <c r="T970" s="7" t="n"/>
      <c r="U970" s="12">
        <f>IF(A970="","",IF(OR(J970="",L970=""),"建議補聯絡紀錄","") )</f>
        <v/>
      </c>
    </row>
    <row r="971" ht="24" customHeight="1">
      <c r="A971" s="7" t="n"/>
      <c r="B971" s="7" t="n"/>
      <c r="C971" s="12">
        <f>IF($A971="","",IFERROR(INDEX(土地清冊_匯入!$B$6:$B$1005,MATCH($A971,土地清冊_匯入!$A$6:$A$1005,0)),"查無資料"))</f>
        <v/>
      </c>
      <c r="D971" s="12">
        <f>IF($A971="","",IFERROR(INDEX(土地清冊_匯入!$P$6:$P$1005,MATCH($A971,土地清冊_匯入!$A$6:$A$1005,0)),""))</f>
        <v/>
      </c>
      <c r="E971" s="12">
        <f>IF($A971="","",IFERROR(INDEX(土地清冊_匯入!$Q$6:$Q$1005,MATCH($A971,土地清冊_匯入!$A$6:$A$1005,0)),""))</f>
        <v/>
      </c>
      <c r="F971" s="12">
        <f>IF($A971="","",IFERROR(INDEX(土地清冊_匯入!$R$6:$R$1005,MATCH($A971,土地清冊_匯入!$A$6:$A$1005,0)),""))</f>
        <v/>
      </c>
      <c r="G971" s="12">
        <f>IF($A971="","",IFERROR(INDEX(土地清冊_匯入!$S$6:$S$1005,MATCH($A971,土地清冊_匯入!$A$6:$A$1005,0)),""))</f>
        <v/>
      </c>
      <c r="H971" s="12">
        <f>IF($A971="","",IFERROR(INDEX(土地清冊_匯入!$T$6:$T$1005,MATCH($A971,土地清冊_匯入!$A$6:$A$1005,0)),""))</f>
        <v/>
      </c>
      <c r="I971" s="12">
        <f>IF($A971="","",IFERROR(INDEX(土地清冊_匯入!$V$6:$V$1005,MATCH($A971,土地清冊_匯入!$A$6:$A$1005,0)),""))</f>
        <v/>
      </c>
      <c r="J971" s="14" t="n"/>
      <c r="K971" s="7" t="n"/>
      <c r="L971" s="7" t="n"/>
      <c r="M971" s="7" t="n"/>
      <c r="N971" s="7" t="n"/>
      <c r="O971" s="7" t="n"/>
      <c r="P971" s="7" t="n"/>
      <c r="Q971" s="14" t="n"/>
      <c r="R971" s="7" t="n"/>
      <c r="S971" s="7" t="n"/>
      <c r="T971" s="7" t="n"/>
      <c r="U971" s="12">
        <f>IF(A971="","",IF(OR(J971="",L971=""),"建議補聯絡紀錄","") )</f>
        <v/>
      </c>
    </row>
    <row r="972" ht="24" customHeight="1">
      <c r="A972" s="7" t="n"/>
      <c r="B972" s="7" t="n"/>
      <c r="C972" s="12">
        <f>IF($A972="","",IFERROR(INDEX(土地清冊_匯入!$B$6:$B$1005,MATCH($A972,土地清冊_匯入!$A$6:$A$1005,0)),"查無資料"))</f>
        <v/>
      </c>
      <c r="D972" s="12">
        <f>IF($A972="","",IFERROR(INDEX(土地清冊_匯入!$P$6:$P$1005,MATCH($A972,土地清冊_匯入!$A$6:$A$1005,0)),""))</f>
        <v/>
      </c>
      <c r="E972" s="12">
        <f>IF($A972="","",IFERROR(INDEX(土地清冊_匯入!$Q$6:$Q$1005,MATCH($A972,土地清冊_匯入!$A$6:$A$1005,0)),""))</f>
        <v/>
      </c>
      <c r="F972" s="12">
        <f>IF($A972="","",IFERROR(INDEX(土地清冊_匯入!$R$6:$R$1005,MATCH($A972,土地清冊_匯入!$A$6:$A$1005,0)),""))</f>
        <v/>
      </c>
      <c r="G972" s="12">
        <f>IF($A972="","",IFERROR(INDEX(土地清冊_匯入!$S$6:$S$1005,MATCH($A972,土地清冊_匯入!$A$6:$A$1005,0)),""))</f>
        <v/>
      </c>
      <c r="H972" s="12">
        <f>IF($A972="","",IFERROR(INDEX(土地清冊_匯入!$T$6:$T$1005,MATCH($A972,土地清冊_匯入!$A$6:$A$1005,0)),""))</f>
        <v/>
      </c>
      <c r="I972" s="12">
        <f>IF($A972="","",IFERROR(INDEX(土地清冊_匯入!$V$6:$V$1005,MATCH($A972,土地清冊_匯入!$A$6:$A$1005,0)),""))</f>
        <v/>
      </c>
      <c r="J972" s="14" t="n"/>
      <c r="K972" s="7" t="n"/>
      <c r="L972" s="7" t="n"/>
      <c r="M972" s="7" t="n"/>
      <c r="N972" s="7" t="n"/>
      <c r="O972" s="7" t="n"/>
      <c r="P972" s="7" t="n"/>
      <c r="Q972" s="14" t="n"/>
      <c r="R972" s="7" t="n"/>
      <c r="S972" s="7" t="n"/>
      <c r="T972" s="7" t="n"/>
      <c r="U972" s="12">
        <f>IF(A972="","",IF(OR(J972="",L972=""),"建議補聯絡紀錄","") )</f>
        <v/>
      </c>
    </row>
    <row r="973" ht="24" customHeight="1">
      <c r="A973" s="7" t="n"/>
      <c r="B973" s="7" t="n"/>
      <c r="C973" s="12">
        <f>IF($A973="","",IFERROR(INDEX(土地清冊_匯入!$B$6:$B$1005,MATCH($A973,土地清冊_匯入!$A$6:$A$1005,0)),"查無資料"))</f>
        <v/>
      </c>
      <c r="D973" s="12">
        <f>IF($A973="","",IFERROR(INDEX(土地清冊_匯入!$P$6:$P$1005,MATCH($A973,土地清冊_匯入!$A$6:$A$1005,0)),""))</f>
        <v/>
      </c>
      <c r="E973" s="12">
        <f>IF($A973="","",IFERROR(INDEX(土地清冊_匯入!$Q$6:$Q$1005,MATCH($A973,土地清冊_匯入!$A$6:$A$1005,0)),""))</f>
        <v/>
      </c>
      <c r="F973" s="12">
        <f>IF($A973="","",IFERROR(INDEX(土地清冊_匯入!$R$6:$R$1005,MATCH($A973,土地清冊_匯入!$A$6:$A$1005,0)),""))</f>
        <v/>
      </c>
      <c r="G973" s="12">
        <f>IF($A973="","",IFERROR(INDEX(土地清冊_匯入!$S$6:$S$1005,MATCH($A973,土地清冊_匯入!$A$6:$A$1005,0)),""))</f>
        <v/>
      </c>
      <c r="H973" s="12">
        <f>IF($A973="","",IFERROR(INDEX(土地清冊_匯入!$T$6:$T$1005,MATCH($A973,土地清冊_匯入!$A$6:$A$1005,0)),""))</f>
        <v/>
      </c>
      <c r="I973" s="12">
        <f>IF($A973="","",IFERROR(INDEX(土地清冊_匯入!$V$6:$V$1005,MATCH($A973,土地清冊_匯入!$A$6:$A$1005,0)),""))</f>
        <v/>
      </c>
      <c r="J973" s="14" t="n"/>
      <c r="K973" s="7" t="n"/>
      <c r="L973" s="7" t="n"/>
      <c r="M973" s="7" t="n"/>
      <c r="N973" s="7" t="n"/>
      <c r="O973" s="7" t="n"/>
      <c r="P973" s="7" t="n"/>
      <c r="Q973" s="14" t="n"/>
      <c r="R973" s="7" t="n"/>
      <c r="S973" s="7" t="n"/>
      <c r="T973" s="7" t="n"/>
      <c r="U973" s="12">
        <f>IF(A973="","",IF(OR(J973="",L973=""),"建議補聯絡紀錄","") )</f>
        <v/>
      </c>
    </row>
    <row r="974" ht="24" customHeight="1">
      <c r="A974" s="7" t="n"/>
      <c r="B974" s="7" t="n"/>
      <c r="C974" s="12">
        <f>IF($A974="","",IFERROR(INDEX(土地清冊_匯入!$B$6:$B$1005,MATCH($A974,土地清冊_匯入!$A$6:$A$1005,0)),"查無資料"))</f>
        <v/>
      </c>
      <c r="D974" s="12">
        <f>IF($A974="","",IFERROR(INDEX(土地清冊_匯入!$P$6:$P$1005,MATCH($A974,土地清冊_匯入!$A$6:$A$1005,0)),""))</f>
        <v/>
      </c>
      <c r="E974" s="12">
        <f>IF($A974="","",IFERROR(INDEX(土地清冊_匯入!$Q$6:$Q$1005,MATCH($A974,土地清冊_匯入!$A$6:$A$1005,0)),""))</f>
        <v/>
      </c>
      <c r="F974" s="12">
        <f>IF($A974="","",IFERROR(INDEX(土地清冊_匯入!$R$6:$R$1005,MATCH($A974,土地清冊_匯入!$A$6:$A$1005,0)),""))</f>
        <v/>
      </c>
      <c r="G974" s="12">
        <f>IF($A974="","",IFERROR(INDEX(土地清冊_匯入!$S$6:$S$1005,MATCH($A974,土地清冊_匯入!$A$6:$A$1005,0)),""))</f>
        <v/>
      </c>
      <c r="H974" s="12">
        <f>IF($A974="","",IFERROR(INDEX(土地清冊_匯入!$T$6:$T$1005,MATCH($A974,土地清冊_匯入!$A$6:$A$1005,0)),""))</f>
        <v/>
      </c>
      <c r="I974" s="12">
        <f>IF($A974="","",IFERROR(INDEX(土地清冊_匯入!$V$6:$V$1005,MATCH($A974,土地清冊_匯入!$A$6:$A$1005,0)),""))</f>
        <v/>
      </c>
      <c r="J974" s="14" t="n"/>
      <c r="K974" s="7" t="n"/>
      <c r="L974" s="7" t="n"/>
      <c r="M974" s="7" t="n"/>
      <c r="N974" s="7" t="n"/>
      <c r="O974" s="7" t="n"/>
      <c r="P974" s="7" t="n"/>
      <c r="Q974" s="14" t="n"/>
      <c r="R974" s="7" t="n"/>
      <c r="S974" s="7" t="n"/>
      <c r="T974" s="7" t="n"/>
      <c r="U974" s="12">
        <f>IF(A974="","",IF(OR(J974="",L974=""),"建議補聯絡紀錄","") )</f>
        <v/>
      </c>
    </row>
    <row r="975" ht="24" customHeight="1">
      <c r="A975" s="7" t="n"/>
      <c r="B975" s="7" t="n"/>
      <c r="C975" s="12">
        <f>IF($A975="","",IFERROR(INDEX(土地清冊_匯入!$B$6:$B$1005,MATCH($A975,土地清冊_匯入!$A$6:$A$1005,0)),"查無資料"))</f>
        <v/>
      </c>
      <c r="D975" s="12">
        <f>IF($A975="","",IFERROR(INDEX(土地清冊_匯入!$P$6:$P$1005,MATCH($A975,土地清冊_匯入!$A$6:$A$1005,0)),""))</f>
        <v/>
      </c>
      <c r="E975" s="12">
        <f>IF($A975="","",IFERROR(INDEX(土地清冊_匯入!$Q$6:$Q$1005,MATCH($A975,土地清冊_匯入!$A$6:$A$1005,0)),""))</f>
        <v/>
      </c>
      <c r="F975" s="12">
        <f>IF($A975="","",IFERROR(INDEX(土地清冊_匯入!$R$6:$R$1005,MATCH($A975,土地清冊_匯入!$A$6:$A$1005,0)),""))</f>
        <v/>
      </c>
      <c r="G975" s="12">
        <f>IF($A975="","",IFERROR(INDEX(土地清冊_匯入!$S$6:$S$1005,MATCH($A975,土地清冊_匯入!$A$6:$A$1005,0)),""))</f>
        <v/>
      </c>
      <c r="H975" s="12">
        <f>IF($A975="","",IFERROR(INDEX(土地清冊_匯入!$T$6:$T$1005,MATCH($A975,土地清冊_匯入!$A$6:$A$1005,0)),""))</f>
        <v/>
      </c>
      <c r="I975" s="12">
        <f>IF($A975="","",IFERROR(INDEX(土地清冊_匯入!$V$6:$V$1005,MATCH($A975,土地清冊_匯入!$A$6:$A$1005,0)),""))</f>
        <v/>
      </c>
      <c r="J975" s="14" t="n"/>
      <c r="K975" s="7" t="n"/>
      <c r="L975" s="7" t="n"/>
      <c r="M975" s="7" t="n"/>
      <c r="N975" s="7" t="n"/>
      <c r="O975" s="7" t="n"/>
      <c r="P975" s="7" t="n"/>
      <c r="Q975" s="14" t="n"/>
      <c r="R975" s="7" t="n"/>
      <c r="S975" s="7" t="n"/>
      <c r="T975" s="7" t="n"/>
      <c r="U975" s="12">
        <f>IF(A975="","",IF(OR(J975="",L975=""),"建議補聯絡紀錄","") )</f>
        <v/>
      </c>
    </row>
    <row r="976" ht="24" customHeight="1">
      <c r="A976" s="7" t="n"/>
      <c r="B976" s="7" t="n"/>
      <c r="C976" s="12">
        <f>IF($A976="","",IFERROR(INDEX(土地清冊_匯入!$B$6:$B$1005,MATCH($A976,土地清冊_匯入!$A$6:$A$1005,0)),"查無資料"))</f>
        <v/>
      </c>
      <c r="D976" s="12">
        <f>IF($A976="","",IFERROR(INDEX(土地清冊_匯入!$P$6:$P$1005,MATCH($A976,土地清冊_匯入!$A$6:$A$1005,0)),""))</f>
        <v/>
      </c>
      <c r="E976" s="12">
        <f>IF($A976="","",IFERROR(INDEX(土地清冊_匯入!$Q$6:$Q$1005,MATCH($A976,土地清冊_匯入!$A$6:$A$1005,0)),""))</f>
        <v/>
      </c>
      <c r="F976" s="12">
        <f>IF($A976="","",IFERROR(INDEX(土地清冊_匯入!$R$6:$R$1005,MATCH($A976,土地清冊_匯入!$A$6:$A$1005,0)),""))</f>
        <v/>
      </c>
      <c r="G976" s="12">
        <f>IF($A976="","",IFERROR(INDEX(土地清冊_匯入!$S$6:$S$1005,MATCH($A976,土地清冊_匯入!$A$6:$A$1005,0)),""))</f>
        <v/>
      </c>
      <c r="H976" s="12">
        <f>IF($A976="","",IFERROR(INDEX(土地清冊_匯入!$T$6:$T$1005,MATCH($A976,土地清冊_匯入!$A$6:$A$1005,0)),""))</f>
        <v/>
      </c>
      <c r="I976" s="12">
        <f>IF($A976="","",IFERROR(INDEX(土地清冊_匯入!$V$6:$V$1005,MATCH($A976,土地清冊_匯入!$A$6:$A$1005,0)),""))</f>
        <v/>
      </c>
      <c r="J976" s="14" t="n"/>
      <c r="K976" s="7" t="n"/>
      <c r="L976" s="7" t="n"/>
      <c r="M976" s="7" t="n"/>
      <c r="N976" s="7" t="n"/>
      <c r="O976" s="7" t="n"/>
      <c r="P976" s="7" t="n"/>
      <c r="Q976" s="14" t="n"/>
      <c r="R976" s="7" t="n"/>
      <c r="S976" s="7" t="n"/>
      <c r="T976" s="7" t="n"/>
      <c r="U976" s="12">
        <f>IF(A976="","",IF(OR(J976="",L976=""),"建議補聯絡紀錄","") )</f>
        <v/>
      </c>
    </row>
    <row r="977" ht="24" customHeight="1">
      <c r="A977" s="7" t="n"/>
      <c r="B977" s="7" t="n"/>
      <c r="C977" s="12">
        <f>IF($A977="","",IFERROR(INDEX(土地清冊_匯入!$B$6:$B$1005,MATCH($A977,土地清冊_匯入!$A$6:$A$1005,0)),"查無資料"))</f>
        <v/>
      </c>
      <c r="D977" s="12">
        <f>IF($A977="","",IFERROR(INDEX(土地清冊_匯入!$P$6:$P$1005,MATCH($A977,土地清冊_匯入!$A$6:$A$1005,0)),""))</f>
        <v/>
      </c>
      <c r="E977" s="12">
        <f>IF($A977="","",IFERROR(INDEX(土地清冊_匯入!$Q$6:$Q$1005,MATCH($A977,土地清冊_匯入!$A$6:$A$1005,0)),""))</f>
        <v/>
      </c>
      <c r="F977" s="12">
        <f>IF($A977="","",IFERROR(INDEX(土地清冊_匯入!$R$6:$R$1005,MATCH($A977,土地清冊_匯入!$A$6:$A$1005,0)),""))</f>
        <v/>
      </c>
      <c r="G977" s="12">
        <f>IF($A977="","",IFERROR(INDEX(土地清冊_匯入!$S$6:$S$1005,MATCH($A977,土地清冊_匯入!$A$6:$A$1005,0)),""))</f>
        <v/>
      </c>
      <c r="H977" s="12">
        <f>IF($A977="","",IFERROR(INDEX(土地清冊_匯入!$T$6:$T$1005,MATCH($A977,土地清冊_匯入!$A$6:$A$1005,0)),""))</f>
        <v/>
      </c>
      <c r="I977" s="12">
        <f>IF($A977="","",IFERROR(INDEX(土地清冊_匯入!$V$6:$V$1005,MATCH($A977,土地清冊_匯入!$A$6:$A$1005,0)),""))</f>
        <v/>
      </c>
      <c r="J977" s="14" t="n"/>
      <c r="K977" s="7" t="n"/>
      <c r="L977" s="7" t="n"/>
      <c r="M977" s="7" t="n"/>
      <c r="N977" s="7" t="n"/>
      <c r="O977" s="7" t="n"/>
      <c r="P977" s="7" t="n"/>
      <c r="Q977" s="14" t="n"/>
      <c r="R977" s="7" t="n"/>
      <c r="S977" s="7" t="n"/>
      <c r="T977" s="7" t="n"/>
      <c r="U977" s="12">
        <f>IF(A977="","",IF(OR(J977="",L977=""),"建議補聯絡紀錄","") )</f>
        <v/>
      </c>
    </row>
    <row r="978" ht="24" customHeight="1">
      <c r="A978" s="7" t="n"/>
      <c r="B978" s="7" t="n"/>
      <c r="C978" s="12">
        <f>IF($A978="","",IFERROR(INDEX(土地清冊_匯入!$B$6:$B$1005,MATCH($A978,土地清冊_匯入!$A$6:$A$1005,0)),"查無資料"))</f>
        <v/>
      </c>
      <c r="D978" s="12">
        <f>IF($A978="","",IFERROR(INDEX(土地清冊_匯入!$P$6:$P$1005,MATCH($A978,土地清冊_匯入!$A$6:$A$1005,0)),""))</f>
        <v/>
      </c>
      <c r="E978" s="12">
        <f>IF($A978="","",IFERROR(INDEX(土地清冊_匯入!$Q$6:$Q$1005,MATCH($A978,土地清冊_匯入!$A$6:$A$1005,0)),""))</f>
        <v/>
      </c>
      <c r="F978" s="12">
        <f>IF($A978="","",IFERROR(INDEX(土地清冊_匯入!$R$6:$R$1005,MATCH($A978,土地清冊_匯入!$A$6:$A$1005,0)),""))</f>
        <v/>
      </c>
      <c r="G978" s="12">
        <f>IF($A978="","",IFERROR(INDEX(土地清冊_匯入!$S$6:$S$1005,MATCH($A978,土地清冊_匯入!$A$6:$A$1005,0)),""))</f>
        <v/>
      </c>
      <c r="H978" s="12">
        <f>IF($A978="","",IFERROR(INDEX(土地清冊_匯入!$T$6:$T$1005,MATCH($A978,土地清冊_匯入!$A$6:$A$1005,0)),""))</f>
        <v/>
      </c>
      <c r="I978" s="12">
        <f>IF($A978="","",IFERROR(INDEX(土地清冊_匯入!$V$6:$V$1005,MATCH($A978,土地清冊_匯入!$A$6:$A$1005,0)),""))</f>
        <v/>
      </c>
      <c r="J978" s="14" t="n"/>
      <c r="K978" s="7" t="n"/>
      <c r="L978" s="7" t="n"/>
      <c r="M978" s="7" t="n"/>
      <c r="N978" s="7" t="n"/>
      <c r="O978" s="7" t="n"/>
      <c r="P978" s="7" t="n"/>
      <c r="Q978" s="14" t="n"/>
      <c r="R978" s="7" t="n"/>
      <c r="S978" s="7" t="n"/>
      <c r="T978" s="7" t="n"/>
      <c r="U978" s="12">
        <f>IF(A978="","",IF(OR(J978="",L978=""),"建議補聯絡紀錄","") )</f>
        <v/>
      </c>
    </row>
    <row r="979" ht="24" customHeight="1">
      <c r="A979" s="7" t="n"/>
      <c r="B979" s="7" t="n"/>
      <c r="C979" s="12">
        <f>IF($A979="","",IFERROR(INDEX(土地清冊_匯入!$B$6:$B$1005,MATCH($A979,土地清冊_匯入!$A$6:$A$1005,0)),"查無資料"))</f>
        <v/>
      </c>
      <c r="D979" s="12">
        <f>IF($A979="","",IFERROR(INDEX(土地清冊_匯入!$P$6:$P$1005,MATCH($A979,土地清冊_匯入!$A$6:$A$1005,0)),""))</f>
        <v/>
      </c>
      <c r="E979" s="12">
        <f>IF($A979="","",IFERROR(INDEX(土地清冊_匯入!$Q$6:$Q$1005,MATCH($A979,土地清冊_匯入!$A$6:$A$1005,0)),""))</f>
        <v/>
      </c>
      <c r="F979" s="12">
        <f>IF($A979="","",IFERROR(INDEX(土地清冊_匯入!$R$6:$R$1005,MATCH($A979,土地清冊_匯入!$A$6:$A$1005,0)),""))</f>
        <v/>
      </c>
      <c r="G979" s="12">
        <f>IF($A979="","",IFERROR(INDEX(土地清冊_匯入!$S$6:$S$1005,MATCH($A979,土地清冊_匯入!$A$6:$A$1005,0)),""))</f>
        <v/>
      </c>
      <c r="H979" s="12">
        <f>IF($A979="","",IFERROR(INDEX(土地清冊_匯入!$T$6:$T$1005,MATCH($A979,土地清冊_匯入!$A$6:$A$1005,0)),""))</f>
        <v/>
      </c>
      <c r="I979" s="12">
        <f>IF($A979="","",IFERROR(INDEX(土地清冊_匯入!$V$6:$V$1005,MATCH($A979,土地清冊_匯入!$A$6:$A$1005,0)),""))</f>
        <v/>
      </c>
      <c r="J979" s="14" t="n"/>
      <c r="K979" s="7" t="n"/>
      <c r="L979" s="7" t="n"/>
      <c r="M979" s="7" t="n"/>
      <c r="N979" s="7" t="n"/>
      <c r="O979" s="7" t="n"/>
      <c r="P979" s="7" t="n"/>
      <c r="Q979" s="14" t="n"/>
      <c r="R979" s="7" t="n"/>
      <c r="S979" s="7" t="n"/>
      <c r="T979" s="7" t="n"/>
      <c r="U979" s="12">
        <f>IF(A979="","",IF(OR(J979="",L979=""),"建議補聯絡紀錄","") )</f>
        <v/>
      </c>
    </row>
    <row r="980" ht="24" customHeight="1">
      <c r="A980" s="7" t="n"/>
      <c r="B980" s="7" t="n"/>
      <c r="C980" s="12">
        <f>IF($A980="","",IFERROR(INDEX(土地清冊_匯入!$B$6:$B$1005,MATCH($A980,土地清冊_匯入!$A$6:$A$1005,0)),"查無資料"))</f>
        <v/>
      </c>
      <c r="D980" s="12">
        <f>IF($A980="","",IFERROR(INDEX(土地清冊_匯入!$P$6:$P$1005,MATCH($A980,土地清冊_匯入!$A$6:$A$1005,0)),""))</f>
        <v/>
      </c>
      <c r="E980" s="12">
        <f>IF($A980="","",IFERROR(INDEX(土地清冊_匯入!$Q$6:$Q$1005,MATCH($A980,土地清冊_匯入!$A$6:$A$1005,0)),""))</f>
        <v/>
      </c>
      <c r="F980" s="12">
        <f>IF($A980="","",IFERROR(INDEX(土地清冊_匯入!$R$6:$R$1005,MATCH($A980,土地清冊_匯入!$A$6:$A$1005,0)),""))</f>
        <v/>
      </c>
      <c r="G980" s="12">
        <f>IF($A980="","",IFERROR(INDEX(土地清冊_匯入!$S$6:$S$1005,MATCH($A980,土地清冊_匯入!$A$6:$A$1005,0)),""))</f>
        <v/>
      </c>
      <c r="H980" s="12">
        <f>IF($A980="","",IFERROR(INDEX(土地清冊_匯入!$T$6:$T$1005,MATCH($A980,土地清冊_匯入!$A$6:$A$1005,0)),""))</f>
        <v/>
      </c>
      <c r="I980" s="12">
        <f>IF($A980="","",IFERROR(INDEX(土地清冊_匯入!$V$6:$V$1005,MATCH($A980,土地清冊_匯入!$A$6:$A$1005,0)),""))</f>
        <v/>
      </c>
      <c r="J980" s="14" t="n"/>
      <c r="K980" s="7" t="n"/>
      <c r="L980" s="7" t="n"/>
      <c r="M980" s="7" t="n"/>
      <c r="N980" s="7" t="n"/>
      <c r="O980" s="7" t="n"/>
      <c r="P980" s="7" t="n"/>
      <c r="Q980" s="14" t="n"/>
      <c r="R980" s="7" t="n"/>
      <c r="S980" s="7" t="n"/>
      <c r="T980" s="7" t="n"/>
      <c r="U980" s="12">
        <f>IF(A980="","",IF(OR(J980="",L980=""),"建議補聯絡紀錄","") )</f>
        <v/>
      </c>
    </row>
    <row r="981" ht="24" customHeight="1">
      <c r="A981" s="7" t="n"/>
      <c r="B981" s="7" t="n"/>
      <c r="C981" s="12">
        <f>IF($A981="","",IFERROR(INDEX(土地清冊_匯入!$B$6:$B$1005,MATCH($A981,土地清冊_匯入!$A$6:$A$1005,0)),"查無資料"))</f>
        <v/>
      </c>
      <c r="D981" s="12">
        <f>IF($A981="","",IFERROR(INDEX(土地清冊_匯入!$P$6:$P$1005,MATCH($A981,土地清冊_匯入!$A$6:$A$1005,0)),""))</f>
        <v/>
      </c>
      <c r="E981" s="12">
        <f>IF($A981="","",IFERROR(INDEX(土地清冊_匯入!$Q$6:$Q$1005,MATCH($A981,土地清冊_匯入!$A$6:$A$1005,0)),""))</f>
        <v/>
      </c>
      <c r="F981" s="12">
        <f>IF($A981="","",IFERROR(INDEX(土地清冊_匯入!$R$6:$R$1005,MATCH($A981,土地清冊_匯入!$A$6:$A$1005,0)),""))</f>
        <v/>
      </c>
      <c r="G981" s="12">
        <f>IF($A981="","",IFERROR(INDEX(土地清冊_匯入!$S$6:$S$1005,MATCH($A981,土地清冊_匯入!$A$6:$A$1005,0)),""))</f>
        <v/>
      </c>
      <c r="H981" s="12">
        <f>IF($A981="","",IFERROR(INDEX(土地清冊_匯入!$T$6:$T$1005,MATCH($A981,土地清冊_匯入!$A$6:$A$1005,0)),""))</f>
        <v/>
      </c>
      <c r="I981" s="12">
        <f>IF($A981="","",IFERROR(INDEX(土地清冊_匯入!$V$6:$V$1005,MATCH($A981,土地清冊_匯入!$A$6:$A$1005,0)),""))</f>
        <v/>
      </c>
      <c r="J981" s="14" t="n"/>
      <c r="K981" s="7" t="n"/>
      <c r="L981" s="7" t="n"/>
      <c r="M981" s="7" t="n"/>
      <c r="N981" s="7" t="n"/>
      <c r="O981" s="7" t="n"/>
      <c r="P981" s="7" t="n"/>
      <c r="Q981" s="14" t="n"/>
      <c r="R981" s="7" t="n"/>
      <c r="S981" s="7" t="n"/>
      <c r="T981" s="7" t="n"/>
      <c r="U981" s="12">
        <f>IF(A981="","",IF(OR(J981="",L981=""),"建議補聯絡紀錄","") )</f>
        <v/>
      </c>
    </row>
    <row r="982" ht="24" customHeight="1">
      <c r="A982" s="7" t="n"/>
      <c r="B982" s="7" t="n"/>
      <c r="C982" s="12">
        <f>IF($A982="","",IFERROR(INDEX(土地清冊_匯入!$B$6:$B$1005,MATCH($A982,土地清冊_匯入!$A$6:$A$1005,0)),"查無資料"))</f>
        <v/>
      </c>
      <c r="D982" s="12">
        <f>IF($A982="","",IFERROR(INDEX(土地清冊_匯入!$P$6:$P$1005,MATCH($A982,土地清冊_匯入!$A$6:$A$1005,0)),""))</f>
        <v/>
      </c>
      <c r="E982" s="12">
        <f>IF($A982="","",IFERROR(INDEX(土地清冊_匯入!$Q$6:$Q$1005,MATCH($A982,土地清冊_匯入!$A$6:$A$1005,0)),""))</f>
        <v/>
      </c>
      <c r="F982" s="12">
        <f>IF($A982="","",IFERROR(INDEX(土地清冊_匯入!$R$6:$R$1005,MATCH($A982,土地清冊_匯入!$A$6:$A$1005,0)),""))</f>
        <v/>
      </c>
      <c r="G982" s="12">
        <f>IF($A982="","",IFERROR(INDEX(土地清冊_匯入!$S$6:$S$1005,MATCH($A982,土地清冊_匯入!$A$6:$A$1005,0)),""))</f>
        <v/>
      </c>
      <c r="H982" s="12">
        <f>IF($A982="","",IFERROR(INDEX(土地清冊_匯入!$T$6:$T$1005,MATCH($A982,土地清冊_匯入!$A$6:$A$1005,0)),""))</f>
        <v/>
      </c>
      <c r="I982" s="12">
        <f>IF($A982="","",IFERROR(INDEX(土地清冊_匯入!$V$6:$V$1005,MATCH($A982,土地清冊_匯入!$A$6:$A$1005,0)),""))</f>
        <v/>
      </c>
      <c r="J982" s="14" t="n"/>
      <c r="K982" s="7" t="n"/>
      <c r="L982" s="7" t="n"/>
      <c r="M982" s="7" t="n"/>
      <c r="N982" s="7" t="n"/>
      <c r="O982" s="7" t="n"/>
      <c r="P982" s="7" t="n"/>
      <c r="Q982" s="14" t="n"/>
      <c r="R982" s="7" t="n"/>
      <c r="S982" s="7" t="n"/>
      <c r="T982" s="7" t="n"/>
      <c r="U982" s="12">
        <f>IF(A982="","",IF(OR(J982="",L982=""),"建議補聯絡紀錄","") )</f>
        <v/>
      </c>
    </row>
    <row r="983" ht="24" customHeight="1">
      <c r="A983" s="7" t="n"/>
      <c r="B983" s="7" t="n"/>
      <c r="C983" s="12">
        <f>IF($A983="","",IFERROR(INDEX(土地清冊_匯入!$B$6:$B$1005,MATCH($A983,土地清冊_匯入!$A$6:$A$1005,0)),"查無資料"))</f>
        <v/>
      </c>
      <c r="D983" s="12">
        <f>IF($A983="","",IFERROR(INDEX(土地清冊_匯入!$P$6:$P$1005,MATCH($A983,土地清冊_匯入!$A$6:$A$1005,0)),""))</f>
        <v/>
      </c>
      <c r="E983" s="12">
        <f>IF($A983="","",IFERROR(INDEX(土地清冊_匯入!$Q$6:$Q$1005,MATCH($A983,土地清冊_匯入!$A$6:$A$1005,0)),""))</f>
        <v/>
      </c>
      <c r="F983" s="12">
        <f>IF($A983="","",IFERROR(INDEX(土地清冊_匯入!$R$6:$R$1005,MATCH($A983,土地清冊_匯入!$A$6:$A$1005,0)),""))</f>
        <v/>
      </c>
      <c r="G983" s="12">
        <f>IF($A983="","",IFERROR(INDEX(土地清冊_匯入!$S$6:$S$1005,MATCH($A983,土地清冊_匯入!$A$6:$A$1005,0)),""))</f>
        <v/>
      </c>
      <c r="H983" s="12">
        <f>IF($A983="","",IFERROR(INDEX(土地清冊_匯入!$T$6:$T$1005,MATCH($A983,土地清冊_匯入!$A$6:$A$1005,0)),""))</f>
        <v/>
      </c>
      <c r="I983" s="12">
        <f>IF($A983="","",IFERROR(INDEX(土地清冊_匯入!$V$6:$V$1005,MATCH($A983,土地清冊_匯入!$A$6:$A$1005,0)),""))</f>
        <v/>
      </c>
      <c r="J983" s="14" t="n"/>
      <c r="K983" s="7" t="n"/>
      <c r="L983" s="7" t="n"/>
      <c r="M983" s="7" t="n"/>
      <c r="N983" s="7" t="n"/>
      <c r="O983" s="7" t="n"/>
      <c r="P983" s="7" t="n"/>
      <c r="Q983" s="14" t="n"/>
      <c r="R983" s="7" t="n"/>
      <c r="S983" s="7" t="n"/>
      <c r="T983" s="7" t="n"/>
      <c r="U983" s="12">
        <f>IF(A983="","",IF(OR(J983="",L983=""),"建議補聯絡紀錄","") )</f>
        <v/>
      </c>
    </row>
    <row r="984" ht="24" customHeight="1">
      <c r="A984" s="7" t="n"/>
      <c r="B984" s="7" t="n"/>
      <c r="C984" s="12">
        <f>IF($A984="","",IFERROR(INDEX(土地清冊_匯入!$B$6:$B$1005,MATCH($A984,土地清冊_匯入!$A$6:$A$1005,0)),"查無資料"))</f>
        <v/>
      </c>
      <c r="D984" s="12">
        <f>IF($A984="","",IFERROR(INDEX(土地清冊_匯入!$P$6:$P$1005,MATCH($A984,土地清冊_匯入!$A$6:$A$1005,0)),""))</f>
        <v/>
      </c>
      <c r="E984" s="12">
        <f>IF($A984="","",IFERROR(INDEX(土地清冊_匯入!$Q$6:$Q$1005,MATCH($A984,土地清冊_匯入!$A$6:$A$1005,0)),""))</f>
        <v/>
      </c>
      <c r="F984" s="12">
        <f>IF($A984="","",IFERROR(INDEX(土地清冊_匯入!$R$6:$R$1005,MATCH($A984,土地清冊_匯入!$A$6:$A$1005,0)),""))</f>
        <v/>
      </c>
      <c r="G984" s="12">
        <f>IF($A984="","",IFERROR(INDEX(土地清冊_匯入!$S$6:$S$1005,MATCH($A984,土地清冊_匯入!$A$6:$A$1005,0)),""))</f>
        <v/>
      </c>
      <c r="H984" s="12">
        <f>IF($A984="","",IFERROR(INDEX(土地清冊_匯入!$T$6:$T$1005,MATCH($A984,土地清冊_匯入!$A$6:$A$1005,0)),""))</f>
        <v/>
      </c>
      <c r="I984" s="12">
        <f>IF($A984="","",IFERROR(INDEX(土地清冊_匯入!$V$6:$V$1005,MATCH($A984,土地清冊_匯入!$A$6:$A$1005,0)),""))</f>
        <v/>
      </c>
      <c r="J984" s="14" t="n"/>
      <c r="K984" s="7" t="n"/>
      <c r="L984" s="7" t="n"/>
      <c r="M984" s="7" t="n"/>
      <c r="N984" s="7" t="n"/>
      <c r="O984" s="7" t="n"/>
      <c r="P984" s="7" t="n"/>
      <c r="Q984" s="14" t="n"/>
      <c r="R984" s="7" t="n"/>
      <c r="S984" s="7" t="n"/>
      <c r="T984" s="7" t="n"/>
      <c r="U984" s="12">
        <f>IF(A984="","",IF(OR(J984="",L984=""),"建議補聯絡紀錄","") )</f>
        <v/>
      </c>
    </row>
    <row r="985" ht="24" customHeight="1">
      <c r="A985" s="7" t="n"/>
      <c r="B985" s="7" t="n"/>
      <c r="C985" s="12">
        <f>IF($A985="","",IFERROR(INDEX(土地清冊_匯入!$B$6:$B$1005,MATCH($A985,土地清冊_匯入!$A$6:$A$1005,0)),"查無資料"))</f>
        <v/>
      </c>
      <c r="D985" s="12">
        <f>IF($A985="","",IFERROR(INDEX(土地清冊_匯入!$P$6:$P$1005,MATCH($A985,土地清冊_匯入!$A$6:$A$1005,0)),""))</f>
        <v/>
      </c>
      <c r="E985" s="12">
        <f>IF($A985="","",IFERROR(INDEX(土地清冊_匯入!$Q$6:$Q$1005,MATCH($A985,土地清冊_匯入!$A$6:$A$1005,0)),""))</f>
        <v/>
      </c>
      <c r="F985" s="12">
        <f>IF($A985="","",IFERROR(INDEX(土地清冊_匯入!$R$6:$R$1005,MATCH($A985,土地清冊_匯入!$A$6:$A$1005,0)),""))</f>
        <v/>
      </c>
      <c r="G985" s="12">
        <f>IF($A985="","",IFERROR(INDEX(土地清冊_匯入!$S$6:$S$1005,MATCH($A985,土地清冊_匯入!$A$6:$A$1005,0)),""))</f>
        <v/>
      </c>
      <c r="H985" s="12">
        <f>IF($A985="","",IFERROR(INDEX(土地清冊_匯入!$T$6:$T$1005,MATCH($A985,土地清冊_匯入!$A$6:$A$1005,0)),""))</f>
        <v/>
      </c>
      <c r="I985" s="12">
        <f>IF($A985="","",IFERROR(INDEX(土地清冊_匯入!$V$6:$V$1005,MATCH($A985,土地清冊_匯入!$A$6:$A$1005,0)),""))</f>
        <v/>
      </c>
      <c r="J985" s="14" t="n"/>
      <c r="K985" s="7" t="n"/>
      <c r="L985" s="7" t="n"/>
      <c r="M985" s="7" t="n"/>
      <c r="N985" s="7" t="n"/>
      <c r="O985" s="7" t="n"/>
      <c r="P985" s="7" t="n"/>
      <c r="Q985" s="14" t="n"/>
      <c r="R985" s="7" t="n"/>
      <c r="S985" s="7" t="n"/>
      <c r="T985" s="7" t="n"/>
      <c r="U985" s="12">
        <f>IF(A985="","",IF(OR(J985="",L985=""),"建議補聯絡紀錄","") )</f>
        <v/>
      </c>
    </row>
    <row r="986" ht="24" customHeight="1">
      <c r="A986" s="7" t="n"/>
      <c r="B986" s="7" t="n"/>
      <c r="C986" s="12">
        <f>IF($A986="","",IFERROR(INDEX(土地清冊_匯入!$B$6:$B$1005,MATCH($A986,土地清冊_匯入!$A$6:$A$1005,0)),"查無資料"))</f>
        <v/>
      </c>
      <c r="D986" s="12">
        <f>IF($A986="","",IFERROR(INDEX(土地清冊_匯入!$P$6:$P$1005,MATCH($A986,土地清冊_匯入!$A$6:$A$1005,0)),""))</f>
        <v/>
      </c>
      <c r="E986" s="12">
        <f>IF($A986="","",IFERROR(INDEX(土地清冊_匯入!$Q$6:$Q$1005,MATCH($A986,土地清冊_匯入!$A$6:$A$1005,0)),""))</f>
        <v/>
      </c>
      <c r="F986" s="12">
        <f>IF($A986="","",IFERROR(INDEX(土地清冊_匯入!$R$6:$R$1005,MATCH($A986,土地清冊_匯入!$A$6:$A$1005,0)),""))</f>
        <v/>
      </c>
      <c r="G986" s="12">
        <f>IF($A986="","",IFERROR(INDEX(土地清冊_匯入!$S$6:$S$1005,MATCH($A986,土地清冊_匯入!$A$6:$A$1005,0)),""))</f>
        <v/>
      </c>
      <c r="H986" s="12">
        <f>IF($A986="","",IFERROR(INDEX(土地清冊_匯入!$T$6:$T$1005,MATCH($A986,土地清冊_匯入!$A$6:$A$1005,0)),""))</f>
        <v/>
      </c>
      <c r="I986" s="12">
        <f>IF($A986="","",IFERROR(INDEX(土地清冊_匯入!$V$6:$V$1005,MATCH($A986,土地清冊_匯入!$A$6:$A$1005,0)),""))</f>
        <v/>
      </c>
      <c r="J986" s="14" t="n"/>
      <c r="K986" s="7" t="n"/>
      <c r="L986" s="7" t="n"/>
      <c r="M986" s="7" t="n"/>
      <c r="N986" s="7" t="n"/>
      <c r="O986" s="7" t="n"/>
      <c r="P986" s="7" t="n"/>
      <c r="Q986" s="14" t="n"/>
      <c r="R986" s="7" t="n"/>
      <c r="S986" s="7" t="n"/>
      <c r="T986" s="7" t="n"/>
      <c r="U986" s="12">
        <f>IF(A986="","",IF(OR(J986="",L986=""),"建議補聯絡紀錄","") )</f>
        <v/>
      </c>
    </row>
    <row r="987" ht="24" customHeight="1">
      <c r="A987" s="7" t="n"/>
      <c r="B987" s="7" t="n"/>
      <c r="C987" s="12">
        <f>IF($A987="","",IFERROR(INDEX(土地清冊_匯入!$B$6:$B$1005,MATCH($A987,土地清冊_匯入!$A$6:$A$1005,0)),"查無資料"))</f>
        <v/>
      </c>
      <c r="D987" s="12">
        <f>IF($A987="","",IFERROR(INDEX(土地清冊_匯入!$P$6:$P$1005,MATCH($A987,土地清冊_匯入!$A$6:$A$1005,0)),""))</f>
        <v/>
      </c>
      <c r="E987" s="12">
        <f>IF($A987="","",IFERROR(INDEX(土地清冊_匯入!$Q$6:$Q$1005,MATCH($A987,土地清冊_匯入!$A$6:$A$1005,0)),""))</f>
        <v/>
      </c>
      <c r="F987" s="12">
        <f>IF($A987="","",IFERROR(INDEX(土地清冊_匯入!$R$6:$R$1005,MATCH($A987,土地清冊_匯入!$A$6:$A$1005,0)),""))</f>
        <v/>
      </c>
      <c r="G987" s="12">
        <f>IF($A987="","",IFERROR(INDEX(土地清冊_匯入!$S$6:$S$1005,MATCH($A987,土地清冊_匯入!$A$6:$A$1005,0)),""))</f>
        <v/>
      </c>
      <c r="H987" s="12">
        <f>IF($A987="","",IFERROR(INDEX(土地清冊_匯入!$T$6:$T$1005,MATCH($A987,土地清冊_匯入!$A$6:$A$1005,0)),""))</f>
        <v/>
      </c>
      <c r="I987" s="12">
        <f>IF($A987="","",IFERROR(INDEX(土地清冊_匯入!$V$6:$V$1005,MATCH($A987,土地清冊_匯入!$A$6:$A$1005,0)),""))</f>
        <v/>
      </c>
      <c r="J987" s="14" t="n"/>
      <c r="K987" s="7" t="n"/>
      <c r="L987" s="7" t="n"/>
      <c r="M987" s="7" t="n"/>
      <c r="N987" s="7" t="n"/>
      <c r="O987" s="7" t="n"/>
      <c r="P987" s="7" t="n"/>
      <c r="Q987" s="14" t="n"/>
      <c r="R987" s="7" t="n"/>
      <c r="S987" s="7" t="n"/>
      <c r="T987" s="7" t="n"/>
      <c r="U987" s="12">
        <f>IF(A987="","",IF(OR(J987="",L987=""),"建議補聯絡紀錄","") )</f>
        <v/>
      </c>
    </row>
    <row r="988" ht="24" customHeight="1">
      <c r="A988" s="7" t="n"/>
      <c r="B988" s="7" t="n"/>
      <c r="C988" s="12">
        <f>IF($A988="","",IFERROR(INDEX(土地清冊_匯入!$B$6:$B$1005,MATCH($A988,土地清冊_匯入!$A$6:$A$1005,0)),"查無資料"))</f>
        <v/>
      </c>
      <c r="D988" s="12">
        <f>IF($A988="","",IFERROR(INDEX(土地清冊_匯入!$P$6:$P$1005,MATCH($A988,土地清冊_匯入!$A$6:$A$1005,0)),""))</f>
        <v/>
      </c>
      <c r="E988" s="12">
        <f>IF($A988="","",IFERROR(INDEX(土地清冊_匯入!$Q$6:$Q$1005,MATCH($A988,土地清冊_匯入!$A$6:$A$1005,0)),""))</f>
        <v/>
      </c>
      <c r="F988" s="12">
        <f>IF($A988="","",IFERROR(INDEX(土地清冊_匯入!$R$6:$R$1005,MATCH($A988,土地清冊_匯入!$A$6:$A$1005,0)),""))</f>
        <v/>
      </c>
      <c r="G988" s="12">
        <f>IF($A988="","",IFERROR(INDEX(土地清冊_匯入!$S$6:$S$1005,MATCH($A988,土地清冊_匯入!$A$6:$A$1005,0)),""))</f>
        <v/>
      </c>
      <c r="H988" s="12">
        <f>IF($A988="","",IFERROR(INDEX(土地清冊_匯入!$T$6:$T$1005,MATCH($A988,土地清冊_匯入!$A$6:$A$1005,0)),""))</f>
        <v/>
      </c>
      <c r="I988" s="12">
        <f>IF($A988="","",IFERROR(INDEX(土地清冊_匯入!$V$6:$V$1005,MATCH($A988,土地清冊_匯入!$A$6:$A$1005,0)),""))</f>
        <v/>
      </c>
      <c r="J988" s="14" t="n"/>
      <c r="K988" s="7" t="n"/>
      <c r="L988" s="7" t="n"/>
      <c r="M988" s="7" t="n"/>
      <c r="N988" s="7" t="n"/>
      <c r="O988" s="7" t="n"/>
      <c r="P988" s="7" t="n"/>
      <c r="Q988" s="14" t="n"/>
      <c r="R988" s="7" t="n"/>
      <c r="S988" s="7" t="n"/>
      <c r="T988" s="7" t="n"/>
      <c r="U988" s="12">
        <f>IF(A988="","",IF(OR(J988="",L988=""),"建議補聯絡紀錄","") )</f>
        <v/>
      </c>
    </row>
    <row r="989" ht="24" customHeight="1">
      <c r="A989" s="7" t="n"/>
      <c r="B989" s="7" t="n"/>
      <c r="C989" s="12">
        <f>IF($A989="","",IFERROR(INDEX(土地清冊_匯入!$B$6:$B$1005,MATCH($A989,土地清冊_匯入!$A$6:$A$1005,0)),"查無資料"))</f>
        <v/>
      </c>
      <c r="D989" s="12">
        <f>IF($A989="","",IFERROR(INDEX(土地清冊_匯入!$P$6:$P$1005,MATCH($A989,土地清冊_匯入!$A$6:$A$1005,0)),""))</f>
        <v/>
      </c>
      <c r="E989" s="12">
        <f>IF($A989="","",IFERROR(INDEX(土地清冊_匯入!$Q$6:$Q$1005,MATCH($A989,土地清冊_匯入!$A$6:$A$1005,0)),""))</f>
        <v/>
      </c>
      <c r="F989" s="12">
        <f>IF($A989="","",IFERROR(INDEX(土地清冊_匯入!$R$6:$R$1005,MATCH($A989,土地清冊_匯入!$A$6:$A$1005,0)),""))</f>
        <v/>
      </c>
      <c r="G989" s="12">
        <f>IF($A989="","",IFERROR(INDEX(土地清冊_匯入!$S$6:$S$1005,MATCH($A989,土地清冊_匯入!$A$6:$A$1005,0)),""))</f>
        <v/>
      </c>
      <c r="H989" s="12">
        <f>IF($A989="","",IFERROR(INDEX(土地清冊_匯入!$T$6:$T$1005,MATCH($A989,土地清冊_匯入!$A$6:$A$1005,0)),""))</f>
        <v/>
      </c>
      <c r="I989" s="12">
        <f>IF($A989="","",IFERROR(INDEX(土地清冊_匯入!$V$6:$V$1005,MATCH($A989,土地清冊_匯入!$A$6:$A$1005,0)),""))</f>
        <v/>
      </c>
      <c r="J989" s="14" t="n"/>
      <c r="K989" s="7" t="n"/>
      <c r="L989" s="7" t="n"/>
      <c r="M989" s="7" t="n"/>
      <c r="N989" s="7" t="n"/>
      <c r="O989" s="7" t="n"/>
      <c r="P989" s="7" t="n"/>
      <c r="Q989" s="14" t="n"/>
      <c r="R989" s="7" t="n"/>
      <c r="S989" s="7" t="n"/>
      <c r="T989" s="7" t="n"/>
      <c r="U989" s="12">
        <f>IF(A989="","",IF(OR(J989="",L989=""),"建議補聯絡紀錄","") )</f>
        <v/>
      </c>
    </row>
    <row r="990" ht="24" customHeight="1">
      <c r="A990" s="7" t="n"/>
      <c r="B990" s="7" t="n"/>
      <c r="C990" s="12">
        <f>IF($A990="","",IFERROR(INDEX(土地清冊_匯入!$B$6:$B$1005,MATCH($A990,土地清冊_匯入!$A$6:$A$1005,0)),"查無資料"))</f>
        <v/>
      </c>
      <c r="D990" s="12">
        <f>IF($A990="","",IFERROR(INDEX(土地清冊_匯入!$P$6:$P$1005,MATCH($A990,土地清冊_匯入!$A$6:$A$1005,0)),""))</f>
        <v/>
      </c>
      <c r="E990" s="12">
        <f>IF($A990="","",IFERROR(INDEX(土地清冊_匯入!$Q$6:$Q$1005,MATCH($A990,土地清冊_匯入!$A$6:$A$1005,0)),""))</f>
        <v/>
      </c>
      <c r="F990" s="12">
        <f>IF($A990="","",IFERROR(INDEX(土地清冊_匯入!$R$6:$R$1005,MATCH($A990,土地清冊_匯入!$A$6:$A$1005,0)),""))</f>
        <v/>
      </c>
      <c r="G990" s="12">
        <f>IF($A990="","",IFERROR(INDEX(土地清冊_匯入!$S$6:$S$1005,MATCH($A990,土地清冊_匯入!$A$6:$A$1005,0)),""))</f>
        <v/>
      </c>
      <c r="H990" s="12">
        <f>IF($A990="","",IFERROR(INDEX(土地清冊_匯入!$T$6:$T$1005,MATCH($A990,土地清冊_匯入!$A$6:$A$1005,0)),""))</f>
        <v/>
      </c>
      <c r="I990" s="12">
        <f>IF($A990="","",IFERROR(INDEX(土地清冊_匯入!$V$6:$V$1005,MATCH($A990,土地清冊_匯入!$A$6:$A$1005,0)),""))</f>
        <v/>
      </c>
      <c r="J990" s="14" t="n"/>
      <c r="K990" s="7" t="n"/>
      <c r="L990" s="7" t="n"/>
      <c r="M990" s="7" t="n"/>
      <c r="N990" s="7" t="n"/>
      <c r="O990" s="7" t="n"/>
      <c r="P990" s="7" t="n"/>
      <c r="Q990" s="14" t="n"/>
      <c r="R990" s="7" t="n"/>
      <c r="S990" s="7" t="n"/>
      <c r="T990" s="7" t="n"/>
      <c r="U990" s="12">
        <f>IF(A990="","",IF(OR(J990="",L990=""),"建議補聯絡紀錄","") )</f>
        <v/>
      </c>
    </row>
    <row r="991" ht="24" customHeight="1">
      <c r="A991" s="7" t="n"/>
      <c r="B991" s="7" t="n"/>
      <c r="C991" s="12">
        <f>IF($A991="","",IFERROR(INDEX(土地清冊_匯入!$B$6:$B$1005,MATCH($A991,土地清冊_匯入!$A$6:$A$1005,0)),"查無資料"))</f>
        <v/>
      </c>
      <c r="D991" s="12">
        <f>IF($A991="","",IFERROR(INDEX(土地清冊_匯入!$P$6:$P$1005,MATCH($A991,土地清冊_匯入!$A$6:$A$1005,0)),""))</f>
        <v/>
      </c>
      <c r="E991" s="12">
        <f>IF($A991="","",IFERROR(INDEX(土地清冊_匯入!$Q$6:$Q$1005,MATCH($A991,土地清冊_匯入!$A$6:$A$1005,0)),""))</f>
        <v/>
      </c>
      <c r="F991" s="12">
        <f>IF($A991="","",IFERROR(INDEX(土地清冊_匯入!$R$6:$R$1005,MATCH($A991,土地清冊_匯入!$A$6:$A$1005,0)),""))</f>
        <v/>
      </c>
      <c r="G991" s="12">
        <f>IF($A991="","",IFERROR(INDEX(土地清冊_匯入!$S$6:$S$1005,MATCH($A991,土地清冊_匯入!$A$6:$A$1005,0)),""))</f>
        <v/>
      </c>
      <c r="H991" s="12">
        <f>IF($A991="","",IFERROR(INDEX(土地清冊_匯入!$T$6:$T$1005,MATCH($A991,土地清冊_匯入!$A$6:$A$1005,0)),""))</f>
        <v/>
      </c>
      <c r="I991" s="12">
        <f>IF($A991="","",IFERROR(INDEX(土地清冊_匯入!$V$6:$V$1005,MATCH($A991,土地清冊_匯入!$A$6:$A$1005,0)),""))</f>
        <v/>
      </c>
      <c r="J991" s="14" t="n"/>
      <c r="K991" s="7" t="n"/>
      <c r="L991" s="7" t="n"/>
      <c r="M991" s="7" t="n"/>
      <c r="N991" s="7" t="n"/>
      <c r="O991" s="7" t="n"/>
      <c r="P991" s="7" t="n"/>
      <c r="Q991" s="14" t="n"/>
      <c r="R991" s="7" t="n"/>
      <c r="S991" s="7" t="n"/>
      <c r="T991" s="7" t="n"/>
      <c r="U991" s="12">
        <f>IF(A991="","",IF(OR(J991="",L991=""),"建議補聯絡紀錄","") )</f>
        <v/>
      </c>
    </row>
    <row r="992" ht="24" customHeight="1">
      <c r="A992" s="7" t="n"/>
      <c r="B992" s="7" t="n"/>
      <c r="C992" s="12">
        <f>IF($A992="","",IFERROR(INDEX(土地清冊_匯入!$B$6:$B$1005,MATCH($A992,土地清冊_匯入!$A$6:$A$1005,0)),"查無資料"))</f>
        <v/>
      </c>
      <c r="D992" s="12">
        <f>IF($A992="","",IFERROR(INDEX(土地清冊_匯入!$P$6:$P$1005,MATCH($A992,土地清冊_匯入!$A$6:$A$1005,0)),""))</f>
        <v/>
      </c>
      <c r="E992" s="12">
        <f>IF($A992="","",IFERROR(INDEX(土地清冊_匯入!$Q$6:$Q$1005,MATCH($A992,土地清冊_匯入!$A$6:$A$1005,0)),""))</f>
        <v/>
      </c>
      <c r="F992" s="12">
        <f>IF($A992="","",IFERROR(INDEX(土地清冊_匯入!$R$6:$R$1005,MATCH($A992,土地清冊_匯入!$A$6:$A$1005,0)),""))</f>
        <v/>
      </c>
      <c r="G992" s="12">
        <f>IF($A992="","",IFERROR(INDEX(土地清冊_匯入!$S$6:$S$1005,MATCH($A992,土地清冊_匯入!$A$6:$A$1005,0)),""))</f>
        <v/>
      </c>
      <c r="H992" s="12">
        <f>IF($A992="","",IFERROR(INDEX(土地清冊_匯入!$T$6:$T$1005,MATCH($A992,土地清冊_匯入!$A$6:$A$1005,0)),""))</f>
        <v/>
      </c>
      <c r="I992" s="12">
        <f>IF($A992="","",IFERROR(INDEX(土地清冊_匯入!$V$6:$V$1005,MATCH($A992,土地清冊_匯入!$A$6:$A$1005,0)),""))</f>
        <v/>
      </c>
      <c r="J992" s="14" t="n"/>
      <c r="K992" s="7" t="n"/>
      <c r="L992" s="7" t="n"/>
      <c r="M992" s="7" t="n"/>
      <c r="N992" s="7" t="n"/>
      <c r="O992" s="7" t="n"/>
      <c r="P992" s="7" t="n"/>
      <c r="Q992" s="14" t="n"/>
      <c r="R992" s="7" t="n"/>
      <c r="S992" s="7" t="n"/>
      <c r="T992" s="7" t="n"/>
      <c r="U992" s="12">
        <f>IF(A992="","",IF(OR(J992="",L992=""),"建議補聯絡紀錄","") )</f>
        <v/>
      </c>
    </row>
    <row r="993" ht="24" customHeight="1">
      <c r="A993" s="7" t="n"/>
      <c r="B993" s="7" t="n"/>
      <c r="C993" s="12">
        <f>IF($A993="","",IFERROR(INDEX(土地清冊_匯入!$B$6:$B$1005,MATCH($A993,土地清冊_匯入!$A$6:$A$1005,0)),"查無資料"))</f>
        <v/>
      </c>
      <c r="D993" s="12">
        <f>IF($A993="","",IFERROR(INDEX(土地清冊_匯入!$P$6:$P$1005,MATCH($A993,土地清冊_匯入!$A$6:$A$1005,0)),""))</f>
        <v/>
      </c>
      <c r="E993" s="12">
        <f>IF($A993="","",IFERROR(INDEX(土地清冊_匯入!$Q$6:$Q$1005,MATCH($A993,土地清冊_匯入!$A$6:$A$1005,0)),""))</f>
        <v/>
      </c>
      <c r="F993" s="12">
        <f>IF($A993="","",IFERROR(INDEX(土地清冊_匯入!$R$6:$R$1005,MATCH($A993,土地清冊_匯入!$A$6:$A$1005,0)),""))</f>
        <v/>
      </c>
      <c r="G993" s="12">
        <f>IF($A993="","",IFERROR(INDEX(土地清冊_匯入!$S$6:$S$1005,MATCH($A993,土地清冊_匯入!$A$6:$A$1005,0)),""))</f>
        <v/>
      </c>
      <c r="H993" s="12">
        <f>IF($A993="","",IFERROR(INDEX(土地清冊_匯入!$T$6:$T$1005,MATCH($A993,土地清冊_匯入!$A$6:$A$1005,0)),""))</f>
        <v/>
      </c>
      <c r="I993" s="12">
        <f>IF($A993="","",IFERROR(INDEX(土地清冊_匯入!$V$6:$V$1005,MATCH($A993,土地清冊_匯入!$A$6:$A$1005,0)),""))</f>
        <v/>
      </c>
      <c r="J993" s="14" t="n"/>
      <c r="K993" s="7" t="n"/>
      <c r="L993" s="7" t="n"/>
      <c r="M993" s="7" t="n"/>
      <c r="N993" s="7" t="n"/>
      <c r="O993" s="7" t="n"/>
      <c r="P993" s="7" t="n"/>
      <c r="Q993" s="14" t="n"/>
      <c r="R993" s="7" t="n"/>
      <c r="S993" s="7" t="n"/>
      <c r="T993" s="7" t="n"/>
      <c r="U993" s="12">
        <f>IF(A993="","",IF(OR(J993="",L993=""),"建議補聯絡紀錄","") )</f>
        <v/>
      </c>
    </row>
    <row r="994" ht="24" customHeight="1">
      <c r="A994" s="7" t="n"/>
      <c r="B994" s="7" t="n"/>
      <c r="C994" s="12">
        <f>IF($A994="","",IFERROR(INDEX(土地清冊_匯入!$B$6:$B$1005,MATCH($A994,土地清冊_匯入!$A$6:$A$1005,0)),"查無資料"))</f>
        <v/>
      </c>
      <c r="D994" s="12">
        <f>IF($A994="","",IFERROR(INDEX(土地清冊_匯入!$P$6:$P$1005,MATCH($A994,土地清冊_匯入!$A$6:$A$1005,0)),""))</f>
        <v/>
      </c>
      <c r="E994" s="12">
        <f>IF($A994="","",IFERROR(INDEX(土地清冊_匯入!$Q$6:$Q$1005,MATCH($A994,土地清冊_匯入!$A$6:$A$1005,0)),""))</f>
        <v/>
      </c>
      <c r="F994" s="12">
        <f>IF($A994="","",IFERROR(INDEX(土地清冊_匯入!$R$6:$R$1005,MATCH($A994,土地清冊_匯入!$A$6:$A$1005,0)),""))</f>
        <v/>
      </c>
      <c r="G994" s="12">
        <f>IF($A994="","",IFERROR(INDEX(土地清冊_匯入!$S$6:$S$1005,MATCH($A994,土地清冊_匯入!$A$6:$A$1005,0)),""))</f>
        <v/>
      </c>
      <c r="H994" s="12">
        <f>IF($A994="","",IFERROR(INDEX(土地清冊_匯入!$T$6:$T$1005,MATCH($A994,土地清冊_匯入!$A$6:$A$1005,0)),""))</f>
        <v/>
      </c>
      <c r="I994" s="12">
        <f>IF($A994="","",IFERROR(INDEX(土地清冊_匯入!$V$6:$V$1005,MATCH($A994,土地清冊_匯入!$A$6:$A$1005,0)),""))</f>
        <v/>
      </c>
      <c r="J994" s="14" t="n"/>
      <c r="K994" s="7" t="n"/>
      <c r="L994" s="7" t="n"/>
      <c r="M994" s="7" t="n"/>
      <c r="N994" s="7" t="n"/>
      <c r="O994" s="7" t="n"/>
      <c r="P994" s="7" t="n"/>
      <c r="Q994" s="14" t="n"/>
      <c r="R994" s="7" t="n"/>
      <c r="S994" s="7" t="n"/>
      <c r="T994" s="7" t="n"/>
      <c r="U994" s="12">
        <f>IF(A994="","",IF(OR(J994="",L994=""),"建議補聯絡紀錄","") )</f>
        <v/>
      </c>
    </row>
    <row r="995" ht="24" customHeight="1">
      <c r="A995" s="7" t="n"/>
      <c r="B995" s="7" t="n"/>
      <c r="C995" s="12">
        <f>IF($A995="","",IFERROR(INDEX(土地清冊_匯入!$B$6:$B$1005,MATCH($A995,土地清冊_匯入!$A$6:$A$1005,0)),"查無資料"))</f>
        <v/>
      </c>
      <c r="D995" s="12">
        <f>IF($A995="","",IFERROR(INDEX(土地清冊_匯入!$P$6:$P$1005,MATCH($A995,土地清冊_匯入!$A$6:$A$1005,0)),""))</f>
        <v/>
      </c>
      <c r="E995" s="12">
        <f>IF($A995="","",IFERROR(INDEX(土地清冊_匯入!$Q$6:$Q$1005,MATCH($A995,土地清冊_匯入!$A$6:$A$1005,0)),""))</f>
        <v/>
      </c>
      <c r="F995" s="12">
        <f>IF($A995="","",IFERROR(INDEX(土地清冊_匯入!$R$6:$R$1005,MATCH($A995,土地清冊_匯入!$A$6:$A$1005,0)),""))</f>
        <v/>
      </c>
      <c r="G995" s="12">
        <f>IF($A995="","",IFERROR(INDEX(土地清冊_匯入!$S$6:$S$1005,MATCH($A995,土地清冊_匯入!$A$6:$A$1005,0)),""))</f>
        <v/>
      </c>
      <c r="H995" s="12">
        <f>IF($A995="","",IFERROR(INDEX(土地清冊_匯入!$T$6:$T$1005,MATCH($A995,土地清冊_匯入!$A$6:$A$1005,0)),""))</f>
        <v/>
      </c>
      <c r="I995" s="12">
        <f>IF($A995="","",IFERROR(INDEX(土地清冊_匯入!$V$6:$V$1005,MATCH($A995,土地清冊_匯入!$A$6:$A$1005,0)),""))</f>
        <v/>
      </c>
      <c r="J995" s="14" t="n"/>
      <c r="K995" s="7" t="n"/>
      <c r="L995" s="7" t="n"/>
      <c r="M995" s="7" t="n"/>
      <c r="N995" s="7" t="n"/>
      <c r="O995" s="7" t="n"/>
      <c r="P995" s="7" t="n"/>
      <c r="Q995" s="14" t="n"/>
      <c r="R995" s="7" t="n"/>
      <c r="S995" s="7" t="n"/>
      <c r="T995" s="7" t="n"/>
      <c r="U995" s="12">
        <f>IF(A995="","",IF(OR(J995="",L995=""),"建議補聯絡紀錄","") )</f>
        <v/>
      </c>
    </row>
    <row r="996" ht="24" customHeight="1">
      <c r="A996" s="7" t="n"/>
      <c r="B996" s="7" t="n"/>
      <c r="C996" s="12">
        <f>IF($A996="","",IFERROR(INDEX(土地清冊_匯入!$B$6:$B$1005,MATCH($A996,土地清冊_匯入!$A$6:$A$1005,0)),"查無資料"))</f>
        <v/>
      </c>
      <c r="D996" s="12">
        <f>IF($A996="","",IFERROR(INDEX(土地清冊_匯入!$P$6:$P$1005,MATCH($A996,土地清冊_匯入!$A$6:$A$1005,0)),""))</f>
        <v/>
      </c>
      <c r="E996" s="12">
        <f>IF($A996="","",IFERROR(INDEX(土地清冊_匯入!$Q$6:$Q$1005,MATCH($A996,土地清冊_匯入!$A$6:$A$1005,0)),""))</f>
        <v/>
      </c>
      <c r="F996" s="12">
        <f>IF($A996="","",IFERROR(INDEX(土地清冊_匯入!$R$6:$R$1005,MATCH($A996,土地清冊_匯入!$A$6:$A$1005,0)),""))</f>
        <v/>
      </c>
      <c r="G996" s="12">
        <f>IF($A996="","",IFERROR(INDEX(土地清冊_匯入!$S$6:$S$1005,MATCH($A996,土地清冊_匯入!$A$6:$A$1005,0)),""))</f>
        <v/>
      </c>
      <c r="H996" s="12">
        <f>IF($A996="","",IFERROR(INDEX(土地清冊_匯入!$T$6:$T$1005,MATCH($A996,土地清冊_匯入!$A$6:$A$1005,0)),""))</f>
        <v/>
      </c>
      <c r="I996" s="12">
        <f>IF($A996="","",IFERROR(INDEX(土地清冊_匯入!$V$6:$V$1005,MATCH($A996,土地清冊_匯入!$A$6:$A$1005,0)),""))</f>
        <v/>
      </c>
      <c r="J996" s="14" t="n"/>
      <c r="K996" s="7" t="n"/>
      <c r="L996" s="7" t="n"/>
      <c r="M996" s="7" t="n"/>
      <c r="N996" s="7" t="n"/>
      <c r="O996" s="7" t="n"/>
      <c r="P996" s="7" t="n"/>
      <c r="Q996" s="14" t="n"/>
      <c r="R996" s="7" t="n"/>
      <c r="S996" s="7" t="n"/>
      <c r="T996" s="7" t="n"/>
      <c r="U996" s="12">
        <f>IF(A996="","",IF(OR(J996="",L996=""),"建議補聯絡紀錄","") )</f>
        <v/>
      </c>
    </row>
    <row r="997" ht="24" customHeight="1">
      <c r="A997" s="7" t="n"/>
      <c r="B997" s="7" t="n"/>
      <c r="C997" s="12">
        <f>IF($A997="","",IFERROR(INDEX(土地清冊_匯入!$B$6:$B$1005,MATCH($A997,土地清冊_匯入!$A$6:$A$1005,0)),"查無資料"))</f>
        <v/>
      </c>
      <c r="D997" s="12">
        <f>IF($A997="","",IFERROR(INDEX(土地清冊_匯入!$P$6:$P$1005,MATCH($A997,土地清冊_匯入!$A$6:$A$1005,0)),""))</f>
        <v/>
      </c>
      <c r="E997" s="12">
        <f>IF($A997="","",IFERROR(INDEX(土地清冊_匯入!$Q$6:$Q$1005,MATCH($A997,土地清冊_匯入!$A$6:$A$1005,0)),""))</f>
        <v/>
      </c>
      <c r="F997" s="12">
        <f>IF($A997="","",IFERROR(INDEX(土地清冊_匯入!$R$6:$R$1005,MATCH($A997,土地清冊_匯入!$A$6:$A$1005,0)),""))</f>
        <v/>
      </c>
      <c r="G997" s="12">
        <f>IF($A997="","",IFERROR(INDEX(土地清冊_匯入!$S$6:$S$1005,MATCH($A997,土地清冊_匯入!$A$6:$A$1005,0)),""))</f>
        <v/>
      </c>
      <c r="H997" s="12">
        <f>IF($A997="","",IFERROR(INDEX(土地清冊_匯入!$T$6:$T$1005,MATCH($A997,土地清冊_匯入!$A$6:$A$1005,0)),""))</f>
        <v/>
      </c>
      <c r="I997" s="12">
        <f>IF($A997="","",IFERROR(INDEX(土地清冊_匯入!$V$6:$V$1005,MATCH($A997,土地清冊_匯入!$A$6:$A$1005,0)),""))</f>
        <v/>
      </c>
      <c r="J997" s="14" t="n"/>
      <c r="K997" s="7" t="n"/>
      <c r="L997" s="7" t="n"/>
      <c r="M997" s="7" t="n"/>
      <c r="N997" s="7" t="n"/>
      <c r="O997" s="7" t="n"/>
      <c r="P997" s="7" t="n"/>
      <c r="Q997" s="14" t="n"/>
      <c r="R997" s="7" t="n"/>
      <c r="S997" s="7" t="n"/>
      <c r="T997" s="7" t="n"/>
      <c r="U997" s="12">
        <f>IF(A997="","",IF(OR(J997="",L997=""),"建議補聯絡紀錄","") )</f>
        <v/>
      </c>
    </row>
    <row r="998" ht="24" customHeight="1">
      <c r="A998" s="7" t="n"/>
      <c r="B998" s="7" t="n"/>
      <c r="C998" s="12">
        <f>IF($A998="","",IFERROR(INDEX(土地清冊_匯入!$B$6:$B$1005,MATCH($A998,土地清冊_匯入!$A$6:$A$1005,0)),"查無資料"))</f>
        <v/>
      </c>
      <c r="D998" s="12">
        <f>IF($A998="","",IFERROR(INDEX(土地清冊_匯入!$P$6:$P$1005,MATCH($A998,土地清冊_匯入!$A$6:$A$1005,0)),""))</f>
        <v/>
      </c>
      <c r="E998" s="12">
        <f>IF($A998="","",IFERROR(INDEX(土地清冊_匯入!$Q$6:$Q$1005,MATCH($A998,土地清冊_匯入!$A$6:$A$1005,0)),""))</f>
        <v/>
      </c>
      <c r="F998" s="12">
        <f>IF($A998="","",IFERROR(INDEX(土地清冊_匯入!$R$6:$R$1005,MATCH($A998,土地清冊_匯入!$A$6:$A$1005,0)),""))</f>
        <v/>
      </c>
      <c r="G998" s="12">
        <f>IF($A998="","",IFERROR(INDEX(土地清冊_匯入!$S$6:$S$1005,MATCH($A998,土地清冊_匯入!$A$6:$A$1005,0)),""))</f>
        <v/>
      </c>
      <c r="H998" s="12">
        <f>IF($A998="","",IFERROR(INDEX(土地清冊_匯入!$T$6:$T$1005,MATCH($A998,土地清冊_匯入!$A$6:$A$1005,0)),""))</f>
        <v/>
      </c>
      <c r="I998" s="12">
        <f>IF($A998="","",IFERROR(INDEX(土地清冊_匯入!$V$6:$V$1005,MATCH($A998,土地清冊_匯入!$A$6:$A$1005,0)),""))</f>
        <v/>
      </c>
      <c r="J998" s="14" t="n"/>
      <c r="K998" s="7" t="n"/>
      <c r="L998" s="7" t="n"/>
      <c r="M998" s="7" t="n"/>
      <c r="N998" s="7" t="n"/>
      <c r="O998" s="7" t="n"/>
      <c r="P998" s="7" t="n"/>
      <c r="Q998" s="14" t="n"/>
      <c r="R998" s="7" t="n"/>
      <c r="S998" s="7" t="n"/>
      <c r="T998" s="7" t="n"/>
      <c r="U998" s="12">
        <f>IF(A998="","",IF(OR(J998="",L998=""),"建議補聯絡紀錄","") )</f>
        <v/>
      </c>
    </row>
    <row r="999" ht="24" customHeight="1">
      <c r="A999" s="7" t="n"/>
      <c r="B999" s="7" t="n"/>
      <c r="C999" s="12">
        <f>IF($A999="","",IFERROR(INDEX(土地清冊_匯入!$B$6:$B$1005,MATCH($A999,土地清冊_匯入!$A$6:$A$1005,0)),"查無資料"))</f>
        <v/>
      </c>
      <c r="D999" s="12">
        <f>IF($A999="","",IFERROR(INDEX(土地清冊_匯入!$P$6:$P$1005,MATCH($A999,土地清冊_匯入!$A$6:$A$1005,0)),""))</f>
        <v/>
      </c>
      <c r="E999" s="12">
        <f>IF($A999="","",IFERROR(INDEX(土地清冊_匯入!$Q$6:$Q$1005,MATCH($A999,土地清冊_匯入!$A$6:$A$1005,0)),""))</f>
        <v/>
      </c>
      <c r="F999" s="12">
        <f>IF($A999="","",IFERROR(INDEX(土地清冊_匯入!$R$6:$R$1005,MATCH($A999,土地清冊_匯入!$A$6:$A$1005,0)),""))</f>
        <v/>
      </c>
      <c r="G999" s="12">
        <f>IF($A999="","",IFERROR(INDEX(土地清冊_匯入!$S$6:$S$1005,MATCH($A999,土地清冊_匯入!$A$6:$A$1005,0)),""))</f>
        <v/>
      </c>
      <c r="H999" s="12">
        <f>IF($A999="","",IFERROR(INDEX(土地清冊_匯入!$T$6:$T$1005,MATCH($A999,土地清冊_匯入!$A$6:$A$1005,0)),""))</f>
        <v/>
      </c>
      <c r="I999" s="12">
        <f>IF($A999="","",IFERROR(INDEX(土地清冊_匯入!$V$6:$V$1005,MATCH($A999,土地清冊_匯入!$A$6:$A$1005,0)),""))</f>
        <v/>
      </c>
      <c r="J999" s="14" t="n"/>
      <c r="K999" s="7" t="n"/>
      <c r="L999" s="7" t="n"/>
      <c r="M999" s="7" t="n"/>
      <c r="N999" s="7" t="n"/>
      <c r="O999" s="7" t="n"/>
      <c r="P999" s="7" t="n"/>
      <c r="Q999" s="14" t="n"/>
      <c r="R999" s="7" t="n"/>
      <c r="S999" s="7" t="n"/>
      <c r="T999" s="7" t="n"/>
      <c r="U999" s="12">
        <f>IF(A999="","",IF(OR(J999="",L999=""),"建議補聯絡紀錄","") )</f>
        <v/>
      </c>
    </row>
    <row r="1000" ht="24" customHeight="1">
      <c r="A1000" s="7" t="n"/>
      <c r="B1000" s="7" t="n"/>
      <c r="C1000" s="12">
        <f>IF($A1000="","",IFERROR(INDEX(土地清冊_匯入!$B$6:$B$1005,MATCH($A1000,土地清冊_匯入!$A$6:$A$1005,0)),"查無資料"))</f>
        <v/>
      </c>
      <c r="D1000" s="12">
        <f>IF($A1000="","",IFERROR(INDEX(土地清冊_匯入!$P$6:$P$1005,MATCH($A1000,土地清冊_匯入!$A$6:$A$1005,0)),""))</f>
        <v/>
      </c>
      <c r="E1000" s="12">
        <f>IF($A1000="","",IFERROR(INDEX(土地清冊_匯入!$Q$6:$Q$1005,MATCH($A1000,土地清冊_匯入!$A$6:$A$1005,0)),""))</f>
        <v/>
      </c>
      <c r="F1000" s="12">
        <f>IF($A1000="","",IFERROR(INDEX(土地清冊_匯入!$R$6:$R$1005,MATCH($A1000,土地清冊_匯入!$A$6:$A$1005,0)),""))</f>
        <v/>
      </c>
      <c r="G1000" s="12">
        <f>IF($A1000="","",IFERROR(INDEX(土地清冊_匯入!$S$6:$S$1005,MATCH($A1000,土地清冊_匯入!$A$6:$A$1005,0)),""))</f>
        <v/>
      </c>
      <c r="H1000" s="12">
        <f>IF($A1000="","",IFERROR(INDEX(土地清冊_匯入!$T$6:$T$1005,MATCH($A1000,土地清冊_匯入!$A$6:$A$1005,0)),""))</f>
        <v/>
      </c>
      <c r="I1000" s="12">
        <f>IF($A1000="","",IFERROR(INDEX(土地清冊_匯入!$V$6:$V$1005,MATCH($A1000,土地清冊_匯入!$A$6:$A$1005,0)),""))</f>
        <v/>
      </c>
      <c r="J1000" s="14" t="n"/>
      <c r="K1000" s="7" t="n"/>
      <c r="L1000" s="7" t="n"/>
      <c r="M1000" s="7" t="n"/>
      <c r="N1000" s="7" t="n"/>
      <c r="O1000" s="7" t="n"/>
      <c r="P1000" s="7" t="n"/>
      <c r="Q1000" s="14" t="n"/>
      <c r="R1000" s="7" t="n"/>
      <c r="S1000" s="7" t="n"/>
      <c r="T1000" s="7" t="n"/>
      <c r="U1000" s="12">
        <f>IF(A1000="","",IF(OR(J1000="",L1000=""),"建議補聯絡紀錄","") )</f>
        <v/>
      </c>
    </row>
    <row r="1001" ht="24" customHeight="1">
      <c r="A1001" s="7" t="n"/>
      <c r="B1001" s="7" t="n"/>
      <c r="C1001" s="12">
        <f>IF($A1001="","",IFERROR(INDEX(土地清冊_匯入!$B$6:$B$1005,MATCH($A1001,土地清冊_匯入!$A$6:$A$1005,0)),"查無資料"))</f>
        <v/>
      </c>
      <c r="D1001" s="12">
        <f>IF($A1001="","",IFERROR(INDEX(土地清冊_匯入!$P$6:$P$1005,MATCH($A1001,土地清冊_匯入!$A$6:$A$1005,0)),""))</f>
        <v/>
      </c>
      <c r="E1001" s="12">
        <f>IF($A1001="","",IFERROR(INDEX(土地清冊_匯入!$Q$6:$Q$1005,MATCH($A1001,土地清冊_匯入!$A$6:$A$1005,0)),""))</f>
        <v/>
      </c>
      <c r="F1001" s="12">
        <f>IF($A1001="","",IFERROR(INDEX(土地清冊_匯入!$R$6:$R$1005,MATCH($A1001,土地清冊_匯入!$A$6:$A$1005,0)),""))</f>
        <v/>
      </c>
      <c r="G1001" s="12">
        <f>IF($A1001="","",IFERROR(INDEX(土地清冊_匯入!$S$6:$S$1005,MATCH($A1001,土地清冊_匯入!$A$6:$A$1005,0)),""))</f>
        <v/>
      </c>
      <c r="H1001" s="12">
        <f>IF($A1001="","",IFERROR(INDEX(土地清冊_匯入!$T$6:$T$1005,MATCH($A1001,土地清冊_匯入!$A$6:$A$1005,0)),""))</f>
        <v/>
      </c>
      <c r="I1001" s="12">
        <f>IF($A1001="","",IFERROR(INDEX(土地清冊_匯入!$V$6:$V$1005,MATCH($A1001,土地清冊_匯入!$A$6:$A$1005,0)),""))</f>
        <v/>
      </c>
      <c r="J1001" s="14" t="n"/>
      <c r="K1001" s="7" t="n"/>
      <c r="L1001" s="7" t="n"/>
      <c r="M1001" s="7" t="n"/>
      <c r="N1001" s="7" t="n"/>
      <c r="O1001" s="7" t="n"/>
      <c r="P1001" s="7" t="n"/>
      <c r="Q1001" s="14" t="n"/>
      <c r="R1001" s="7" t="n"/>
      <c r="S1001" s="7" t="n"/>
      <c r="T1001" s="7" t="n"/>
      <c r="U1001" s="12">
        <f>IF(A1001="","",IF(OR(J1001="",L1001=""),"建議補聯絡紀錄","") )</f>
        <v/>
      </c>
    </row>
    <row r="1002" ht="24" customHeight="1">
      <c r="A1002" s="7" t="n"/>
      <c r="B1002" s="7" t="n"/>
      <c r="C1002" s="12">
        <f>IF($A1002="","",IFERROR(INDEX(土地清冊_匯入!$B$6:$B$1005,MATCH($A1002,土地清冊_匯入!$A$6:$A$1005,0)),"查無資料"))</f>
        <v/>
      </c>
      <c r="D1002" s="12">
        <f>IF($A1002="","",IFERROR(INDEX(土地清冊_匯入!$P$6:$P$1005,MATCH($A1002,土地清冊_匯入!$A$6:$A$1005,0)),""))</f>
        <v/>
      </c>
      <c r="E1002" s="12">
        <f>IF($A1002="","",IFERROR(INDEX(土地清冊_匯入!$Q$6:$Q$1005,MATCH($A1002,土地清冊_匯入!$A$6:$A$1005,0)),""))</f>
        <v/>
      </c>
      <c r="F1002" s="12">
        <f>IF($A1002="","",IFERROR(INDEX(土地清冊_匯入!$R$6:$R$1005,MATCH($A1002,土地清冊_匯入!$A$6:$A$1005,0)),""))</f>
        <v/>
      </c>
      <c r="G1002" s="12">
        <f>IF($A1002="","",IFERROR(INDEX(土地清冊_匯入!$S$6:$S$1005,MATCH($A1002,土地清冊_匯入!$A$6:$A$1005,0)),""))</f>
        <v/>
      </c>
      <c r="H1002" s="12">
        <f>IF($A1002="","",IFERROR(INDEX(土地清冊_匯入!$T$6:$T$1005,MATCH($A1002,土地清冊_匯入!$A$6:$A$1005,0)),""))</f>
        <v/>
      </c>
      <c r="I1002" s="12">
        <f>IF($A1002="","",IFERROR(INDEX(土地清冊_匯入!$V$6:$V$1005,MATCH($A1002,土地清冊_匯入!$A$6:$A$1005,0)),""))</f>
        <v/>
      </c>
      <c r="J1002" s="14" t="n"/>
      <c r="K1002" s="7" t="n"/>
      <c r="L1002" s="7" t="n"/>
      <c r="M1002" s="7" t="n"/>
      <c r="N1002" s="7" t="n"/>
      <c r="O1002" s="7" t="n"/>
      <c r="P1002" s="7" t="n"/>
      <c r="Q1002" s="14" t="n"/>
      <c r="R1002" s="7" t="n"/>
      <c r="S1002" s="7" t="n"/>
      <c r="T1002" s="7" t="n"/>
      <c r="U1002" s="12">
        <f>IF(A1002="","",IF(OR(J1002="",L1002=""),"建議補聯絡紀錄","") )</f>
        <v/>
      </c>
    </row>
    <row r="1003" ht="24" customHeight="1">
      <c r="A1003" s="7" t="n"/>
      <c r="B1003" s="7" t="n"/>
      <c r="C1003" s="12">
        <f>IF($A1003="","",IFERROR(INDEX(土地清冊_匯入!$B$6:$B$1005,MATCH($A1003,土地清冊_匯入!$A$6:$A$1005,0)),"查無資料"))</f>
        <v/>
      </c>
      <c r="D1003" s="12">
        <f>IF($A1003="","",IFERROR(INDEX(土地清冊_匯入!$P$6:$P$1005,MATCH($A1003,土地清冊_匯入!$A$6:$A$1005,0)),""))</f>
        <v/>
      </c>
      <c r="E1003" s="12">
        <f>IF($A1003="","",IFERROR(INDEX(土地清冊_匯入!$Q$6:$Q$1005,MATCH($A1003,土地清冊_匯入!$A$6:$A$1005,0)),""))</f>
        <v/>
      </c>
      <c r="F1003" s="12">
        <f>IF($A1003="","",IFERROR(INDEX(土地清冊_匯入!$R$6:$R$1005,MATCH($A1003,土地清冊_匯入!$A$6:$A$1005,0)),""))</f>
        <v/>
      </c>
      <c r="G1003" s="12">
        <f>IF($A1003="","",IFERROR(INDEX(土地清冊_匯入!$S$6:$S$1005,MATCH($A1003,土地清冊_匯入!$A$6:$A$1005,0)),""))</f>
        <v/>
      </c>
      <c r="H1003" s="12">
        <f>IF($A1003="","",IFERROR(INDEX(土地清冊_匯入!$T$6:$T$1005,MATCH($A1003,土地清冊_匯入!$A$6:$A$1005,0)),""))</f>
        <v/>
      </c>
      <c r="I1003" s="12">
        <f>IF($A1003="","",IFERROR(INDEX(土地清冊_匯入!$V$6:$V$1005,MATCH($A1003,土地清冊_匯入!$A$6:$A$1005,0)),""))</f>
        <v/>
      </c>
      <c r="J1003" s="14" t="n"/>
      <c r="K1003" s="7" t="n"/>
      <c r="L1003" s="7" t="n"/>
      <c r="M1003" s="7" t="n"/>
      <c r="N1003" s="7" t="n"/>
      <c r="O1003" s="7" t="n"/>
      <c r="P1003" s="7" t="n"/>
      <c r="Q1003" s="14" t="n"/>
      <c r="R1003" s="7" t="n"/>
      <c r="S1003" s="7" t="n"/>
      <c r="T1003" s="7" t="n"/>
      <c r="U1003" s="12">
        <f>IF(A1003="","",IF(OR(J1003="",L1003=""),"建議補聯絡紀錄","") )</f>
        <v/>
      </c>
    </row>
    <row r="1004" ht="24" customHeight="1">
      <c r="A1004" s="7" t="n"/>
      <c r="B1004" s="7" t="n"/>
      <c r="C1004" s="12">
        <f>IF($A1004="","",IFERROR(INDEX(土地清冊_匯入!$B$6:$B$1005,MATCH($A1004,土地清冊_匯入!$A$6:$A$1005,0)),"查無資料"))</f>
        <v/>
      </c>
      <c r="D1004" s="12">
        <f>IF($A1004="","",IFERROR(INDEX(土地清冊_匯入!$P$6:$P$1005,MATCH($A1004,土地清冊_匯入!$A$6:$A$1005,0)),""))</f>
        <v/>
      </c>
      <c r="E1004" s="12">
        <f>IF($A1004="","",IFERROR(INDEX(土地清冊_匯入!$Q$6:$Q$1005,MATCH($A1004,土地清冊_匯入!$A$6:$A$1005,0)),""))</f>
        <v/>
      </c>
      <c r="F1004" s="12">
        <f>IF($A1004="","",IFERROR(INDEX(土地清冊_匯入!$R$6:$R$1005,MATCH($A1004,土地清冊_匯入!$A$6:$A$1005,0)),""))</f>
        <v/>
      </c>
      <c r="G1004" s="12">
        <f>IF($A1004="","",IFERROR(INDEX(土地清冊_匯入!$S$6:$S$1005,MATCH($A1004,土地清冊_匯入!$A$6:$A$1005,0)),""))</f>
        <v/>
      </c>
      <c r="H1004" s="12">
        <f>IF($A1004="","",IFERROR(INDEX(土地清冊_匯入!$T$6:$T$1005,MATCH($A1004,土地清冊_匯入!$A$6:$A$1005,0)),""))</f>
        <v/>
      </c>
      <c r="I1004" s="12">
        <f>IF($A1004="","",IFERROR(INDEX(土地清冊_匯入!$V$6:$V$1005,MATCH($A1004,土地清冊_匯入!$A$6:$A$1005,0)),""))</f>
        <v/>
      </c>
      <c r="J1004" s="14" t="n"/>
      <c r="K1004" s="7" t="n"/>
      <c r="L1004" s="7" t="n"/>
      <c r="M1004" s="7" t="n"/>
      <c r="N1004" s="7" t="n"/>
      <c r="O1004" s="7" t="n"/>
      <c r="P1004" s="7" t="n"/>
      <c r="Q1004" s="14" t="n"/>
      <c r="R1004" s="7" t="n"/>
      <c r="S1004" s="7" t="n"/>
      <c r="T1004" s="7" t="n"/>
      <c r="U1004" s="12">
        <f>IF(A1004="","",IF(OR(J1004="",L1004=""),"建議補聯絡紀錄","") )</f>
        <v/>
      </c>
    </row>
    <row r="1005" ht="24" customHeight="1">
      <c r="A1005" s="7" t="n"/>
      <c r="B1005" s="7" t="n"/>
      <c r="C1005" s="12">
        <f>IF($A1005="","",IFERROR(INDEX(土地清冊_匯入!$B$6:$B$1005,MATCH($A1005,土地清冊_匯入!$A$6:$A$1005,0)),"查無資料"))</f>
        <v/>
      </c>
      <c r="D1005" s="12">
        <f>IF($A1005="","",IFERROR(INDEX(土地清冊_匯入!$P$6:$P$1005,MATCH($A1005,土地清冊_匯入!$A$6:$A$1005,0)),""))</f>
        <v/>
      </c>
      <c r="E1005" s="12">
        <f>IF($A1005="","",IFERROR(INDEX(土地清冊_匯入!$Q$6:$Q$1005,MATCH($A1005,土地清冊_匯入!$A$6:$A$1005,0)),""))</f>
        <v/>
      </c>
      <c r="F1005" s="12">
        <f>IF($A1005="","",IFERROR(INDEX(土地清冊_匯入!$R$6:$R$1005,MATCH($A1005,土地清冊_匯入!$A$6:$A$1005,0)),""))</f>
        <v/>
      </c>
      <c r="G1005" s="12">
        <f>IF($A1005="","",IFERROR(INDEX(土地清冊_匯入!$S$6:$S$1005,MATCH($A1005,土地清冊_匯入!$A$6:$A$1005,0)),""))</f>
        <v/>
      </c>
      <c r="H1005" s="12">
        <f>IF($A1005="","",IFERROR(INDEX(土地清冊_匯入!$T$6:$T$1005,MATCH($A1005,土地清冊_匯入!$A$6:$A$1005,0)),""))</f>
        <v/>
      </c>
      <c r="I1005" s="12">
        <f>IF($A1005="","",IFERROR(INDEX(土地清冊_匯入!$V$6:$V$1005,MATCH($A1005,土地清冊_匯入!$A$6:$A$1005,0)),""))</f>
        <v/>
      </c>
      <c r="J1005" s="14" t="n"/>
      <c r="K1005" s="7" t="n"/>
      <c r="L1005" s="7" t="n"/>
      <c r="M1005" s="7" t="n"/>
      <c r="N1005" s="7" t="n"/>
      <c r="O1005" s="7" t="n"/>
      <c r="P1005" s="7" t="n"/>
      <c r="Q1005" s="14" t="n"/>
      <c r="R1005" s="7" t="n"/>
      <c r="S1005" s="7" t="n"/>
      <c r="T1005" s="7" t="n"/>
      <c r="U1005" s="12">
        <f>IF(A1005="","",IF(OR(J1005="",L1005=""),"建議補聯絡紀錄","") 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5:U1005"/>
  <mergeCells count="3">
    <mergeCell ref="A1:U1"/>
    <mergeCell ref="A3:U3"/>
    <mergeCell ref="A2:U2"/>
  </mergeCells>
  <conditionalFormatting sqref="U6:U1005">
    <cfRule type="expression" priority="1" dxfId="0">
      <formula>LEN(U6)&gt;0</formula>
    </cfRule>
  </conditionalFormatting>
  <dataValidations count="8">
    <dataValidation sqref="J6:J1005" showDropDown="0" showInputMessage="0" showErrorMessage="0" allowBlank="1" type="date" operator="greaterThanOrEqual">
      <formula1>DATE(1900,1,1)</formula1>
    </dataValidation>
    <dataValidation sqref="K6:K1005" showDropDown="0" showInputMessage="0" showErrorMessage="0" allowBlank="1" type="list">
      <formula1>'下拉選單'!$J$2:$J$7</formula1>
    </dataValidation>
    <dataValidation sqref="L6:L1005" showDropDown="0" showInputMessage="0" showErrorMessage="0" allowBlank="1" type="list">
      <formula1>'下拉選單'!$K$2:$K$7</formula1>
    </dataValidation>
    <dataValidation sqref="M6:M1005" showDropDown="0" showInputMessage="0" showErrorMessage="0" allowBlank="1" type="list">
      <formula1>'下拉選單'!$B$2:$B$5</formula1>
    </dataValidation>
    <dataValidation sqref="N6:N1005" showDropDown="0" showInputMessage="0" showErrorMessage="0" allowBlank="1" type="list">
      <formula1>'下拉選單'!$D$2:$D$5</formula1>
    </dataValidation>
    <dataValidation sqref="O6:O1005" showDropDown="0" showInputMessage="0" showErrorMessage="0" allowBlank="1" type="list">
      <formula1>'下拉選單'!$F$2:$F$5</formula1>
    </dataValidation>
    <dataValidation sqref="P6:P1005" showDropDown="0" showInputMessage="0" showErrorMessage="0" allowBlank="1" type="list">
      <formula1>'下拉選單'!$L$2:$L$6</formula1>
    </dataValidation>
    <dataValidation sqref="Q6:Q1005" showDropDown="0" showInputMessage="0" showErrorMessage="0" allowBlank="1" type="date" operator="greaterThanOrEqual">
      <formula1>DATE(1900,1,1)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6" customWidth="1" min="5" max="5"/>
    <col width="13" customWidth="1" min="6" max="6"/>
    <col width="13" customWidth="1" min="7" max="7"/>
    <col width="12" customWidth="1" min="8" max="8"/>
    <col width="17" customWidth="1" min="9" max="9"/>
    <col width="15" customWidth="1" min="10" max="10"/>
    <col width="17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3" customWidth="1" min="20" max="20"/>
    <col width="15" customWidth="1" min="21" max="21"/>
  </cols>
  <sheetData>
    <row r="1" ht="21.95" customHeight="1">
      <c r="A1" s="4" t="inlineStr">
        <is>
          <t>三策專案管理顧問有限公司</t>
        </is>
      </c>
    </row>
    <row r="2" ht="21.95" customHeight="1">
      <c r="A2" s="3" t="inlineStr">
        <is>
          <t>Sanze Project Management Consulting Co., Ltd.</t>
        </is>
      </c>
    </row>
    <row r="3" ht="38.1" customHeight="1">
      <c r="A3" s="3" t="inlineStr">
        <is>
          <t>本模板為三策開發評估系統授權使用之標準清冊匯入格式。未經授權不得修改欄位結構、公式、驗證規則或轉作其他用途。</t>
        </is>
      </c>
    </row>
    <row r="4" ht="21.95" customHeight="1">
      <c r="A4" s="5" t="inlineStr">
        <is>
          <t>必填</t>
        </is>
      </c>
      <c r="B4" s="5" t="inlineStr">
        <is>
          <t>建議</t>
        </is>
      </c>
      <c r="C4" s="5" t="inlineStr">
        <is>
          <t>選填</t>
        </is>
      </c>
      <c r="D4" s="5" t="inlineStr">
        <is>
          <t>公式</t>
        </is>
      </c>
      <c r="E4" s="5" t="inlineStr">
        <is>
          <t>公式</t>
        </is>
      </c>
      <c r="F4" s="5" t="inlineStr">
        <is>
          <t>公式</t>
        </is>
      </c>
      <c r="G4" s="5" t="inlineStr">
        <is>
          <t>公式</t>
        </is>
      </c>
      <c r="H4" s="5" t="inlineStr">
        <is>
          <t>建議</t>
        </is>
      </c>
      <c r="I4" s="5" t="inlineStr">
        <is>
          <t>選填</t>
        </is>
      </c>
      <c r="J4" s="5" t="inlineStr">
        <is>
          <t>選填</t>
        </is>
      </c>
      <c r="K4" s="5" t="inlineStr">
        <is>
          <t>公式</t>
        </is>
      </c>
      <c r="L4" s="5" t="inlineStr">
        <is>
          <t>選填</t>
        </is>
      </c>
      <c r="M4" s="5" t="inlineStr">
        <is>
          <t>選填</t>
        </is>
      </c>
      <c r="N4" s="5" t="inlineStr">
        <is>
          <t>建議</t>
        </is>
      </c>
      <c r="O4" s="5" t="inlineStr">
        <is>
          <t>建議</t>
        </is>
      </c>
      <c r="P4" s="5" t="inlineStr">
        <is>
          <t>選填</t>
        </is>
      </c>
      <c r="Q4" s="5" t="inlineStr">
        <is>
          <t>建議</t>
        </is>
      </c>
      <c r="R4" s="5" t="inlineStr">
        <is>
          <t>建議</t>
        </is>
      </c>
      <c r="S4" s="5" t="inlineStr">
        <is>
          <t>建議</t>
        </is>
      </c>
      <c r="T4" s="5" t="inlineStr">
        <is>
          <t>選填</t>
        </is>
      </c>
      <c r="U4" s="5" t="inlineStr">
        <is>
          <t>公式</t>
        </is>
      </c>
    </row>
    <row r="5" ht="33.95" customHeight="1">
      <c r="A5" s="6" t="inlineStr">
        <is>
          <t>地主編號</t>
        </is>
      </c>
      <c r="B5" s="6" t="inlineStr">
        <is>
          <t>對應地號</t>
        </is>
      </c>
      <c r="C5" s="6" t="inlineStr">
        <is>
          <t>對應建號</t>
        </is>
      </c>
      <c r="D5" s="6" t="inlineStr">
        <is>
          <t>地主姓名</t>
        </is>
      </c>
      <c r="E5" s="6" t="inlineStr">
        <is>
          <t>土地持分面積坪</t>
        </is>
      </c>
      <c r="F5" s="6" t="inlineStr">
        <is>
          <t>建物面積㎡</t>
        </is>
      </c>
      <c r="G5" s="6" t="inlineStr">
        <is>
          <t>建物持分面積㎡</t>
        </is>
      </c>
      <c r="H5" s="6" t="inlineStr">
        <is>
          <t>分配模式</t>
        </is>
      </c>
      <c r="I5" s="6" t="inlineStr">
        <is>
          <t>每坪土地換建坪</t>
        </is>
      </c>
      <c r="J5" s="6" t="inlineStr">
        <is>
          <t>地主分回比例</t>
        </is>
      </c>
      <c r="K5" s="6" t="inlineStr">
        <is>
          <t>實施者分回比例</t>
        </is>
      </c>
      <c r="L5" s="6" t="inlineStr">
        <is>
          <t>分回坪數</t>
        </is>
      </c>
      <c r="M5" s="6" t="inlineStr">
        <is>
          <t>分回車位數</t>
        </is>
      </c>
      <c r="N5" s="6" t="inlineStr">
        <is>
          <t>是否含車位</t>
        </is>
      </c>
      <c r="O5" s="6" t="inlineStr">
        <is>
          <t>是否含店面</t>
        </is>
      </c>
      <c r="P5" s="6" t="inlineStr">
        <is>
          <t>找補金額</t>
        </is>
      </c>
      <c r="Q5" s="6" t="inlineStr">
        <is>
          <t>是否書面化</t>
        </is>
      </c>
      <c r="R5" s="6" t="inlineStr">
        <is>
          <t>條件狀態</t>
        </is>
      </c>
      <c r="S5" s="6" t="inlineStr">
        <is>
          <t>風險等級</t>
        </is>
      </c>
      <c r="T5" s="6" t="inlineStr">
        <is>
          <t>備註</t>
        </is>
      </c>
      <c r="U5" s="6" t="inlineStr">
        <is>
          <t>公式檢核提示</t>
        </is>
      </c>
    </row>
    <row r="6" ht="24" customHeight="1">
      <c r="A6" s="7" t="n"/>
      <c r="B6" s="7" t="n"/>
      <c r="C6" s="7" t="n"/>
      <c r="D6" s="12">
        <f>IF($A6="","",IFERROR(INDEX(土地清冊_匯入!$B$6:$B$1005,MATCH($A6,土地清冊_匯入!$A$6:$A$1005,0)),"查無資料"))</f>
        <v/>
      </c>
      <c r="E6" s="9">
        <f>IF($A6="","",IFERROR(INDEX(土地清冊_匯入!$I$6:$I$1005,MATCH($A6,土地清冊_匯入!$A$6:$A$1005,0)),""))</f>
        <v/>
      </c>
      <c r="F6" s="13">
        <f>IF($A6="","",IFERROR(INDEX(建物清冊_匯入!$N$6:$N$1005,MATCH($A6,建物清冊_匯入!$A$6:$A$1005,0)),""))</f>
        <v/>
      </c>
      <c r="G6" s="9">
        <f>IF($A6="","",IFERROR(INDEX(建物清冊_匯入!$S$6:$S$1005,MATCH($A6,建物清冊_匯入!$A$6:$A$1005,0)),""))</f>
        <v/>
      </c>
      <c r="H6" s="7" t="n"/>
      <c r="I6" s="15" t="n"/>
      <c r="J6" s="16" t="n"/>
      <c r="K6" s="17">
        <f>IF(J6="","",1-J6)</f>
        <v/>
      </c>
      <c r="L6" s="15" t="n"/>
      <c r="M6" s="7" t="n"/>
      <c r="N6" s="7" t="n"/>
      <c r="O6" s="7" t="n"/>
      <c r="P6" s="11" t="n"/>
      <c r="Q6" s="7" t="n"/>
      <c r="R6" s="7" t="n"/>
      <c r="S6" s="7" t="n"/>
      <c r="T6" s="7" t="n"/>
      <c r="U6" s="12">
        <f>IF(A6="","",IF(H6="","建議填分配模式",""))</f>
        <v/>
      </c>
    </row>
    <row r="7" ht="24" customHeight="1">
      <c r="A7" s="7" t="n"/>
      <c r="B7" s="7" t="n"/>
      <c r="C7" s="7" t="n"/>
      <c r="D7" s="12">
        <f>IF($A7="","",IFERROR(INDEX(土地清冊_匯入!$B$6:$B$1005,MATCH($A7,土地清冊_匯入!$A$6:$A$1005,0)),"查無資料"))</f>
        <v/>
      </c>
      <c r="E7" s="9">
        <f>IF($A7="","",IFERROR(INDEX(土地清冊_匯入!$I$6:$I$1005,MATCH($A7,土地清冊_匯入!$A$6:$A$1005,0)),""))</f>
        <v/>
      </c>
      <c r="F7" s="13">
        <f>IF($A7="","",IFERROR(INDEX(建物清冊_匯入!$N$6:$N$1005,MATCH($A7,建物清冊_匯入!$A$6:$A$1005,0)),""))</f>
        <v/>
      </c>
      <c r="G7" s="9">
        <f>IF($A7="","",IFERROR(INDEX(建物清冊_匯入!$S$6:$S$1005,MATCH($A7,建物清冊_匯入!$A$6:$A$1005,0)),""))</f>
        <v/>
      </c>
      <c r="H7" s="7" t="n"/>
      <c r="I7" s="15" t="n"/>
      <c r="J7" s="16" t="n"/>
      <c r="K7" s="17">
        <f>IF(J7="","",1-J7)</f>
        <v/>
      </c>
      <c r="L7" s="15" t="n"/>
      <c r="M7" s="7" t="n"/>
      <c r="N7" s="7" t="n"/>
      <c r="O7" s="7" t="n"/>
      <c r="P7" s="11" t="n"/>
      <c r="Q7" s="7" t="n"/>
      <c r="R7" s="7" t="n"/>
      <c r="S7" s="7" t="n"/>
      <c r="T7" s="7" t="n"/>
      <c r="U7" s="12">
        <f>IF(A7="","",IF(H7="","建議填分配模式",""))</f>
        <v/>
      </c>
    </row>
    <row r="8" ht="24" customHeight="1">
      <c r="A8" s="7" t="n"/>
      <c r="B8" s="7" t="n"/>
      <c r="C8" s="7" t="n"/>
      <c r="D8" s="12">
        <f>IF($A8="","",IFERROR(INDEX(土地清冊_匯入!$B$6:$B$1005,MATCH($A8,土地清冊_匯入!$A$6:$A$1005,0)),"查無資料"))</f>
        <v/>
      </c>
      <c r="E8" s="9">
        <f>IF($A8="","",IFERROR(INDEX(土地清冊_匯入!$I$6:$I$1005,MATCH($A8,土地清冊_匯入!$A$6:$A$1005,0)),""))</f>
        <v/>
      </c>
      <c r="F8" s="13">
        <f>IF($A8="","",IFERROR(INDEX(建物清冊_匯入!$N$6:$N$1005,MATCH($A8,建物清冊_匯入!$A$6:$A$1005,0)),""))</f>
        <v/>
      </c>
      <c r="G8" s="9">
        <f>IF($A8="","",IFERROR(INDEX(建物清冊_匯入!$S$6:$S$1005,MATCH($A8,建物清冊_匯入!$A$6:$A$1005,0)),""))</f>
        <v/>
      </c>
      <c r="H8" s="7" t="n"/>
      <c r="I8" s="15" t="n"/>
      <c r="J8" s="16" t="n"/>
      <c r="K8" s="17">
        <f>IF(J8="","",1-J8)</f>
        <v/>
      </c>
      <c r="L8" s="15" t="n"/>
      <c r="M8" s="7" t="n"/>
      <c r="N8" s="7" t="n"/>
      <c r="O8" s="7" t="n"/>
      <c r="P8" s="11" t="n"/>
      <c r="Q8" s="7" t="n"/>
      <c r="R8" s="7" t="n"/>
      <c r="S8" s="7" t="n"/>
      <c r="T8" s="7" t="n"/>
      <c r="U8" s="12">
        <f>IF(A8="","",IF(H8="","建議填分配模式",""))</f>
        <v/>
      </c>
    </row>
    <row r="9" ht="24" customHeight="1">
      <c r="A9" s="7" t="n"/>
      <c r="B9" s="7" t="n"/>
      <c r="C9" s="7" t="n"/>
      <c r="D9" s="12">
        <f>IF($A9="","",IFERROR(INDEX(土地清冊_匯入!$B$6:$B$1005,MATCH($A9,土地清冊_匯入!$A$6:$A$1005,0)),"查無資料"))</f>
        <v/>
      </c>
      <c r="E9" s="9">
        <f>IF($A9="","",IFERROR(INDEX(土地清冊_匯入!$I$6:$I$1005,MATCH($A9,土地清冊_匯入!$A$6:$A$1005,0)),""))</f>
        <v/>
      </c>
      <c r="F9" s="13">
        <f>IF($A9="","",IFERROR(INDEX(建物清冊_匯入!$N$6:$N$1005,MATCH($A9,建物清冊_匯入!$A$6:$A$1005,0)),""))</f>
        <v/>
      </c>
      <c r="G9" s="9">
        <f>IF($A9="","",IFERROR(INDEX(建物清冊_匯入!$S$6:$S$1005,MATCH($A9,建物清冊_匯入!$A$6:$A$1005,0)),""))</f>
        <v/>
      </c>
      <c r="H9" s="7" t="n"/>
      <c r="I9" s="15" t="n"/>
      <c r="J9" s="16" t="n"/>
      <c r="K9" s="17">
        <f>IF(J9="","",1-J9)</f>
        <v/>
      </c>
      <c r="L9" s="15" t="n"/>
      <c r="M9" s="7" t="n"/>
      <c r="N9" s="7" t="n"/>
      <c r="O9" s="7" t="n"/>
      <c r="P9" s="11" t="n"/>
      <c r="Q9" s="7" t="n"/>
      <c r="R9" s="7" t="n"/>
      <c r="S9" s="7" t="n"/>
      <c r="T9" s="7" t="n"/>
      <c r="U9" s="12">
        <f>IF(A9="","",IF(H9="","建議填分配模式",""))</f>
        <v/>
      </c>
    </row>
    <row r="10" ht="24" customHeight="1">
      <c r="A10" s="7" t="n"/>
      <c r="B10" s="7" t="n"/>
      <c r="C10" s="7" t="n"/>
      <c r="D10" s="12">
        <f>IF($A10="","",IFERROR(INDEX(土地清冊_匯入!$B$6:$B$1005,MATCH($A10,土地清冊_匯入!$A$6:$A$1005,0)),"查無資料"))</f>
        <v/>
      </c>
      <c r="E10" s="9">
        <f>IF($A10="","",IFERROR(INDEX(土地清冊_匯入!$I$6:$I$1005,MATCH($A10,土地清冊_匯入!$A$6:$A$1005,0)),""))</f>
        <v/>
      </c>
      <c r="F10" s="13">
        <f>IF($A10="","",IFERROR(INDEX(建物清冊_匯入!$N$6:$N$1005,MATCH($A10,建物清冊_匯入!$A$6:$A$1005,0)),""))</f>
        <v/>
      </c>
      <c r="G10" s="9">
        <f>IF($A10="","",IFERROR(INDEX(建物清冊_匯入!$S$6:$S$1005,MATCH($A10,建物清冊_匯入!$A$6:$A$1005,0)),""))</f>
        <v/>
      </c>
      <c r="H10" s="7" t="n"/>
      <c r="I10" s="15" t="n"/>
      <c r="J10" s="16" t="n"/>
      <c r="K10" s="17">
        <f>IF(J10="","",1-J10)</f>
        <v/>
      </c>
      <c r="L10" s="15" t="n"/>
      <c r="M10" s="7" t="n"/>
      <c r="N10" s="7" t="n"/>
      <c r="O10" s="7" t="n"/>
      <c r="P10" s="11" t="n"/>
      <c r="Q10" s="7" t="n"/>
      <c r="R10" s="7" t="n"/>
      <c r="S10" s="7" t="n"/>
      <c r="T10" s="7" t="n"/>
      <c r="U10" s="12">
        <f>IF(A10="","",IF(H10="","建議填分配模式",""))</f>
        <v/>
      </c>
    </row>
    <row r="11" ht="24" customHeight="1">
      <c r="A11" s="7" t="n"/>
      <c r="B11" s="7" t="n"/>
      <c r="C11" s="7" t="n"/>
      <c r="D11" s="12">
        <f>IF($A11="","",IFERROR(INDEX(土地清冊_匯入!$B$6:$B$1005,MATCH($A11,土地清冊_匯入!$A$6:$A$1005,0)),"查無資料"))</f>
        <v/>
      </c>
      <c r="E11" s="9">
        <f>IF($A11="","",IFERROR(INDEX(土地清冊_匯入!$I$6:$I$1005,MATCH($A11,土地清冊_匯入!$A$6:$A$1005,0)),""))</f>
        <v/>
      </c>
      <c r="F11" s="13">
        <f>IF($A11="","",IFERROR(INDEX(建物清冊_匯入!$N$6:$N$1005,MATCH($A11,建物清冊_匯入!$A$6:$A$1005,0)),""))</f>
        <v/>
      </c>
      <c r="G11" s="9">
        <f>IF($A11="","",IFERROR(INDEX(建物清冊_匯入!$S$6:$S$1005,MATCH($A11,建物清冊_匯入!$A$6:$A$1005,0)),""))</f>
        <v/>
      </c>
      <c r="H11" s="7" t="n"/>
      <c r="I11" s="15" t="n"/>
      <c r="J11" s="16" t="n"/>
      <c r="K11" s="17">
        <f>IF(J11="","",1-J11)</f>
        <v/>
      </c>
      <c r="L11" s="15" t="n"/>
      <c r="M11" s="7" t="n"/>
      <c r="N11" s="7" t="n"/>
      <c r="O11" s="7" t="n"/>
      <c r="P11" s="11" t="n"/>
      <c r="Q11" s="7" t="n"/>
      <c r="R11" s="7" t="n"/>
      <c r="S11" s="7" t="n"/>
      <c r="T11" s="7" t="n"/>
      <c r="U11" s="12">
        <f>IF(A11="","",IF(H11="","建議填分配模式",""))</f>
        <v/>
      </c>
    </row>
    <row r="12" ht="24" customHeight="1">
      <c r="A12" s="7" t="n"/>
      <c r="B12" s="7" t="n"/>
      <c r="C12" s="7" t="n"/>
      <c r="D12" s="12">
        <f>IF($A12="","",IFERROR(INDEX(土地清冊_匯入!$B$6:$B$1005,MATCH($A12,土地清冊_匯入!$A$6:$A$1005,0)),"查無資料"))</f>
        <v/>
      </c>
      <c r="E12" s="9">
        <f>IF($A12="","",IFERROR(INDEX(土地清冊_匯入!$I$6:$I$1005,MATCH($A12,土地清冊_匯入!$A$6:$A$1005,0)),""))</f>
        <v/>
      </c>
      <c r="F12" s="13">
        <f>IF($A12="","",IFERROR(INDEX(建物清冊_匯入!$N$6:$N$1005,MATCH($A12,建物清冊_匯入!$A$6:$A$1005,0)),""))</f>
        <v/>
      </c>
      <c r="G12" s="9">
        <f>IF($A12="","",IFERROR(INDEX(建物清冊_匯入!$S$6:$S$1005,MATCH($A12,建物清冊_匯入!$A$6:$A$1005,0)),""))</f>
        <v/>
      </c>
      <c r="H12" s="7" t="n"/>
      <c r="I12" s="15" t="n"/>
      <c r="J12" s="16" t="n"/>
      <c r="K12" s="17">
        <f>IF(J12="","",1-J12)</f>
        <v/>
      </c>
      <c r="L12" s="15" t="n"/>
      <c r="M12" s="7" t="n"/>
      <c r="N12" s="7" t="n"/>
      <c r="O12" s="7" t="n"/>
      <c r="P12" s="11" t="n"/>
      <c r="Q12" s="7" t="n"/>
      <c r="R12" s="7" t="n"/>
      <c r="S12" s="7" t="n"/>
      <c r="T12" s="7" t="n"/>
      <c r="U12" s="12">
        <f>IF(A12="","",IF(H12="","建議填分配模式",""))</f>
        <v/>
      </c>
    </row>
    <row r="13" ht="24" customHeight="1">
      <c r="A13" s="7" t="n"/>
      <c r="B13" s="7" t="n"/>
      <c r="C13" s="7" t="n"/>
      <c r="D13" s="12">
        <f>IF($A13="","",IFERROR(INDEX(土地清冊_匯入!$B$6:$B$1005,MATCH($A13,土地清冊_匯入!$A$6:$A$1005,0)),"查無資料"))</f>
        <v/>
      </c>
      <c r="E13" s="9">
        <f>IF($A13="","",IFERROR(INDEX(土地清冊_匯入!$I$6:$I$1005,MATCH($A13,土地清冊_匯入!$A$6:$A$1005,0)),""))</f>
        <v/>
      </c>
      <c r="F13" s="13">
        <f>IF($A13="","",IFERROR(INDEX(建物清冊_匯入!$N$6:$N$1005,MATCH($A13,建物清冊_匯入!$A$6:$A$1005,0)),""))</f>
        <v/>
      </c>
      <c r="G13" s="9">
        <f>IF($A13="","",IFERROR(INDEX(建物清冊_匯入!$S$6:$S$1005,MATCH($A13,建物清冊_匯入!$A$6:$A$1005,0)),""))</f>
        <v/>
      </c>
      <c r="H13" s="7" t="n"/>
      <c r="I13" s="15" t="n"/>
      <c r="J13" s="16" t="n"/>
      <c r="K13" s="17">
        <f>IF(J13="","",1-J13)</f>
        <v/>
      </c>
      <c r="L13" s="15" t="n"/>
      <c r="M13" s="7" t="n"/>
      <c r="N13" s="7" t="n"/>
      <c r="O13" s="7" t="n"/>
      <c r="P13" s="11" t="n"/>
      <c r="Q13" s="7" t="n"/>
      <c r="R13" s="7" t="n"/>
      <c r="S13" s="7" t="n"/>
      <c r="T13" s="7" t="n"/>
      <c r="U13" s="12">
        <f>IF(A13="","",IF(H13="","建議填分配模式",""))</f>
        <v/>
      </c>
    </row>
    <row r="14" ht="24" customHeight="1">
      <c r="A14" s="7" t="n"/>
      <c r="B14" s="7" t="n"/>
      <c r="C14" s="7" t="n"/>
      <c r="D14" s="12">
        <f>IF($A14="","",IFERROR(INDEX(土地清冊_匯入!$B$6:$B$1005,MATCH($A14,土地清冊_匯入!$A$6:$A$1005,0)),"查無資料"))</f>
        <v/>
      </c>
      <c r="E14" s="9">
        <f>IF($A14="","",IFERROR(INDEX(土地清冊_匯入!$I$6:$I$1005,MATCH($A14,土地清冊_匯入!$A$6:$A$1005,0)),""))</f>
        <v/>
      </c>
      <c r="F14" s="13">
        <f>IF($A14="","",IFERROR(INDEX(建物清冊_匯入!$N$6:$N$1005,MATCH($A14,建物清冊_匯入!$A$6:$A$1005,0)),""))</f>
        <v/>
      </c>
      <c r="G14" s="9">
        <f>IF($A14="","",IFERROR(INDEX(建物清冊_匯入!$S$6:$S$1005,MATCH($A14,建物清冊_匯入!$A$6:$A$1005,0)),""))</f>
        <v/>
      </c>
      <c r="H14" s="7" t="n"/>
      <c r="I14" s="15" t="n"/>
      <c r="J14" s="16" t="n"/>
      <c r="K14" s="17">
        <f>IF(J14="","",1-J14)</f>
        <v/>
      </c>
      <c r="L14" s="15" t="n"/>
      <c r="M14" s="7" t="n"/>
      <c r="N14" s="7" t="n"/>
      <c r="O14" s="7" t="n"/>
      <c r="P14" s="11" t="n"/>
      <c r="Q14" s="7" t="n"/>
      <c r="R14" s="7" t="n"/>
      <c r="S14" s="7" t="n"/>
      <c r="T14" s="7" t="n"/>
      <c r="U14" s="12">
        <f>IF(A14="","",IF(H14="","建議填分配模式",""))</f>
        <v/>
      </c>
    </row>
    <row r="15" ht="24" customHeight="1">
      <c r="A15" s="7" t="n"/>
      <c r="B15" s="7" t="n"/>
      <c r="C15" s="7" t="n"/>
      <c r="D15" s="12">
        <f>IF($A15="","",IFERROR(INDEX(土地清冊_匯入!$B$6:$B$1005,MATCH($A15,土地清冊_匯入!$A$6:$A$1005,0)),"查無資料"))</f>
        <v/>
      </c>
      <c r="E15" s="9">
        <f>IF($A15="","",IFERROR(INDEX(土地清冊_匯入!$I$6:$I$1005,MATCH($A15,土地清冊_匯入!$A$6:$A$1005,0)),""))</f>
        <v/>
      </c>
      <c r="F15" s="13">
        <f>IF($A15="","",IFERROR(INDEX(建物清冊_匯入!$N$6:$N$1005,MATCH($A15,建物清冊_匯入!$A$6:$A$1005,0)),""))</f>
        <v/>
      </c>
      <c r="G15" s="9">
        <f>IF($A15="","",IFERROR(INDEX(建物清冊_匯入!$S$6:$S$1005,MATCH($A15,建物清冊_匯入!$A$6:$A$1005,0)),""))</f>
        <v/>
      </c>
      <c r="H15" s="7" t="n"/>
      <c r="I15" s="15" t="n"/>
      <c r="J15" s="16" t="n"/>
      <c r="K15" s="17">
        <f>IF(J15="","",1-J15)</f>
        <v/>
      </c>
      <c r="L15" s="15" t="n"/>
      <c r="M15" s="7" t="n"/>
      <c r="N15" s="7" t="n"/>
      <c r="O15" s="7" t="n"/>
      <c r="P15" s="11" t="n"/>
      <c r="Q15" s="7" t="n"/>
      <c r="R15" s="7" t="n"/>
      <c r="S15" s="7" t="n"/>
      <c r="T15" s="7" t="n"/>
      <c r="U15" s="12">
        <f>IF(A15="","",IF(H15="","建議填分配模式",""))</f>
        <v/>
      </c>
    </row>
    <row r="16" ht="24" customHeight="1">
      <c r="A16" s="7" t="n"/>
      <c r="B16" s="7" t="n"/>
      <c r="C16" s="7" t="n"/>
      <c r="D16" s="12">
        <f>IF($A16="","",IFERROR(INDEX(土地清冊_匯入!$B$6:$B$1005,MATCH($A16,土地清冊_匯入!$A$6:$A$1005,0)),"查無資料"))</f>
        <v/>
      </c>
      <c r="E16" s="9">
        <f>IF($A16="","",IFERROR(INDEX(土地清冊_匯入!$I$6:$I$1005,MATCH($A16,土地清冊_匯入!$A$6:$A$1005,0)),""))</f>
        <v/>
      </c>
      <c r="F16" s="13">
        <f>IF($A16="","",IFERROR(INDEX(建物清冊_匯入!$N$6:$N$1005,MATCH($A16,建物清冊_匯入!$A$6:$A$1005,0)),""))</f>
        <v/>
      </c>
      <c r="G16" s="9">
        <f>IF($A16="","",IFERROR(INDEX(建物清冊_匯入!$S$6:$S$1005,MATCH($A16,建物清冊_匯入!$A$6:$A$1005,0)),""))</f>
        <v/>
      </c>
      <c r="H16" s="7" t="n"/>
      <c r="I16" s="15" t="n"/>
      <c r="J16" s="16" t="n"/>
      <c r="K16" s="17">
        <f>IF(J16="","",1-J16)</f>
        <v/>
      </c>
      <c r="L16" s="15" t="n"/>
      <c r="M16" s="7" t="n"/>
      <c r="N16" s="7" t="n"/>
      <c r="O16" s="7" t="n"/>
      <c r="P16" s="11" t="n"/>
      <c r="Q16" s="7" t="n"/>
      <c r="R16" s="7" t="n"/>
      <c r="S16" s="7" t="n"/>
      <c r="T16" s="7" t="n"/>
      <c r="U16" s="12">
        <f>IF(A16="","",IF(H16="","建議填分配模式",""))</f>
        <v/>
      </c>
    </row>
    <row r="17" ht="24" customHeight="1">
      <c r="A17" s="7" t="n"/>
      <c r="B17" s="7" t="n"/>
      <c r="C17" s="7" t="n"/>
      <c r="D17" s="12">
        <f>IF($A17="","",IFERROR(INDEX(土地清冊_匯入!$B$6:$B$1005,MATCH($A17,土地清冊_匯入!$A$6:$A$1005,0)),"查無資料"))</f>
        <v/>
      </c>
      <c r="E17" s="9">
        <f>IF($A17="","",IFERROR(INDEX(土地清冊_匯入!$I$6:$I$1005,MATCH($A17,土地清冊_匯入!$A$6:$A$1005,0)),""))</f>
        <v/>
      </c>
      <c r="F17" s="13">
        <f>IF($A17="","",IFERROR(INDEX(建物清冊_匯入!$N$6:$N$1005,MATCH($A17,建物清冊_匯入!$A$6:$A$1005,0)),""))</f>
        <v/>
      </c>
      <c r="G17" s="9">
        <f>IF($A17="","",IFERROR(INDEX(建物清冊_匯入!$S$6:$S$1005,MATCH($A17,建物清冊_匯入!$A$6:$A$1005,0)),""))</f>
        <v/>
      </c>
      <c r="H17" s="7" t="n"/>
      <c r="I17" s="15" t="n"/>
      <c r="J17" s="16" t="n"/>
      <c r="K17" s="17">
        <f>IF(J17="","",1-J17)</f>
        <v/>
      </c>
      <c r="L17" s="15" t="n"/>
      <c r="M17" s="7" t="n"/>
      <c r="N17" s="7" t="n"/>
      <c r="O17" s="7" t="n"/>
      <c r="P17" s="11" t="n"/>
      <c r="Q17" s="7" t="n"/>
      <c r="R17" s="7" t="n"/>
      <c r="S17" s="7" t="n"/>
      <c r="T17" s="7" t="n"/>
      <c r="U17" s="12">
        <f>IF(A17="","",IF(H17="","建議填分配模式",""))</f>
        <v/>
      </c>
    </row>
    <row r="18" ht="24" customHeight="1">
      <c r="A18" s="7" t="n"/>
      <c r="B18" s="7" t="n"/>
      <c r="C18" s="7" t="n"/>
      <c r="D18" s="12">
        <f>IF($A18="","",IFERROR(INDEX(土地清冊_匯入!$B$6:$B$1005,MATCH($A18,土地清冊_匯入!$A$6:$A$1005,0)),"查無資料"))</f>
        <v/>
      </c>
      <c r="E18" s="9">
        <f>IF($A18="","",IFERROR(INDEX(土地清冊_匯入!$I$6:$I$1005,MATCH($A18,土地清冊_匯入!$A$6:$A$1005,0)),""))</f>
        <v/>
      </c>
      <c r="F18" s="13">
        <f>IF($A18="","",IFERROR(INDEX(建物清冊_匯入!$N$6:$N$1005,MATCH($A18,建物清冊_匯入!$A$6:$A$1005,0)),""))</f>
        <v/>
      </c>
      <c r="G18" s="9">
        <f>IF($A18="","",IFERROR(INDEX(建物清冊_匯入!$S$6:$S$1005,MATCH($A18,建物清冊_匯入!$A$6:$A$1005,0)),""))</f>
        <v/>
      </c>
      <c r="H18" s="7" t="n"/>
      <c r="I18" s="15" t="n"/>
      <c r="J18" s="16" t="n"/>
      <c r="K18" s="17">
        <f>IF(J18="","",1-J18)</f>
        <v/>
      </c>
      <c r="L18" s="15" t="n"/>
      <c r="M18" s="7" t="n"/>
      <c r="N18" s="7" t="n"/>
      <c r="O18" s="7" t="n"/>
      <c r="P18" s="11" t="n"/>
      <c r="Q18" s="7" t="n"/>
      <c r="R18" s="7" t="n"/>
      <c r="S18" s="7" t="n"/>
      <c r="T18" s="7" t="n"/>
      <c r="U18" s="12">
        <f>IF(A18="","",IF(H18="","建議填分配模式",""))</f>
        <v/>
      </c>
    </row>
    <row r="19" ht="24" customHeight="1">
      <c r="A19" s="7" t="n"/>
      <c r="B19" s="7" t="n"/>
      <c r="C19" s="7" t="n"/>
      <c r="D19" s="12">
        <f>IF($A19="","",IFERROR(INDEX(土地清冊_匯入!$B$6:$B$1005,MATCH($A19,土地清冊_匯入!$A$6:$A$1005,0)),"查無資料"))</f>
        <v/>
      </c>
      <c r="E19" s="9">
        <f>IF($A19="","",IFERROR(INDEX(土地清冊_匯入!$I$6:$I$1005,MATCH($A19,土地清冊_匯入!$A$6:$A$1005,0)),""))</f>
        <v/>
      </c>
      <c r="F19" s="13">
        <f>IF($A19="","",IFERROR(INDEX(建物清冊_匯入!$N$6:$N$1005,MATCH($A19,建物清冊_匯入!$A$6:$A$1005,0)),""))</f>
        <v/>
      </c>
      <c r="G19" s="9">
        <f>IF($A19="","",IFERROR(INDEX(建物清冊_匯入!$S$6:$S$1005,MATCH($A19,建物清冊_匯入!$A$6:$A$1005,0)),""))</f>
        <v/>
      </c>
      <c r="H19" s="7" t="n"/>
      <c r="I19" s="15" t="n"/>
      <c r="J19" s="16" t="n"/>
      <c r="K19" s="17">
        <f>IF(J19="","",1-J19)</f>
        <v/>
      </c>
      <c r="L19" s="15" t="n"/>
      <c r="M19" s="7" t="n"/>
      <c r="N19" s="7" t="n"/>
      <c r="O19" s="7" t="n"/>
      <c r="P19" s="11" t="n"/>
      <c r="Q19" s="7" t="n"/>
      <c r="R19" s="7" t="n"/>
      <c r="S19" s="7" t="n"/>
      <c r="T19" s="7" t="n"/>
      <c r="U19" s="12">
        <f>IF(A19="","",IF(H19="","建議填分配模式",""))</f>
        <v/>
      </c>
    </row>
    <row r="20" ht="24" customHeight="1">
      <c r="A20" s="7" t="n"/>
      <c r="B20" s="7" t="n"/>
      <c r="C20" s="7" t="n"/>
      <c r="D20" s="12">
        <f>IF($A20="","",IFERROR(INDEX(土地清冊_匯入!$B$6:$B$1005,MATCH($A20,土地清冊_匯入!$A$6:$A$1005,0)),"查無資料"))</f>
        <v/>
      </c>
      <c r="E20" s="9">
        <f>IF($A20="","",IFERROR(INDEX(土地清冊_匯入!$I$6:$I$1005,MATCH($A20,土地清冊_匯入!$A$6:$A$1005,0)),""))</f>
        <v/>
      </c>
      <c r="F20" s="13">
        <f>IF($A20="","",IFERROR(INDEX(建物清冊_匯入!$N$6:$N$1005,MATCH($A20,建物清冊_匯入!$A$6:$A$1005,0)),""))</f>
        <v/>
      </c>
      <c r="G20" s="9">
        <f>IF($A20="","",IFERROR(INDEX(建物清冊_匯入!$S$6:$S$1005,MATCH($A20,建物清冊_匯入!$A$6:$A$1005,0)),""))</f>
        <v/>
      </c>
      <c r="H20" s="7" t="n"/>
      <c r="I20" s="15" t="n"/>
      <c r="J20" s="16" t="n"/>
      <c r="K20" s="17">
        <f>IF(J20="","",1-J20)</f>
        <v/>
      </c>
      <c r="L20" s="15" t="n"/>
      <c r="M20" s="7" t="n"/>
      <c r="N20" s="7" t="n"/>
      <c r="O20" s="7" t="n"/>
      <c r="P20" s="11" t="n"/>
      <c r="Q20" s="7" t="n"/>
      <c r="R20" s="7" t="n"/>
      <c r="S20" s="7" t="n"/>
      <c r="T20" s="7" t="n"/>
      <c r="U20" s="12">
        <f>IF(A20="","",IF(H20="","建議填分配模式",""))</f>
        <v/>
      </c>
    </row>
    <row r="21" ht="24" customHeight="1">
      <c r="A21" s="7" t="n"/>
      <c r="B21" s="7" t="n"/>
      <c r="C21" s="7" t="n"/>
      <c r="D21" s="12">
        <f>IF($A21="","",IFERROR(INDEX(土地清冊_匯入!$B$6:$B$1005,MATCH($A21,土地清冊_匯入!$A$6:$A$1005,0)),"查無資料"))</f>
        <v/>
      </c>
      <c r="E21" s="9">
        <f>IF($A21="","",IFERROR(INDEX(土地清冊_匯入!$I$6:$I$1005,MATCH($A21,土地清冊_匯入!$A$6:$A$1005,0)),""))</f>
        <v/>
      </c>
      <c r="F21" s="13">
        <f>IF($A21="","",IFERROR(INDEX(建物清冊_匯入!$N$6:$N$1005,MATCH($A21,建物清冊_匯入!$A$6:$A$1005,0)),""))</f>
        <v/>
      </c>
      <c r="G21" s="9">
        <f>IF($A21="","",IFERROR(INDEX(建物清冊_匯入!$S$6:$S$1005,MATCH($A21,建物清冊_匯入!$A$6:$A$1005,0)),""))</f>
        <v/>
      </c>
      <c r="H21" s="7" t="n"/>
      <c r="I21" s="15" t="n"/>
      <c r="J21" s="16" t="n"/>
      <c r="K21" s="17">
        <f>IF(J21="","",1-J21)</f>
        <v/>
      </c>
      <c r="L21" s="15" t="n"/>
      <c r="M21" s="7" t="n"/>
      <c r="N21" s="7" t="n"/>
      <c r="O21" s="7" t="n"/>
      <c r="P21" s="11" t="n"/>
      <c r="Q21" s="7" t="n"/>
      <c r="R21" s="7" t="n"/>
      <c r="S21" s="7" t="n"/>
      <c r="T21" s="7" t="n"/>
      <c r="U21" s="12">
        <f>IF(A21="","",IF(H21="","建議填分配模式",""))</f>
        <v/>
      </c>
    </row>
    <row r="22" ht="24" customHeight="1">
      <c r="A22" s="7" t="n"/>
      <c r="B22" s="7" t="n"/>
      <c r="C22" s="7" t="n"/>
      <c r="D22" s="12">
        <f>IF($A22="","",IFERROR(INDEX(土地清冊_匯入!$B$6:$B$1005,MATCH($A22,土地清冊_匯入!$A$6:$A$1005,0)),"查無資料"))</f>
        <v/>
      </c>
      <c r="E22" s="9">
        <f>IF($A22="","",IFERROR(INDEX(土地清冊_匯入!$I$6:$I$1005,MATCH($A22,土地清冊_匯入!$A$6:$A$1005,0)),""))</f>
        <v/>
      </c>
      <c r="F22" s="13">
        <f>IF($A22="","",IFERROR(INDEX(建物清冊_匯入!$N$6:$N$1005,MATCH($A22,建物清冊_匯入!$A$6:$A$1005,0)),""))</f>
        <v/>
      </c>
      <c r="G22" s="9">
        <f>IF($A22="","",IFERROR(INDEX(建物清冊_匯入!$S$6:$S$1005,MATCH($A22,建物清冊_匯入!$A$6:$A$1005,0)),""))</f>
        <v/>
      </c>
      <c r="H22" s="7" t="n"/>
      <c r="I22" s="15" t="n"/>
      <c r="J22" s="16" t="n"/>
      <c r="K22" s="17">
        <f>IF(J22="","",1-J22)</f>
        <v/>
      </c>
      <c r="L22" s="15" t="n"/>
      <c r="M22" s="7" t="n"/>
      <c r="N22" s="7" t="n"/>
      <c r="O22" s="7" t="n"/>
      <c r="P22" s="11" t="n"/>
      <c r="Q22" s="7" t="n"/>
      <c r="R22" s="7" t="n"/>
      <c r="S22" s="7" t="n"/>
      <c r="T22" s="7" t="n"/>
      <c r="U22" s="12">
        <f>IF(A22="","",IF(H22="","建議填分配模式",""))</f>
        <v/>
      </c>
    </row>
    <row r="23" ht="24" customHeight="1">
      <c r="A23" s="7" t="n"/>
      <c r="B23" s="7" t="n"/>
      <c r="C23" s="7" t="n"/>
      <c r="D23" s="12">
        <f>IF($A23="","",IFERROR(INDEX(土地清冊_匯入!$B$6:$B$1005,MATCH($A23,土地清冊_匯入!$A$6:$A$1005,0)),"查無資料"))</f>
        <v/>
      </c>
      <c r="E23" s="9">
        <f>IF($A23="","",IFERROR(INDEX(土地清冊_匯入!$I$6:$I$1005,MATCH($A23,土地清冊_匯入!$A$6:$A$1005,0)),""))</f>
        <v/>
      </c>
      <c r="F23" s="13">
        <f>IF($A23="","",IFERROR(INDEX(建物清冊_匯入!$N$6:$N$1005,MATCH($A23,建物清冊_匯入!$A$6:$A$1005,0)),""))</f>
        <v/>
      </c>
      <c r="G23" s="9">
        <f>IF($A23="","",IFERROR(INDEX(建物清冊_匯入!$S$6:$S$1005,MATCH($A23,建物清冊_匯入!$A$6:$A$1005,0)),""))</f>
        <v/>
      </c>
      <c r="H23" s="7" t="n"/>
      <c r="I23" s="15" t="n"/>
      <c r="J23" s="16" t="n"/>
      <c r="K23" s="17">
        <f>IF(J23="","",1-J23)</f>
        <v/>
      </c>
      <c r="L23" s="15" t="n"/>
      <c r="M23" s="7" t="n"/>
      <c r="N23" s="7" t="n"/>
      <c r="O23" s="7" t="n"/>
      <c r="P23" s="11" t="n"/>
      <c r="Q23" s="7" t="n"/>
      <c r="R23" s="7" t="n"/>
      <c r="S23" s="7" t="n"/>
      <c r="T23" s="7" t="n"/>
      <c r="U23" s="12">
        <f>IF(A23="","",IF(H23="","建議填分配模式",""))</f>
        <v/>
      </c>
    </row>
    <row r="24" ht="24" customHeight="1">
      <c r="A24" s="7" t="n"/>
      <c r="B24" s="7" t="n"/>
      <c r="C24" s="7" t="n"/>
      <c r="D24" s="12">
        <f>IF($A24="","",IFERROR(INDEX(土地清冊_匯入!$B$6:$B$1005,MATCH($A24,土地清冊_匯入!$A$6:$A$1005,0)),"查無資料"))</f>
        <v/>
      </c>
      <c r="E24" s="9">
        <f>IF($A24="","",IFERROR(INDEX(土地清冊_匯入!$I$6:$I$1005,MATCH($A24,土地清冊_匯入!$A$6:$A$1005,0)),""))</f>
        <v/>
      </c>
      <c r="F24" s="13">
        <f>IF($A24="","",IFERROR(INDEX(建物清冊_匯入!$N$6:$N$1005,MATCH($A24,建物清冊_匯入!$A$6:$A$1005,0)),""))</f>
        <v/>
      </c>
      <c r="G24" s="9">
        <f>IF($A24="","",IFERROR(INDEX(建物清冊_匯入!$S$6:$S$1005,MATCH($A24,建物清冊_匯入!$A$6:$A$1005,0)),""))</f>
        <v/>
      </c>
      <c r="H24" s="7" t="n"/>
      <c r="I24" s="15" t="n"/>
      <c r="J24" s="16" t="n"/>
      <c r="K24" s="17">
        <f>IF(J24="","",1-J24)</f>
        <v/>
      </c>
      <c r="L24" s="15" t="n"/>
      <c r="M24" s="7" t="n"/>
      <c r="N24" s="7" t="n"/>
      <c r="O24" s="7" t="n"/>
      <c r="P24" s="11" t="n"/>
      <c r="Q24" s="7" t="n"/>
      <c r="R24" s="7" t="n"/>
      <c r="S24" s="7" t="n"/>
      <c r="T24" s="7" t="n"/>
      <c r="U24" s="12">
        <f>IF(A24="","",IF(H24="","建議填分配模式",""))</f>
        <v/>
      </c>
    </row>
    <row r="25" ht="24" customHeight="1">
      <c r="A25" s="7" t="n"/>
      <c r="B25" s="7" t="n"/>
      <c r="C25" s="7" t="n"/>
      <c r="D25" s="12">
        <f>IF($A25="","",IFERROR(INDEX(土地清冊_匯入!$B$6:$B$1005,MATCH($A25,土地清冊_匯入!$A$6:$A$1005,0)),"查無資料"))</f>
        <v/>
      </c>
      <c r="E25" s="9">
        <f>IF($A25="","",IFERROR(INDEX(土地清冊_匯入!$I$6:$I$1005,MATCH($A25,土地清冊_匯入!$A$6:$A$1005,0)),""))</f>
        <v/>
      </c>
      <c r="F25" s="13">
        <f>IF($A25="","",IFERROR(INDEX(建物清冊_匯入!$N$6:$N$1005,MATCH($A25,建物清冊_匯入!$A$6:$A$1005,0)),""))</f>
        <v/>
      </c>
      <c r="G25" s="9">
        <f>IF($A25="","",IFERROR(INDEX(建物清冊_匯入!$S$6:$S$1005,MATCH($A25,建物清冊_匯入!$A$6:$A$1005,0)),""))</f>
        <v/>
      </c>
      <c r="H25" s="7" t="n"/>
      <c r="I25" s="15" t="n"/>
      <c r="J25" s="16" t="n"/>
      <c r="K25" s="17">
        <f>IF(J25="","",1-J25)</f>
        <v/>
      </c>
      <c r="L25" s="15" t="n"/>
      <c r="M25" s="7" t="n"/>
      <c r="N25" s="7" t="n"/>
      <c r="O25" s="7" t="n"/>
      <c r="P25" s="11" t="n"/>
      <c r="Q25" s="7" t="n"/>
      <c r="R25" s="7" t="n"/>
      <c r="S25" s="7" t="n"/>
      <c r="T25" s="7" t="n"/>
      <c r="U25" s="12">
        <f>IF(A25="","",IF(H25="","建議填分配模式",""))</f>
        <v/>
      </c>
    </row>
    <row r="26" ht="24" customHeight="1">
      <c r="A26" s="7" t="n"/>
      <c r="B26" s="7" t="n"/>
      <c r="C26" s="7" t="n"/>
      <c r="D26" s="12">
        <f>IF($A26="","",IFERROR(INDEX(土地清冊_匯入!$B$6:$B$1005,MATCH($A26,土地清冊_匯入!$A$6:$A$1005,0)),"查無資料"))</f>
        <v/>
      </c>
      <c r="E26" s="9">
        <f>IF($A26="","",IFERROR(INDEX(土地清冊_匯入!$I$6:$I$1005,MATCH($A26,土地清冊_匯入!$A$6:$A$1005,0)),""))</f>
        <v/>
      </c>
      <c r="F26" s="13">
        <f>IF($A26="","",IFERROR(INDEX(建物清冊_匯入!$N$6:$N$1005,MATCH($A26,建物清冊_匯入!$A$6:$A$1005,0)),""))</f>
        <v/>
      </c>
      <c r="G26" s="9">
        <f>IF($A26="","",IFERROR(INDEX(建物清冊_匯入!$S$6:$S$1005,MATCH($A26,建物清冊_匯入!$A$6:$A$1005,0)),""))</f>
        <v/>
      </c>
      <c r="H26" s="7" t="n"/>
      <c r="I26" s="15" t="n"/>
      <c r="J26" s="16" t="n"/>
      <c r="K26" s="17">
        <f>IF(J26="","",1-J26)</f>
        <v/>
      </c>
      <c r="L26" s="15" t="n"/>
      <c r="M26" s="7" t="n"/>
      <c r="N26" s="7" t="n"/>
      <c r="O26" s="7" t="n"/>
      <c r="P26" s="11" t="n"/>
      <c r="Q26" s="7" t="n"/>
      <c r="R26" s="7" t="n"/>
      <c r="S26" s="7" t="n"/>
      <c r="T26" s="7" t="n"/>
      <c r="U26" s="12">
        <f>IF(A26="","",IF(H26="","建議填分配模式",""))</f>
        <v/>
      </c>
    </row>
    <row r="27" ht="24" customHeight="1">
      <c r="A27" s="7" t="n"/>
      <c r="B27" s="7" t="n"/>
      <c r="C27" s="7" t="n"/>
      <c r="D27" s="12">
        <f>IF($A27="","",IFERROR(INDEX(土地清冊_匯入!$B$6:$B$1005,MATCH($A27,土地清冊_匯入!$A$6:$A$1005,0)),"查無資料"))</f>
        <v/>
      </c>
      <c r="E27" s="9">
        <f>IF($A27="","",IFERROR(INDEX(土地清冊_匯入!$I$6:$I$1005,MATCH($A27,土地清冊_匯入!$A$6:$A$1005,0)),""))</f>
        <v/>
      </c>
      <c r="F27" s="13">
        <f>IF($A27="","",IFERROR(INDEX(建物清冊_匯入!$N$6:$N$1005,MATCH($A27,建物清冊_匯入!$A$6:$A$1005,0)),""))</f>
        <v/>
      </c>
      <c r="G27" s="9">
        <f>IF($A27="","",IFERROR(INDEX(建物清冊_匯入!$S$6:$S$1005,MATCH($A27,建物清冊_匯入!$A$6:$A$1005,0)),""))</f>
        <v/>
      </c>
      <c r="H27" s="7" t="n"/>
      <c r="I27" s="15" t="n"/>
      <c r="J27" s="16" t="n"/>
      <c r="K27" s="17">
        <f>IF(J27="","",1-J27)</f>
        <v/>
      </c>
      <c r="L27" s="15" t="n"/>
      <c r="M27" s="7" t="n"/>
      <c r="N27" s="7" t="n"/>
      <c r="O27" s="7" t="n"/>
      <c r="P27" s="11" t="n"/>
      <c r="Q27" s="7" t="n"/>
      <c r="R27" s="7" t="n"/>
      <c r="S27" s="7" t="n"/>
      <c r="T27" s="7" t="n"/>
      <c r="U27" s="12">
        <f>IF(A27="","",IF(H27="","建議填分配模式",""))</f>
        <v/>
      </c>
    </row>
    <row r="28" ht="24" customHeight="1">
      <c r="A28" s="7" t="n"/>
      <c r="B28" s="7" t="n"/>
      <c r="C28" s="7" t="n"/>
      <c r="D28" s="12">
        <f>IF($A28="","",IFERROR(INDEX(土地清冊_匯入!$B$6:$B$1005,MATCH($A28,土地清冊_匯入!$A$6:$A$1005,0)),"查無資料"))</f>
        <v/>
      </c>
      <c r="E28" s="9">
        <f>IF($A28="","",IFERROR(INDEX(土地清冊_匯入!$I$6:$I$1005,MATCH($A28,土地清冊_匯入!$A$6:$A$1005,0)),""))</f>
        <v/>
      </c>
      <c r="F28" s="13">
        <f>IF($A28="","",IFERROR(INDEX(建物清冊_匯入!$N$6:$N$1005,MATCH($A28,建物清冊_匯入!$A$6:$A$1005,0)),""))</f>
        <v/>
      </c>
      <c r="G28" s="9">
        <f>IF($A28="","",IFERROR(INDEX(建物清冊_匯入!$S$6:$S$1005,MATCH($A28,建物清冊_匯入!$A$6:$A$1005,0)),""))</f>
        <v/>
      </c>
      <c r="H28" s="7" t="n"/>
      <c r="I28" s="15" t="n"/>
      <c r="J28" s="16" t="n"/>
      <c r="K28" s="17">
        <f>IF(J28="","",1-J28)</f>
        <v/>
      </c>
      <c r="L28" s="15" t="n"/>
      <c r="M28" s="7" t="n"/>
      <c r="N28" s="7" t="n"/>
      <c r="O28" s="7" t="n"/>
      <c r="P28" s="11" t="n"/>
      <c r="Q28" s="7" t="n"/>
      <c r="R28" s="7" t="n"/>
      <c r="S28" s="7" t="n"/>
      <c r="T28" s="7" t="n"/>
      <c r="U28" s="12">
        <f>IF(A28="","",IF(H28="","建議填分配模式",""))</f>
        <v/>
      </c>
    </row>
    <row r="29" ht="24" customHeight="1">
      <c r="A29" s="7" t="n"/>
      <c r="B29" s="7" t="n"/>
      <c r="C29" s="7" t="n"/>
      <c r="D29" s="12">
        <f>IF($A29="","",IFERROR(INDEX(土地清冊_匯入!$B$6:$B$1005,MATCH($A29,土地清冊_匯入!$A$6:$A$1005,0)),"查無資料"))</f>
        <v/>
      </c>
      <c r="E29" s="9">
        <f>IF($A29="","",IFERROR(INDEX(土地清冊_匯入!$I$6:$I$1005,MATCH($A29,土地清冊_匯入!$A$6:$A$1005,0)),""))</f>
        <v/>
      </c>
      <c r="F29" s="13">
        <f>IF($A29="","",IFERROR(INDEX(建物清冊_匯入!$N$6:$N$1005,MATCH($A29,建物清冊_匯入!$A$6:$A$1005,0)),""))</f>
        <v/>
      </c>
      <c r="G29" s="9">
        <f>IF($A29="","",IFERROR(INDEX(建物清冊_匯入!$S$6:$S$1005,MATCH($A29,建物清冊_匯入!$A$6:$A$1005,0)),""))</f>
        <v/>
      </c>
      <c r="H29" s="7" t="n"/>
      <c r="I29" s="15" t="n"/>
      <c r="J29" s="16" t="n"/>
      <c r="K29" s="17">
        <f>IF(J29="","",1-J29)</f>
        <v/>
      </c>
      <c r="L29" s="15" t="n"/>
      <c r="M29" s="7" t="n"/>
      <c r="N29" s="7" t="n"/>
      <c r="O29" s="7" t="n"/>
      <c r="P29" s="11" t="n"/>
      <c r="Q29" s="7" t="n"/>
      <c r="R29" s="7" t="n"/>
      <c r="S29" s="7" t="n"/>
      <c r="T29" s="7" t="n"/>
      <c r="U29" s="12">
        <f>IF(A29="","",IF(H29="","建議填分配模式",""))</f>
        <v/>
      </c>
    </row>
    <row r="30" ht="24" customHeight="1">
      <c r="A30" s="7" t="n"/>
      <c r="B30" s="7" t="n"/>
      <c r="C30" s="7" t="n"/>
      <c r="D30" s="12">
        <f>IF($A30="","",IFERROR(INDEX(土地清冊_匯入!$B$6:$B$1005,MATCH($A30,土地清冊_匯入!$A$6:$A$1005,0)),"查無資料"))</f>
        <v/>
      </c>
      <c r="E30" s="9">
        <f>IF($A30="","",IFERROR(INDEX(土地清冊_匯入!$I$6:$I$1005,MATCH($A30,土地清冊_匯入!$A$6:$A$1005,0)),""))</f>
        <v/>
      </c>
      <c r="F30" s="13">
        <f>IF($A30="","",IFERROR(INDEX(建物清冊_匯入!$N$6:$N$1005,MATCH($A30,建物清冊_匯入!$A$6:$A$1005,0)),""))</f>
        <v/>
      </c>
      <c r="G30" s="9">
        <f>IF($A30="","",IFERROR(INDEX(建物清冊_匯入!$S$6:$S$1005,MATCH($A30,建物清冊_匯入!$A$6:$A$1005,0)),""))</f>
        <v/>
      </c>
      <c r="H30" s="7" t="n"/>
      <c r="I30" s="15" t="n"/>
      <c r="J30" s="16" t="n"/>
      <c r="K30" s="17">
        <f>IF(J30="","",1-J30)</f>
        <v/>
      </c>
      <c r="L30" s="15" t="n"/>
      <c r="M30" s="7" t="n"/>
      <c r="N30" s="7" t="n"/>
      <c r="O30" s="7" t="n"/>
      <c r="P30" s="11" t="n"/>
      <c r="Q30" s="7" t="n"/>
      <c r="R30" s="7" t="n"/>
      <c r="S30" s="7" t="n"/>
      <c r="T30" s="7" t="n"/>
      <c r="U30" s="12">
        <f>IF(A30="","",IF(H30="","建議填分配模式",""))</f>
        <v/>
      </c>
    </row>
    <row r="31" ht="24" customHeight="1">
      <c r="A31" s="7" t="n"/>
      <c r="B31" s="7" t="n"/>
      <c r="C31" s="7" t="n"/>
      <c r="D31" s="12">
        <f>IF($A31="","",IFERROR(INDEX(土地清冊_匯入!$B$6:$B$1005,MATCH($A31,土地清冊_匯入!$A$6:$A$1005,0)),"查無資料"))</f>
        <v/>
      </c>
      <c r="E31" s="9">
        <f>IF($A31="","",IFERROR(INDEX(土地清冊_匯入!$I$6:$I$1005,MATCH($A31,土地清冊_匯入!$A$6:$A$1005,0)),""))</f>
        <v/>
      </c>
      <c r="F31" s="13">
        <f>IF($A31="","",IFERROR(INDEX(建物清冊_匯入!$N$6:$N$1005,MATCH($A31,建物清冊_匯入!$A$6:$A$1005,0)),""))</f>
        <v/>
      </c>
      <c r="G31" s="9">
        <f>IF($A31="","",IFERROR(INDEX(建物清冊_匯入!$S$6:$S$1005,MATCH($A31,建物清冊_匯入!$A$6:$A$1005,0)),""))</f>
        <v/>
      </c>
      <c r="H31" s="7" t="n"/>
      <c r="I31" s="15" t="n"/>
      <c r="J31" s="16" t="n"/>
      <c r="K31" s="17">
        <f>IF(J31="","",1-J31)</f>
        <v/>
      </c>
      <c r="L31" s="15" t="n"/>
      <c r="M31" s="7" t="n"/>
      <c r="N31" s="7" t="n"/>
      <c r="O31" s="7" t="n"/>
      <c r="P31" s="11" t="n"/>
      <c r="Q31" s="7" t="n"/>
      <c r="R31" s="7" t="n"/>
      <c r="S31" s="7" t="n"/>
      <c r="T31" s="7" t="n"/>
      <c r="U31" s="12">
        <f>IF(A31="","",IF(H31="","建議填分配模式",""))</f>
        <v/>
      </c>
    </row>
    <row r="32" ht="24" customHeight="1">
      <c r="A32" s="7" t="n"/>
      <c r="B32" s="7" t="n"/>
      <c r="C32" s="7" t="n"/>
      <c r="D32" s="12">
        <f>IF($A32="","",IFERROR(INDEX(土地清冊_匯入!$B$6:$B$1005,MATCH($A32,土地清冊_匯入!$A$6:$A$1005,0)),"查無資料"))</f>
        <v/>
      </c>
      <c r="E32" s="9">
        <f>IF($A32="","",IFERROR(INDEX(土地清冊_匯入!$I$6:$I$1005,MATCH($A32,土地清冊_匯入!$A$6:$A$1005,0)),""))</f>
        <v/>
      </c>
      <c r="F32" s="13">
        <f>IF($A32="","",IFERROR(INDEX(建物清冊_匯入!$N$6:$N$1005,MATCH($A32,建物清冊_匯入!$A$6:$A$1005,0)),""))</f>
        <v/>
      </c>
      <c r="G32" s="9">
        <f>IF($A32="","",IFERROR(INDEX(建物清冊_匯入!$S$6:$S$1005,MATCH($A32,建物清冊_匯入!$A$6:$A$1005,0)),""))</f>
        <v/>
      </c>
      <c r="H32" s="7" t="n"/>
      <c r="I32" s="15" t="n"/>
      <c r="J32" s="16" t="n"/>
      <c r="K32" s="17">
        <f>IF(J32="","",1-J32)</f>
        <v/>
      </c>
      <c r="L32" s="15" t="n"/>
      <c r="M32" s="7" t="n"/>
      <c r="N32" s="7" t="n"/>
      <c r="O32" s="7" t="n"/>
      <c r="P32" s="11" t="n"/>
      <c r="Q32" s="7" t="n"/>
      <c r="R32" s="7" t="n"/>
      <c r="S32" s="7" t="n"/>
      <c r="T32" s="7" t="n"/>
      <c r="U32" s="12">
        <f>IF(A32="","",IF(H32="","建議填分配模式",""))</f>
        <v/>
      </c>
    </row>
    <row r="33" ht="24" customHeight="1">
      <c r="A33" s="7" t="n"/>
      <c r="B33" s="7" t="n"/>
      <c r="C33" s="7" t="n"/>
      <c r="D33" s="12">
        <f>IF($A33="","",IFERROR(INDEX(土地清冊_匯入!$B$6:$B$1005,MATCH($A33,土地清冊_匯入!$A$6:$A$1005,0)),"查無資料"))</f>
        <v/>
      </c>
      <c r="E33" s="9">
        <f>IF($A33="","",IFERROR(INDEX(土地清冊_匯入!$I$6:$I$1005,MATCH($A33,土地清冊_匯入!$A$6:$A$1005,0)),""))</f>
        <v/>
      </c>
      <c r="F33" s="13">
        <f>IF($A33="","",IFERROR(INDEX(建物清冊_匯入!$N$6:$N$1005,MATCH($A33,建物清冊_匯入!$A$6:$A$1005,0)),""))</f>
        <v/>
      </c>
      <c r="G33" s="9">
        <f>IF($A33="","",IFERROR(INDEX(建物清冊_匯入!$S$6:$S$1005,MATCH($A33,建物清冊_匯入!$A$6:$A$1005,0)),""))</f>
        <v/>
      </c>
      <c r="H33" s="7" t="n"/>
      <c r="I33" s="15" t="n"/>
      <c r="J33" s="16" t="n"/>
      <c r="K33" s="17">
        <f>IF(J33="","",1-J33)</f>
        <v/>
      </c>
      <c r="L33" s="15" t="n"/>
      <c r="M33" s="7" t="n"/>
      <c r="N33" s="7" t="n"/>
      <c r="O33" s="7" t="n"/>
      <c r="P33" s="11" t="n"/>
      <c r="Q33" s="7" t="n"/>
      <c r="R33" s="7" t="n"/>
      <c r="S33" s="7" t="n"/>
      <c r="T33" s="7" t="n"/>
      <c r="U33" s="12">
        <f>IF(A33="","",IF(H33="","建議填分配模式",""))</f>
        <v/>
      </c>
    </row>
    <row r="34" ht="24" customHeight="1">
      <c r="A34" s="7" t="n"/>
      <c r="B34" s="7" t="n"/>
      <c r="C34" s="7" t="n"/>
      <c r="D34" s="12">
        <f>IF($A34="","",IFERROR(INDEX(土地清冊_匯入!$B$6:$B$1005,MATCH($A34,土地清冊_匯入!$A$6:$A$1005,0)),"查無資料"))</f>
        <v/>
      </c>
      <c r="E34" s="9">
        <f>IF($A34="","",IFERROR(INDEX(土地清冊_匯入!$I$6:$I$1005,MATCH($A34,土地清冊_匯入!$A$6:$A$1005,0)),""))</f>
        <v/>
      </c>
      <c r="F34" s="13">
        <f>IF($A34="","",IFERROR(INDEX(建物清冊_匯入!$N$6:$N$1005,MATCH($A34,建物清冊_匯入!$A$6:$A$1005,0)),""))</f>
        <v/>
      </c>
      <c r="G34" s="9">
        <f>IF($A34="","",IFERROR(INDEX(建物清冊_匯入!$S$6:$S$1005,MATCH($A34,建物清冊_匯入!$A$6:$A$1005,0)),""))</f>
        <v/>
      </c>
      <c r="H34" s="7" t="n"/>
      <c r="I34" s="15" t="n"/>
      <c r="J34" s="16" t="n"/>
      <c r="K34" s="17">
        <f>IF(J34="","",1-J34)</f>
        <v/>
      </c>
      <c r="L34" s="15" t="n"/>
      <c r="M34" s="7" t="n"/>
      <c r="N34" s="7" t="n"/>
      <c r="O34" s="7" t="n"/>
      <c r="P34" s="11" t="n"/>
      <c r="Q34" s="7" t="n"/>
      <c r="R34" s="7" t="n"/>
      <c r="S34" s="7" t="n"/>
      <c r="T34" s="7" t="n"/>
      <c r="U34" s="12">
        <f>IF(A34="","",IF(H34="","建議填分配模式",""))</f>
        <v/>
      </c>
    </row>
    <row r="35" ht="24" customHeight="1">
      <c r="A35" s="7" t="n"/>
      <c r="B35" s="7" t="n"/>
      <c r="C35" s="7" t="n"/>
      <c r="D35" s="12">
        <f>IF($A35="","",IFERROR(INDEX(土地清冊_匯入!$B$6:$B$1005,MATCH($A35,土地清冊_匯入!$A$6:$A$1005,0)),"查無資料"))</f>
        <v/>
      </c>
      <c r="E35" s="9">
        <f>IF($A35="","",IFERROR(INDEX(土地清冊_匯入!$I$6:$I$1005,MATCH($A35,土地清冊_匯入!$A$6:$A$1005,0)),""))</f>
        <v/>
      </c>
      <c r="F35" s="13">
        <f>IF($A35="","",IFERROR(INDEX(建物清冊_匯入!$N$6:$N$1005,MATCH($A35,建物清冊_匯入!$A$6:$A$1005,0)),""))</f>
        <v/>
      </c>
      <c r="G35" s="9">
        <f>IF($A35="","",IFERROR(INDEX(建物清冊_匯入!$S$6:$S$1005,MATCH($A35,建物清冊_匯入!$A$6:$A$1005,0)),""))</f>
        <v/>
      </c>
      <c r="H35" s="7" t="n"/>
      <c r="I35" s="15" t="n"/>
      <c r="J35" s="16" t="n"/>
      <c r="K35" s="17">
        <f>IF(J35="","",1-J35)</f>
        <v/>
      </c>
      <c r="L35" s="15" t="n"/>
      <c r="M35" s="7" t="n"/>
      <c r="N35" s="7" t="n"/>
      <c r="O35" s="7" t="n"/>
      <c r="P35" s="11" t="n"/>
      <c r="Q35" s="7" t="n"/>
      <c r="R35" s="7" t="n"/>
      <c r="S35" s="7" t="n"/>
      <c r="T35" s="7" t="n"/>
      <c r="U35" s="12">
        <f>IF(A35="","",IF(H35="","建議填分配模式",""))</f>
        <v/>
      </c>
    </row>
    <row r="36" ht="24" customHeight="1">
      <c r="A36" s="7" t="n"/>
      <c r="B36" s="7" t="n"/>
      <c r="C36" s="7" t="n"/>
      <c r="D36" s="12">
        <f>IF($A36="","",IFERROR(INDEX(土地清冊_匯入!$B$6:$B$1005,MATCH($A36,土地清冊_匯入!$A$6:$A$1005,0)),"查無資料"))</f>
        <v/>
      </c>
      <c r="E36" s="9">
        <f>IF($A36="","",IFERROR(INDEX(土地清冊_匯入!$I$6:$I$1005,MATCH($A36,土地清冊_匯入!$A$6:$A$1005,0)),""))</f>
        <v/>
      </c>
      <c r="F36" s="13">
        <f>IF($A36="","",IFERROR(INDEX(建物清冊_匯入!$N$6:$N$1005,MATCH($A36,建物清冊_匯入!$A$6:$A$1005,0)),""))</f>
        <v/>
      </c>
      <c r="G36" s="9">
        <f>IF($A36="","",IFERROR(INDEX(建物清冊_匯入!$S$6:$S$1005,MATCH($A36,建物清冊_匯入!$A$6:$A$1005,0)),""))</f>
        <v/>
      </c>
      <c r="H36" s="7" t="n"/>
      <c r="I36" s="15" t="n"/>
      <c r="J36" s="16" t="n"/>
      <c r="K36" s="17">
        <f>IF(J36="","",1-J36)</f>
        <v/>
      </c>
      <c r="L36" s="15" t="n"/>
      <c r="M36" s="7" t="n"/>
      <c r="N36" s="7" t="n"/>
      <c r="O36" s="7" t="n"/>
      <c r="P36" s="11" t="n"/>
      <c r="Q36" s="7" t="n"/>
      <c r="R36" s="7" t="n"/>
      <c r="S36" s="7" t="n"/>
      <c r="T36" s="7" t="n"/>
      <c r="U36" s="12">
        <f>IF(A36="","",IF(H36="","建議填分配模式",""))</f>
        <v/>
      </c>
    </row>
    <row r="37" ht="24" customHeight="1">
      <c r="A37" s="7" t="n"/>
      <c r="B37" s="7" t="n"/>
      <c r="C37" s="7" t="n"/>
      <c r="D37" s="12">
        <f>IF($A37="","",IFERROR(INDEX(土地清冊_匯入!$B$6:$B$1005,MATCH($A37,土地清冊_匯入!$A$6:$A$1005,0)),"查無資料"))</f>
        <v/>
      </c>
      <c r="E37" s="9">
        <f>IF($A37="","",IFERROR(INDEX(土地清冊_匯入!$I$6:$I$1005,MATCH($A37,土地清冊_匯入!$A$6:$A$1005,0)),""))</f>
        <v/>
      </c>
      <c r="F37" s="13">
        <f>IF($A37="","",IFERROR(INDEX(建物清冊_匯入!$N$6:$N$1005,MATCH($A37,建物清冊_匯入!$A$6:$A$1005,0)),""))</f>
        <v/>
      </c>
      <c r="G37" s="9">
        <f>IF($A37="","",IFERROR(INDEX(建物清冊_匯入!$S$6:$S$1005,MATCH($A37,建物清冊_匯入!$A$6:$A$1005,0)),""))</f>
        <v/>
      </c>
      <c r="H37" s="7" t="n"/>
      <c r="I37" s="15" t="n"/>
      <c r="J37" s="16" t="n"/>
      <c r="K37" s="17">
        <f>IF(J37="","",1-J37)</f>
        <v/>
      </c>
      <c r="L37" s="15" t="n"/>
      <c r="M37" s="7" t="n"/>
      <c r="N37" s="7" t="n"/>
      <c r="O37" s="7" t="n"/>
      <c r="P37" s="11" t="n"/>
      <c r="Q37" s="7" t="n"/>
      <c r="R37" s="7" t="n"/>
      <c r="S37" s="7" t="n"/>
      <c r="T37" s="7" t="n"/>
      <c r="U37" s="12">
        <f>IF(A37="","",IF(H37="","建議填分配模式",""))</f>
        <v/>
      </c>
    </row>
    <row r="38" ht="24" customHeight="1">
      <c r="A38" s="7" t="n"/>
      <c r="B38" s="7" t="n"/>
      <c r="C38" s="7" t="n"/>
      <c r="D38" s="12">
        <f>IF($A38="","",IFERROR(INDEX(土地清冊_匯入!$B$6:$B$1005,MATCH($A38,土地清冊_匯入!$A$6:$A$1005,0)),"查無資料"))</f>
        <v/>
      </c>
      <c r="E38" s="9">
        <f>IF($A38="","",IFERROR(INDEX(土地清冊_匯入!$I$6:$I$1005,MATCH($A38,土地清冊_匯入!$A$6:$A$1005,0)),""))</f>
        <v/>
      </c>
      <c r="F38" s="13">
        <f>IF($A38="","",IFERROR(INDEX(建物清冊_匯入!$N$6:$N$1005,MATCH($A38,建物清冊_匯入!$A$6:$A$1005,0)),""))</f>
        <v/>
      </c>
      <c r="G38" s="9">
        <f>IF($A38="","",IFERROR(INDEX(建物清冊_匯入!$S$6:$S$1005,MATCH($A38,建物清冊_匯入!$A$6:$A$1005,0)),""))</f>
        <v/>
      </c>
      <c r="H38" s="7" t="n"/>
      <c r="I38" s="15" t="n"/>
      <c r="J38" s="16" t="n"/>
      <c r="K38" s="17">
        <f>IF(J38="","",1-J38)</f>
        <v/>
      </c>
      <c r="L38" s="15" t="n"/>
      <c r="M38" s="7" t="n"/>
      <c r="N38" s="7" t="n"/>
      <c r="O38" s="7" t="n"/>
      <c r="P38" s="11" t="n"/>
      <c r="Q38" s="7" t="n"/>
      <c r="R38" s="7" t="n"/>
      <c r="S38" s="7" t="n"/>
      <c r="T38" s="7" t="n"/>
      <c r="U38" s="12">
        <f>IF(A38="","",IF(H38="","建議填分配模式",""))</f>
        <v/>
      </c>
    </row>
    <row r="39" ht="24" customHeight="1">
      <c r="A39" s="7" t="n"/>
      <c r="B39" s="7" t="n"/>
      <c r="C39" s="7" t="n"/>
      <c r="D39" s="12">
        <f>IF($A39="","",IFERROR(INDEX(土地清冊_匯入!$B$6:$B$1005,MATCH($A39,土地清冊_匯入!$A$6:$A$1005,0)),"查無資料"))</f>
        <v/>
      </c>
      <c r="E39" s="9">
        <f>IF($A39="","",IFERROR(INDEX(土地清冊_匯入!$I$6:$I$1005,MATCH($A39,土地清冊_匯入!$A$6:$A$1005,0)),""))</f>
        <v/>
      </c>
      <c r="F39" s="13">
        <f>IF($A39="","",IFERROR(INDEX(建物清冊_匯入!$N$6:$N$1005,MATCH($A39,建物清冊_匯入!$A$6:$A$1005,0)),""))</f>
        <v/>
      </c>
      <c r="G39" s="9">
        <f>IF($A39="","",IFERROR(INDEX(建物清冊_匯入!$S$6:$S$1005,MATCH($A39,建物清冊_匯入!$A$6:$A$1005,0)),""))</f>
        <v/>
      </c>
      <c r="H39" s="7" t="n"/>
      <c r="I39" s="15" t="n"/>
      <c r="J39" s="16" t="n"/>
      <c r="K39" s="17">
        <f>IF(J39="","",1-J39)</f>
        <v/>
      </c>
      <c r="L39" s="15" t="n"/>
      <c r="M39" s="7" t="n"/>
      <c r="N39" s="7" t="n"/>
      <c r="O39" s="7" t="n"/>
      <c r="P39" s="11" t="n"/>
      <c r="Q39" s="7" t="n"/>
      <c r="R39" s="7" t="n"/>
      <c r="S39" s="7" t="n"/>
      <c r="T39" s="7" t="n"/>
      <c r="U39" s="12">
        <f>IF(A39="","",IF(H39="","建議填分配模式",""))</f>
        <v/>
      </c>
    </row>
    <row r="40" ht="24" customHeight="1">
      <c r="A40" s="7" t="n"/>
      <c r="B40" s="7" t="n"/>
      <c r="C40" s="7" t="n"/>
      <c r="D40" s="12">
        <f>IF($A40="","",IFERROR(INDEX(土地清冊_匯入!$B$6:$B$1005,MATCH($A40,土地清冊_匯入!$A$6:$A$1005,0)),"查無資料"))</f>
        <v/>
      </c>
      <c r="E40" s="9">
        <f>IF($A40="","",IFERROR(INDEX(土地清冊_匯入!$I$6:$I$1005,MATCH($A40,土地清冊_匯入!$A$6:$A$1005,0)),""))</f>
        <v/>
      </c>
      <c r="F40" s="13">
        <f>IF($A40="","",IFERROR(INDEX(建物清冊_匯入!$N$6:$N$1005,MATCH($A40,建物清冊_匯入!$A$6:$A$1005,0)),""))</f>
        <v/>
      </c>
      <c r="G40" s="9">
        <f>IF($A40="","",IFERROR(INDEX(建物清冊_匯入!$S$6:$S$1005,MATCH($A40,建物清冊_匯入!$A$6:$A$1005,0)),""))</f>
        <v/>
      </c>
      <c r="H40" s="7" t="n"/>
      <c r="I40" s="15" t="n"/>
      <c r="J40" s="16" t="n"/>
      <c r="K40" s="17">
        <f>IF(J40="","",1-J40)</f>
        <v/>
      </c>
      <c r="L40" s="15" t="n"/>
      <c r="M40" s="7" t="n"/>
      <c r="N40" s="7" t="n"/>
      <c r="O40" s="7" t="n"/>
      <c r="P40" s="11" t="n"/>
      <c r="Q40" s="7" t="n"/>
      <c r="R40" s="7" t="n"/>
      <c r="S40" s="7" t="n"/>
      <c r="T40" s="7" t="n"/>
      <c r="U40" s="12">
        <f>IF(A40="","",IF(H40="","建議填分配模式",""))</f>
        <v/>
      </c>
    </row>
    <row r="41" ht="24" customHeight="1">
      <c r="A41" s="7" t="n"/>
      <c r="B41" s="7" t="n"/>
      <c r="C41" s="7" t="n"/>
      <c r="D41" s="12">
        <f>IF($A41="","",IFERROR(INDEX(土地清冊_匯入!$B$6:$B$1005,MATCH($A41,土地清冊_匯入!$A$6:$A$1005,0)),"查無資料"))</f>
        <v/>
      </c>
      <c r="E41" s="9">
        <f>IF($A41="","",IFERROR(INDEX(土地清冊_匯入!$I$6:$I$1005,MATCH($A41,土地清冊_匯入!$A$6:$A$1005,0)),""))</f>
        <v/>
      </c>
      <c r="F41" s="13">
        <f>IF($A41="","",IFERROR(INDEX(建物清冊_匯入!$N$6:$N$1005,MATCH($A41,建物清冊_匯入!$A$6:$A$1005,0)),""))</f>
        <v/>
      </c>
      <c r="G41" s="9">
        <f>IF($A41="","",IFERROR(INDEX(建物清冊_匯入!$S$6:$S$1005,MATCH($A41,建物清冊_匯入!$A$6:$A$1005,0)),""))</f>
        <v/>
      </c>
      <c r="H41" s="7" t="n"/>
      <c r="I41" s="15" t="n"/>
      <c r="J41" s="16" t="n"/>
      <c r="K41" s="17">
        <f>IF(J41="","",1-J41)</f>
        <v/>
      </c>
      <c r="L41" s="15" t="n"/>
      <c r="M41" s="7" t="n"/>
      <c r="N41" s="7" t="n"/>
      <c r="O41" s="7" t="n"/>
      <c r="P41" s="11" t="n"/>
      <c r="Q41" s="7" t="n"/>
      <c r="R41" s="7" t="n"/>
      <c r="S41" s="7" t="n"/>
      <c r="T41" s="7" t="n"/>
      <c r="U41" s="12">
        <f>IF(A41="","",IF(H41="","建議填分配模式",""))</f>
        <v/>
      </c>
    </row>
    <row r="42" ht="24" customHeight="1">
      <c r="A42" s="7" t="n"/>
      <c r="B42" s="7" t="n"/>
      <c r="C42" s="7" t="n"/>
      <c r="D42" s="12">
        <f>IF($A42="","",IFERROR(INDEX(土地清冊_匯入!$B$6:$B$1005,MATCH($A42,土地清冊_匯入!$A$6:$A$1005,0)),"查無資料"))</f>
        <v/>
      </c>
      <c r="E42" s="9">
        <f>IF($A42="","",IFERROR(INDEX(土地清冊_匯入!$I$6:$I$1005,MATCH($A42,土地清冊_匯入!$A$6:$A$1005,0)),""))</f>
        <v/>
      </c>
      <c r="F42" s="13">
        <f>IF($A42="","",IFERROR(INDEX(建物清冊_匯入!$N$6:$N$1005,MATCH($A42,建物清冊_匯入!$A$6:$A$1005,0)),""))</f>
        <v/>
      </c>
      <c r="G42" s="9">
        <f>IF($A42="","",IFERROR(INDEX(建物清冊_匯入!$S$6:$S$1005,MATCH($A42,建物清冊_匯入!$A$6:$A$1005,0)),""))</f>
        <v/>
      </c>
      <c r="H42" s="7" t="n"/>
      <c r="I42" s="15" t="n"/>
      <c r="J42" s="16" t="n"/>
      <c r="K42" s="17">
        <f>IF(J42="","",1-J42)</f>
        <v/>
      </c>
      <c r="L42" s="15" t="n"/>
      <c r="M42" s="7" t="n"/>
      <c r="N42" s="7" t="n"/>
      <c r="O42" s="7" t="n"/>
      <c r="P42" s="11" t="n"/>
      <c r="Q42" s="7" t="n"/>
      <c r="R42" s="7" t="n"/>
      <c r="S42" s="7" t="n"/>
      <c r="T42" s="7" t="n"/>
      <c r="U42" s="12">
        <f>IF(A42="","",IF(H42="","建議填分配模式",""))</f>
        <v/>
      </c>
    </row>
    <row r="43" ht="24" customHeight="1">
      <c r="A43" s="7" t="n"/>
      <c r="B43" s="7" t="n"/>
      <c r="C43" s="7" t="n"/>
      <c r="D43" s="12">
        <f>IF($A43="","",IFERROR(INDEX(土地清冊_匯入!$B$6:$B$1005,MATCH($A43,土地清冊_匯入!$A$6:$A$1005,0)),"查無資料"))</f>
        <v/>
      </c>
      <c r="E43" s="9">
        <f>IF($A43="","",IFERROR(INDEX(土地清冊_匯入!$I$6:$I$1005,MATCH($A43,土地清冊_匯入!$A$6:$A$1005,0)),""))</f>
        <v/>
      </c>
      <c r="F43" s="13">
        <f>IF($A43="","",IFERROR(INDEX(建物清冊_匯入!$N$6:$N$1005,MATCH($A43,建物清冊_匯入!$A$6:$A$1005,0)),""))</f>
        <v/>
      </c>
      <c r="G43" s="9">
        <f>IF($A43="","",IFERROR(INDEX(建物清冊_匯入!$S$6:$S$1005,MATCH($A43,建物清冊_匯入!$A$6:$A$1005,0)),""))</f>
        <v/>
      </c>
      <c r="H43" s="7" t="n"/>
      <c r="I43" s="15" t="n"/>
      <c r="J43" s="16" t="n"/>
      <c r="K43" s="17">
        <f>IF(J43="","",1-J43)</f>
        <v/>
      </c>
      <c r="L43" s="15" t="n"/>
      <c r="M43" s="7" t="n"/>
      <c r="N43" s="7" t="n"/>
      <c r="O43" s="7" t="n"/>
      <c r="P43" s="11" t="n"/>
      <c r="Q43" s="7" t="n"/>
      <c r="R43" s="7" t="n"/>
      <c r="S43" s="7" t="n"/>
      <c r="T43" s="7" t="n"/>
      <c r="U43" s="12">
        <f>IF(A43="","",IF(H43="","建議填分配模式",""))</f>
        <v/>
      </c>
    </row>
    <row r="44" ht="24" customHeight="1">
      <c r="A44" s="7" t="n"/>
      <c r="B44" s="7" t="n"/>
      <c r="C44" s="7" t="n"/>
      <c r="D44" s="12">
        <f>IF($A44="","",IFERROR(INDEX(土地清冊_匯入!$B$6:$B$1005,MATCH($A44,土地清冊_匯入!$A$6:$A$1005,0)),"查無資料"))</f>
        <v/>
      </c>
      <c r="E44" s="9">
        <f>IF($A44="","",IFERROR(INDEX(土地清冊_匯入!$I$6:$I$1005,MATCH($A44,土地清冊_匯入!$A$6:$A$1005,0)),""))</f>
        <v/>
      </c>
      <c r="F44" s="13">
        <f>IF($A44="","",IFERROR(INDEX(建物清冊_匯入!$N$6:$N$1005,MATCH($A44,建物清冊_匯入!$A$6:$A$1005,0)),""))</f>
        <v/>
      </c>
      <c r="G44" s="9">
        <f>IF($A44="","",IFERROR(INDEX(建物清冊_匯入!$S$6:$S$1005,MATCH($A44,建物清冊_匯入!$A$6:$A$1005,0)),""))</f>
        <v/>
      </c>
      <c r="H44" s="7" t="n"/>
      <c r="I44" s="15" t="n"/>
      <c r="J44" s="16" t="n"/>
      <c r="K44" s="17">
        <f>IF(J44="","",1-J44)</f>
        <v/>
      </c>
      <c r="L44" s="15" t="n"/>
      <c r="M44" s="7" t="n"/>
      <c r="N44" s="7" t="n"/>
      <c r="O44" s="7" t="n"/>
      <c r="P44" s="11" t="n"/>
      <c r="Q44" s="7" t="n"/>
      <c r="R44" s="7" t="n"/>
      <c r="S44" s="7" t="n"/>
      <c r="T44" s="7" t="n"/>
      <c r="U44" s="12">
        <f>IF(A44="","",IF(H44="","建議填分配模式",""))</f>
        <v/>
      </c>
    </row>
    <row r="45" ht="24" customHeight="1">
      <c r="A45" s="7" t="n"/>
      <c r="B45" s="7" t="n"/>
      <c r="C45" s="7" t="n"/>
      <c r="D45" s="12">
        <f>IF($A45="","",IFERROR(INDEX(土地清冊_匯入!$B$6:$B$1005,MATCH($A45,土地清冊_匯入!$A$6:$A$1005,0)),"查無資料"))</f>
        <v/>
      </c>
      <c r="E45" s="9">
        <f>IF($A45="","",IFERROR(INDEX(土地清冊_匯入!$I$6:$I$1005,MATCH($A45,土地清冊_匯入!$A$6:$A$1005,0)),""))</f>
        <v/>
      </c>
      <c r="F45" s="13">
        <f>IF($A45="","",IFERROR(INDEX(建物清冊_匯入!$N$6:$N$1005,MATCH($A45,建物清冊_匯入!$A$6:$A$1005,0)),""))</f>
        <v/>
      </c>
      <c r="G45" s="9">
        <f>IF($A45="","",IFERROR(INDEX(建物清冊_匯入!$S$6:$S$1005,MATCH($A45,建物清冊_匯入!$A$6:$A$1005,0)),""))</f>
        <v/>
      </c>
      <c r="H45" s="7" t="n"/>
      <c r="I45" s="15" t="n"/>
      <c r="J45" s="16" t="n"/>
      <c r="K45" s="17">
        <f>IF(J45="","",1-J45)</f>
        <v/>
      </c>
      <c r="L45" s="15" t="n"/>
      <c r="M45" s="7" t="n"/>
      <c r="N45" s="7" t="n"/>
      <c r="O45" s="7" t="n"/>
      <c r="P45" s="11" t="n"/>
      <c r="Q45" s="7" t="n"/>
      <c r="R45" s="7" t="n"/>
      <c r="S45" s="7" t="n"/>
      <c r="T45" s="7" t="n"/>
      <c r="U45" s="12">
        <f>IF(A45="","",IF(H45="","建議填分配模式",""))</f>
        <v/>
      </c>
    </row>
    <row r="46" ht="24" customHeight="1">
      <c r="A46" s="7" t="n"/>
      <c r="B46" s="7" t="n"/>
      <c r="C46" s="7" t="n"/>
      <c r="D46" s="12">
        <f>IF($A46="","",IFERROR(INDEX(土地清冊_匯入!$B$6:$B$1005,MATCH($A46,土地清冊_匯入!$A$6:$A$1005,0)),"查無資料"))</f>
        <v/>
      </c>
      <c r="E46" s="9">
        <f>IF($A46="","",IFERROR(INDEX(土地清冊_匯入!$I$6:$I$1005,MATCH($A46,土地清冊_匯入!$A$6:$A$1005,0)),""))</f>
        <v/>
      </c>
      <c r="F46" s="13">
        <f>IF($A46="","",IFERROR(INDEX(建物清冊_匯入!$N$6:$N$1005,MATCH($A46,建物清冊_匯入!$A$6:$A$1005,0)),""))</f>
        <v/>
      </c>
      <c r="G46" s="9">
        <f>IF($A46="","",IFERROR(INDEX(建物清冊_匯入!$S$6:$S$1005,MATCH($A46,建物清冊_匯入!$A$6:$A$1005,0)),""))</f>
        <v/>
      </c>
      <c r="H46" s="7" t="n"/>
      <c r="I46" s="15" t="n"/>
      <c r="J46" s="16" t="n"/>
      <c r="K46" s="17">
        <f>IF(J46="","",1-J46)</f>
        <v/>
      </c>
      <c r="L46" s="15" t="n"/>
      <c r="M46" s="7" t="n"/>
      <c r="N46" s="7" t="n"/>
      <c r="O46" s="7" t="n"/>
      <c r="P46" s="11" t="n"/>
      <c r="Q46" s="7" t="n"/>
      <c r="R46" s="7" t="n"/>
      <c r="S46" s="7" t="n"/>
      <c r="T46" s="7" t="n"/>
      <c r="U46" s="12">
        <f>IF(A46="","",IF(H46="","建議填分配模式",""))</f>
        <v/>
      </c>
    </row>
    <row r="47" ht="24" customHeight="1">
      <c r="A47" s="7" t="n"/>
      <c r="B47" s="7" t="n"/>
      <c r="C47" s="7" t="n"/>
      <c r="D47" s="12">
        <f>IF($A47="","",IFERROR(INDEX(土地清冊_匯入!$B$6:$B$1005,MATCH($A47,土地清冊_匯入!$A$6:$A$1005,0)),"查無資料"))</f>
        <v/>
      </c>
      <c r="E47" s="9">
        <f>IF($A47="","",IFERROR(INDEX(土地清冊_匯入!$I$6:$I$1005,MATCH($A47,土地清冊_匯入!$A$6:$A$1005,0)),""))</f>
        <v/>
      </c>
      <c r="F47" s="13">
        <f>IF($A47="","",IFERROR(INDEX(建物清冊_匯入!$N$6:$N$1005,MATCH($A47,建物清冊_匯入!$A$6:$A$1005,0)),""))</f>
        <v/>
      </c>
      <c r="G47" s="9">
        <f>IF($A47="","",IFERROR(INDEX(建物清冊_匯入!$S$6:$S$1005,MATCH($A47,建物清冊_匯入!$A$6:$A$1005,0)),""))</f>
        <v/>
      </c>
      <c r="H47" s="7" t="n"/>
      <c r="I47" s="15" t="n"/>
      <c r="J47" s="16" t="n"/>
      <c r="K47" s="17">
        <f>IF(J47="","",1-J47)</f>
        <v/>
      </c>
      <c r="L47" s="15" t="n"/>
      <c r="M47" s="7" t="n"/>
      <c r="N47" s="7" t="n"/>
      <c r="O47" s="7" t="n"/>
      <c r="P47" s="11" t="n"/>
      <c r="Q47" s="7" t="n"/>
      <c r="R47" s="7" t="n"/>
      <c r="S47" s="7" t="n"/>
      <c r="T47" s="7" t="n"/>
      <c r="U47" s="12">
        <f>IF(A47="","",IF(H47="","建議填分配模式",""))</f>
        <v/>
      </c>
    </row>
    <row r="48" ht="24" customHeight="1">
      <c r="A48" s="7" t="n"/>
      <c r="B48" s="7" t="n"/>
      <c r="C48" s="7" t="n"/>
      <c r="D48" s="12">
        <f>IF($A48="","",IFERROR(INDEX(土地清冊_匯入!$B$6:$B$1005,MATCH($A48,土地清冊_匯入!$A$6:$A$1005,0)),"查無資料"))</f>
        <v/>
      </c>
      <c r="E48" s="9">
        <f>IF($A48="","",IFERROR(INDEX(土地清冊_匯入!$I$6:$I$1005,MATCH($A48,土地清冊_匯入!$A$6:$A$1005,0)),""))</f>
        <v/>
      </c>
      <c r="F48" s="13">
        <f>IF($A48="","",IFERROR(INDEX(建物清冊_匯入!$N$6:$N$1005,MATCH($A48,建物清冊_匯入!$A$6:$A$1005,0)),""))</f>
        <v/>
      </c>
      <c r="G48" s="9">
        <f>IF($A48="","",IFERROR(INDEX(建物清冊_匯入!$S$6:$S$1005,MATCH($A48,建物清冊_匯入!$A$6:$A$1005,0)),""))</f>
        <v/>
      </c>
      <c r="H48" s="7" t="n"/>
      <c r="I48" s="15" t="n"/>
      <c r="J48" s="16" t="n"/>
      <c r="K48" s="17">
        <f>IF(J48="","",1-J48)</f>
        <v/>
      </c>
      <c r="L48" s="15" t="n"/>
      <c r="M48" s="7" t="n"/>
      <c r="N48" s="7" t="n"/>
      <c r="O48" s="7" t="n"/>
      <c r="P48" s="11" t="n"/>
      <c r="Q48" s="7" t="n"/>
      <c r="R48" s="7" t="n"/>
      <c r="S48" s="7" t="n"/>
      <c r="T48" s="7" t="n"/>
      <c r="U48" s="12">
        <f>IF(A48="","",IF(H48="","建議填分配模式",""))</f>
        <v/>
      </c>
    </row>
    <row r="49" ht="24" customHeight="1">
      <c r="A49" s="7" t="n"/>
      <c r="B49" s="7" t="n"/>
      <c r="C49" s="7" t="n"/>
      <c r="D49" s="12">
        <f>IF($A49="","",IFERROR(INDEX(土地清冊_匯入!$B$6:$B$1005,MATCH($A49,土地清冊_匯入!$A$6:$A$1005,0)),"查無資料"))</f>
        <v/>
      </c>
      <c r="E49" s="9">
        <f>IF($A49="","",IFERROR(INDEX(土地清冊_匯入!$I$6:$I$1005,MATCH($A49,土地清冊_匯入!$A$6:$A$1005,0)),""))</f>
        <v/>
      </c>
      <c r="F49" s="13">
        <f>IF($A49="","",IFERROR(INDEX(建物清冊_匯入!$N$6:$N$1005,MATCH($A49,建物清冊_匯入!$A$6:$A$1005,0)),""))</f>
        <v/>
      </c>
      <c r="G49" s="9">
        <f>IF($A49="","",IFERROR(INDEX(建物清冊_匯入!$S$6:$S$1005,MATCH($A49,建物清冊_匯入!$A$6:$A$1005,0)),""))</f>
        <v/>
      </c>
      <c r="H49" s="7" t="n"/>
      <c r="I49" s="15" t="n"/>
      <c r="J49" s="16" t="n"/>
      <c r="K49" s="17">
        <f>IF(J49="","",1-J49)</f>
        <v/>
      </c>
      <c r="L49" s="15" t="n"/>
      <c r="M49" s="7" t="n"/>
      <c r="N49" s="7" t="n"/>
      <c r="O49" s="7" t="n"/>
      <c r="P49" s="11" t="n"/>
      <c r="Q49" s="7" t="n"/>
      <c r="R49" s="7" t="n"/>
      <c r="S49" s="7" t="n"/>
      <c r="T49" s="7" t="n"/>
      <c r="U49" s="12">
        <f>IF(A49="","",IF(H49="","建議填分配模式",""))</f>
        <v/>
      </c>
    </row>
    <row r="50" ht="24" customHeight="1">
      <c r="A50" s="7" t="n"/>
      <c r="B50" s="7" t="n"/>
      <c r="C50" s="7" t="n"/>
      <c r="D50" s="12">
        <f>IF($A50="","",IFERROR(INDEX(土地清冊_匯入!$B$6:$B$1005,MATCH($A50,土地清冊_匯入!$A$6:$A$1005,0)),"查無資料"))</f>
        <v/>
      </c>
      <c r="E50" s="9">
        <f>IF($A50="","",IFERROR(INDEX(土地清冊_匯入!$I$6:$I$1005,MATCH($A50,土地清冊_匯入!$A$6:$A$1005,0)),""))</f>
        <v/>
      </c>
      <c r="F50" s="13">
        <f>IF($A50="","",IFERROR(INDEX(建物清冊_匯入!$N$6:$N$1005,MATCH($A50,建物清冊_匯入!$A$6:$A$1005,0)),""))</f>
        <v/>
      </c>
      <c r="G50" s="9">
        <f>IF($A50="","",IFERROR(INDEX(建物清冊_匯入!$S$6:$S$1005,MATCH($A50,建物清冊_匯入!$A$6:$A$1005,0)),""))</f>
        <v/>
      </c>
      <c r="H50" s="7" t="n"/>
      <c r="I50" s="15" t="n"/>
      <c r="J50" s="16" t="n"/>
      <c r="K50" s="17">
        <f>IF(J50="","",1-J50)</f>
        <v/>
      </c>
      <c r="L50" s="15" t="n"/>
      <c r="M50" s="7" t="n"/>
      <c r="N50" s="7" t="n"/>
      <c r="O50" s="7" t="n"/>
      <c r="P50" s="11" t="n"/>
      <c r="Q50" s="7" t="n"/>
      <c r="R50" s="7" t="n"/>
      <c r="S50" s="7" t="n"/>
      <c r="T50" s="7" t="n"/>
      <c r="U50" s="12">
        <f>IF(A50="","",IF(H50="","建議填分配模式",""))</f>
        <v/>
      </c>
    </row>
    <row r="51" ht="24" customHeight="1">
      <c r="A51" s="7" t="n"/>
      <c r="B51" s="7" t="n"/>
      <c r="C51" s="7" t="n"/>
      <c r="D51" s="12">
        <f>IF($A51="","",IFERROR(INDEX(土地清冊_匯入!$B$6:$B$1005,MATCH($A51,土地清冊_匯入!$A$6:$A$1005,0)),"查無資料"))</f>
        <v/>
      </c>
      <c r="E51" s="9">
        <f>IF($A51="","",IFERROR(INDEX(土地清冊_匯入!$I$6:$I$1005,MATCH($A51,土地清冊_匯入!$A$6:$A$1005,0)),""))</f>
        <v/>
      </c>
      <c r="F51" s="13">
        <f>IF($A51="","",IFERROR(INDEX(建物清冊_匯入!$N$6:$N$1005,MATCH($A51,建物清冊_匯入!$A$6:$A$1005,0)),""))</f>
        <v/>
      </c>
      <c r="G51" s="9">
        <f>IF($A51="","",IFERROR(INDEX(建物清冊_匯入!$S$6:$S$1005,MATCH($A51,建物清冊_匯入!$A$6:$A$1005,0)),""))</f>
        <v/>
      </c>
      <c r="H51" s="7" t="n"/>
      <c r="I51" s="15" t="n"/>
      <c r="J51" s="16" t="n"/>
      <c r="K51" s="17">
        <f>IF(J51="","",1-J51)</f>
        <v/>
      </c>
      <c r="L51" s="15" t="n"/>
      <c r="M51" s="7" t="n"/>
      <c r="N51" s="7" t="n"/>
      <c r="O51" s="7" t="n"/>
      <c r="P51" s="11" t="n"/>
      <c r="Q51" s="7" t="n"/>
      <c r="R51" s="7" t="n"/>
      <c r="S51" s="7" t="n"/>
      <c r="T51" s="7" t="n"/>
      <c r="U51" s="12">
        <f>IF(A51="","",IF(H51="","建議填分配模式",""))</f>
        <v/>
      </c>
    </row>
    <row r="52" ht="24" customHeight="1">
      <c r="A52" s="7" t="n"/>
      <c r="B52" s="7" t="n"/>
      <c r="C52" s="7" t="n"/>
      <c r="D52" s="12">
        <f>IF($A52="","",IFERROR(INDEX(土地清冊_匯入!$B$6:$B$1005,MATCH($A52,土地清冊_匯入!$A$6:$A$1005,0)),"查無資料"))</f>
        <v/>
      </c>
      <c r="E52" s="9">
        <f>IF($A52="","",IFERROR(INDEX(土地清冊_匯入!$I$6:$I$1005,MATCH($A52,土地清冊_匯入!$A$6:$A$1005,0)),""))</f>
        <v/>
      </c>
      <c r="F52" s="13">
        <f>IF($A52="","",IFERROR(INDEX(建物清冊_匯入!$N$6:$N$1005,MATCH($A52,建物清冊_匯入!$A$6:$A$1005,0)),""))</f>
        <v/>
      </c>
      <c r="G52" s="9">
        <f>IF($A52="","",IFERROR(INDEX(建物清冊_匯入!$S$6:$S$1005,MATCH($A52,建物清冊_匯入!$A$6:$A$1005,0)),""))</f>
        <v/>
      </c>
      <c r="H52" s="7" t="n"/>
      <c r="I52" s="15" t="n"/>
      <c r="J52" s="16" t="n"/>
      <c r="K52" s="17">
        <f>IF(J52="","",1-J52)</f>
        <v/>
      </c>
      <c r="L52" s="15" t="n"/>
      <c r="M52" s="7" t="n"/>
      <c r="N52" s="7" t="n"/>
      <c r="O52" s="7" t="n"/>
      <c r="P52" s="11" t="n"/>
      <c r="Q52" s="7" t="n"/>
      <c r="R52" s="7" t="n"/>
      <c r="S52" s="7" t="n"/>
      <c r="T52" s="7" t="n"/>
      <c r="U52" s="12">
        <f>IF(A52="","",IF(H52="","建議填分配模式",""))</f>
        <v/>
      </c>
    </row>
    <row r="53" ht="24" customHeight="1">
      <c r="A53" s="7" t="n"/>
      <c r="B53" s="7" t="n"/>
      <c r="C53" s="7" t="n"/>
      <c r="D53" s="12">
        <f>IF($A53="","",IFERROR(INDEX(土地清冊_匯入!$B$6:$B$1005,MATCH($A53,土地清冊_匯入!$A$6:$A$1005,0)),"查無資料"))</f>
        <v/>
      </c>
      <c r="E53" s="9">
        <f>IF($A53="","",IFERROR(INDEX(土地清冊_匯入!$I$6:$I$1005,MATCH($A53,土地清冊_匯入!$A$6:$A$1005,0)),""))</f>
        <v/>
      </c>
      <c r="F53" s="13">
        <f>IF($A53="","",IFERROR(INDEX(建物清冊_匯入!$N$6:$N$1005,MATCH($A53,建物清冊_匯入!$A$6:$A$1005,0)),""))</f>
        <v/>
      </c>
      <c r="G53" s="9">
        <f>IF($A53="","",IFERROR(INDEX(建物清冊_匯入!$S$6:$S$1005,MATCH($A53,建物清冊_匯入!$A$6:$A$1005,0)),""))</f>
        <v/>
      </c>
      <c r="H53" s="7" t="n"/>
      <c r="I53" s="15" t="n"/>
      <c r="J53" s="16" t="n"/>
      <c r="K53" s="17">
        <f>IF(J53="","",1-J53)</f>
        <v/>
      </c>
      <c r="L53" s="15" t="n"/>
      <c r="M53" s="7" t="n"/>
      <c r="N53" s="7" t="n"/>
      <c r="O53" s="7" t="n"/>
      <c r="P53" s="11" t="n"/>
      <c r="Q53" s="7" t="n"/>
      <c r="R53" s="7" t="n"/>
      <c r="S53" s="7" t="n"/>
      <c r="T53" s="7" t="n"/>
      <c r="U53" s="12">
        <f>IF(A53="","",IF(H53="","建議填分配模式",""))</f>
        <v/>
      </c>
    </row>
    <row r="54" ht="24" customHeight="1">
      <c r="A54" s="7" t="n"/>
      <c r="B54" s="7" t="n"/>
      <c r="C54" s="7" t="n"/>
      <c r="D54" s="12">
        <f>IF($A54="","",IFERROR(INDEX(土地清冊_匯入!$B$6:$B$1005,MATCH($A54,土地清冊_匯入!$A$6:$A$1005,0)),"查無資料"))</f>
        <v/>
      </c>
      <c r="E54" s="9">
        <f>IF($A54="","",IFERROR(INDEX(土地清冊_匯入!$I$6:$I$1005,MATCH($A54,土地清冊_匯入!$A$6:$A$1005,0)),""))</f>
        <v/>
      </c>
      <c r="F54" s="13">
        <f>IF($A54="","",IFERROR(INDEX(建物清冊_匯入!$N$6:$N$1005,MATCH($A54,建物清冊_匯入!$A$6:$A$1005,0)),""))</f>
        <v/>
      </c>
      <c r="G54" s="9">
        <f>IF($A54="","",IFERROR(INDEX(建物清冊_匯入!$S$6:$S$1005,MATCH($A54,建物清冊_匯入!$A$6:$A$1005,0)),""))</f>
        <v/>
      </c>
      <c r="H54" s="7" t="n"/>
      <c r="I54" s="15" t="n"/>
      <c r="J54" s="16" t="n"/>
      <c r="K54" s="17">
        <f>IF(J54="","",1-J54)</f>
        <v/>
      </c>
      <c r="L54" s="15" t="n"/>
      <c r="M54" s="7" t="n"/>
      <c r="N54" s="7" t="n"/>
      <c r="O54" s="7" t="n"/>
      <c r="P54" s="11" t="n"/>
      <c r="Q54" s="7" t="n"/>
      <c r="R54" s="7" t="n"/>
      <c r="S54" s="7" t="n"/>
      <c r="T54" s="7" t="n"/>
      <c r="U54" s="12">
        <f>IF(A54="","",IF(H54="","建議填分配模式",""))</f>
        <v/>
      </c>
    </row>
    <row r="55" ht="24" customHeight="1">
      <c r="A55" s="7" t="n"/>
      <c r="B55" s="7" t="n"/>
      <c r="C55" s="7" t="n"/>
      <c r="D55" s="12">
        <f>IF($A55="","",IFERROR(INDEX(土地清冊_匯入!$B$6:$B$1005,MATCH($A55,土地清冊_匯入!$A$6:$A$1005,0)),"查無資料"))</f>
        <v/>
      </c>
      <c r="E55" s="9">
        <f>IF($A55="","",IFERROR(INDEX(土地清冊_匯入!$I$6:$I$1005,MATCH($A55,土地清冊_匯入!$A$6:$A$1005,0)),""))</f>
        <v/>
      </c>
      <c r="F55" s="13">
        <f>IF($A55="","",IFERROR(INDEX(建物清冊_匯入!$N$6:$N$1005,MATCH($A55,建物清冊_匯入!$A$6:$A$1005,0)),""))</f>
        <v/>
      </c>
      <c r="G55" s="9">
        <f>IF($A55="","",IFERROR(INDEX(建物清冊_匯入!$S$6:$S$1005,MATCH($A55,建物清冊_匯入!$A$6:$A$1005,0)),""))</f>
        <v/>
      </c>
      <c r="H55" s="7" t="n"/>
      <c r="I55" s="15" t="n"/>
      <c r="J55" s="16" t="n"/>
      <c r="K55" s="17">
        <f>IF(J55="","",1-J55)</f>
        <v/>
      </c>
      <c r="L55" s="15" t="n"/>
      <c r="M55" s="7" t="n"/>
      <c r="N55" s="7" t="n"/>
      <c r="O55" s="7" t="n"/>
      <c r="P55" s="11" t="n"/>
      <c r="Q55" s="7" t="n"/>
      <c r="R55" s="7" t="n"/>
      <c r="S55" s="7" t="n"/>
      <c r="T55" s="7" t="n"/>
      <c r="U55" s="12">
        <f>IF(A55="","",IF(H55="","建議填分配模式",""))</f>
        <v/>
      </c>
    </row>
    <row r="56" ht="24" customHeight="1">
      <c r="A56" s="7" t="n"/>
      <c r="B56" s="7" t="n"/>
      <c r="C56" s="7" t="n"/>
      <c r="D56" s="12">
        <f>IF($A56="","",IFERROR(INDEX(土地清冊_匯入!$B$6:$B$1005,MATCH($A56,土地清冊_匯入!$A$6:$A$1005,0)),"查無資料"))</f>
        <v/>
      </c>
      <c r="E56" s="9">
        <f>IF($A56="","",IFERROR(INDEX(土地清冊_匯入!$I$6:$I$1005,MATCH($A56,土地清冊_匯入!$A$6:$A$1005,0)),""))</f>
        <v/>
      </c>
      <c r="F56" s="13">
        <f>IF($A56="","",IFERROR(INDEX(建物清冊_匯入!$N$6:$N$1005,MATCH($A56,建物清冊_匯入!$A$6:$A$1005,0)),""))</f>
        <v/>
      </c>
      <c r="G56" s="9">
        <f>IF($A56="","",IFERROR(INDEX(建物清冊_匯入!$S$6:$S$1005,MATCH($A56,建物清冊_匯入!$A$6:$A$1005,0)),""))</f>
        <v/>
      </c>
      <c r="H56" s="7" t="n"/>
      <c r="I56" s="15" t="n"/>
      <c r="J56" s="16" t="n"/>
      <c r="K56" s="17">
        <f>IF(J56="","",1-J56)</f>
        <v/>
      </c>
      <c r="L56" s="15" t="n"/>
      <c r="M56" s="7" t="n"/>
      <c r="N56" s="7" t="n"/>
      <c r="O56" s="7" t="n"/>
      <c r="P56" s="11" t="n"/>
      <c r="Q56" s="7" t="n"/>
      <c r="R56" s="7" t="n"/>
      <c r="S56" s="7" t="n"/>
      <c r="T56" s="7" t="n"/>
      <c r="U56" s="12">
        <f>IF(A56="","",IF(H56="","建議填分配模式",""))</f>
        <v/>
      </c>
    </row>
    <row r="57" ht="24" customHeight="1">
      <c r="A57" s="7" t="n"/>
      <c r="B57" s="7" t="n"/>
      <c r="C57" s="7" t="n"/>
      <c r="D57" s="12">
        <f>IF($A57="","",IFERROR(INDEX(土地清冊_匯入!$B$6:$B$1005,MATCH($A57,土地清冊_匯入!$A$6:$A$1005,0)),"查無資料"))</f>
        <v/>
      </c>
      <c r="E57" s="9">
        <f>IF($A57="","",IFERROR(INDEX(土地清冊_匯入!$I$6:$I$1005,MATCH($A57,土地清冊_匯入!$A$6:$A$1005,0)),""))</f>
        <v/>
      </c>
      <c r="F57" s="13">
        <f>IF($A57="","",IFERROR(INDEX(建物清冊_匯入!$N$6:$N$1005,MATCH($A57,建物清冊_匯入!$A$6:$A$1005,0)),""))</f>
        <v/>
      </c>
      <c r="G57" s="9">
        <f>IF($A57="","",IFERROR(INDEX(建物清冊_匯入!$S$6:$S$1005,MATCH($A57,建物清冊_匯入!$A$6:$A$1005,0)),""))</f>
        <v/>
      </c>
      <c r="H57" s="7" t="n"/>
      <c r="I57" s="15" t="n"/>
      <c r="J57" s="16" t="n"/>
      <c r="K57" s="17">
        <f>IF(J57="","",1-J57)</f>
        <v/>
      </c>
      <c r="L57" s="15" t="n"/>
      <c r="M57" s="7" t="n"/>
      <c r="N57" s="7" t="n"/>
      <c r="O57" s="7" t="n"/>
      <c r="P57" s="11" t="n"/>
      <c r="Q57" s="7" t="n"/>
      <c r="R57" s="7" t="n"/>
      <c r="S57" s="7" t="n"/>
      <c r="T57" s="7" t="n"/>
      <c r="U57" s="12">
        <f>IF(A57="","",IF(H57="","建議填分配模式",""))</f>
        <v/>
      </c>
    </row>
    <row r="58" ht="24" customHeight="1">
      <c r="A58" s="7" t="n"/>
      <c r="B58" s="7" t="n"/>
      <c r="C58" s="7" t="n"/>
      <c r="D58" s="12">
        <f>IF($A58="","",IFERROR(INDEX(土地清冊_匯入!$B$6:$B$1005,MATCH($A58,土地清冊_匯入!$A$6:$A$1005,0)),"查無資料"))</f>
        <v/>
      </c>
      <c r="E58" s="9">
        <f>IF($A58="","",IFERROR(INDEX(土地清冊_匯入!$I$6:$I$1005,MATCH($A58,土地清冊_匯入!$A$6:$A$1005,0)),""))</f>
        <v/>
      </c>
      <c r="F58" s="13">
        <f>IF($A58="","",IFERROR(INDEX(建物清冊_匯入!$N$6:$N$1005,MATCH($A58,建物清冊_匯入!$A$6:$A$1005,0)),""))</f>
        <v/>
      </c>
      <c r="G58" s="9">
        <f>IF($A58="","",IFERROR(INDEX(建物清冊_匯入!$S$6:$S$1005,MATCH($A58,建物清冊_匯入!$A$6:$A$1005,0)),""))</f>
        <v/>
      </c>
      <c r="H58" s="7" t="n"/>
      <c r="I58" s="15" t="n"/>
      <c r="J58" s="16" t="n"/>
      <c r="K58" s="17">
        <f>IF(J58="","",1-J58)</f>
        <v/>
      </c>
      <c r="L58" s="15" t="n"/>
      <c r="M58" s="7" t="n"/>
      <c r="N58" s="7" t="n"/>
      <c r="O58" s="7" t="n"/>
      <c r="P58" s="11" t="n"/>
      <c r="Q58" s="7" t="n"/>
      <c r="R58" s="7" t="n"/>
      <c r="S58" s="7" t="n"/>
      <c r="T58" s="7" t="n"/>
      <c r="U58" s="12">
        <f>IF(A58="","",IF(H58="","建議填分配模式",""))</f>
        <v/>
      </c>
    </row>
    <row r="59" ht="24" customHeight="1">
      <c r="A59" s="7" t="n"/>
      <c r="B59" s="7" t="n"/>
      <c r="C59" s="7" t="n"/>
      <c r="D59" s="12">
        <f>IF($A59="","",IFERROR(INDEX(土地清冊_匯入!$B$6:$B$1005,MATCH($A59,土地清冊_匯入!$A$6:$A$1005,0)),"查無資料"))</f>
        <v/>
      </c>
      <c r="E59" s="9">
        <f>IF($A59="","",IFERROR(INDEX(土地清冊_匯入!$I$6:$I$1005,MATCH($A59,土地清冊_匯入!$A$6:$A$1005,0)),""))</f>
        <v/>
      </c>
      <c r="F59" s="13">
        <f>IF($A59="","",IFERROR(INDEX(建物清冊_匯入!$N$6:$N$1005,MATCH($A59,建物清冊_匯入!$A$6:$A$1005,0)),""))</f>
        <v/>
      </c>
      <c r="G59" s="9">
        <f>IF($A59="","",IFERROR(INDEX(建物清冊_匯入!$S$6:$S$1005,MATCH($A59,建物清冊_匯入!$A$6:$A$1005,0)),""))</f>
        <v/>
      </c>
      <c r="H59" s="7" t="n"/>
      <c r="I59" s="15" t="n"/>
      <c r="J59" s="16" t="n"/>
      <c r="K59" s="17">
        <f>IF(J59="","",1-J59)</f>
        <v/>
      </c>
      <c r="L59" s="15" t="n"/>
      <c r="M59" s="7" t="n"/>
      <c r="N59" s="7" t="n"/>
      <c r="O59" s="7" t="n"/>
      <c r="P59" s="11" t="n"/>
      <c r="Q59" s="7" t="n"/>
      <c r="R59" s="7" t="n"/>
      <c r="S59" s="7" t="n"/>
      <c r="T59" s="7" t="n"/>
      <c r="U59" s="12">
        <f>IF(A59="","",IF(H59="","建議填分配模式",""))</f>
        <v/>
      </c>
    </row>
    <row r="60" ht="24" customHeight="1">
      <c r="A60" s="7" t="n"/>
      <c r="B60" s="7" t="n"/>
      <c r="C60" s="7" t="n"/>
      <c r="D60" s="12">
        <f>IF($A60="","",IFERROR(INDEX(土地清冊_匯入!$B$6:$B$1005,MATCH($A60,土地清冊_匯入!$A$6:$A$1005,0)),"查無資料"))</f>
        <v/>
      </c>
      <c r="E60" s="9">
        <f>IF($A60="","",IFERROR(INDEX(土地清冊_匯入!$I$6:$I$1005,MATCH($A60,土地清冊_匯入!$A$6:$A$1005,0)),""))</f>
        <v/>
      </c>
      <c r="F60" s="13">
        <f>IF($A60="","",IFERROR(INDEX(建物清冊_匯入!$N$6:$N$1005,MATCH($A60,建物清冊_匯入!$A$6:$A$1005,0)),""))</f>
        <v/>
      </c>
      <c r="G60" s="9">
        <f>IF($A60="","",IFERROR(INDEX(建物清冊_匯入!$S$6:$S$1005,MATCH($A60,建物清冊_匯入!$A$6:$A$1005,0)),""))</f>
        <v/>
      </c>
      <c r="H60" s="7" t="n"/>
      <c r="I60" s="15" t="n"/>
      <c r="J60" s="16" t="n"/>
      <c r="K60" s="17">
        <f>IF(J60="","",1-J60)</f>
        <v/>
      </c>
      <c r="L60" s="15" t="n"/>
      <c r="M60" s="7" t="n"/>
      <c r="N60" s="7" t="n"/>
      <c r="O60" s="7" t="n"/>
      <c r="P60" s="11" t="n"/>
      <c r="Q60" s="7" t="n"/>
      <c r="R60" s="7" t="n"/>
      <c r="S60" s="7" t="n"/>
      <c r="T60" s="7" t="n"/>
      <c r="U60" s="12">
        <f>IF(A60="","",IF(H60="","建議填分配模式",""))</f>
        <v/>
      </c>
    </row>
    <row r="61" ht="24" customHeight="1">
      <c r="A61" s="7" t="n"/>
      <c r="B61" s="7" t="n"/>
      <c r="C61" s="7" t="n"/>
      <c r="D61" s="12">
        <f>IF($A61="","",IFERROR(INDEX(土地清冊_匯入!$B$6:$B$1005,MATCH($A61,土地清冊_匯入!$A$6:$A$1005,0)),"查無資料"))</f>
        <v/>
      </c>
      <c r="E61" s="9">
        <f>IF($A61="","",IFERROR(INDEX(土地清冊_匯入!$I$6:$I$1005,MATCH($A61,土地清冊_匯入!$A$6:$A$1005,0)),""))</f>
        <v/>
      </c>
      <c r="F61" s="13">
        <f>IF($A61="","",IFERROR(INDEX(建物清冊_匯入!$N$6:$N$1005,MATCH($A61,建物清冊_匯入!$A$6:$A$1005,0)),""))</f>
        <v/>
      </c>
      <c r="G61" s="9">
        <f>IF($A61="","",IFERROR(INDEX(建物清冊_匯入!$S$6:$S$1005,MATCH($A61,建物清冊_匯入!$A$6:$A$1005,0)),""))</f>
        <v/>
      </c>
      <c r="H61" s="7" t="n"/>
      <c r="I61" s="15" t="n"/>
      <c r="J61" s="16" t="n"/>
      <c r="K61" s="17">
        <f>IF(J61="","",1-J61)</f>
        <v/>
      </c>
      <c r="L61" s="15" t="n"/>
      <c r="M61" s="7" t="n"/>
      <c r="N61" s="7" t="n"/>
      <c r="O61" s="7" t="n"/>
      <c r="P61" s="11" t="n"/>
      <c r="Q61" s="7" t="n"/>
      <c r="R61" s="7" t="n"/>
      <c r="S61" s="7" t="n"/>
      <c r="T61" s="7" t="n"/>
      <c r="U61" s="12">
        <f>IF(A61="","",IF(H61="","建議填分配模式",""))</f>
        <v/>
      </c>
    </row>
    <row r="62" ht="24" customHeight="1">
      <c r="A62" s="7" t="n"/>
      <c r="B62" s="7" t="n"/>
      <c r="C62" s="7" t="n"/>
      <c r="D62" s="12">
        <f>IF($A62="","",IFERROR(INDEX(土地清冊_匯入!$B$6:$B$1005,MATCH($A62,土地清冊_匯入!$A$6:$A$1005,0)),"查無資料"))</f>
        <v/>
      </c>
      <c r="E62" s="9">
        <f>IF($A62="","",IFERROR(INDEX(土地清冊_匯入!$I$6:$I$1005,MATCH($A62,土地清冊_匯入!$A$6:$A$1005,0)),""))</f>
        <v/>
      </c>
      <c r="F62" s="13">
        <f>IF($A62="","",IFERROR(INDEX(建物清冊_匯入!$N$6:$N$1005,MATCH($A62,建物清冊_匯入!$A$6:$A$1005,0)),""))</f>
        <v/>
      </c>
      <c r="G62" s="9">
        <f>IF($A62="","",IFERROR(INDEX(建物清冊_匯入!$S$6:$S$1005,MATCH($A62,建物清冊_匯入!$A$6:$A$1005,0)),""))</f>
        <v/>
      </c>
      <c r="H62" s="7" t="n"/>
      <c r="I62" s="15" t="n"/>
      <c r="J62" s="16" t="n"/>
      <c r="K62" s="17">
        <f>IF(J62="","",1-J62)</f>
        <v/>
      </c>
      <c r="L62" s="15" t="n"/>
      <c r="M62" s="7" t="n"/>
      <c r="N62" s="7" t="n"/>
      <c r="O62" s="7" t="n"/>
      <c r="P62" s="11" t="n"/>
      <c r="Q62" s="7" t="n"/>
      <c r="R62" s="7" t="n"/>
      <c r="S62" s="7" t="n"/>
      <c r="T62" s="7" t="n"/>
      <c r="U62" s="12">
        <f>IF(A62="","",IF(H62="","建議填分配模式",""))</f>
        <v/>
      </c>
    </row>
    <row r="63" ht="24" customHeight="1">
      <c r="A63" s="7" t="n"/>
      <c r="B63" s="7" t="n"/>
      <c r="C63" s="7" t="n"/>
      <c r="D63" s="12">
        <f>IF($A63="","",IFERROR(INDEX(土地清冊_匯入!$B$6:$B$1005,MATCH($A63,土地清冊_匯入!$A$6:$A$1005,0)),"查無資料"))</f>
        <v/>
      </c>
      <c r="E63" s="9">
        <f>IF($A63="","",IFERROR(INDEX(土地清冊_匯入!$I$6:$I$1005,MATCH($A63,土地清冊_匯入!$A$6:$A$1005,0)),""))</f>
        <v/>
      </c>
      <c r="F63" s="13">
        <f>IF($A63="","",IFERROR(INDEX(建物清冊_匯入!$N$6:$N$1005,MATCH($A63,建物清冊_匯入!$A$6:$A$1005,0)),""))</f>
        <v/>
      </c>
      <c r="G63" s="9">
        <f>IF($A63="","",IFERROR(INDEX(建物清冊_匯入!$S$6:$S$1005,MATCH($A63,建物清冊_匯入!$A$6:$A$1005,0)),""))</f>
        <v/>
      </c>
      <c r="H63" s="7" t="n"/>
      <c r="I63" s="15" t="n"/>
      <c r="J63" s="16" t="n"/>
      <c r="K63" s="17">
        <f>IF(J63="","",1-J63)</f>
        <v/>
      </c>
      <c r="L63" s="15" t="n"/>
      <c r="M63" s="7" t="n"/>
      <c r="N63" s="7" t="n"/>
      <c r="O63" s="7" t="n"/>
      <c r="P63" s="11" t="n"/>
      <c r="Q63" s="7" t="n"/>
      <c r="R63" s="7" t="n"/>
      <c r="S63" s="7" t="n"/>
      <c r="T63" s="7" t="n"/>
      <c r="U63" s="12">
        <f>IF(A63="","",IF(H63="","建議填分配模式",""))</f>
        <v/>
      </c>
    </row>
    <row r="64" ht="24" customHeight="1">
      <c r="A64" s="7" t="n"/>
      <c r="B64" s="7" t="n"/>
      <c r="C64" s="7" t="n"/>
      <c r="D64" s="12">
        <f>IF($A64="","",IFERROR(INDEX(土地清冊_匯入!$B$6:$B$1005,MATCH($A64,土地清冊_匯入!$A$6:$A$1005,0)),"查無資料"))</f>
        <v/>
      </c>
      <c r="E64" s="9">
        <f>IF($A64="","",IFERROR(INDEX(土地清冊_匯入!$I$6:$I$1005,MATCH($A64,土地清冊_匯入!$A$6:$A$1005,0)),""))</f>
        <v/>
      </c>
      <c r="F64" s="13">
        <f>IF($A64="","",IFERROR(INDEX(建物清冊_匯入!$N$6:$N$1005,MATCH($A64,建物清冊_匯入!$A$6:$A$1005,0)),""))</f>
        <v/>
      </c>
      <c r="G64" s="9">
        <f>IF($A64="","",IFERROR(INDEX(建物清冊_匯入!$S$6:$S$1005,MATCH($A64,建物清冊_匯入!$A$6:$A$1005,0)),""))</f>
        <v/>
      </c>
      <c r="H64" s="7" t="n"/>
      <c r="I64" s="15" t="n"/>
      <c r="J64" s="16" t="n"/>
      <c r="K64" s="17">
        <f>IF(J64="","",1-J64)</f>
        <v/>
      </c>
      <c r="L64" s="15" t="n"/>
      <c r="M64" s="7" t="n"/>
      <c r="N64" s="7" t="n"/>
      <c r="O64" s="7" t="n"/>
      <c r="P64" s="11" t="n"/>
      <c r="Q64" s="7" t="n"/>
      <c r="R64" s="7" t="n"/>
      <c r="S64" s="7" t="n"/>
      <c r="T64" s="7" t="n"/>
      <c r="U64" s="12">
        <f>IF(A64="","",IF(H64="","建議填分配模式",""))</f>
        <v/>
      </c>
    </row>
    <row r="65" ht="24" customHeight="1">
      <c r="A65" s="7" t="n"/>
      <c r="B65" s="7" t="n"/>
      <c r="C65" s="7" t="n"/>
      <c r="D65" s="12">
        <f>IF($A65="","",IFERROR(INDEX(土地清冊_匯入!$B$6:$B$1005,MATCH($A65,土地清冊_匯入!$A$6:$A$1005,0)),"查無資料"))</f>
        <v/>
      </c>
      <c r="E65" s="9">
        <f>IF($A65="","",IFERROR(INDEX(土地清冊_匯入!$I$6:$I$1005,MATCH($A65,土地清冊_匯入!$A$6:$A$1005,0)),""))</f>
        <v/>
      </c>
      <c r="F65" s="13">
        <f>IF($A65="","",IFERROR(INDEX(建物清冊_匯入!$N$6:$N$1005,MATCH($A65,建物清冊_匯入!$A$6:$A$1005,0)),""))</f>
        <v/>
      </c>
      <c r="G65" s="9">
        <f>IF($A65="","",IFERROR(INDEX(建物清冊_匯入!$S$6:$S$1005,MATCH($A65,建物清冊_匯入!$A$6:$A$1005,0)),""))</f>
        <v/>
      </c>
      <c r="H65" s="7" t="n"/>
      <c r="I65" s="15" t="n"/>
      <c r="J65" s="16" t="n"/>
      <c r="K65" s="17">
        <f>IF(J65="","",1-J65)</f>
        <v/>
      </c>
      <c r="L65" s="15" t="n"/>
      <c r="M65" s="7" t="n"/>
      <c r="N65" s="7" t="n"/>
      <c r="O65" s="7" t="n"/>
      <c r="P65" s="11" t="n"/>
      <c r="Q65" s="7" t="n"/>
      <c r="R65" s="7" t="n"/>
      <c r="S65" s="7" t="n"/>
      <c r="T65" s="7" t="n"/>
      <c r="U65" s="12">
        <f>IF(A65="","",IF(H65="","建議填分配模式",""))</f>
        <v/>
      </c>
    </row>
    <row r="66" ht="24" customHeight="1">
      <c r="A66" s="7" t="n"/>
      <c r="B66" s="7" t="n"/>
      <c r="C66" s="7" t="n"/>
      <c r="D66" s="12">
        <f>IF($A66="","",IFERROR(INDEX(土地清冊_匯入!$B$6:$B$1005,MATCH($A66,土地清冊_匯入!$A$6:$A$1005,0)),"查無資料"))</f>
        <v/>
      </c>
      <c r="E66" s="9">
        <f>IF($A66="","",IFERROR(INDEX(土地清冊_匯入!$I$6:$I$1005,MATCH($A66,土地清冊_匯入!$A$6:$A$1005,0)),""))</f>
        <v/>
      </c>
      <c r="F66" s="13">
        <f>IF($A66="","",IFERROR(INDEX(建物清冊_匯入!$N$6:$N$1005,MATCH($A66,建物清冊_匯入!$A$6:$A$1005,0)),""))</f>
        <v/>
      </c>
      <c r="G66" s="9">
        <f>IF($A66="","",IFERROR(INDEX(建物清冊_匯入!$S$6:$S$1005,MATCH($A66,建物清冊_匯入!$A$6:$A$1005,0)),""))</f>
        <v/>
      </c>
      <c r="H66" s="7" t="n"/>
      <c r="I66" s="15" t="n"/>
      <c r="J66" s="16" t="n"/>
      <c r="K66" s="17">
        <f>IF(J66="","",1-J66)</f>
        <v/>
      </c>
      <c r="L66" s="15" t="n"/>
      <c r="M66" s="7" t="n"/>
      <c r="N66" s="7" t="n"/>
      <c r="O66" s="7" t="n"/>
      <c r="P66" s="11" t="n"/>
      <c r="Q66" s="7" t="n"/>
      <c r="R66" s="7" t="n"/>
      <c r="S66" s="7" t="n"/>
      <c r="T66" s="7" t="n"/>
      <c r="U66" s="12">
        <f>IF(A66="","",IF(H66="","建議填分配模式",""))</f>
        <v/>
      </c>
    </row>
    <row r="67" ht="24" customHeight="1">
      <c r="A67" s="7" t="n"/>
      <c r="B67" s="7" t="n"/>
      <c r="C67" s="7" t="n"/>
      <c r="D67" s="12">
        <f>IF($A67="","",IFERROR(INDEX(土地清冊_匯入!$B$6:$B$1005,MATCH($A67,土地清冊_匯入!$A$6:$A$1005,0)),"查無資料"))</f>
        <v/>
      </c>
      <c r="E67" s="9">
        <f>IF($A67="","",IFERROR(INDEX(土地清冊_匯入!$I$6:$I$1005,MATCH($A67,土地清冊_匯入!$A$6:$A$1005,0)),""))</f>
        <v/>
      </c>
      <c r="F67" s="13">
        <f>IF($A67="","",IFERROR(INDEX(建物清冊_匯入!$N$6:$N$1005,MATCH($A67,建物清冊_匯入!$A$6:$A$1005,0)),""))</f>
        <v/>
      </c>
      <c r="G67" s="9">
        <f>IF($A67="","",IFERROR(INDEX(建物清冊_匯入!$S$6:$S$1005,MATCH($A67,建物清冊_匯入!$A$6:$A$1005,0)),""))</f>
        <v/>
      </c>
      <c r="H67" s="7" t="n"/>
      <c r="I67" s="15" t="n"/>
      <c r="J67" s="16" t="n"/>
      <c r="K67" s="17">
        <f>IF(J67="","",1-J67)</f>
        <v/>
      </c>
      <c r="L67" s="15" t="n"/>
      <c r="M67" s="7" t="n"/>
      <c r="N67" s="7" t="n"/>
      <c r="O67" s="7" t="n"/>
      <c r="P67" s="11" t="n"/>
      <c r="Q67" s="7" t="n"/>
      <c r="R67" s="7" t="n"/>
      <c r="S67" s="7" t="n"/>
      <c r="T67" s="7" t="n"/>
      <c r="U67" s="12">
        <f>IF(A67="","",IF(H67="","建議填分配模式",""))</f>
        <v/>
      </c>
    </row>
    <row r="68" ht="24" customHeight="1">
      <c r="A68" s="7" t="n"/>
      <c r="B68" s="7" t="n"/>
      <c r="C68" s="7" t="n"/>
      <c r="D68" s="12">
        <f>IF($A68="","",IFERROR(INDEX(土地清冊_匯入!$B$6:$B$1005,MATCH($A68,土地清冊_匯入!$A$6:$A$1005,0)),"查無資料"))</f>
        <v/>
      </c>
      <c r="E68" s="9">
        <f>IF($A68="","",IFERROR(INDEX(土地清冊_匯入!$I$6:$I$1005,MATCH($A68,土地清冊_匯入!$A$6:$A$1005,0)),""))</f>
        <v/>
      </c>
      <c r="F68" s="13">
        <f>IF($A68="","",IFERROR(INDEX(建物清冊_匯入!$N$6:$N$1005,MATCH($A68,建物清冊_匯入!$A$6:$A$1005,0)),""))</f>
        <v/>
      </c>
      <c r="G68" s="9">
        <f>IF($A68="","",IFERROR(INDEX(建物清冊_匯入!$S$6:$S$1005,MATCH($A68,建物清冊_匯入!$A$6:$A$1005,0)),""))</f>
        <v/>
      </c>
      <c r="H68" s="7" t="n"/>
      <c r="I68" s="15" t="n"/>
      <c r="J68" s="16" t="n"/>
      <c r="K68" s="17">
        <f>IF(J68="","",1-J68)</f>
        <v/>
      </c>
      <c r="L68" s="15" t="n"/>
      <c r="M68" s="7" t="n"/>
      <c r="N68" s="7" t="n"/>
      <c r="O68" s="7" t="n"/>
      <c r="P68" s="11" t="n"/>
      <c r="Q68" s="7" t="n"/>
      <c r="R68" s="7" t="n"/>
      <c r="S68" s="7" t="n"/>
      <c r="T68" s="7" t="n"/>
      <c r="U68" s="12">
        <f>IF(A68="","",IF(H68="","建議填分配模式",""))</f>
        <v/>
      </c>
    </row>
    <row r="69" ht="24" customHeight="1">
      <c r="A69" s="7" t="n"/>
      <c r="B69" s="7" t="n"/>
      <c r="C69" s="7" t="n"/>
      <c r="D69" s="12">
        <f>IF($A69="","",IFERROR(INDEX(土地清冊_匯入!$B$6:$B$1005,MATCH($A69,土地清冊_匯入!$A$6:$A$1005,0)),"查無資料"))</f>
        <v/>
      </c>
      <c r="E69" s="9">
        <f>IF($A69="","",IFERROR(INDEX(土地清冊_匯入!$I$6:$I$1005,MATCH($A69,土地清冊_匯入!$A$6:$A$1005,0)),""))</f>
        <v/>
      </c>
      <c r="F69" s="13">
        <f>IF($A69="","",IFERROR(INDEX(建物清冊_匯入!$N$6:$N$1005,MATCH($A69,建物清冊_匯入!$A$6:$A$1005,0)),""))</f>
        <v/>
      </c>
      <c r="G69" s="9">
        <f>IF($A69="","",IFERROR(INDEX(建物清冊_匯入!$S$6:$S$1005,MATCH($A69,建物清冊_匯入!$A$6:$A$1005,0)),""))</f>
        <v/>
      </c>
      <c r="H69" s="7" t="n"/>
      <c r="I69" s="15" t="n"/>
      <c r="J69" s="16" t="n"/>
      <c r="K69" s="17">
        <f>IF(J69="","",1-J69)</f>
        <v/>
      </c>
      <c r="L69" s="15" t="n"/>
      <c r="M69" s="7" t="n"/>
      <c r="N69" s="7" t="n"/>
      <c r="O69" s="7" t="n"/>
      <c r="P69" s="11" t="n"/>
      <c r="Q69" s="7" t="n"/>
      <c r="R69" s="7" t="n"/>
      <c r="S69" s="7" t="n"/>
      <c r="T69" s="7" t="n"/>
      <c r="U69" s="12">
        <f>IF(A69="","",IF(H69="","建議填分配模式",""))</f>
        <v/>
      </c>
    </row>
    <row r="70" ht="24" customHeight="1">
      <c r="A70" s="7" t="n"/>
      <c r="B70" s="7" t="n"/>
      <c r="C70" s="7" t="n"/>
      <c r="D70" s="12">
        <f>IF($A70="","",IFERROR(INDEX(土地清冊_匯入!$B$6:$B$1005,MATCH($A70,土地清冊_匯入!$A$6:$A$1005,0)),"查無資料"))</f>
        <v/>
      </c>
      <c r="E70" s="9">
        <f>IF($A70="","",IFERROR(INDEX(土地清冊_匯入!$I$6:$I$1005,MATCH($A70,土地清冊_匯入!$A$6:$A$1005,0)),""))</f>
        <v/>
      </c>
      <c r="F70" s="13">
        <f>IF($A70="","",IFERROR(INDEX(建物清冊_匯入!$N$6:$N$1005,MATCH($A70,建物清冊_匯入!$A$6:$A$1005,0)),""))</f>
        <v/>
      </c>
      <c r="G70" s="9">
        <f>IF($A70="","",IFERROR(INDEX(建物清冊_匯入!$S$6:$S$1005,MATCH($A70,建物清冊_匯入!$A$6:$A$1005,0)),""))</f>
        <v/>
      </c>
      <c r="H70" s="7" t="n"/>
      <c r="I70" s="15" t="n"/>
      <c r="J70" s="16" t="n"/>
      <c r="K70" s="17">
        <f>IF(J70="","",1-J70)</f>
        <v/>
      </c>
      <c r="L70" s="15" t="n"/>
      <c r="M70" s="7" t="n"/>
      <c r="N70" s="7" t="n"/>
      <c r="O70" s="7" t="n"/>
      <c r="P70" s="11" t="n"/>
      <c r="Q70" s="7" t="n"/>
      <c r="R70" s="7" t="n"/>
      <c r="S70" s="7" t="n"/>
      <c r="T70" s="7" t="n"/>
      <c r="U70" s="12">
        <f>IF(A70="","",IF(H70="","建議填分配模式",""))</f>
        <v/>
      </c>
    </row>
    <row r="71" ht="24" customHeight="1">
      <c r="A71" s="7" t="n"/>
      <c r="B71" s="7" t="n"/>
      <c r="C71" s="7" t="n"/>
      <c r="D71" s="12">
        <f>IF($A71="","",IFERROR(INDEX(土地清冊_匯入!$B$6:$B$1005,MATCH($A71,土地清冊_匯入!$A$6:$A$1005,0)),"查無資料"))</f>
        <v/>
      </c>
      <c r="E71" s="9">
        <f>IF($A71="","",IFERROR(INDEX(土地清冊_匯入!$I$6:$I$1005,MATCH($A71,土地清冊_匯入!$A$6:$A$1005,0)),""))</f>
        <v/>
      </c>
      <c r="F71" s="13">
        <f>IF($A71="","",IFERROR(INDEX(建物清冊_匯入!$N$6:$N$1005,MATCH($A71,建物清冊_匯入!$A$6:$A$1005,0)),""))</f>
        <v/>
      </c>
      <c r="G71" s="9">
        <f>IF($A71="","",IFERROR(INDEX(建物清冊_匯入!$S$6:$S$1005,MATCH($A71,建物清冊_匯入!$A$6:$A$1005,0)),""))</f>
        <v/>
      </c>
      <c r="H71" s="7" t="n"/>
      <c r="I71" s="15" t="n"/>
      <c r="J71" s="16" t="n"/>
      <c r="K71" s="17">
        <f>IF(J71="","",1-J71)</f>
        <v/>
      </c>
      <c r="L71" s="15" t="n"/>
      <c r="M71" s="7" t="n"/>
      <c r="N71" s="7" t="n"/>
      <c r="O71" s="7" t="n"/>
      <c r="P71" s="11" t="n"/>
      <c r="Q71" s="7" t="n"/>
      <c r="R71" s="7" t="n"/>
      <c r="S71" s="7" t="n"/>
      <c r="T71" s="7" t="n"/>
      <c r="U71" s="12">
        <f>IF(A71="","",IF(H71="","建議填分配模式",""))</f>
        <v/>
      </c>
    </row>
    <row r="72" ht="24" customHeight="1">
      <c r="A72" s="7" t="n"/>
      <c r="B72" s="7" t="n"/>
      <c r="C72" s="7" t="n"/>
      <c r="D72" s="12">
        <f>IF($A72="","",IFERROR(INDEX(土地清冊_匯入!$B$6:$B$1005,MATCH($A72,土地清冊_匯入!$A$6:$A$1005,0)),"查無資料"))</f>
        <v/>
      </c>
      <c r="E72" s="9">
        <f>IF($A72="","",IFERROR(INDEX(土地清冊_匯入!$I$6:$I$1005,MATCH($A72,土地清冊_匯入!$A$6:$A$1005,0)),""))</f>
        <v/>
      </c>
      <c r="F72" s="13">
        <f>IF($A72="","",IFERROR(INDEX(建物清冊_匯入!$N$6:$N$1005,MATCH($A72,建物清冊_匯入!$A$6:$A$1005,0)),""))</f>
        <v/>
      </c>
      <c r="G72" s="9">
        <f>IF($A72="","",IFERROR(INDEX(建物清冊_匯入!$S$6:$S$1005,MATCH($A72,建物清冊_匯入!$A$6:$A$1005,0)),""))</f>
        <v/>
      </c>
      <c r="H72" s="7" t="n"/>
      <c r="I72" s="15" t="n"/>
      <c r="J72" s="16" t="n"/>
      <c r="K72" s="17">
        <f>IF(J72="","",1-J72)</f>
        <v/>
      </c>
      <c r="L72" s="15" t="n"/>
      <c r="M72" s="7" t="n"/>
      <c r="N72" s="7" t="n"/>
      <c r="O72" s="7" t="n"/>
      <c r="P72" s="11" t="n"/>
      <c r="Q72" s="7" t="n"/>
      <c r="R72" s="7" t="n"/>
      <c r="S72" s="7" t="n"/>
      <c r="T72" s="7" t="n"/>
      <c r="U72" s="12">
        <f>IF(A72="","",IF(H72="","建議填分配模式",""))</f>
        <v/>
      </c>
    </row>
    <row r="73" ht="24" customHeight="1">
      <c r="A73" s="7" t="n"/>
      <c r="B73" s="7" t="n"/>
      <c r="C73" s="7" t="n"/>
      <c r="D73" s="12">
        <f>IF($A73="","",IFERROR(INDEX(土地清冊_匯入!$B$6:$B$1005,MATCH($A73,土地清冊_匯入!$A$6:$A$1005,0)),"查無資料"))</f>
        <v/>
      </c>
      <c r="E73" s="9">
        <f>IF($A73="","",IFERROR(INDEX(土地清冊_匯入!$I$6:$I$1005,MATCH($A73,土地清冊_匯入!$A$6:$A$1005,0)),""))</f>
        <v/>
      </c>
      <c r="F73" s="13">
        <f>IF($A73="","",IFERROR(INDEX(建物清冊_匯入!$N$6:$N$1005,MATCH($A73,建物清冊_匯入!$A$6:$A$1005,0)),""))</f>
        <v/>
      </c>
      <c r="G73" s="9">
        <f>IF($A73="","",IFERROR(INDEX(建物清冊_匯入!$S$6:$S$1005,MATCH($A73,建物清冊_匯入!$A$6:$A$1005,0)),""))</f>
        <v/>
      </c>
      <c r="H73" s="7" t="n"/>
      <c r="I73" s="15" t="n"/>
      <c r="J73" s="16" t="n"/>
      <c r="K73" s="17">
        <f>IF(J73="","",1-J73)</f>
        <v/>
      </c>
      <c r="L73" s="15" t="n"/>
      <c r="M73" s="7" t="n"/>
      <c r="N73" s="7" t="n"/>
      <c r="O73" s="7" t="n"/>
      <c r="P73" s="11" t="n"/>
      <c r="Q73" s="7" t="n"/>
      <c r="R73" s="7" t="n"/>
      <c r="S73" s="7" t="n"/>
      <c r="T73" s="7" t="n"/>
      <c r="U73" s="12">
        <f>IF(A73="","",IF(H73="","建議填分配模式",""))</f>
        <v/>
      </c>
    </row>
    <row r="74" ht="24" customHeight="1">
      <c r="A74" s="7" t="n"/>
      <c r="B74" s="7" t="n"/>
      <c r="C74" s="7" t="n"/>
      <c r="D74" s="12">
        <f>IF($A74="","",IFERROR(INDEX(土地清冊_匯入!$B$6:$B$1005,MATCH($A74,土地清冊_匯入!$A$6:$A$1005,0)),"查無資料"))</f>
        <v/>
      </c>
      <c r="E74" s="9">
        <f>IF($A74="","",IFERROR(INDEX(土地清冊_匯入!$I$6:$I$1005,MATCH($A74,土地清冊_匯入!$A$6:$A$1005,0)),""))</f>
        <v/>
      </c>
      <c r="F74" s="13">
        <f>IF($A74="","",IFERROR(INDEX(建物清冊_匯入!$N$6:$N$1005,MATCH($A74,建物清冊_匯入!$A$6:$A$1005,0)),""))</f>
        <v/>
      </c>
      <c r="G74" s="9">
        <f>IF($A74="","",IFERROR(INDEX(建物清冊_匯入!$S$6:$S$1005,MATCH($A74,建物清冊_匯入!$A$6:$A$1005,0)),""))</f>
        <v/>
      </c>
      <c r="H74" s="7" t="n"/>
      <c r="I74" s="15" t="n"/>
      <c r="J74" s="16" t="n"/>
      <c r="K74" s="17">
        <f>IF(J74="","",1-J74)</f>
        <v/>
      </c>
      <c r="L74" s="15" t="n"/>
      <c r="M74" s="7" t="n"/>
      <c r="N74" s="7" t="n"/>
      <c r="O74" s="7" t="n"/>
      <c r="P74" s="11" t="n"/>
      <c r="Q74" s="7" t="n"/>
      <c r="R74" s="7" t="n"/>
      <c r="S74" s="7" t="n"/>
      <c r="T74" s="7" t="n"/>
      <c r="U74" s="12">
        <f>IF(A74="","",IF(H74="","建議填分配模式",""))</f>
        <v/>
      </c>
    </row>
    <row r="75" ht="24" customHeight="1">
      <c r="A75" s="7" t="n"/>
      <c r="B75" s="7" t="n"/>
      <c r="C75" s="7" t="n"/>
      <c r="D75" s="12">
        <f>IF($A75="","",IFERROR(INDEX(土地清冊_匯入!$B$6:$B$1005,MATCH($A75,土地清冊_匯入!$A$6:$A$1005,0)),"查無資料"))</f>
        <v/>
      </c>
      <c r="E75" s="9">
        <f>IF($A75="","",IFERROR(INDEX(土地清冊_匯入!$I$6:$I$1005,MATCH($A75,土地清冊_匯入!$A$6:$A$1005,0)),""))</f>
        <v/>
      </c>
      <c r="F75" s="13">
        <f>IF($A75="","",IFERROR(INDEX(建物清冊_匯入!$N$6:$N$1005,MATCH($A75,建物清冊_匯入!$A$6:$A$1005,0)),""))</f>
        <v/>
      </c>
      <c r="G75" s="9">
        <f>IF($A75="","",IFERROR(INDEX(建物清冊_匯入!$S$6:$S$1005,MATCH($A75,建物清冊_匯入!$A$6:$A$1005,0)),""))</f>
        <v/>
      </c>
      <c r="H75" s="7" t="n"/>
      <c r="I75" s="15" t="n"/>
      <c r="J75" s="16" t="n"/>
      <c r="K75" s="17">
        <f>IF(J75="","",1-J75)</f>
        <v/>
      </c>
      <c r="L75" s="15" t="n"/>
      <c r="M75" s="7" t="n"/>
      <c r="N75" s="7" t="n"/>
      <c r="O75" s="7" t="n"/>
      <c r="P75" s="11" t="n"/>
      <c r="Q75" s="7" t="n"/>
      <c r="R75" s="7" t="n"/>
      <c r="S75" s="7" t="n"/>
      <c r="T75" s="7" t="n"/>
      <c r="U75" s="12">
        <f>IF(A75="","",IF(H75="","建議填分配模式",""))</f>
        <v/>
      </c>
    </row>
    <row r="76" ht="24" customHeight="1">
      <c r="A76" s="7" t="n"/>
      <c r="B76" s="7" t="n"/>
      <c r="C76" s="7" t="n"/>
      <c r="D76" s="12">
        <f>IF($A76="","",IFERROR(INDEX(土地清冊_匯入!$B$6:$B$1005,MATCH($A76,土地清冊_匯入!$A$6:$A$1005,0)),"查無資料"))</f>
        <v/>
      </c>
      <c r="E76" s="9">
        <f>IF($A76="","",IFERROR(INDEX(土地清冊_匯入!$I$6:$I$1005,MATCH($A76,土地清冊_匯入!$A$6:$A$1005,0)),""))</f>
        <v/>
      </c>
      <c r="F76" s="13">
        <f>IF($A76="","",IFERROR(INDEX(建物清冊_匯入!$N$6:$N$1005,MATCH($A76,建物清冊_匯入!$A$6:$A$1005,0)),""))</f>
        <v/>
      </c>
      <c r="G76" s="9">
        <f>IF($A76="","",IFERROR(INDEX(建物清冊_匯入!$S$6:$S$1005,MATCH($A76,建物清冊_匯入!$A$6:$A$1005,0)),""))</f>
        <v/>
      </c>
      <c r="H76" s="7" t="n"/>
      <c r="I76" s="15" t="n"/>
      <c r="J76" s="16" t="n"/>
      <c r="K76" s="17">
        <f>IF(J76="","",1-J76)</f>
        <v/>
      </c>
      <c r="L76" s="15" t="n"/>
      <c r="M76" s="7" t="n"/>
      <c r="N76" s="7" t="n"/>
      <c r="O76" s="7" t="n"/>
      <c r="P76" s="11" t="n"/>
      <c r="Q76" s="7" t="n"/>
      <c r="R76" s="7" t="n"/>
      <c r="S76" s="7" t="n"/>
      <c r="T76" s="7" t="n"/>
      <c r="U76" s="12">
        <f>IF(A76="","",IF(H76="","建議填分配模式",""))</f>
        <v/>
      </c>
    </row>
    <row r="77" ht="24" customHeight="1">
      <c r="A77" s="7" t="n"/>
      <c r="B77" s="7" t="n"/>
      <c r="C77" s="7" t="n"/>
      <c r="D77" s="12">
        <f>IF($A77="","",IFERROR(INDEX(土地清冊_匯入!$B$6:$B$1005,MATCH($A77,土地清冊_匯入!$A$6:$A$1005,0)),"查無資料"))</f>
        <v/>
      </c>
      <c r="E77" s="9">
        <f>IF($A77="","",IFERROR(INDEX(土地清冊_匯入!$I$6:$I$1005,MATCH($A77,土地清冊_匯入!$A$6:$A$1005,0)),""))</f>
        <v/>
      </c>
      <c r="F77" s="13">
        <f>IF($A77="","",IFERROR(INDEX(建物清冊_匯入!$N$6:$N$1005,MATCH($A77,建物清冊_匯入!$A$6:$A$1005,0)),""))</f>
        <v/>
      </c>
      <c r="G77" s="9">
        <f>IF($A77="","",IFERROR(INDEX(建物清冊_匯入!$S$6:$S$1005,MATCH($A77,建物清冊_匯入!$A$6:$A$1005,0)),""))</f>
        <v/>
      </c>
      <c r="H77" s="7" t="n"/>
      <c r="I77" s="15" t="n"/>
      <c r="J77" s="16" t="n"/>
      <c r="K77" s="17">
        <f>IF(J77="","",1-J77)</f>
        <v/>
      </c>
      <c r="L77" s="15" t="n"/>
      <c r="M77" s="7" t="n"/>
      <c r="N77" s="7" t="n"/>
      <c r="O77" s="7" t="n"/>
      <c r="P77" s="11" t="n"/>
      <c r="Q77" s="7" t="n"/>
      <c r="R77" s="7" t="n"/>
      <c r="S77" s="7" t="n"/>
      <c r="T77" s="7" t="n"/>
      <c r="U77" s="12">
        <f>IF(A77="","",IF(H77="","建議填分配模式",""))</f>
        <v/>
      </c>
    </row>
    <row r="78" ht="24" customHeight="1">
      <c r="A78" s="7" t="n"/>
      <c r="B78" s="7" t="n"/>
      <c r="C78" s="7" t="n"/>
      <c r="D78" s="12">
        <f>IF($A78="","",IFERROR(INDEX(土地清冊_匯入!$B$6:$B$1005,MATCH($A78,土地清冊_匯入!$A$6:$A$1005,0)),"查無資料"))</f>
        <v/>
      </c>
      <c r="E78" s="9">
        <f>IF($A78="","",IFERROR(INDEX(土地清冊_匯入!$I$6:$I$1005,MATCH($A78,土地清冊_匯入!$A$6:$A$1005,0)),""))</f>
        <v/>
      </c>
      <c r="F78" s="13">
        <f>IF($A78="","",IFERROR(INDEX(建物清冊_匯入!$N$6:$N$1005,MATCH($A78,建物清冊_匯入!$A$6:$A$1005,0)),""))</f>
        <v/>
      </c>
      <c r="G78" s="9">
        <f>IF($A78="","",IFERROR(INDEX(建物清冊_匯入!$S$6:$S$1005,MATCH($A78,建物清冊_匯入!$A$6:$A$1005,0)),""))</f>
        <v/>
      </c>
      <c r="H78" s="7" t="n"/>
      <c r="I78" s="15" t="n"/>
      <c r="J78" s="16" t="n"/>
      <c r="K78" s="17">
        <f>IF(J78="","",1-J78)</f>
        <v/>
      </c>
      <c r="L78" s="15" t="n"/>
      <c r="M78" s="7" t="n"/>
      <c r="N78" s="7" t="n"/>
      <c r="O78" s="7" t="n"/>
      <c r="P78" s="11" t="n"/>
      <c r="Q78" s="7" t="n"/>
      <c r="R78" s="7" t="n"/>
      <c r="S78" s="7" t="n"/>
      <c r="T78" s="7" t="n"/>
      <c r="U78" s="12">
        <f>IF(A78="","",IF(H78="","建議填分配模式",""))</f>
        <v/>
      </c>
    </row>
    <row r="79" ht="24" customHeight="1">
      <c r="A79" s="7" t="n"/>
      <c r="B79" s="7" t="n"/>
      <c r="C79" s="7" t="n"/>
      <c r="D79" s="12">
        <f>IF($A79="","",IFERROR(INDEX(土地清冊_匯入!$B$6:$B$1005,MATCH($A79,土地清冊_匯入!$A$6:$A$1005,0)),"查無資料"))</f>
        <v/>
      </c>
      <c r="E79" s="9">
        <f>IF($A79="","",IFERROR(INDEX(土地清冊_匯入!$I$6:$I$1005,MATCH($A79,土地清冊_匯入!$A$6:$A$1005,0)),""))</f>
        <v/>
      </c>
      <c r="F79" s="13">
        <f>IF($A79="","",IFERROR(INDEX(建物清冊_匯入!$N$6:$N$1005,MATCH($A79,建物清冊_匯入!$A$6:$A$1005,0)),""))</f>
        <v/>
      </c>
      <c r="G79" s="9">
        <f>IF($A79="","",IFERROR(INDEX(建物清冊_匯入!$S$6:$S$1005,MATCH($A79,建物清冊_匯入!$A$6:$A$1005,0)),""))</f>
        <v/>
      </c>
      <c r="H79" s="7" t="n"/>
      <c r="I79" s="15" t="n"/>
      <c r="J79" s="16" t="n"/>
      <c r="K79" s="17">
        <f>IF(J79="","",1-J79)</f>
        <v/>
      </c>
      <c r="L79" s="15" t="n"/>
      <c r="M79" s="7" t="n"/>
      <c r="N79" s="7" t="n"/>
      <c r="O79" s="7" t="n"/>
      <c r="P79" s="11" t="n"/>
      <c r="Q79" s="7" t="n"/>
      <c r="R79" s="7" t="n"/>
      <c r="S79" s="7" t="n"/>
      <c r="T79" s="7" t="n"/>
      <c r="U79" s="12">
        <f>IF(A79="","",IF(H79="","建議填分配模式",""))</f>
        <v/>
      </c>
    </row>
    <row r="80" ht="24" customHeight="1">
      <c r="A80" s="7" t="n"/>
      <c r="B80" s="7" t="n"/>
      <c r="C80" s="7" t="n"/>
      <c r="D80" s="12">
        <f>IF($A80="","",IFERROR(INDEX(土地清冊_匯入!$B$6:$B$1005,MATCH($A80,土地清冊_匯入!$A$6:$A$1005,0)),"查無資料"))</f>
        <v/>
      </c>
      <c r="E80" s="9">
        <f>IF($A80="","",IFERROR(INDEX(土地清冊_匯入!$I$6:$I$1005,MATCH($A80,土地清冊_匯入!$A$6:$A$1005,0)),""))</f>
        <v/>
      </c>
      <c r="F80" s="13">
        <f>IF($A80="","",IFERROR(INDEX(建物清冊_匯入!$N$6:$N$1005,MATCH($A80,建物清冊_匯入!$A$6:$A$1005,0)),""))</f>
        <v/>
      </c>
      <c r="G80" s="9">
        <f>IF($A80="","",IFERROR(INDEX(建物清冊_匯入!$S$6:$S$1005,MATCH($A80,建物清冊_匯入!$A$6:$A$1005,0)),""))</f>
        <v/>
      </c>
      <c r="H80" s="7" t="n"/>
      <c r="I80" s="15" t="n"/>
      <c r="J80" s="16" t="n"/>
      <c r="K80" s="17">
        <f>IF(J80="","",1-J80)</f>
        <v/>
      </c>
      <c r="L80" s="15" t="n"/>
      <c r="M80" s="7" t="n"/>
      <c r="N80" s="7" t="n"/>
      <c r="O80" s="7" t="n"/>
      <c r="P80" s="11" t="n"/>
      <c r="Q80" s="7" t="n"/>
      <c r="R80" s="7" t="n"/>
      <c r="S80" s="7" t="n"/>
      <c r="T80" s="7" t="n"/>
      <c r="U80" s="12">
        <f>IF(A80="","",IF(H80="","建議填分配模式",""))</f>
        <v/>
      </c>
    </row>
    <row r="81" ht="24" customHeight="1">
      <c r="A81" s="7" t="n"/>
      <c r="B81" s="7" t="n"/>
      <c r="C81" s="7" t="n"/>
      <c r="D81" s="12">
        <f>IF($A81="","",IFERROR(INDEX(土地清冊_匯入!$B$6:$B$1005,MATCH($A81,土地清冊_匯入!$A$6:$A$1005,0)),"查無資料"))</f>
        <v/>
      </c>
      <c r="E81" s="9">
        <f>IF($A81="","",IFERROR(INDEX(土地清冊_匯入!$I$6:$I$1005,MATCH($A81,土地清冊_匯入!$A$6:$A$1005,0)),""))</f>
        <v/>
      </c>
      <c r="F81" s="13">
        <f>IF($A81="","",IFERROR(INDEX(建物清冊_匯入!$N$6:$N$1005,MATCH($A81,建物清冊_匯入!$A$6:$A$1005,0)),""))</f>
        <v/>
      </c>
      <c r="G81" s="9">
        <f>IF($A81="","",IFERROR(INDEX(建物清冊_匯入!$S$6:$S$1005,MATCH($A81,建物清冊_匯入!$A$6:$A$1005,0)),""))</f>
        <v/>
      </c>
      <c r="H81" s="7" t="n"/>
      <c r="I81" s="15" t="n"/>
      <c r="J81" s="16" t="n"/>
      <c r="K81" s="17">
        <f>IF(J81="","",1-J81)</f>
        <v/>
      </c>
      <c r="L81" s="15" t="n"/>
      <c r="M81" s="7" t="n"/>
      <c r="N81" s="7" t="n"/>
      <c r="O81" s="7" t="n"/>
      <c r="P81" s="11" t="n"/>
      <c r="Q81" s="7" t="n"/>
      <c r="R81" s="7" t="n"/>
      <c r="S81" s="7" t="n"/>
      <c r="T81" s="7" t="n"/>
      <c r="U81" s="12">
        <f>IF(A81="","",IF(H81="","建議填分配模式",""))</f>
        <v/>
      </c>
    </row>
    <row r="82" ht="24" customHeight="1">
      <c r="A82" s="7" t="n"/>
      <c r="B82" s="7" t="n"/>
      <c r="C82" s="7" t="n"/>
      <c r="D82" s="12">
        <f>IF($A82="","",IFERROR(INDEX(土地清冊_匯入!$B$6:$B$1005,MATCH($A82,土地清冊_匯入!$A$6:$A$1005,0)),"查無資料"))</f>
        <v/>
      </c>
      <c r="E82" s="9">
        <f>IF($A82="","",IFERROR(INDEX(土地清冊_匯入!$I$6:$I$1005,MATCH($A82,土地清冊_匯入!$A$6:$A$1005,0)),""))</f>
        <v/>
      </c>
      <c r="F82" s="13">
        <f>IF($A82="","",IFERROR(INDEX(建物清冊_匯入!$N$6:$N$1005,MATCH($A82,建物清冊_匯入!$A$6:$A$1005,0)),""))</f>
        <v/>
      </c>
      <c r="G82" s="9">
        <f>IF($A82="","",IFERROR(INDEX(建物清冊_匯入!$S$6:$S$1005,MATCH($A82,建物清冊_匯入!$A$6:$A$1005,0)),""))</f>
        <v/>
      </c>
      <c r="H82" s="7" t="n"/>
      <c r="I82" s="15" t="n"/>
      <c r="J82" s="16" t="n"/>
      <c r="K82" s="17">
        <f>IF(J82="","",1-J82)</f>
        <v/>
      </c>
      <c r="L82" s="15" t="n"/>
      <c r="M82" s="7" t="n"/>
      <c r="N82" s="7" t="n"/>
      <c r="O82" s="7" t="n"/>
      <c r="P82" s="11" t="n"/>
      <c r="Q82" s="7" t="n"/>
      <c r="R82" s="7" t="n"/>
      <c r="S82" s="7" t="n"/>
      <c r="T82" s="7" t="n"/>
      <c r="U82" s="12">
        <f>IF(A82="","",IF(H82="","建議填分配模式",""))</f>
        <v/>
      </c>
    </row>
    <row r="83" ht="24" customHeight="1">
      <c r="A83" s="7" t="n"/>
      <c r="B83" s="7" t="n"/>
      <c r="C83" s="7" t="n"/>
      <c r="D83" s="12">
        <f>IF($A83="","",IFERROR(INDEX(土地清冊_匯入!$B$6:$B$1005,MATCH($A83,土地清冊_匯入!$A$6:$A$1005,0)),"查無資料"))</f>
        <v/>
      </c>
      <c r="E83" s="9">
        <f>IF($A83="","",IFERROR(INDEX(土地清冊_匯入!$I$6:$I$1005,MATCH($A83,土地清冊_匯入!$A$6:$A$1005,0)),""))</f>
        <v/>
      </c>
      <c r="F83" s="13">
        <f>IF($A83="","",IFERROR(INDEX(建物清冊_匯入!$N$6:$N$1005,MATCH($A83,建物清冊_匯入!$A$6:$A$1005,0)),""))</f>
        <v/>
      </c>
      <c r="G83" s="9">
        <f>IF($A83="","",IFERROR(INDEX(建物清冊_匯入!$S$6:$S$1005,MATCH($A83,建物清冊_匯入!$A$6:$A$1005,0)),""))</f>
        <v/>
      </c>
      <c r="H83" s="7" t="n"/>
      <c r="I83" s="15" t="n"/>
      <c r="J83" s="16" t="n"/>
      <c r="K83" s="17">
        <f>IF(J83="","",1-J83)</f>
        <v/>
      </c>
      <c r="L83" s="15" t="n"/>
      <c r="M83" s="7" t="n"/>
      <c r="N83" s="7" t="n"/>
      <c r="O83" s="7" t="n"/>
      <c r="P83" s="11" t="n"/>
      <c r="Q83" s="7" t="n"/>
      <c r="R83" s="7" t="n"/>
      <c r="S83" s="7" t="n"/>
      <c r="T83" s="7" t="n"/>
      <c r="U83" s="12">
        <f>IF(A83="","",IF(H83="","建議填分配模式",""))</f>
        <v/>
      </c>
    </row>
    <row r="84" ht="24" customHeight="1">
      <c r="A84" s="7" t="n"/>
      <c r="B84" s="7" t="n"/>
      <c r="C84" s="7" t="n"/>
      <c r="D84" s="12">
        <f>IF($A84="","",IFERROR(INDEX(土地清冊_匯入!$B$6:$B$1005,MATCH($A84,土地清冊_匯入!$A$6:$A$1005,0)),"查無資料"))</f>
        <v/>
      </c>
      <c r="E84" s="9">
        <f>IF($A84="","",IFERROR(INDEX(土地清冊_匯入!$I$6:$I$1005,MATCH($A84,土地清冊_匯入!$A$6:$A$1005,0)),""))</f>
        <v/>
      </c>
      <c r="F84" s="13">
        <f>IF($A84="","",IFERROR(INDEX(建物清冊_匯入!$N$6:$N$1005,MATCH($A84,建物清冊_匯入!$A$6:$A$1005,0)),""))</f>
        <v/>
      </c>
      <c r="G84" s="9">
        <f>IF($A84="","",IFERROR(INDEX(建物清冊_匯入!$S$6:$S$1005,MATCH($A84,建物清冊_匯入!$A$6:$A$1005,0)),""))</f>
        <v/>
      </c>
      <c r="H84" s="7" t="n"/>
      <c r="I84" s="15" t="n"/>
      <c r="J84" s="16" t="n"/>
      <c r="K84" s="17">
        <f>IF(J84="","",1-J84)</f>
        <v/>
      </c>
      <c r="L84" s="15" t="n"/>
      <c r="M84" s="7" t="n"/>
      <c r="N84" s="7" t="n"/>
      <c r="O84" s="7" t="n"/>
      <c r="P84" s="11" t="n"/>
      <c r="Q84" s="7" t="n"/>
      <c r="R84" s="7" t="n"/>
      <c r="S84" s="7" t="n"/>
      <c r="T84" s="7" t="n"/>
      <c r="U84" s="12">
        <f>IF(A84="","",IF(H84="","建議填分配模式",""))</f>
        <v/>
      </c>
    </row>
    <row r="85" ht="24" customHeight="1">
      <c r="A85" s="7" t="n"/>
      <c r="B85" s="7" t="n"/>
      <c r="C85" s="7" t="n"/>
      <c r="D85" s="12">
        <f>IF($A85="","",IFERROR(INDEX(土地清冊_匯入!$B$6:$B$1005,MATCH($A85,土地清冊_匯入!$A$6:$A$1005,0)),"查無資料"))</f>
        <v/>
      </c>
      <c r="E85" s="9">
        <f>IF($A85="","",IFERROR(INDEX(土地清冊_匯入!$I$6:$I$1005,MATCH($A85,土地清冊_匯入!$A$6:$A$1005,0)),""))</f>
        <v/>
      </c>
      <c r="F85" s="13">
        <f>IF($A85="","",IFERROR(INDEX(建物清冊_匯入!$N$6:$N$1005,MATCH($A85,建物清冊_匯入!$A$6:$A$1005,0)),""))</f>
        <v/>
      </c>
      <c r="G85" s="9">
        <f>IF($A85="","",IFERROR(INDEX(建物清冊_匯入!$S$6:$S$1005,MATCH($A85,建物清冊_匯入!$A$6:$A$1005,0)),""))</f>
        <v/>
      </c>
      <c r="H85" s="7" t="n"/>
      <c r="I85" s="15" t="n"/>
      <c r="J85" s="16" t="n"/>
      <c r="K85" s="17">
        <f>IF(J85="","",1-J85)</f>
        <v/>
      </c>
      <c r="L85" s="15" t="n"/>
      <c r="M85" s="7" t="n"/>
      <c r="N85" s="7" t="n"/>
      <c r="O85" s="7" t="n"/>
      <c r="P85" s="11" t="n"/>
      <c r="Q85" s="7" t="n"/>
      <c r="R85" s="7" t="n"/>
      <c r="S85" s="7" t="n"/>
      <c r="T85" s="7" t="n"/>
      <c r="U85" s="12">
        <f>IF(A85="","",IF(H85="","建議填分配模式",""))</f>
        <v/>
      </c>
    </row>
    <row r="86" ht="24" customHeight="1">
      <c r="A86" s="7" t="n"/>
      <c r="B86" s="7" t="n"/>
      <c r="C86" s="7" t="n"/>
      <c r="D86" s="12">
        <f>IF($A86="","",IFERROR(INDEX(土地清冊_匯入!$B$6:$B$1005,MATCH($A86,土地清冊_匯入!$A$6:$A$1005,0)),"查無資料"))</f>
        <v/>
      </c>
      <c r="E86" s="9">
        <f>IF($A86="","",IFERROR(INDEX(土地清冊_匯入!$I$6:$I$1005,MATCH($A86,土地清冊_匯入!$A$6:$A$1005,0)),""))</f>
        <v/>
      </c>
      <c r="F86" s="13">
        <f>IF($A86="","",IFERROR(INDEX(建物清冊_匯入!$N$6:$N$1005,MATCH($A86,建物清冊_匯入!$A$6:$A$1005,0)),""))</f>
        <v/>
      </c>
      <c r="G86" s="9">
        <f>IF($A86="","",IFERROR(INDEX(建物清冊_匯入!$S$6:$S$1005,MATCH($A86,建物清冊_匯入!$A$6:$A$1005,0)),""))</f>
        <v/>
      </c>
      <c r="H86" s="7" t="n"/>
      <c r="I86" s="15" t="n"/>
      <c r="J86" s="16" t="n"/>
      <c r="K86" s="17">
        <f>IF(J86="","",1-J86)</f>
        <v/>
      </c>
      <c r="L86" s="15" t="n"/>
      <c r="M86" s="7" t="n"/>
      <c r="N86" s="7" t="n"/>
      <c r="O86" s="7" t="n"/>
      <c r="P86" s="11" t="n"/>
      <c r="Q86" s="7" t="n"/>
      <c r="R86" s="7" t="n"/>
      <c r="S86" s="7" t="n"/>
      <c r="T86" s="7" t="n"/>
      <c r="U86" s="12">
        <f>IF(A86="","",IF(H86="","建議填分配模式",""))</f>
        <v/>
      </c>
    </row>
    <row r="87" ht="24" customHeight="1">
      <c r="A87" s="7" t="n"/>
      <c r="B87" s="7" t="n"/>
      <c r="C87" s="7" t="n"/>
      <c r="D87" s="12">
        <f>IF($A87="","",IFERROR(INDEX(土地清冊_匯入!$B$6:$B$1005,MATCH($A87,土地清冊_匯入!$A$6:$A$1005,0)),"查無資料"))</f>
        <v/>
      </c>
      <c r="E87" s="9">
        <f>IF($A87="","",IFERROR(INDEX(土地清冊_匯入!$I$6:$I$1005,MATCH($A87,土地清冊_匯入!$A$6:$A$1005,0)),""))</f>
        <v/>
      </c>
      <c r="F87" s="13">
        <f>IF($A87="","",IFERROR(INDEX(建物清冊_匯入!$N$6:$N$1005,MATCH($A87,建物清冊_匯入!$A$6:$A$1005,0)),""))</f>
        <v/>
      </c>
      <c r="G87" s="9">
        <f>IF($A87="","",IFERROR(INDEX(建物清冊_匯入!$S$6:$S$1005,MATCH($A87,建物清冊_匯入!$A$6:$A$1005,0)),""))</f>
        <v/>
      </c>
      <c r="H87" s="7" t="n"/>
      <c r="I87" s="15" t="n"/>
      <c r="J87" s="16" t="n"/>
      <c r="K87" s="17">
        <f>IF(J87="","",1-J87)</f>
        <v/>
      </c>
      <c r="L87" s="15" t="n"/>
      <c r="M87" s="7" t="n"/>
      <c r="N87" s="7" t="n"/>
      <c r="O87" s="7" t="n"/>
      <c r="P87" s="11" t="n"/>
      <c r="Q87" s="7" t="n"/>
      <c r="R87" s="7" t="n"/>
      <c r="S87" s="7" t="n"/>
      <c r="T87" s="7" t="n"/>
      <c r="U87" s="12">
        <f>IF(A87="","",IF(H87="","建議填分配模式",""))</f>
        <v/>
      </c>
    </row>
    <row r="88" ht="24" customHeight="1">
      <c r="A88" s="7" t="n"/>
      <c r="B88" s="7" t="n"/>
      <c r="C88" s="7" t="n"/>
      <c r="D88" s="12">
        <f>IF($A88="","",IFERROR(INDEX(土地清冊_匯入!$B$6:$B$1005,MATCH($A88,土地清冊_匯入!$A$6:$A$1005,0)),"查無資料"))</f>
        <v/>
      </c>
      <c r="E88" s="9">
        <f>IF($A88="","",IFERROR(INDEX(土地清冊_匯入!$I$6:$I$1005,MATCH($A88,土地清冊_匯入!$A$6:$A$1005,0)),""))</f>
        <v/>
      </c>
      <c r="F88" s="13">
        <f>IF($A88="","",IFERROR(INDEX(建物清冊_匯入!$N$6:$N$1005,MATCH($A88,建物清冊_匯入!$A$6:$A$1005,0)),""))</f>
        <v/>
      </c>
      <c r="G88" s="9">
        <f>IF($A88="","",IFERROR(INDEX(建物清冊_匯入!$S$6:$S$1005,MATCH($A88,建物清冊_匯入!$A$6:$A$1005,0)),""))</f>
        <v/>
      </c>
      <c r="H88" s="7" t="n"/>
      <c r="I88" s="15" t="n"/>
      <c r="J88" s="16" t="n"/>
      <c r="K88" s="17">
        <f>IF(J88="","",1-J88)</f>
        <v/>
      </c>
      <c r="L88" s="15" t="n"/>
      <c r="M88" s="7" t="n"/>
      <c r="N88" s="7" t="n"/>
      <c r="O88" s="7" t="n"/>
      <c r="P88" s="11" t="n"/>
      <c r="Q88" s="7" t="n"/>
      <c r="R88" s="7" t="n"/>
      <c r="S88" s="7" t="n"/>
      <c r="T88" s="7" t="n"/>
      <c r="U88" s="12">
        <f>IF(A88="","",IF(H88="","建議填分配模式",""))</f>
        <v/>
      </c>
    </row>
    <row r="89" ht="24" customHeight="1">
      <c r="A89" s="7" t="n"/>
      <c r="B89" s="7" t="n"/>
      <c r="C89" s="7" t="n"/>
      <c r="D89" s="12">
        <f>IF($A89="","",IFERROR(INDEX(土地清冊_匯入!$B$6:$B$1005,MATCH($A89,土地清冊_匯入!$A$6:$A$1005,0)),"查無資料"))</f>
        <v/>
      </c>
      <c r="E89" s="9">
        <f>IF($A89="","",IFERROR(INDEX(土地清冊_匯入!$I$6:$I$1005,MATCH($A89,土地清冊_匯入!$A$6:$A$1005,0)),""))</f>
        <v/>
      </c>
      <c r="F89" s="13">
        <f>IF($A89="","",IFERROR(INDEX(建物清冊_匯入!$N$6:$N$1005,MATCH($A89,建物清冊_匯入!$A$6:$A$1005,0)),""))</f>
        <v/>
      </c>
      <c r="G89" s="9">
        <f>IF($A89="","",IFERROR(INDEX(建物清冊_匯入!$S$6:$S$1005,MATCH($A89,建物清冊_匯入!$A$6:$A$1005,0)),""))</f>
        <v/>
      </c>
      <c r="H89" s="7" t="n"/>
      <c r="I89" s="15" t="n"/>
      <c r="J89" s="16" t="n"/>
      <c r="K89" s="17">
        <f>IF(J89="","",1-J89)</f>
        <v/>
      </c>
      <c r="L89" s="15" t="n"/>
      <c r="M89" s="7" t="n"/>
      <c r="N89" s="7" t="n"/>
      <c r="O89" s="7" t="n"/>
      <c r="P89" s="11" t="n"/>
      <c r="Q89" s="7" t="n"/>
      <c r="R89" s="7" t="n"/>
      <c r="S89" s="7" t="n"/>
      <c r="T89" s="7" t="n"/>
      <c r="U89" s="12">
        <f>IF(A89="","",IF(H89="","建議填分配模式",""))</f>
        <v/>
      </c>
    </row>
    <row r="90" ht="24" customHeight="1">
      <c r="A90" s="7" t="n"/>
      <c r="B90" s="7" t="n"/>
      <c r="C90" s="7" t="n"/>
      <c r="D90" s="12">
        <f>IF($A90="","",IFERROR(INDEX(土地清冊_匯入!$B$6:$B$1005,MATCH($A90,土地清冊_匯入!$A$6:$A$1005,0)),"查無資料"))</f>
        <v/>
      </c>
      <c r="E90" s="9">
        <f>IF($A90="","",IFERROR(INDEX(土地清冊_匯入!$I$6:$I$1005,MATCH($A90,土地清冊_匯入!$A$6:$A$1005,0)),""))</f>
        <v/>
      </c>
      <c r="F90" s="13">
        <f>IF($A90="","",IFERROR(INDEX(建物清冊_匯入!$N$6:$N$1005,MATCH($A90,建物清冊_匯入!$A$6:$A$1005,0)),""))</f>
        <v/>
      </c>
      <c r="G90" s="9">
        <f>IF($A90="","",IFERROR(INDEX(建物清冊_匯入!$S$6:$S$1005,MATCH($A90,建物清冊_匯入!$A$6:$A$1005,0)),""))</f>
        <v/>
      </c>
      <c r="H90" s="7" t="n"/>
      <c r="I90" s="15" t="n"/>
      <c r="J90" s="16" t="n"/>
      <c r="K90" s="17">
        <f>IF(J90="","",1-J90)</f>
        <v/>
      </c>
      <c r="L90" s="15" t="n"/>
      <c r="M90" s="7" t="n"/>
      <c r="N90" s="7" t="n"/>
      <c r="O90" s="7" t="n"/>
      <c r="P90" s="11" t="n"/>
      <c r="Q90" s="7" t="n"/>
      <c r="R90" s="7" t="n"/>
      <c r="S90" s="7" t="n"/>
      <c r="T90" s="7" t="n"/>
      <c r="U90" s="12">
        <f>IF(A90="","",IF(H90="","建議填分配模式",""))</f>
        <v/>
      </c>
    </row>
    <row r="91" ht="24" customHeight="1">
      <c r="A91" s="7" t="n"/>
      <c r="B91" s="7" t="n"/>
      <c r="C91" s="7" t="n"/>
      <c r="D91" s="12">
        <f>IF($A91="","",IFERROR(INDEX(土地清冊_匯入!$B$6:$B$1005,MATCH($A91,土地清冊_匯入!$A$6:$A$1005,0)),"查無資料"))</f>
        <v/>
      </c>
      <c r="E91" s="9">
        <f>IF($A91="","",IFERROR(INDEX(土地清冊_匯入!$I$6:$I$1005,MATCH($A91,土地清冊_匯入!$A$6:$A$1005,0)),""))</f>
        <v/>
      </c>
      <c r="F91" s="13">
        <f>IF($A91="","",IFERROR(INDEX(建物清冊_匯入!$N$6:$N$1005,MATCH($A91,建物清冊_匯入!$A$6:$A$1005,0)),""))</f>
        <v/>
      </c>
      <c r="G91" s="9">
        <f>IF($A91="","",IFERROR(INDEX(建物清冊_匯入!$S$6:$S$1005,MATCH($A91,建物清冊_匯入!$A$6:$A$1005,0)),""))</f>
        <v/>
      </c>
      <c r="H91" s="7" t="n"/>
      <c r="I91" s="15" t="n"/>
      <c r="J91" s="16" t="n"/>
      <c r="K91" s="17">
        <f>IF(J91="","",1-J91)</f>
        <v/>
      </c>
      <c r="L91" s="15" t="n"/>
      <c r="M91" s="7" t="n"/>
      <c r="N91" s="7" t="n"/>
      <c r="O91" s="7" t="n"/>
      <c r="P91" s="11" t="n"/>
      <c r="Q91" s="7" t="n"/>
      <c r="R91" s="7" t="n"/>
      <c r="S91" s="7" t="n"/>
      <c r="T91" s="7" t="n"/>
      <c r="U91" s="12">
        <f>IF(A91="","",IF(H91="","建議填分配模式",""))</f>
        <v/>
      </c>
    </row>
    <row r="92" ht="24" customHeight="1">
      <c r="A92" s="7" t="n"/>
      <c r="B92" s="7" t="n"/>
      <c r="C92" s="7" t="n"/>
      <c r="D92" s="12">
        <f>IF($A92="","",IFERROR(INDEX(土地清冊_匯入!$B$6:$B$1005,MATCH($A92,土地清冊_匯入!$A$6:$A$1005,0)),"查無資料"))</f>
        <v/>
      </c>
      <c r="E92" s="9">
        <f>IF($A92="","",IFERROR(INDEX(土地清冊_匯入!$I$6:$I$1005,MATCH($A92,土地清冊_匯入!$A$6:$A$1005,0)),""))</f>
        <v/>
      </c>
      <c r="F92" s="13">
        <f>IF($A92="","",IFERROR(INDEX(建物清冊_匯入!$N$6:$N$1005,MATCH($A92,建物清冊_匯入!$A$6:$A$1005,0)),""))</f>
        <v/>
      </c>
      <c r="G92" s="9">
        <f>IF($A92="","",IFERROR(INDEX(建物清冊_匯入!$S$6:$S$1005,MATCH($A92,建物清冊_匯入!$A$6:$A$1005,0)),""))</f>
        <v/>
      </c>
      <c r="H92" s="7" t="n"/>
      <c r="I92" s="15" t="n"/>
      <c r="J92" s="16" t="n"/>
      <c r="K92" s="17">
        <f>IF(J92="","",1-J92)</f>
        <v/>
      </c>
      <c r="L92" s="15" t="n"/>
      <c r="M92" s="7" t="n"/>
      <c r="N92" s="7" t="n"/>
      <c r="O92" s="7" t="n"/>
      <c r="P92" s="11" t="n"/>
      <c r="Q92" s="7" t="n"/>
      <c r="R92" s="7" t="n"/>
      <c r="S92" s="7" t="n"/>
      <c r="T92" s="7" t="n"/>
      <c r="U92" s="12">
        <f>IF(A92="","",IF(H92="","建議填分配模式",""))</f>
        <v/>
      </c>
    </row>
    <row r="93" ht="24" customHeight="1">
      <c r="A93" s="7" t="n"/>
      <c r="B93" s="7" t="n"/>
      <c r="C93" s="7" t="n"/>
      <c r="D93" s="12">
        <f>IF($A93="","",IFERROR(INDEX(土地清冊_匯入!$B$6:$B$1005,MATCH($A93,土地清冊_匯入!$A$6:$A$1005,0)),"查無資料"))</f>
        <v/>
      </c>
      <c r="E93" s="9">
        <f>IF($A93="","",IFERROR(INDEX(土地清冊_匯入!$I$6:$I$1005,MATCH($A93,土地清冊_匯入!$A$6:$A$1005,0)),""))</f>
        <v/>
      </c>
      <c r="F93" s="13">
        <f>IF($A93="","",IFERROR(INDEX(建物清冊_匯入!$N$6:$N$1005,MATCH($A93,建物清冊_匯入!$A$6:$A$1005,0)),""))</f>
        <v/>
      </c>
      <c r="G93" s="9">
        <f>IF($A93="","",IFERROR(INDEX(建物清冊_匯入!$S$6:$S$1005,MATCH($A93,建物清冊_匯入!$A$6:$A$1005,0)),""))</f>
        <v/>
      </c>
      <c r="H93" s="7" t="n"/>
      <c r="I93" s="15" t="n"/>
      <c r="J93" s="16" t="n"/>
      <c r="K93" s="17">
        <f>IF(J93="","",1-J93)</f>
        <v/>
      </c>
      <c r="L93" s="15" t="n"/>
      <c r="M93" s="7" t="n"/>
      <c r="N93" s="7" t="n"/>
      <c r="O93" s="7" t="n"/>
      <c r="P93" s="11" t="n"/>
      <c r="Q93" s="7" t="n"/>
      <c r="R93" s="7" t="n"/>
      <c r="S93" s="7" t="n"/>
      <c r="T93" s="7" t="n"/>
      <c r="U93" s="12">
        <f>IF(A93="","",IF(H93="","建議填分配模式",""))</f>
        <v/>
      </c>
    </row>
    <row r="94" ht="24" customHeight="1">
      <c r="A94" s="7" t="n"/>
      <c r="B94" s="7" t="n"/>
      <c r="C94" s="7" t="n"/>
      <c r="D94" s="12">
        <f>IF($A94="","",IFERROR(INDEX(土地清冊_匯入!$B$6:$B$1005,MATCH($A94,土地清冊_匯入!$A$6:$A$1005,0)),"查無資料"))</f>
        <v/>
      </c>
      <c r="E94" s="9">
        <f>IF($A94="","",IFERROR(INDEX(土地清冊_匯入!$I$6:$I$1005,MATCH($A94,土地清冊_匯入!$A$6:$A$1005,0)),""))</f>
        <v/>
      </c>
      <c r="F94" s="13">
        <f>IF($A94="","",IFERROR(INDEX(建物清冊_匯入!$N$6:$N$1005,MATCH($A94,建物清冊_匯入!$A$6:$A$1005,0)),""))</f>
        <v/>
      </c>
      <c r="G94" s="9">
        <f>IF($A94="","",IFERROR(INDEX(建物清冊_匯入!$S$6:$S$1005,MATCH($A94,建物清冊_匯入!$A$6:$A$1005,0)),""))</f>
        <v/>
      </c>
      <c r="H94" s="7" t="n"/>
      <c r="I94" s="15" t="n"/>
      <c r="J94" s="16" t="n"/>
      <c r="K94" s="17">
        <f>IF(J94="","",1-J94)</f>
        <v/>
      </c>
      <c r="L94" s="15" t="n"/>
      <c r="M94" s="7" t="n"/>
      <c r="N94" s="7" t="n"/>
      <c r="O94" s="7" t="n"/>
      <c r="P94" s="11" t="n"/>
      <c r="Q94" s="7" t="n"/>
      <c r="R94" s="7" t="n"/>
      <c r="S94" s="7" t="n"/>
      <c r="T94" s="7" t="n"/>
      <c r="U94" s="12">
        <f>IF(A94="","",IF(H94="","建議填分配模式",""))</f>
        <v/>
      </c>
    </row>
    <row r="95" ht="24" customHeight="1">
      <c r="A95" s="7" t="n"/>
      <c r="B95" s="7" t="n"/>
      <c r="C95" s="7" t="n"/>
      <c r="D95" s="12">
        <f>IF($A95="","",IFERROR(INDEX(土地清冊_匯入!$B$6:$B$1005,MATCH($A95,土地清冊_匯入!$A$6:$A$1005,0)),"查無資料"))</f>
        <v/>
      </c>
      <c r="E95" s="9">
        <f>IF($A95="","",IFERROR(INDEX(土地清冊_匯入!$I$6:$I$1005,MATCH($A95,土地清冊_匯入!$A$6:$A$1005,0)),""))</f>
        <v/>
      </c>
      <c r="F95" s="13">
        <f>IF($A95="","",IFERROR(INDEX(建物清冊_匯入!$N$6:$N$1005,MATCH($A95,建物清冊_匯入!$A$6:$A$1005,0)),""))</f>
        <v/>
      </c>
      <c r="G95" s="9">
        <f>IF($A95="","",IFERROR(INDEX(建物清冊_匯入!$S$6:$S$1005,MATCH($A95,建物清冊_匯入!$A$6:$A$1005,0)),""))</f>
        <v/>
      </c>
      <c r="H95" s="7" t="n"/>
      <c r="I95" s="15" t="n"/>
      <c r="J95" s="16" t="n"/>
      <c r="K95" s="17">
        <f>IF(J95="","",1-J95)</f>
        <v/>
      </c>
      <c r="L95" s="15" t="n"/>
      <c r="M95" s="7" t="n"/>
      <c r="N95" s="7" t="n"/>
      <c r="O95" s="7" t="n"/>
      <c r="P95" s="11" t="n"/>
      <c r="Q95" s="7" t="n"/>
      <c r="R95" s="7" t="n"/>
      <c r="S95" s="7" t="n"/>
      <c r="T95" s="7" t="n"/>
      <c r="U95" s="12">
        <f>IF(A95="","",IF(H95="","建議填分配模式",""))</f>
        <v/>
      </c>
    </row>
    <row r="96" ht="24" customHeight="1">
      <c r="A96" s="7" t="n"/>
      <c r="B96" s="7" t="n"/>
      <c r="C96" s="7" t="n"/>
      <c r="D96" s="12">
        <f>IF($A96="","",IFERROR(INDEX(土地清冊_匯入!$B$6:$B$1005,MATCH($A96,土地清冊_匯入!$A$6:$A$1005,0)),"查無資料"))</f>
        <v/>
      </c>
      <c r="E96" s="9">
        <f>IF($A96="","",IFERROR(INDEX(土地清冊_匯入!$I$6:$I$1005,MATCH($A96,土地清冊_匯入!$A$6:$A$1005,0)),""))</f>
        <v/>
      </c>
      <c r="F96" s="13">
        <f>IF($A96="","",IFERROR(INDEX(建物清冊_匯入!$N$6:$N$1005,MATCH($A96,建物清冊_匯入!$A$6:$A$1005,0)),""))</f>
        <v/>
      </c>
      <c r="G96" s="9">
        <f>IF($A96="","",IFERROR(INDEX(建物清冊_匯入!$S$6:$S$1005,MATCH($A96,建物清冊_匯入!$A$6:$A$1005,0)),""))</f>
        <v/>
      </c>
      <c r="H96" s="7" t="n"/>
      <c r="I96" s="15" t="n"/>
      <c r="J96" s="16" t="n"/>
      <c r="K96" s="17">
        <f>IF(J96="","",1-J96)</f>
        <v/>
      </c>
      <c r="L96" s="15" t="n"/>
      <c r="M96" s="7" t="n"/>
      <c r="N96" s="7" t="n"/>
      <c r="O96" s="7" t="n"/>
      <c r="P96" s="11" t="n"/>
      <c r="Q96" s="7" t="n"/>
      <c r="R96" s="7" t="n"/>
      <c r="S96" s="7" t="n"/>
      <c r="T96" s="7" t="n"/>
      <c r="U96" s="12">
        <f>IF(A96="","",IF(H96="","建議填分配模式",""))</f>
        <v/>
      </c>
    </row>
    <row r="97" ht="24" customHeight="1">
      <c r="A97" s="7" t="n"/>
      <c r="B97" s="7" t="n"/>
      <c r="C97" s="7" t="n"/>
      <c r="D97" s="12">
        <f>IF($A97="","",IFERROR(INDEX(土地清冊_匯入!$B$6:$B$1005,MATCH($A97,土地清冊_匯入!$A$6:$A$1005,0)),"查無資料"))</f>
        <v/>
      </c>
      <c r="E97" s="9">
        <f>IF($A97="","",IFERROR(INDEX(土地清冊_匯入!$I$6:$I$1005,MATCH($A97,土地清冊_匯入!$A$6:$A$1005,0)),""))</f>
        <v/>
      </c>
      <c r="F97" s="13">
        <f>IF($A97="","",IFERROR(INDEX(建物清冊_匯入!$N$6:$N$1005,MATCH($A97,建物清冊_匯入!$A$6:$A$1005,0)),""))</f>
        <v/>
      </c>
      <c r="G97" s="9">
        <f>IF($A97="","",IFERROR(INDEX(建物清冊_匯入!$S$6:$S$1005,MATCH($A97,建物清冊_匯入!$A$6:$A$1005,0)),""))</f>
        <v/>
      </c>
      <c r="H97" s="7" t="n"/>
      <c r="I97" s="15" t="n"/>
      <c r="J97" s="16" t="n"/>
      <c r="K97" s="17">
        <f>IF(J97="","",1-J97)</f>
        <v/>
      </c>
      <c r="L97" s="15" t="n"/>
      <c r="M97" s="7" t="n"/>
      <c r="N97" s="7" t="n"/>
      <c r="O97" s="7" t="n"/>
      <c r="P97" s="11" t="n"/>
      <c r="Q97" s="7" t="n"/>
      <c r="R97" s="7" t="n"/>
      <c r="S97" s="7" t="n"/>
      <c r="T97" s="7" t="n"/>
      <c r="U97" s="12">
        <f>IF(A97="","",IF(H97="","建議填分配模式",""))</f>
        <v/>
      </c>
    </row>
    <row r="98" ht="24" customHeight="1">
      <c r="A98" s="7" t="n"/>
      <c r="B98" s="7" t="n"/>
      <c r="C98" s="7" t="n"/>
      <c r="D98" s="12">
        <f>IF($A98="","",IFERROR(INDEX(土地清冊_匯入!$B$6:$B$1005,MATCH($A98,土地清冊_匯入!$A$6:$A$1005,0)),"查無資料"))</f>
        <v/>
      </c>
      <c r="E98" s="9">
        <f>IF($A98="","",IFERROR(INDEX(土地清冊_匯入!$I$6:$I$1005,MATCH($A98,土地清冊_匯入!$A$6:$A$1005,0)),""))</f>
        <v/>
      </c>
      <c r="F98" s="13">
        <f>IF($A98="","",IFERROR(INDEX(建物清冊_匯入!$N$6:$N$1005,MATCH($A98,建物清冊_匯入!$A$6:$A$1005,0)),""))</f>
        <v/>
      </c>
      <c r="G98" s="9">
        <f>IF($A98="","",IFERROR(INDEX(建物清冊_匯入!$S$6:$S$1005,MATCH($A98,建物清冊_匯入!$A$6:$A$1005,0)),""))</f>
        <v/>
      </c>
      <c r="H98" s="7" t="n"/>
      <c r="I98" s="15" t="n"/>
      <c r="J98" s="16" t="n"/>
      <c r="K98" s="17">
        <f>IF(J98="","",1-J98)</f>
        <v/>
      </c>
      <c r="L98" s="15" t="n"/>
      <c r="M98" s="7" t="n"/>
      <c r="N98" s="7" t="n"/>
      <c r="O98" s="7" t="n"/>
      <c r="P98" s="11" t="n"/>
      <c r="Q98" s="7" t="n"/>
      <c r="R98" s="7" t="n"/>
      <c r="S98" s="7" t="n"/>
      <c r="T98" s="7" t="n"/>
      <c r="U98" s="12">
        <f>IF(A98="","",IF(H98="","建議填分配模式",""))</f>
        <v/>
      </c>
    </row>
    <row r="99" ht="24" customHeight="1">
      <c r="A99" s="7" t="n"/>
      <c r="B99" s="7" t="n"/>
      <c r="C99" s="7" t="n"/>
      <c r="D99" s="12">
        <f>IF($A99="","",IFERROR(INDEX(土地清冊_匯入!$B$6:$B$1005,MATCH($A99,土地清冊_匯入!$A$6:$A$1005,0)),"查無資料"))</f>
        <v/>
      </c>
      <c r="E99" s="9">
        <f>IF($A99="","",IFERROR(INDEX(土地清冊_匯入!$I$6:$I$1005,MATCH($A99,土地清冊_匯入!$A$6:$A$1005,0)),""))</f>
        <v/>
      </c>
      <c r="F99" s="13">
        <f>IF($A99="","",IFERROR(INDEX(建物清冊_匯入!$N$6:$N$1005,MATCH($A99,建物清冊_匯入!$A$6:$A$1005,0)),""))</f>
        <v/>
      </c>
      <c r="G99" s="9">
        <f>IF($A99="","",IFERROR(INDEX(建物清冊_匯入!$S$6:$S$1005,MATCH($A99,建物清冊_匯入!$A$6:$A$1005,0)),""))</f>
        <v/>
      </c>
      <c r="H99" s="7" t="n"/>
      <c r="I99" s="15" t="n"/>
      <c r="J99" s="16" t="n"/>
      <c r="K99" s="17">
        <f>IF(J99="","",1-J99)</f>
        <v/>
      </c>
      <c r="L99" s="15" t="n"/>
      <c r="M99" s="7" t="n"/>
      <c r="N99" s="7" t="n"/>
      <c r="O99" s="7" t="n"/>
      <c r="P99" s="11" t="n"/>
      <c r="Q99" s="7" t="n"/>
      <c r="R99" s="7" t="n"/>
      <c r="S99" s="7" t="n"/>
      <c r="T99" s="7" t="n"/>
      <c r="U99" s="12">
        <f>IF(A99="","",IF(H99="","建議填分配模式",""))</f>
        <v/>
      </c>
    </row>
    <row r="100" ht="24" customHeight="1">
      <c r="A100" s="7" t="n"/>
      <c r="B100" s="7" t="n"/>
      <c r="C100" s="7" t="n"/>
      <c r="D100" s="12">
        <f>IF($A100="","",IFERROR(INDEX(土地清冊_匯入!$B$6:$B$1005,MATCH($A100,土地清冊_匯入!$A$6:$A$1005,0)),"查無資料"))</f>
        <v/>
      </c>
      <c r="E100" s="9">
        <f>IF($A100="","",IFERROR(INDEX(土地清冊_匯入!$I$6:$I$1005,MATCH($A100,土地清冊_匯入!$A$6:$A$1005,0)),""))</f>
        <v/>
      </c>
      <c r="F100" s="13">
        <f>IF($A100="","",IFERROR(INDEX(建物清冊_匯入!$N$6:$N$1005,MATCH($A100,建物清冊_匯入!$A$6:$A$1005,0)),""))</f>
        <v/>
      </c>
      <c r="G100" s="9">
        <f>IF($A100="","",IFERROR(INDEX(建物清冊_匯入!$S$6:$S$1005,MATCH($A100,建物清冊_匯入!$A$6:$A$1005,0)),""))</f>
        <v/>
      </c>
      <c r="H100" s="7" t="n"/>
      <c r="I100" s="15" t="n"/>
      <c r="J100" s="16" t="n"/>
      <c r="K100" s="17">
        <f>IF(J100="","",1-J100)</f>
        <v/>
      </c>
      <c r="L100" s="15" t="n"/>
      <c r="M100" s="7" t="n"/>
      <c r="N100" s="7" t="n"/>
      <c r="O100" s="7" t="n"/>
      <c r="P100" s="11" t="n"/>
      <c r="Q100" s="7" t="n"/>
      <c r="R100" s="7" t="n"/>
      <c r="S100" s="7" t="n"/>
      <c r="T100" s="7" t="n"/>
      <c r="U100" s="12">
        <f>IF(A100="","",IF(H100="","建議填分配模式",""))</f>
        <v/>
      </c>
    </row>
    <row r="101" ht="24" customHeight="1">
      <c r="A101" s="7" t="n"/>
      <c r="B101" s="7" t="n"/>
      <c r="C101" s="7" t="n"/>
      <c r="D101" s="12">
        <f>IF($A101="","",IFERROR(INDEX(土地清冊_匯入!$B$6:$B$1005,MATCH($A101,土地清冊_匯入!$A$6:$A$1005,0)),"查無資料"))</f>
        <v/>
      </c>
      <c r="E101" s="9">
        <f>IF($A101="","",IFERROR(INDEX(土地清冊_匯入!$I$6:$I$1005,MATCH($A101,土地清冊_匯入!$A$6:$A$1005,0)),""))</f>
        <v/>
      </c>
      <c r="F101" s="13">
        <f>IF($A101="","",IFERROR(INDEX(建物清冊_匯入!$N$6:$N$1005,MATCH($A101,建物清冊_匯入!$A$6:$A$1005,0)),""))</f>
        <v/>
      </c>
      <c r="G101" s="9">
        <f>IF($A101="","",IFERROR(INDEX(建物清冊_匯入!$S$6:$S$1005,MATCH($A101,建物清冊_匯入!$A$6:$A$1005,0)),""))</f>
        <v/>
      </c>
      <c r="H101" s="7" t="n"/>
      <c r="I101" s="15" t="n"/>
      <c r="J101" s="16" t="n"/>
      <c r="K101" s="17">
        <f>IF(J101="","",1-J101)</f>
        <v/>
      </c>
      <c r="L101" s="15" t="n"/>
      <c r="M101" s="7" t="n"/>
      <c r="N101" s="7" t="n"/>
      <c r="O101" s="7" t="n"/>
      <c r="P101" s="11" t="n"/>
      <c r="Q101" s="7" t="n"/>
      <c r="R101" s="7" t="n"/>
      <c r="S101" s="7" t="n"/>
      <c r="T101" s="7" t="n"/>
      <c r="U101" s="12">
        <f>IF(A101="","",IF(H101="","建議填分配模式",""))</f>
        <v/>
      </c>
    </row>
    <row r="102" ht="24" customHeight="1">
      <c r="A102" s="7" t="n"/>
      <c r="B102" s="7" t="n"/>
      <c r="C102" s="7" t="n"/>
      <c r="D102" s="12">
        <f>IF($A102="","",IFERROR(INDEX(土地清冊_匯入!$B$6:$B$1005,MATCH($A102,土地清冊_匯入!$A$6:$A$1005,0)),"查無資料"))</f>
        <v/>
      </c>
      <c r="E102" s="9">
        <f>IF($A102="","",IFERROR(INDEX(土地清冊_匯入!$I$6:$I$1005,MATCH($A102,土地清冊_匯入!$A$6:$A$1005,0)),""))</f>
        <v/>
      </c>
      <c r="F102" s="13">
        <f>IF($A102="","",IFERROR(INDEX(建物清冊_匯入!$N$6:$N$1005,MATCH($A102,建物清冊_匯入!$A$6:$A$1005,0)),""))</f>
        <v/>
      </c>
      <c r="G102" s="9">
        <f>IF($A102="","",IFERROR(INDEX(建物清冊_匯入!$S$6:$S$1005,MATCH($A102,建物清冊_匯入!$A$6:$A$1005,0)),""))</f>
        <v/>
      </c>
      <c r="H102" s="7" t="n"/>
      <c r="I102" s="15" t="n"/>
      <c r="J102" s="16" t="n"/>
      <c r="K102" s="17">
        <f>IF(J102="","",1-J102)</f>
        <v/>
      </c>
      <c r="L102" s="15" t="n"/>
      <c r="M102" s="7" t="n"/>
      <c r="N102" s="7" t="n"/>
      <c r="O102" s="7" t="n"/>
      <c r="P102" s="11" t="n"/>
      <c r="Q102" s="7" t="n"/>
      <c r="R102" s="7" t="n"/>
      <c r="S102" s="7" t="n"/>
      <c r="T102" s="7" t="n"/>
      <c r="U102" s="12">
        <f>IF(A102="","",IF(H102="","建議填分配模式",""))</f>
        <v/>
      </c>
    </row>
    <row r="103" ht="24" customHeight="1">
      <c r="A103" s="7" t="n"/>
      <c r="B103" s="7" t="n"/>
      <c r="C103" s="7" t="n"/>
      <c r="D103" s="12">
        <f>IF($A103="","",IFERROR(INDEX(土地清冊_匯入!$B$6:$B$1005,MATCH($A103,土地清冊_匯入!$A$6:$A$1005,0)),"查無資料"))</f>
        <v/>
      </c>
      <c r="E103" s="9">
        <f>IF($A103="","",IFERROR(INDEX(土地清冊_匯入!$I$6:$I$1005,MATCH($A103,土地清冊_匯入!$A$6:$A$1005,0)),""))</f>
        <v/>
      </c>
      <c r="F103" s="13">
        <f>IF($A103="","",IFERROR(INDEX(建物清冊_匯入!$N$6:$N$1005,MATCH($A103,建物清冊_匯入!$A$6:$A$1005,0)),""))</f>
        <v/>
      </c>
      <c r="G103" s="9">
        <f>IF($A103="","",IFERROR(INDEX(建物清冊_匯入!$S$6:$S$1005,MATCH($A103,建物清冊_匯入!$A$6:$A$1005,0)),""))</f>
        <v/>
      </c>
      <c r="H103" s="7" t="n"/>
      <c r="I103" s="15" t="n"/>
      <c r="J103" s="16" t="n"/>
      <c r="K103" s="17">
        <f>IF(J103="","",1-J103)</f>
        <v/>
      </c>
      <c r="L103" s="15" t="n"/>
      <c r="M103" s="7" t="n"/>
      <c r="N103" s="7" t="n"/>
      <c r="O103" s="7" t="n"/>
      <c r="P103" s="11" t="n"/>
      <c r="Q103" s="7" t="n"/>
      <c r="R103" s="7" t="n"/>
      <c r="S103" s="7" t="n"/>
      <c r="T103" s="7" t="n"/>
      <c r="U103" s="12">
        <f>IF(A103="","",IF(H103="","建議填分配模式",""))</f>
        <v/>
      </c>
    </row>
    <row r="104" ht="24" customHeight="1">
      <c r="A104" s="7" t="n"/>
      <c r="B104" s="7" t="n"/>
      <c r="C104" s="7" t="n"/>
      <c r="D104" s="12">
        <f>IF($A104="","",IFERROR(INDEX(土地清冊_匯入!$B$6:$B$1005,MATCH($A104,土地清冊_匯入!$A$6:$A$1005,0)),"查無資料"))</f>
        <v/>
      </c>
      <c r="E104" s="9">
        <f>IF($A104="","",IFERROR(INDEX(土地清冊_匯入!$I$6:$I$1005,MATCH($A104,土地清冊_匯入!$A$6:$A$1005,0)),""))</f>
        <v/>
      </c>
      <c r="F104" s="13">
        <f>IF($A104="","",IFERROR(INDEX(建物清冊_匯入!$N$6:$N$1005,MATCH($A104,建物清冊_匯入!$A$6:$A$1005,0)),""))</f>
        <v/>
      </c>
      <c r="G104" s="9">
        <f>IF($A104="","",IFERROR(INDEX(建物清冊_匯入!$S$6:$S$1005,MATCH($A104,建物清冊_匯入!$A$6:$A$1005,0)),""))</f>
        <v/>
      </c>
      <c r="H104" s="7" t="n"/>
      <c r="I104" s="15" t="n"/>
      <c r="J104" s="16" t="n"/>
      <c r="K104" s="17">
        <f>IF(J104="","",1-J104)</f>
        <v/>
      </c>
      <c r="L104" s="15" t="n"/>
      <c r="M104" s="7" t="n"/>
      <c r="N104" s="7" t="n"/>
      <c r="O104" s="7" t="n"/>
      <c r="P104" s="11" t="n"/>
      <c r="Q104" s="7" t="n"/>
      <c r="R104" s="7" t="n"/>
      <c r="S104" s="7" t="n"/>
      <c r="T104" s="7" t="n"/>
      <c r="U104" s="12">
        <f>IF(A104="","",IF(H104="","建議填分配模式",""))</f>
        <v/>
      </c>
    </row>
    <row r="105" ht="24" customHeight="1">
      <c r="A105" s="7" t="n"/>
      <c r="B105" s="7" t="n"/>
      <c r="C105" s="7" t="n"/>
      <c r="D105" s="12">
        <f>IF($A105="","",IFERROR(INDEX(土地清冊_匯入!$B$6:$B$1005,MATCH($A105,土地清冊_匯入!$A$6:$A$1005,0)),"查無資料"))</f>
        <v/>
      </c>
      <c r="E105" s="9">
        <f>IF($A105="","",IFERROR(INDEX(土地清冊_匯入!$I$6:$I$1005,MATCH($A105,土地清冊_匯入!$A$6:$A$1005,0)),""))</f>
        <v/>
      </c>
      <c r="F105" s="13">
        <f>IF($A105="","",IFERROR(INDEX(建物清冊_匯入!$N$6:$N$1005,MATCH($A105,建物清冊_匯入!$A$6:$A$1005,0)),""))</f>
        <v/>
      </c>
      <c r="G105" s="9">
        <f>IF($A105="","",IFERROR(INDEX(建物清冊_匯入!$S$6:$S$1005,MATCH($A105,建物清冊_匯入!$A$6:$A$1005,0)),""))</f>
        <v/>
      </c>
      <c r="H105" s="7" t="n"/>
      <c r="I105" s="15" t="n"/>
      <c r="J105" s="16" t="n"/>
      <c r="K105" s="17">
        <f>IF(J105="","",1-J105)</f>
        <v/>
      </c>
      <c r="L105" s="15" t="n"/>
      <c r="M105" s="7" t="n"/>
      <c r="N105" s="7" t="n"/>
      <c r="O105" s="7" t="n"/>
      <c r="P105" s="11" t="n"/>
      <c r="Q105" s="7" t="n"/>
      <c r="R105" s="7" t="n"/>
      <c r="S105" s="7" t="n"/>
      <c r="T105" s="7" t="n"/>
      <c r="U105" s="12">
        <f>IF(A105="","",IF(H105="","建議填分配模式",""))</f>
        <v/>
      </c>
    </row>
    <row r="106" ht="24" customHeight="1">
      <c r="A106" s="7" t="n"/>
      <c r="B106" s="7" t="n"/>
      <c r="C106" s="7" t="n"/>
      <c r="D106" s="12">
        <f>IF($A106="","",IFERROR(INDEX(土地清冊_匯入!$B$6:$B$1005,MATCH($A106,土地清冊_匯入!$A$6:$A$1005,0)),"查無資料"))</f>
        <v/>
      </c>
      <c r="E106" s="9">
        <f>IF($A106="","",IFERROR(INDEX(土地清冊_匯入!$I$6:$I$1005,MATCH($A106,土地清冊_匯入!$A$6:$A$1005,0)),""))</f>
        <v/>
      </c>
      <c r="F106" s="13">
        <f>IF($A106="","",IFERROR(INDEX(建物清冊_匯入!$N$6:$N$1005,MATCH($A106,建物清冊_匯入!$A$6:$A$1005,0)),""))</f>
        <v/>
      </c>
      <c r="G106" s="9">
        <f>IF($A106="","",IFERROR(INDEX(建物清冊_匯入!$S$6:$S$1005,MATCH($A106,建物清冊_匯入!$A$6:$A$1005,0)),""))</f>
        <v/>
      </c>
      <c r="H106" s="7" t="n"/>
      <c r="I106" s="15" t="n"/>
      <c r="J106" s="16" t="n"/>
      <c r="K106" s="17">
        <f>IF(J106="","",1-J106)</f>
        <v/>
      </c>
      <c r="L106" s="15" t="n"/>
      <c r="M106" s="7" t="n"/>
      <c r="N106" s="7" t="n"/>
      <c r="O106" s="7" t="n"/>
      <c r="P106" s="11" t="n"/>
      <c r="Q106" s="7" t="n"/>
      <c r="R106" s="7" t="n"/>
      <c r="S106" s="7" t="n"/>
      <c r="T106" s="7" t="n"/>
      <c r="U106" s="12">
        <f>IF(A106="","",IF(H106="","建議填分配模式",""))</f>
        <v/>
      </c>
    </row>
    <row r="107" ht="24" customHeight="1">
      <c r="A107" s="7" t="n"/>
      <c r="B107" s="7" t="n"/>
      <c r="C107" s="7" t="n"/>
      <c r="D107" s="12">
        <f>IF($A107="","",IFERROR(INDEX(土地清冊_匯入!$B$6:$B$1005,MATCH($A107,土地清冊_匯入!$A$6:$A$1005,0)),"查無資料"))</f>
        <v/>
      </c>
      <c r="E107" s="9">
        <f>IF($A107="","",IFERROR(INDEX(土地清冊_匯入!$I$6:$I$1005,MATCH($A107,土地清冊_匯入!$A$6:$A$1005,0)),""))</f>
        <v/>
      </c>
      <c r="F107" s="13">
        <f>IF($A107="","",IFERROR(INDEX(建物清冊_匯入!$N$6:$N$1005,MATCH($A107,建物清冊_匯入!$A$6:$A$1005,0)),""))</f>
        <v/>
      </c>
      <c r="G107" s="9">
        <f>IF($A107="","",IFERROR(INDEX(建物清冊_匯入!$S$6:$S$1005,MATCH($A107,建物清冊_匯入!$A$6:$A$1005,0)),""))</f>
        <v/>
      </c>
      <c r="H107" s="7" t="n"/>
      <c r="I107" s="15" t="n"/>
      <c r="J107" s="16" t="n"/>
      <c r="K107" s="17">
        <f>IF(J107="","",1-J107)</f>
        <v/>
      </c>
      <c r="L107" s="15" t="n"/>
      <c r="M107" s="7" t="n"/>
      <c r="N107" s="7" t="n"/>
      <c r="O107" s="7" t="n"/>
      <c r="P107" s="11" t="n"/>
      <c r="Q107" s="7" t="n"/>
      <c r="R107" s="7" t="n"/>
      <c r="S107" s="7" t="n"/>
      <c r="T107" s="7" t="n"/>
      <c r="U107" s="12">
        <f>IF(A107="","",IF(H107="","建議填分配模式",""))</f>
        <v/>
      </c>
    </row>
    <row r="108" ht="24" customHeight="1">
      <c r="A108" s="7" t="n"/>
      <c r="B108" s="7" t="n"/>
      <c r="C108" s="7" t="n"/>
      <c r="D108" s="12">
        <f>IF($A108="","",IFERROR(INDEX(土地清冊_匯入!$B$6:$B$1005,MATCH($A108,土地清冊_匯入!$A$6:$A$1005,0)),"查無資料"))</f>
        <v/>
      </c>
      <c r="E108" s="9">
        <f>IF($A108="","",IFERROR(INDEX(土地清冊_匯入!$I$6:$I$1005,MATCH($A108,土地清冊_匯入!$A$6:$A$1005,0)),""))</f>
        <v/>
      </c>
      <c r="F108" s="13">
        <f>IF($A108="","",IFERROR(INDEX(建物清冊_匯入!$N$6:$N$1005,MATCH($A108,建物清冊_匯入!$A$6:$A$1005,0)),""))</f>
        <v/>
      </c>
      <c r="G108" s="9">
        <f>IF($A108="","",IFERROR(INDEX(建物清冊_匯入!$S$6:$S$1005,MATCH($A108,建物清冊_匯入!$A$6:$A$1005,0)),""))</f>
        <v/>
      </c>
      <c r="H108" s="7" t="n"/>
      <c r="I108" s="15" t="n"/>
      <c r="J108" s="16" t="n"/>
      <c r="K108" s="17">
        <f>IF(J108="","",1-J108)</f>
        <v/>
      </c>
      <c r="L108" s="15" t="n"/>
      <c r="M108" s="7" t="n"/>
      <c r="N108" s="7" t="n"/>
      <c r="O108" s="7" t="n"/>
      <c r="P108" s="11" t="n"/>
      <c r="Q108" s="7" t="n"/>
      <c r="R108" s="7" t="n"/>
      <c r="S108" s="7" t="n"/>
      <c r="T108" s="7" t="n"/>
      <c r="U108" s="12">
        <f>IF(A108="","",IF(H108="","建議填分配模式",""))</f>
        <v/>
      </c>
    </row>
    <row r="109" ht="24" customHeight="1">
      <c r="A109" s="7" t="n"/>
      <c r="B109" s="7" t="n"/>
      <c r="C109" s="7" t="n"/>
      <c r="D109" s="12">
        <f>IF($A109="","",IFERROR(INDEX(土地清冊_匯入!$B$6:$B$1005,MATCH($A109,土地清冊_匯入!$A$6:$A$1005,0)),"查無資料"))</f>
        <v/>
      </c>
      <c r="E109" s="9">
        <f>IF($A109="","",IFERROR(INDEX(土地清冊_匯入!$I$6:$I$1005,MATCH($A109,土地清冊_匯入!$A$6:$A$1005,0)),""))</f>
        <v/>
      </c>
      <c r="F109" s="13">
        <f>IF($A109="","",IFERROR(INDEX(建物清冊_匯入!$N$6:$N$1005,MATCH($A109,建物清冊_匯入!$A$6:$A$1005,0)),""))</f>
        <v/>
      </c>
      <c r="G109" s="9">
        <f>IF($A109="","",IFERROR(INDEX(建物清冊_匯入!$S$6:$S$1005,MATCH($A109,建物清冊_匯入!$A$6:$A$1005,0)),""))</f>
        <v/>
      </c>
      <c r="H109" s="7" t="n"/>
      <c r="I109" s="15" t="n"/>
      <c r="J109" s="16" t="n"/>
      <c r="K109" s="17">
        <f>IF(J109="","",1-J109)</f>
        <v/>
      </c>
      <c r="L109" s="15" t="n"/>
      <c r="M109" s="7" t="n"/>
      <c r="N109" s="7" t="n"/>
      <c r="O109" s="7" t="n"/>
      <c r="P109" s="11" t="n"/>
      <c r="Q109" s="7" t="n"/>
      <c r="R109" s="7" t="n"/>
      <c r="S109" s="7" t="n"/>
      <c r="T109" s="7" t="n"/>
      <c r="U109" s="12">
        <f>IF(A109="","",IF(H109="","建議填分配模式",""))</f>
        <v/>
      </c>
    </row>
    <row r="110" ht="24" customHeight="1">
      <c r="A110" s="7" t="n"/>
      <c r="B110" s="7" t="n"/>
      <c r="C110" s="7" t="n"/>
      <c r="D110" s="12">
        <f>IF($A110="","",IFERROR(INDEX(土地清冊_匯入!$B$6:$B$1005,MATCH($A110,土地清冊_匯入!$A$6:$A$1005,0)),"查無資料"))</f>
        <v/>
      </c>
      <c r="E110" s="9">
        <f>IF($A110="","",IFERROR(INDEX(土地清冊_匯入!$I$6:$I$1005,MATCH($A110,土地清冊_匯入!$A$6:$A$1005,0)),""))</f>
        <v/>
      </c>
      <c r="F110" s="13">
        <f>IF($A110="","",IFERROR(INDEX(建物清冊_匯入!$N$6:$N$1005,MATCH($A110,建物清冊_匯入!$A$6:$A$1005,0)),""))</f>
        <v/>
      </c>
      <c r="G110" s="9">
        <f>IF($A110="","",IFERROR(INDEX(建物清冊_匯入!$S$6:$S$1005,MATCH($A110,建物清冊_匯入!$A$6:$A$1005,0)),""))</f>
        <v/>
      </c>
      <c r="H110" s="7" t="n"/>
      <c r="I110" s="15" t="n"/>
      <c r="J110" s="16" t="n"/>
      <c r="K110" s="17">
        <f>IF(J110="","",1-J110)</f>
        <v/>
      </c>
      <c r="L110" s="15" t="n"/>
      <c r="M110" s="7" t="n"/>
      <c r="N110" s="7" t="n"/>
      <c r="O110" s="7" t="n"/>
      <c r="P110" s="11" t="n"/>
      <c r="Q110" s="7" t="n"/>
      <c r="R110" s="7" t="n"/>
      <c r="S110" s="7" t="n"/>
      <c r="T110" s="7" t="n"/>
      <c r="U110" s="12">
        <f>IF(A110="","",IF(H110="","建議填分配模式",""))</f>
        <v/>
      </c>
    </row>
    <row r="111" ht="24" customHeight="1">
      <c r="A111" s="7" t="n"/>
      <c r="B111" s="7" t="n"/>
      <c r="C111" s="7" t="n"/>
      <c r="D111" s="12">
        <f>IF($A111="","",IFERROR(INDEX(土地清冊_匯入!$B$6:$B$1005,MATCH($A111,土地清冊_匯入!$A$6:$A$1005,0)),"查無資料"))</f>
        <v/>
      </c>
      <c r="E111" s="9">
        <f>IF($A111="","",IFERROR(INDEX(土地清冊_匯入!$I$6:$I$1005,MATCH($A111,土地清冊_匯入!$A$6:$A$1005,0)),""))</f>
        <v/>
      </c>
      <c r="F111" s="13">
        <f>IF($A111="","",IFERROR(INDEX(建物清冊_匯入!$N$6:$N$1005,MATCH($A111,建物清冊_匯入!$A$6:$A$1005,0)),""))</f>
        <v/>
      </c>
      <c r="G111" s="9">
        <f>IF($A111="","",IFERROR(INDEX(建物清冊_匯入!$S$6:$S$1005,MATCH($A111,建物清冊_匯入!$A$6:$A$1005,0)),""))</f>
        <v/>
      </c>
      <c r="H111" s="7" t="n"/>
      <c r="I111" s="15" t="n"/>
      <c r="J111" s="16" t="n"/>
      <c r="K111" s="17">
        <f>IF(J111="","",1-J111)</f>
        <v/>
      </c>
      <c r="L111" s="15" t="n"/>
      <c r="M111" s="7" t="n"/>
      <c r="N111" s="7" t="n"/>
      <c r="O111" s="7" t="n"/>
      <c r="P111" s="11" t="n"/>
      <c r="Q111" s="7" t="n"/>
      <c r="R111" s="7" t="n"/>
      <c r="S111" s="7" t="n"/>
      <c r="T111" s="7" t="n"/>
      <c r="U111" s="12">
        <f>IF(A111="","",IF(H111="","建議填分配模式",""))</f>
        <v/>
      </c>
    </row>
    <row r="112" ht="24" customHeight="1">
      <c r="A112" s="7" t="n"/>
      <c r="B112" s="7" t="n"/>
      <c r="C112" s="7" t="n"/>
      <c r="D112" s="12">
        <f>IF($A112="","",IFERROR(INDEX(土地清冊_匯入!$B$6:$B$1005,MATCH($A112,土地清冊_匯入!$A$6:$A$1005,0)),"查無資料"))</f>
        <v/>
      </c>
      <c r="E112" s="9">
        <f>IF($A112="","",IFERROR(INDEX(土地清冊_匯入!$I$6:$I$1005,MATCH($A112,土地清冊_匯入!$A$6:$A$1005,0)),""))</f>
        <v/>
      </c>
      <c r="F112" s="13">
        <f>IF($A112="","",IFERROR(INDEX(建物清冊_匯入!$N$6:$N$1005,MATCH($A112,建物清冊_匯入!$A$6:$A$1005,0)),""))</f>
        <v/>
      </c>
      <c r="G112" s="9">
        <f>IF($A112="","",IFERROR(INDEX(建物清冊_匯入!$S$6:$S$1005,MATCH($A112,建物清冊_匯入!$A$6:$A$1005,0)),""))</f>
        <v/>
      </c>
      <c r="H112" s="7" t="n"/>
      <c r="I112" s="15" t="n"/>
      <c r="J112" s="16" t="n"/>
      <c r="K112" s="17">
        <f>IF(J112="","",1-J112)</f>
        <v/>
      </c>
      <c r="L112" s="15" t="n"/>
      <c r="M112" s="7" t="n"/>
      <c r="N112" s="7" t="n"/>
      <c r="O112" s="7" t="n"/>
      <c r="P112" s="11" t="n"/>
      <c r="Q112" s="7" t="n"/>
      <c r="R112" s="7" t="n"/>
      <c r="S112" s="7" t="n"/>
      <c r="T112" s="7" t="n"/>
      <c r="U112" s="12">
        <f>IF(A112="","",IF(H112="","建議填分配模式",""))</f>
        <v/>
      </c>
    </row>
    <row r="113" ht="24" customHeight="1">
      <c r="A113" s="7" t="n"/>
      <c r="B113" s="7" t="n"/>
      <c r="C113" s="7" t="n"/>
      <c r="D113" s="12">
        <f>IF($A113="","",IFERROR(INDEX(土地清冊_匯入!$B$6:$B$1005,MATCH($A113,土地清冊_匯入!$A$6:$A$1005,0)),"查無資料"))</f>
        <v/>
      </c>
      <c r="E113" s="9">
        <f>IF($A113="","",IFERROR(INDEX(土地清冊_匯入!$I$6:$I$1005,MATCH($A113,土地清冊_匯入!$A$6:$A$1005,0)),""))</f>
        <v/>
      </c>
      <c r="F113" s="13">
        <f>IF($A113="","",IFERROR(INDEX(建物清冊_匯入!$N$6:$N$1005,MATCH($A113,建物清冊_匯入!$A$6:$A$1005,0)),""))</f>
        <v/>
      </c>
      <c r="G113" s="9">
        <f>IF($A113="","",IFERROR(INDEX(建物清冊_匯入!$S$6:$S$1005,MATCH($A113,建物清冊_匯入!$A$6:$A$1005,0)),""))</f>
        <v/>
      </c>
      <c r="H113" s="7" t="n"/>
      <c r="I113" s="15" t="n"/>
      <c r="J113" s="16" t="n"/>
      <c r="K113" s="17">
        <f>IF(J113="","",1-J113)</f>
        <v/>
      </c>
      <c r="L113" s="15" t="n"/>
      <c r="M113" s="7" t="n"/>
      <c r="N113" s="7" t="n"/>
      <c r="O113" s="7" t="n"/>
      <c r="P113" s="11" t="n"/>
      <c r="Q113" s="7" t="n"/>
      <c r="R113" s="7" t="n"/>
      <c r="S113" s="7" t="n"/>
      <c r="T113" s="7" t="n"/>
      <c r="U113" s="12">
        <f>IF(A113="","",IF(H113="","建議填分配模式",""))</f>
        <v/>
      </c>
    </row>
    <row r="114" ht="24" customHeight="1">
      <c r="A114" s="7" t="n"/>
      <c r="B114" s="7" t="n"/>
      <c r="C114" s="7" t="n"/>
      <c r="D114" s="12">
        <f>IF($A114="","",IFERROR(INDEX(土地清冊_匯入!$B$6:$B$1005,MATCH($A114,土地清冊_匯入!$A$6:$A$1005,0)),"查無資料"))</f>
        <v/>
      </c>
      <c r="E114" s="9">
        <f>IF($A114="","",IFERROR(INDEX(土地清冊_匯入!$I$6:$I$1005,MATCH($A114,土地清冊_匯入!$A$6:$A$1005,0)),""))</f>
        <v/>
      </c>
      <c r="F114" s="13">
        <f>IF($A114="","",IFERROR(INDEX(建物清冊_匯入!$N$6:$N$1005,MATCH($A114,建物清冊_匯入!$A$6:$A$1005,0)),""))</f>
        <v/>
      </c>
      <c r="G114" s="9">
        <f>IF($A114="","",IFERROR(INDEX(建物清冊_匯入!$S$6:$S$1005,MATCH($A114,建物清冊_匯入!$A$6:$A$1005,0)),""))</f>
        <v/>
      </c>
      <c r="H114" s="7" t="n"/>
      <c r="I114" s="15" t="n"/>
      <c r="J114" s="16" t="n"/>
      <c r="K114" s="17">
        <f>IF(J114="","",1-J114)</f>
        <v/>
      </c>
      <c r="L114" s="15" t="n"/>
      <c r="M114" s="7" t="n"/>
      <c r="N114" s="7" t="n"/>
      <c r="O114" s="7" t="n"/>
      <c r="P114" s="11" t="n"/>
      <c r="Q114" s="7" t="n"/>
      <c r="R114" s="7" t="n"/>
      <c r="S114" s="7" t="n"/>
      <c r="T114" s="7" t="n"/>
      <c r="U114" s="12">
        <f>IF(A114="","",IF(H114="","建議填分配模式",""))</f>
        <v/>
      </c>
    </row>
    <row r="115" ht="24" customHeight="1">
      <c r="A115" s="7" t="n"/>
      <c r="B115" s="7" t="n"/>
      <c r="C115" s="7" t="n"/>
      <c r="D115" s="12">
        <f>IF($A115="","",IFERROR(INDEX(土地清冊_匯入!$B$6:$B$1005,MATCH($A115,土地清冊_匯入!$A$6:$A$1005,0)),"查無資料"))</f>
        <v/>
      </c>
      <c r="E115" s="9">
        <f>IF($A115="","",IFERROR(INDEX(土地清冊_匯入!$I$6:$I$1005,MATCH($A115,土地清冊_匯入!$A$6:$A$1005,0)),""))</f>
        <v/>
      </c>
      <c r="F115" s="13">
        <f>IF($A115="","",IFERROR(INDEX(建物清冊_匯入!$N$6:$N$1005,MATCH($A115,建物清冊_匯入!$A$6:$A$1005,0)),""))</f>
        <v/>
      </c>
      <c r="G115" s="9">
        <f>IF($A115="","",IFERROR(INDEX(建物清冊_匯入!$S$6:$S$1005,MATCH($A115,建物清冊_匯入!$A$6:$A$1005,0)),""))</f>
        <v/>
      </c>
      <c r="H115" s="7" t="n"/>
      <c r="I115" s="15" t="n"/>
      <c r="J115" s="16" t="n"/>
      <c r="K115" s="17">
        <f>IF(J115="","",1-J115)</f>
        <v/>
      </c>
      <c r="L115" s="15" t="n"/>
      <c r="M115" s="7" t="n"/>
      <c r="N115" s="7" t="n"/>
      <c r="O115" s="7" t="n"/>
      <c r="P115" s="11" t="n"/>
      <c r="Q115" s="7" t="n"/>
      <c r="R115" s="7" t="n"/>
      <c r="S115" s="7" t="n"/>
      <c r="T115" s="7" t="n"/>
      <c r="U115" s="12">
        <f>IF(A115="","",IF(H115="","建議填分配模式",""))</f>
        <v/>
      </c>
    </row>
    <row r="116" ht="24" customHeight="1">
      <c r="A116" s="7" t="n"/>
      <c r="B116" s="7" t="n"/>
      <c r="C116" s="7" t="n"/>
      <c r="D116" s="12">
        <f>IF($A116="","",IFERROR(INDEX(土地清冊_匯入!$B$6:$B$1005,MATCH($A116,土地清冊_匯入!$A$6:$A$1005,0)),"查無資料"))</f>
        <v/>
      </c>
      <c r="E116" s="9">
        <f>IF($A116="","",IFERROR(INDEX(土地清冊_匯入!$I$6:$I$1005,MATCH($A116,土地清冊_匯入!$A$6:$A$1005,0)),""))</f>
        <v/>
      </c>
      <c r="F116" s="13">
        <f>IF($A116="","",IFERROR(INDEX(建物清冊_匯入!$N$6:$N$1005,MATCH($A116,建物清冊_匯入!$A$6:$A$1005,0)),""))</f>
        <v/>
      </c>
      <c r="G116" s="9">
        <f>IF($A116="","",IFERROR(INDEX(建物清冊_匯入!$S$6:$S$1005,MATCH($A116,建物清冊_匯入!$A$6:$A$1005,0)),""))</f>
        <v/>
      </c>
      <c r="H116" s="7" t="n"/>
      <c r="I116" s="15" t="n"/>
      <c r="J116" s="16" t="n"/>
      <c r="K116" s="17">
        <f>IF(J116="","",1-J116)</f>
        <v/>
      </c>
      <c r="L116" s="15" t="n"/>
      <c r="M116" s="7" t="n"/>
      <c r="N116" s="7" t="n"/>
      <c r="O116" s="7" t="n"/>
      <c r="P116" s="11" t="n"/>
      <c r="Q116" s="7" t="n"/>
      <c r="R116" s="7" t="n"/>
      <c r="S116" s="7" t="n"/>
      <c r="T116" s="7" t="n"/>
      <c r="U116" s="12">
        <f>IF(A116="","",IF(H116="","建議填分配模式",""))</f>
        <v/>
      </c>
    </row>
    <row r="117" ht="24" customHeight="1">
      <c r="A117" s="7" t="n"/>
      <c r="B117" s="7" t="n"/>
      <c r="C117" s="7" t="n"/>
      <c r="D117" s="12">
        <f>IF($A117="","",IFERROR(INDEX(土地清冊_匯入!$B$6:$B$1005,MATCH($A117,土地清冊_匯入!$A$6:$A$1005,0)),"查無資料"))</f>
        <v/>
      </c>
      <c r="E117" s="9">
        <f>IF($A117="","",IFERROR(INDEX(土地清冊_匯入!$I$6:$I$1005,MATCH($A117,土地清冊_匯入!$A$6:$A$1005,0)),""))</f>
        <v/>
      </c>
      <c r="F117" s="13">
        <f>IF($A117="","",IFERROR(INDEX(建物清冊_匯入!$N$6:$N$1005,MATCH($A117,建物清冊_匯入!$A$6:$A$1005,0)),""))</f>
        <v/>
      </c>
      <c r="G117" s="9">
        <f>IF($A117="","",IFERROR(INDEX(建物清冊_匯入!$S$6:$S$1005,MATCH($A117,建物清冊_匯入!$A$6:$A$1005,0)),""))</f>
        <v/>
      </c>
      <c r="H117" s="7" t="n"/>
      <c r="I117" s="15" t="n"/>
      <c r="J117" s="16" t="n"/>
      <c r="K117" s="17">
        <f>IF(J117="","",1-J117)</f>
        <v/>
      </c>
      <c r="L117" s="15" t="n"/>
      <c r="M117" s="7" t="n"/>
      <c r="N117" s="7" t="n"/>
      <c r="O117" s="7" t="n"/>
      <c r="P117" s="11" t="n"/>
      <c r="Q117" s="7" t="n"/>
      <c r="R117" s="7" t="n"/>
      <c r="S117" s="7" t="n"/>
      <c r="T117" s="7" t="n"/>
      <c r="U117" s="12">
        <f>IF(A117="","",IF(H117="","建議填分配模式",""))</f>
        <v/>
      </c>
    </row>
    <row r="118" ht="24" customHeight="1">
      <c r="A118" s="7" t="n"/>
      <c r="B118" s="7" t="n"/>
      <c r="C118" s="7" t="n"/>
      <c r="D118" s="12">
        <f>IF($A118="","",IFERROR(INDEX(土地清冊_匯入!$B$6:$B$1005,MATCH($A118,土地清冊_匯入!$A$6:$A$1005,0)),"查無資料"))</f>
        <v/>
      </c>
      <c r="E118" s="9">
        <f>IF($A118="","",IFERROR(INDEX(土地清冊_匯入!$I$6:$I$1005,MATCH($A118,土地清冊_匯入!$A$6:$A$1005,0)),""))</f>
        <v/>
      </c>
      <c r="F118" s="13">
        <f>IF($A118="","",IFERROR(INDEX(建物清冊_匯入!$N$6:$N$1005,MATCH($A118,建物清冊_匯入!$A$6:$A$1005,0)),""))</f>
        <v/>
      </c>
      <c r="G118" s="9">
        <f>IF($A118="","",IFERROR(INDEX(建物清冊_匯入!$S$6:$S$1005,MATCH($A118,建物清冊_匯入!$A$6:$A$1005,0)),""))</f>
        <v/>
      </c>
      <c r="H118" s="7" t="n"/>
      <c r="I118" s="15" t="n"/>
      <c r="J118" s="16" t="n"/>
      <c r="K118" s="17">
        <f>IF(J118="","",1-J118)</f>
        <v/>
      </c>
      <c r="L118" s="15" t="n"/>
      <c r="M118" s="7" t="n"/>
      <c r="N118" s="7" t="n"/>
      <c r="O118" s="7" t="n"/>
      <c r="P118" s="11" t="n"/>
      <c r="Q118" s="7" t="n"/>
      <c r="R118" s="7" t="n"/>
      <c r="S118" s="7" t="n"/>
      <c r="T118" s="7" t="n"/>
      <c r="U118" s="12">
        <f>IF(A118="","",IF(H118="","建議填分配模式",""))</f>
        <v/>
      </c>
    </row>
    <row r="119" ht="24" customHeight="1">
      <c r="A119" s="7" t="n"/>
      <c r="B119" s="7" t="n"/>
      <c r="C119" s="7" t="n"/>
      <c r="D119" s="12">
        <f>IF($A119="","",IFERROR(INDEX(土地清冊_匯入!$B$6:$B$1005,MATCH($A119,土地清冊_匯入!$A$6:$A$1005,0)),"查無資料"))</f>
        <v/>
      </c>
      <c r="E119" s="9">
        <f>IF($A119="","",IFERROR(INDEX(土地清冊_匯入!$I$6:$I$1005,MATCH($A119,土地清冊_匯入!$A$6:$A$1005,0)),""))</f>
        <v/>
      </c>
      <c r="F119" s="13">
        <f>IF($A119="","",IFERROR(INDEX(建物清冊_匯入!$N$6:$N$1005,MATCH($A119,建物清冊_匯入!$A$6:$A$1005,0)),""))</f>
        <v/>
      </c>
      <c r="G119" s="9">
        <f>IF($A119="","",IFERROR(INDEX(建物清冊_匯入!$S$6:$S$1005,MATCH($A119,建物清冊_匯入!$A$6:$A$1005,0)),""))</f>
        <v/>
      </c>
      <c r="H119" s="7" t="n"/>
      <c r="I119" s="15" t="n"/>
      <c r="J119" s="16" t="n"/>
      <c r="K119" s="17">
        <f>IF(J119="","",1-J119)</f>
        <v/>
      </c>
      <c r="L119" s="15" t="n"/>
      <c r="M119" s="7" t="n"/>
      <c r="N119" s="7" t="n"/>
      <c r="O119" s="7" t="n"/>
      <c r="P119" s="11" t="n"/>
      <c r="Q119" s="7" t="n"/>
      <c r="R119" s="7" t="n"/>
      <c r="S119" s="7" t="n"/>
      <c r="T119" s="7" t="n"/>
      <c r="U119" s="12">
        <f>IF(A119="","",IF(H119="","建議填分配模式",""))</f>
        <v/>
      </c>
    </row>
    <row r="120" ht="24" customHeight="1">
      <c r="A120" s="7" t="n"/>
      <c r="B120" s="7" t="n"/>
      <c r="C120" s="7" t="n"/>
      <c r="D120" s="12">
        <f>IF($A120="","",IFERROR(INDEX(土地清冊_匯入!$B$6:$B$1005,MATCH($A120,土地清冊_匯入!$A$6:$A$1005,0)),"查無資料"))</f>
        <v/>
      </c>
      <c r="E120" s="9">
        <f>IF($A120="","",IFERROR(INDEX(土地清冊_匯入!$I$6:$I$1005,MATCH($A120,土地清冊_匯入!$A$6:$A$1005,0)),""))</f>
        <v/>
      </c>
      <c r="F120" s="13">
        <f>IF($A120="","",IFERROR(INDEX(建物清冊_匯入!$N$6:$N$1005,MATCH($A120,建物清冊_匯入!$A$6:$A$1005,0)),""))</f>
        <v/>
      </c>
      <c r="G120" s="9">
        <f>IF($A120="","",IFERROR(INDEX(建物清冊_匯入!$S$6:$S$1005,MATCH($A120,建物清冊_匯入!$A$6:$A$1005,0)),""))</f>
        <v/>
      </c>
      <c r="H120" s="7" t="n"/>
      <c r="I120" s="15" t="n"/>
      <c r="J120" s="16" t="n"/>
      <c r="K120" s="17">
        <f>IF(J120="","",1-J120)</f>
        <v/>
      </c>
      <c r="L120" s="15" t="n"/>
      <c r="M120" s="7" t="n"/>
      <c r="N120" s="7" t="n"/>
      <c r="O120" s="7" t="n"/>
      <c r="P120" s="11" t="n"/>
      <c r="Q120" s="7" t="n"/>
      <c r="R120" s="7" t="n"/>
      <c r="S120" s="7" t="n"/>
      <c r="T120" s="7" t="n"/>
      <c r="U120" s="12">
        <f>IF(A120="","",IF(H120="","建議填分配模式",""))</f>
        <v/>
      </c>
    </row>
    <row r="121" ht="24" customHeight="1">
      <c r="A121" s="7" t="n"/>
      <c r="B121" s="7" t="n"/>
      <c r="C121" s="7" t="n"/>
      <c r="D121" s="12">
        <f>IF($A121="","",IFERROR(INDEX(土地清冊_匯入!$B$6:$B$1005,MATCH($A121,土地清冊_匯入!$A$6:$A$1005,0)),"查無資料"))</f>
        <v/>
      </c>
      <c r="E121" s="9">
        <f>IF($A121="","",IFERROR(INDEX(土地清冊_匯入!$I$6:$I$1005,MATCH($A121,土地清冊_匯入!$A$6:$A$1005,0)),""))</f>
        <v/>
      </c>
      <c r="F121" s="13">
        <f>IF($A121="","",IFERROR(INDEX(建物清冊_匯入!$N$6:$N$1005,MATCH($A121,建物清冊_匯入!$A$6:$A$1005,0)),""))</f>
        <v/>
      </c>
      <c r="G121" s="9">
        <f>IF($A121="","",IFERROR(INDEX(建物清冊_匯入!$S$6:$S$1005,MATCH($A121,建物清冊_匯入!$A$6:$A$1005,0)),""))</f>
        <v/>
      </c>
      <c r="H121" s="7" t="n"/>
      <c r="I121" s="15" t="n"/>
      <c r="J121" s="16" t="n"/>
      <c r="K121" s="17">
        <f>IF(J121="","",1-J121)</f>
        <v/>
      </c>
      <c r="L121" s="15" t="n"/>
      <c r="M121" s="7" t="n"/>
      <c r="N121" s="7" t="n"/>
      <c r="O121" s="7" t="n"/>
      <c r="P121" s="11" t="n"/>
      <c r="Q121" s="7" t="n"/>
      <c r="R121" s="7" t="n"/>
      <c r="S121" s="7" t="n"/>
      <c r="T121" s="7" t="n"/>
      <c r="U121" s="12">
        <f>IF(A121="","",IF(H121="","建議填分配模式",""))</f>
        <v/>
      </c>
    </row>
    <row r="122" ht="24" customHeight="1">
      <c r="A122" s="7" t="n"/>
      <c r="B122" s="7" t="n"/>
      <c r="C122" s="7" t="n"/>
      <c r="D122" s="12">
        <f>IF($A122="","",IFERROR(INDEX(土地清冊_匯入!$B$6:$B$1005,MATCH($A122,土地清冊_匯入!$A$6:$A$1005,0)),"查無資料"))</f>
        <v/>
      </c>
      <c r="E122" s="9">
        <f>IF($A122="","",IFERROR(INDEX(土地清冊_匯入!$I$6:$I$1005,MATCH($A122,土地清冊_匯入!$A$6:$A$1005,0)),""))</f>
        <v/>
      </c>
      <c r="F122" s="13">
        <f>IF($A122="","",IFERROR(INDEX(建物清冊_匯入!$N$6:$N$1005,MATCH($A122,建物清冊_匯入!$A$6:$A$1005,0)),""))</f>
        <v/>
      </c>
      <c r="G122" s="9">
        <f>IF($A122="","",IFERROR(INDEX(建物清冊_匯入!$S$6:$S$1005,MATCH($A122,建物清冊_匯入!$A$6:$A$1005,0)),""))</f>
        <v/>
      </c>
      <c r="H122" s="7" t="n"/>
      <c r="I122" s="15" t="n"/>
      <c r="J122" s="16" t="n"/>
      <c r="K122" s="17">
        <f>IF(J122="","",1-J122)</f>
        <v/>
      </c>
      <c r="L122" s="15" t="n"/>
      <c r="M122" s="7" t="n"/>
      <c r="N122" s="7" t="n"/>
      <c r="O122" s="7" t="n"/>
      <c r="P122" s="11" t="n"/>
      <c r="Q122" s="7" t="n"/>
      <c r="R122" s="7" t="n"/>
      <c r="S122" s="7" t="n"/>
      <c r="T122" s="7" t="n"/>
      <c r="U122" s="12">
        <f>IF(A122="","",IF(H122="","建議填分配模式",""))</f>
        <v/>
      </c>
    </row>
    <row r="123" ht="24" customHeight="1">
      <c r="A123" s="7" t="n"/>
      <c r="B123" s="7" t="n"/>
      <c r="C123" s="7" t="n"/>
      <c r="D123" s="12">
        <f>IF($A123="","",IFERROR(INDEX(土地清冊_匯入!$B$6:$B$1005,MATCH($A123,土地清冊_匯入!$A$6:$A$1005,0)),"查無資料"))</f>
        <v/>
      </c>
      <c r="E123" s="9">
        <f>IF($A123="","",IFERROR(INDEX(土地清冊_匯入!$I$6:$I$1005,MATCH($A123,土地清冊_匯入!$A$6:$A$1005,0)),""))</f>
        <v/>
      </c>
      <c r="F123" s="13">
        <f>IF($A123="","",IFERROR(INDEX(建物清冊_匯入!$N$6:$N$1005,MATCH($A123,建物清冊_匯入!$A$6:$A$1005,0)),""))</f>
        <v/>
      </c>
      <c r="G123" s="9">
        <f>IF($A123="","",IFERROR(INDEX(建物清冊_匯入!$S$6:$S$1005,MATCH($A123,建物清冊_匯入!$A$6:$A$1005,0)),""))</f>
        <v/>
      </c>
      <c r="H123" s="7" t="n"/>
      <c r="I123" s="15" t="n"/>
      <c r="J123" s="16" t="n"/>
      <c r="K123" s="17">
        <f>IF(J123="","",1-J123)</f>
        <v/>
      </c>
      <c r="L123" s="15" t="n"/>
      <c r="M123" s="7" t="n"/>
      <c r="N123" s="7" t="n"/>
      <c r="O123" s="7" t="n"/>
      <c r="P123" s="11" t="n"/>
      <c r="Q123" s="7" t="n"/>
      <c r="R123" s="7" t="n"/>
      <c r="S123" s="7" t="n"/>
      <c r="T123" s="7" t="n"/>
      <c r="U123" s="12">
        <f>IF(A123="","",IF(H123="","建議填分配模式",""))</f>
        <v/>
      </c>
    </row>
    <row r="124" ht="24" customHeight="1">
      <c r="A124" s="7" t="n"/>
      <c r="B124" s="7" t="n"/>
      <c r="C124" s="7" t="n"/>
      <c r="D124" s="12">
        <f>IF($A124="","",IFERROR(INDEX(土地清冊_匯入!$B$6:$B$1005,MATCH($A124,土地清冊_匯入!$A$6:$A$1005,0)),"查無資料"))</f>
        <v/>
      </c>
      <c r="E124" s="9">
        <f>IF($A124="","",IFERROR(INDEX(土地清冊_匯入!$I$6:$I$1005,MATCH($A124,土地清冊_匯入!$A$6:$A$1005,0)),""))</f>
        <v/>
      </c>
      <c r="F124" s="13">
        <f>IF($A124="","",IFERROR(INDEX(建物清冊_匯入!$N$6:$N$1005,MATCH($A124,建物清冊_匯入!$A$6:$A$1005,0)),""))</f>
        <v/>
      </c>
      <c r="G124" s="9">
        <f>IF($A124="","",IFERROR(INDEX(建物清冊_匯入!$S$6:$S$1005,MATCH($A124,建物清冊_匯入!$A$6:$A$1005,0)),""))</f>
        <v/>
      </c>
      <c r="H124" s="7" t="n"/>
      <c r="I124" s="15" t="n"/>
      <c r="J124" s="16" t="n"/>
      <c r="K124" s="17">
        <f>IF(J124="","",1-J124)</f>
        <v/>
      </c>
      <c r="L124" s="15" t="n"/>
      <c r="M124" s="7" t="n"/>
      <c r="N124" s="7" t="n"/>
      <c r="O124" s="7" t="n"/>
      <c r="P124" s="11" t="n"/>
      <c r="Q124" s="7" t="n"/>
      <c r="R124" s="7" t="n"/>
      <c r="S124" s="7" t="n"/>
      <c r="T124" s="7" t="n"/>
      <c r="U124" s="12">
        <f>IF(A124="","",IF(H124="","建議填分配模式",""))</f>
        <v/>
      </c>
    </row>
    <row r="125" ht="24" customHeight="1">
      <c r="A125" s="7" t="n"/>
      <c r="B125" s="7" t="n"/>
      <c r="C125" s="7" t="n"/>
      <c r="D125" s="12">
        <f>IF($A125="","",IFERROR(INDEX(土地清冊_匯入!$B$6:$B$1005,MATCH($A125,土地清冊_匯入!$A$6:$A$1005,0)),"查無資料"))</f>
        <v/>
      </c>
      <c r="E125" s="9">
        <f>IF($A125="","",IFERROR(INDEX(土地清冊_匯入!$I$6:$I$1005,MATCH($A125,土地清冊_匯入!$A$6:$A$1005,0)),""))</f>
        <v/>
      </c>
      <c r="F125" s="13">
        <f>IF($A125="","",IFERROR(INDEX(建物清冊_匯入!$N$6:$N$1005,MATCH($A125,建物清冊_匯入!$A$6:$A$1005,0)),""))</f>
        <v/>
      </c>
      <c r="G125" s="9">
        <f>IF($A125="","",IFERROR(INDEX(建物清冊_匯入!$S$6:$S$1005,MATCH($A125,建物清冊_匯入!$A$6:$A$1005,0)),""))</f>
        <v/>
      </c>
      <c r="H125" s="7" t="n"/>
      <c r="I125" s="15" t="n"/>
      <c r="J125" s="16" t="n"/>
      <c r="K125" s="17">
        <f>IF(J125="","",1-J125)</f>
        <v/>
      </c>
      <c r="L125" s="15" t="n"/>
      <c r="M125" s="7" t="n"/>
      <c r="N125" s="7" t="n"/>
      <c r="O125" s="7" t="n"/>
      <c r="P125" s="11" t="n"/>
      <c r="Q125" s="7" t="n"/>
      <c r="R125" s="7" t="n"/>
      <c r="S125" s="7" t="n"/>
      <c r="T125" s="7" t="n"/>
      <c r="U125" s="12">
        <f>IF(A125="","",IF(H125="","建議填分配模式",""))</f>
        <v/>
      </c>
    </row>
    <row r="126" ht="24" customHeight="1">
      <c r="A126" s="7" t="n"/>
      <c r="B126" s="7" t="n"/>
      <c r="C126" s="7" t="n"/>
      <c r="D126" s="12">
        <f>IF($A126="","",IFERROR(INDEX(土地清冊_匯入!$B$6:$B$1005,MATCH($A126,土地清冊_匯入!$A$6:$A$1005,0)),"查無資料"))</f>
        <v/>
      </c>
      <c r="E126" s="9">
        <f>IF($A126="","",IFERROR(INDEX(土地清冊_匯入!$I$6:$I$1005,MATCH($A126,土地清冊_匯入!$A$6:$A$1005,0)),""))</f>
        <v/>
      </c>
      <c r="F126" s="13">
        <f>IF($A126="","",IFERROR(INDEX(建物清冊_匯入!$N$6:$N$1005,MATCH($A126,建物清冊_匯入!$A$6:$A$1005,0)),""))</f>
        <v/>
      </c>
      <c r="G126" s="9">
        <f>IF($A126="","",IFERROR(INDEX(建物清冊_匯入!$S$6:$S$1005,MATCH($A126,建物清冊_匯入!$A$6:$A$1005,0)),""))</f>
        <v/>
      </c>
      <c r="H126" s="7" t="n"/>
      <c r="I126" s="15" t="n"/>
      <c r="J126" s="16" t="n"/>
      <c r="K126" s="17">
        <f>IF(J126="","",1-J126)</f>
        <v/>
      </c>
      <c r="L126" s="15" t="n"/>
      <c r="M126" s="7" t="n"/>
      <c r="N126" s="7" t="n"/>
      <c r="O126" s="7" t="n"/>
      <c r="P126" s="11" t="n"/>
      <c r="Q126" s="7" t="n"/>
      <c r="R126" s="7" t="n"/>
      <c r="S126" s="7" t="n"/>
      <c r="T126" s="7" t="n"/>
      <c r="U126" s="12">
        <f>IF(A126="","",IF(H126="","建議填分配模式",""))</f>
        <v/>
      </c>
    </row>
    <row r="127" ht="24" customHeight="1">
      <c r="A127" s="7" t="n"/>
      <c r="B127" s="7" t="n"/>
      <c r="C127" s="7" t="n"/>
      <c r="D127" s="12">
        <f>IF($A127="","",IFERROR(INDEX(土地清冊_匯入!$B$6:$B$1005,MATCH($A127,土地清冊_匯入!$A$6:$A$1005,0)),"查無資料"))</f>
        <v/>
      </c>
      <c r="E127" s="9">
        <f>IF($A127="","",IFERROR(INDEX(土地清冊_匯入!$I$6:$I$1005,MATCH($A127,土地清冊_匯入!$A$6:$A$1005,0)),""))</f>
        <v/>
      </c>
      <c r="F127" s="13">
        <f>IF($A127="","",IFERROR(INDEX(建物清冊_匯入!$N$6:$N$1005,MATCH($A127,建物清冊_匯入!$A$6:$A$1005,0)),""))</f>
        <v/>
      </c>
      <c r="G127" s="9">
        <f>IF($A127="","",IFERROR(INDEX(建物清冊_匯入!$S$6:$S$1005,MATCH($A127,建物清冊_匯入!$A$6:$A$1005,0)),""))</f>
        <v/>
      </c>
      <c r="H127" s="7" t="n"/>
      <c r="I127" s="15" t="n"/>
      <c r="J127" s="16" t="n"/>
      <c r="K127" s="17">
        <f>IF(J127="","",1-J127)</f>
        <v/>
      </c>
      <c r="L127" s="15" t="n"/>
      <c r="M127" s="7" t="n"/>
      <c r="N127" s="7" t="n"/>
      <c r="O127" s="7" t="n"/>
      <c r="P127" s="11" t="n"/>
      <c r="Q127" s="7" t="n"/>
      <c r="R127" s="7" t="n"/>
      <c r="S127" s="7" t="n"/>
      <c r="T127" s="7" t="n"/>
      <c r="U127" s="12">
        <f>IF(A127="","",IF(H127="","建議填分配模式",""))</f>
        <v/>
      </c>
    </row>
    <row r="128" ht="24" customHeight="1">
      <c r="A128" s="7" t="n"/>
      <c r="B128" s="7" t="n"/>
      <c r="C128" s="7" t="n"/>
      <c r="D128" s="12">
        <f>IF($A128="","",IFERROR(INDEX(土地清冊_匯入!$B$6:$B$1005,MATCH($A128,土地清冊_匯入!$A$6:$A$1005,0)),"查無資料"))</f>
        <v/>
      </c>
      <c r="E128" s="9">
        <f>IF($A128="","",IFERROR(INDEX(土地清冊_匯入!$I$6:$I$1005,MATCH($A128,土地清冊_匯入!$A$6:$A$1005,0)),""))</f>
        <v/>
      </c>
      <c r="F128" s="13">
        <f>IF($A128="","",IFERROR(INDEX(建物清冊_匯入!$N$6:$N$1005,MATCH($A128,建物清冊_匯入!$A$6:$A$1005,0)),""))</f>
        <v/>
      </c>
      <c r="G128" s="9">
        <f>IF($A128="","",IFERROR(INDEX(建物清冊_匯入!$S$6:$S$1005,MATCH($A128,建物清冊_匯入!$A$6:$A$1005,0)),""))</f>
        <v/>
      </c>
      <c r="H128" s="7" t="n"/>
      <c r="I128" s="15" t="n"/>
      <c r="J128" s="16" t="n"/>
      <c r="K128" s="17">
        <f>IF(J128="","",1-J128)</f>
        <v/>
      </c>
      <c r="L128" s="15" t="n"/>
      <c r="M128" s="7" t="n"/>
      <c r="N128" s="7" t="n"/>
      <c r="O128" s="7" t="n"/>
      <c r="P128" s="11" t="n"/>
      <c r="Q128" s="7" t="n"/>
      <c r="R128" s="7" t="n"/>
      <c r="S128" s="7" t="n"/>
      <c r="T128" s="7" t="n"/>
      <c r="U128" s="12">
        <f>IF(A128="","",IF(H128="","建議填分配模式",""))</f>
        <v/>
      </c>
    </row>
    <row r="129" ht="24" customHeight="1">
      <c r="A129" s="7" t="n"/>
      <c r="B129" s="7" t="n"/>
      <c r="C129" s="7" t="n"/>
      <c r="D129" s="12">
        <f>IF($A129="","",IFERROR(INDEX(土地清冊_匯入!$B$6:$B$1005,MATCH($A129,土地清冊_匯入!$A$6:$A$1005,0)),"查無資料"))</f>
        <v/>
      </c>
      <c r="E129" s="9">
        <f>IF($A129="","",IFERROR(INDEX(土地清冊_匯入!$I$6:$I$1005,MATCH($A129,土地清冊_匯入!$A$6:$A$1005,0)),""))</f>
        <v/>
      </c>
      <c r="F129" s="13">
        <f>IF($A129="","",IFERROR(INDEX(建物清冊_匯入!$N$6:$N$1005,MATCH($A129,建物清冊_匯入!$A$6:$A$1005,0)),""))</f>
        <v/>
      </c>
      <c r="G129" s="9">
        <f>IF($A129="","",IFERROR(INDEX(建物清冊_匯入!$S$6:$S$1005,MATCH($A129,建物清冊_匯入!$A$6:$A$1005,0)),""))</f>
        <v/>
      </c>
      <c r="H129" s="7" t="n"/>
      <c r="I129" s="15" t="n"/>
      <c r="J129" s="16" t="n"/>
      <c r="K129" s="17">
        <f>IF(J129="","",1-J129)</f>
        <v/>
      </c>
      <c r="L129" s="15" t="n"/>
      <c r="M129" s="7" t="n"/>
      <c r="N129" s="7" t="n"/>
      <c r="O129" s="7" t="n"/>
      <c r="P129" s="11" t="n"/>
      <c r="Q129" s="7" t="n"/>
      <c r="R129" s="7" t="n"/>
      <c r="S129" s="7" t="n"/>
      <c r="T129" s="7" t="n"/>
      <c r="U129" s="12">
        <f>IF(A129="","",IF(H129="","建議填分配模式",""))</f>
        <v/>
      </c>
    </row>
    <row r="130" ht="24" customHeight="1">
      <c r="A130" s="7" t="n"/>
      <c r="B130" s="7" t="n"/>
      <c r="C130" s="7" t="n"/>
      <c r="D130" s="12">
        <f>IF($A130="","",IFERROR(INDEX(土地清冊_匯入!$B$6:$B$1005,MATCH($A130,土地清冊_匯入!$A$6:$A$1005,0)),"查無資料"))</f>
        <v/>
      </c>
      <c r="E130" s="9">
        <f>IF($A130="","",IFERROR(INDEX(土地清冊_匯入!$I$6:$I$1005,MATCH($A130,土地清冊_匯入!$A$6:$A$1005,0)),""))</f>
        <v/>
      </c>
      <c r="F130" s="13">
        <f>IF($A130="","",IFERROR(INDEX(建物清冊_匯入!$N$6:$N$1005,MATCH($A130,建物清冊_匯入!$A$6:$A$1005,0)),""))</f>
        <v/>
      </c>
      <c r="G130" s="9">
        <f>IF($A130="","",IFERROR(INDEX(建物清冊_匯入!$S$6:$S$1005,MATCH($A130,建物清冊_匯入!$A$6:$A$1005,0)),""))</f>
        <v/>
      </c>
      <c r="H130" s="7" t="n"/>
      <c r="I130" s="15" t="n"/>
      <c r="J130" s="16" t="n"/>
      <c r="K130" s="17">
        <f>IF(J130="","",1-J130)</f>
        <v/>
      </c>
      <c r="L130" s="15" t="n"/>
      <c r="M130" s="7" t="n"/>
      <c r="N130" s="7" t="n"/>
      <c r="O130" s="7" t="n"/>
      <c r="P130" s="11" t="n"/>
      <c r="Q130" s="7" t="n"/>
      <c r="R130" s="7" t="n"/>
      <c r="S130" s="7" t="n"/>
      <c r="T130" s="7" t="n"/>
      <c r="U130" s="12">
        <f>IF(A130="","",IF(H130="","建議填分配模式",""))</f>
        <v/>
      </c>
    </row>
    <row r="131" ht="24" customHeight="1">
      <c r="A131" s="7" t="n"/>
      <c r="B131" s="7" t="n"/>
      <c r="C131" s="7" t="n"/>
      <c r="D131" s="12">
        <f>IF($A131="","",IFERROR(INDEX(土地清冊_匯入!$B$6:$B$1005,MATCH($A131,土地清冊_匯入!$A$6:$A$1005,0)),"查無資料"))</f>
        <v/>
      </c>
      <c r="E131" s="9">
        <f>IF($A131="","",IFERROR(INDEX(土地清冊_匯入!$I$6:$I$1005,MATCH($A131,土地清冊_匯入!$A$6:$A$1005,0)),""))</f>
        <v/>
      </c>
      <c r="F131" s="13">
        <f>IF($A131="","",IFERROR(INDEX(建物清冊_匯入!$N$6:$N$1005,MATCH($A131,建物清冊_匯入!$A$6:$A$1005,0)),""))</f>
        <v/>
      </c>
      <c r="G131" s="9">
        <f>IF($A131="","",IFERROR(INDEX(建物清冊_匯入!$S$6:$S$1005,MATCH($A131,建物清冊_匯入!$A$6:$A$1005,0)),""))</f>
        <v/>
      </c>
      <c r="H131" s="7" t="n"/>
      <c r="I131" s="15" t="n"/>
      <c r="J131" s="16" t="n"/>
      <c r="K131" s="17">
        <f>IF(J131="","",1-J131)</f>
        <v/>
      </c>
      <c r="L131" s="15" t="n"/>
      <c r="M131" s="7" t="n"/>
      <c r="N131" s="7" t="n"/>
      <c r="O131" s="7" t="n"/>
      <c r="P131" s="11" t="n"/>
      <c r="Q131" s="7" t="n"/>
      <c r="R131" s="7" t="n"/>
      <c r="S131" s="7" t="n"/>
      <c r="T131" s="7" t="n"/>
      <c r="U131" s="12">
        <f>IF(A131="","",IF(H131="","建議填分配模式",""))</f>
        <v/>
      </c>
    </row>
    <row r="132" ht="24" customHeight="1">
      <c r="A132" s="7" t="n"/>
      <c r="B132" s="7" t="n"/>
      <c r="C132" s="7" t="n"/>
      <c r="D132" s="12">
        <f>IF($A132="","",IFERROR(INDEX(土地清冊_匯入!$B$6:$B$1005,MATCH($A132,土地清冊_匯入!$A$6:$A$1005,0)),"查無資料"))</f>
        <v/>
      </c>
      <c r="E132" s="9">
        <f>IF($A132="","",IFERROR(INDEX(土地清冊_匯入!$I$6:$I$1005,MATCH($A132,土地清冊_匯入!$A$6:$A$1005,0)),""))</f>
        <v/>
      </c>
      <c r="F132" s="13">
        <f>IF($A132="","",IFERROR(INDEX(建物清冊_匯入!$N$6:$N$1005,MATCH($A132,建物清冊_匯入!$A$6:$A$1005,0)),""))</f>
        <v/>
      </c>
      <c r="G132" s="9">
        <f>IF($A132="","",IFERROR(INDEX(建物清冊_匯入!$S$6:$S$1005,MATCH($A132,建物清冊_匯入!$A$6:$A$1005,0)),""))</f>
        <v/>
      </c>
      <c r="H132" s="7" t="n"/>
      <c r="I132" s="15" t="n"/>
      <c r="J132" s="16" t="n"/>
      <c r="K132" s="17">
        <f>IF(J132="","",1-J132)</f>
        <v/>
      </c>
      <c r="L132" s="15" t="n"/>
      <c r="M132" s="7" t="n"/>
      <c r="N132" s="7" t="n"/>
      <c r="O132" s="7" t="n"/>
      <c r="P132" s="11" t="n"/>
      <c r="Q132" s="7" t="n"/>
      <c r="R132" s="7" t="n"/>
      <c r="S132" s="7" t="n"/>
      <c r="T132" s="7" t="n"/>
      <c r="U132" s="12">
        <f>IF(A132="","",IF(H132="","建議填分配模式",""))</f>
        <v/>
      </c>
    </row>
    <row r="133" ht="24" customHeight="1">
      <c r="A133" s="7" t="n"/>
      <c r="B133" s="7" t="n"/>
      <c r="C133" s="7" t="n"/>
      <c r="D133" s="12">
        <f>IF($A133="","",IFERROR(INDEX(土地清冊_匯入!$B$6:$B$1005,MATCH($A133,土地清冊_匯入!$A$6:$A$1005,0)),"查無資料"))</f>
        <v/>
      </c>
      <c r="E133" s="9">
        <f>IF($A133="","",IFERROR(INDEX(土地清冊_匯入!$I$6:$I$1005,MATCH($A133,土地清冊_匯入!$A$6:$A$1005,0)),""))</f>
        <v/>
      </c>
      <c r="F133" s="13">
        <f>IF($A133="","",IFERROR(INDEX(建物清冊_匯入!$N$6:$N$1005,MATCH($A133,建物清冊_匯入!$A$6:$A$1005,0)),""))</f>
        <v/>
      </c>
      <c r="G133" s="9">
        <f>IF($A133="","",IFERROR(INDEX(建物清冊_匯入!$S$6:$S$1005,MATCH($A133,建物清冊_匯入!$A$6:$A$1005,0)),""))</f>
        <v/>
      </c>
      <c r="H133" s="7" t="n"/>
      <c r="I133" s="15" t="n"/>
      <c r="J133" s="16" t="n"/>
      <c r="K133" s="17">
        <f>IF(J133="","",1-J133)</f>
        <v/>
      </c>
      <c r="L133" s="15" t="n"/>
      <c r="M133" s="7" t="n"/>
      <c r="N133" s="7" t="n"/>
      <c r="O133" s="7" t="n"/>
      <c r="P133" s="11" t="n"/>
      <c r="Q133" s="7" t="n"/>
      <c r="R133" s="7" t="n"/>
      <c r="S133" s="7" t="n"/>
      <c r="T133" s="7" t="n"/>
      <c r="U133" s="12">
        <f>IF(A133="","",IF(H133="","建議填分配模式",""))</f>
        <v/>
      </c>
    </row>
    <row r="134" ht="24" customHeight="1">
      <c r="A134" s="7" t="n"/>
      <c r="B134" s="7" t="n"/>
      <c r="C134" s="7" t="n"/>
      <c r="D134" s="12">
        <f>IF($A134="","",IFERROR(INDEX(土地清冊_匯入!$B$6:$B$1005,MATCH($A134,土地清冊_匯入!$A$6:$A$1005,0)),"查無資料"))</f>
        <v/>
      </c>
      <c r="E134" s="9">
        <f>IF($A134="","",IFERROR(INDEX(土地清冊_匯入!$I$6:$I$1005,MATCH($A134,土地清冊_匯入!$A$6:$A$1005,0)),""))</f>
        <v/>
      </c>
      <c r="F134" s="13">
        <f>IF($A134="","",IFERROR(INDEX(建物清冊_匯入!$N$6:$N$1005,MATCH($A134,建物清冊_匯入!$A$6:$A$1005,0)),""))</f>
        <v/>
      </c>
      <c r="G134" s="9">
        <f>IF($A134="","",IFERROR(INDEX(建物清冊_匯入!$S$6:$S$1005,MATCH($A134,建物清冊_匯入!$A$6:$A$1005,0)),""))</f>
        <v/>
      </c>
      <c r="H134" s="7" t="n"/>
      <c r="I134" s="15" t="n"/>
      <c r="J134" s="16" t="n"/>
      <c r="K134" s="17">
        <f>IF(J134="","",1-J134)</f>
        <v/>
      </c>
      <c r="L134" s="15" t="n"/>
      <c r="M134" s="7" t="n"/>
      <c r="N134" s="7" t="n"/>
      <c r="O134" s="7" t="n"/>
      <c r="P134" s="11" t="n"/>
      <c r="Q134" s="7" t="n"/>
      <c r="R134" s="7" t="n"/>
      <c r="S134" s="7" t="n"/>
      <c r="T134" s="7" t="n"/>
      <c r="U134" s="12">
        <f>IF(A134="","",IF(H134="","建議填分配模式",""))</f>
        <v/>
      </c>
    </row>
    <row r="135" ht="24" customHeight="1">
      <c r="A135" s="7" t="n"/>
      <c r="B135" s="7" t="n"/>
      <c r="C135" s="7" t="n"/>
      <c r="D135" s="12">
        <f>IF($A135="","",IFERROR(INDEX(土地清冊_匯入!$B$6:$B$1005,MATCH($A135,土地清冊_匯入!$A$6:$A$1005,0)),"查無資料"))</f>
        <v/>
      </c>
      <c r="E135" s="9">
        <f>IF($A135="","",IFERROR(INDEX(土地清冊_匯入!$I$6:$I$1005,MATCH($A135,土地清冊_匯入!$A$6:$A$1005,0)),""))</f>
        <v/>
      </c>
      <c r="F135" s="13">
        <f>IF($A135="","",IFERROR(INDEX(建物清冊_匯入!$N$6:$N$1005,MATCH($A135,建物清冊_匯入!$A$6:$A$1005,0)),""))</f>
        <v/>
      </c>
      <c r="G135" s="9">
        <f>IF($A135="","",IFERROR(INDEX(建物清冊_匯入!$S$6:$S$1005,MATCH($A135,建物清冊_匯入!$A$6:$A$1005,0)),""))</f>
        <v/>
      </c>
      <c r="H135" s="7" t="n"/>
      <c r="I135" s="15" t="n"/>
      <c r="J135" s="16" t="n"/>
      <c r="K135" s="17">
        <f>IF(J135="","",1-J135)</f>
        <v/>
      </c>
      <c r="L135" s="15" t="n"/>
      <c r="M135" s="7" t="n"/>
      <c r="N135" s="7" t="n"/>
      <c r="O135" s="7" t="n"/>
      <c r="P135" s="11" t="n"/>
      <c r="Q135" s="7" t="n"/>
      <c r="R135" s="7" t="n"/>
      <c r="S135" s="7" t="n"/>
      <c r="T135" s="7" t="n"/>
      <c r="U135" s="12">
        <f>IF(A135="","",IF(H135="","建議填分配模式",""))</f>
        <v/>
      </c>
    </row>
    <row r="136" ht="24" customHeight="1">
      <c r="A136" s="7" t="n"/>
      <c r="B136" s="7" t="n"/>
      <c r="C136" s="7" t="n"/>
      <c r="D136" s="12">
        <f>IF($A136="","",IFERROR(INDEX(土地清冊_匯入!$B$6:$B$1005,MATCH($A136,土地清冊_匯入!$A$6:$A$1005,0)),"查無資料"))</f>
        <v/>
      </c>
      <c r="E136" s="9">
        <f>IF($A136="","",IFERROR(INDEX(土地清冊_匯入!$I$6:$I$1005,MATCH($A136,土地清冊_匯入!$A$6:$A$1005,0)),""))</f>
        <v/>
      </c>
      <c r="F136" s="13">
        <f>IF($A136="","",IFERROR(INDEX(建物清冊_匯入!$N$6:$N$1005,MATCH($A136,建物清冊_匯入!$A$6:$A$1005,0)),""))</f>
        <v/>
      </c>
      <c r="G136" s="9">
        <f>IF($A136="","",IFERROR(INDEX(建物清冊_匯入!$S$6:$S$1005,MATCH($A136,建物清冊_匯入!$A$6:$A$1005,0)),""))</f>
        <v/>
      </c>
      <c r="H136" s="7" t="n"/>
      <c r="I136" s="15" t="n"/>
      <c r="J136" s="16" t="n"/>
      <c r="K136" s="17">
        <f>IF(J136="","",1-J136)</f>
        <v/>
      </c>
      <c r="L136" s="15" t="n"/>
      <c r="M136" s="7" t="n"/>
      <c r="N136" s="7" t="n"/>
      <c r="O136" s="7" t="n"/>
      <c r="P136" s="11" t="n"/>
      <c r="Q136" s="7" t="n"/>
      <c r="R136" s="7" t="n"/>
      <c r="S136" s="7" t="n"/>
      <c r="T136" s="7" t="n"/>
      <c r="U136" s="12">
        <f>IF(A136="","",IF(H136="","建議填分配模式",""))</f>
        <v/>
      </c>
    </row>
    <row r="137" ht="24" customHeight="1">
      <c r="A137" s="7" t="n"/>
      <c r="B137" s="7" t="n"/>
      <c r="C137" s="7" t="n"/>
      <c r="D137" s="12">
        <f>IF($A137="","",IFERROR(INDEX(土地清冊_匯入!$B$6:$B$1005,MATCH($A137,土地清冊_匯入!$A$6:$A$1005,0)),"查無資料"))</f>
        <v/>
      </c>
      <c r="E137" s="9">
        <f>IF($A137="","",IFERROR(INDEX(土地清冊_匯入!$I$6:$I$1005,MATCH($A137,土地清冊_匯入!$A$6:$A$1005,0)),""))</f>
        <v/>
      </c>
      <c r="F137" s="13">
        <f>IF($A137="","",IFERROR(INDEX(建物清冊_匯入!$N$6:$N$1005,MATCH($A137,建物清冊_匯入!$A$6:$A$1005,0)),""))</f>
        <v/>
      </c>
      <c r="G137" s="9">
        <f>IF($A137="","",IFERROR(INDEX(建物清冊_匯入!$S$6:$S$1005,MATCH($A137,建物清冊_匯入!$A$6:$A$1005,0)),""))</f>
        <v/>
      </c>
      <c r="H137" s="7" t="n"/>
      <c r="I137" s="15" t="n"/>
      <c r="J137" s="16" t="n"/>
      <c r="K137" s="17">
        <f>IF(J137="","",1-J137)</f>
        <v/>
      </c>
      <c r="L137" s="15" t="n"/>
      <c r="M137" s="7" t="n"/>
      <c r="N137" s="7" t="n"/>
      <c r="O137" s="7" t="n"/>
      <c r="P137" s="11" t="n"/>
      <c r="Q137" s="7" t="n"/>
      <c r="R137" s="7" t="n"/>
      <c r="S137" s="7" t="n"/>
      <c r="T137" s="7" t="n"/>
      <c r="U137" s="12">
        <f>IF(A137="","",IF(H137="","建議填分配模式",""))</f>
        <v/>
      </c>
    </row>
    <row r="138" ht="24" customHeight="1">
      <c r="A138" s="7" t="n"/>
      <c r="B138" s="7" t="n"/>
      <c r="C138" s="7" t="n"/>
      <c r="D138" s="12">
        <f>IF($A138="","",IFERROR(INDEX(土地清冊_匯入!$B$6:$B$1005,MATCH($A138,土地清冊_匯入!$A$6:$A$1005,0)),"查無資料"))</f>
        <v/>
      </c>
      <c r="E138" s="9">
        <f>IF($A138="","",IFERROR(INDEX(土地清冊_匯入!$I$6:$I$1005,MATCH($A138,土地清冊_匯入!$A$6:$A$1005,0)),""))</f>
        <v/>
      </c>
      <c r="F138" s="13">
        <f>IF($A138="","",IFERROR(INDEX(建物清冊_匯入!$N$6:$N$1005,MATCH($A138,建物清冊_匯入!$A$6:$A$1005,0)),""))</f>
        <v/>
      </c>
      <c r="G138" s="9">
        <f>IF($A138="","",IFERROR(INDEX(建物清冊_匯入!$S$6:$S$1005,MATCH($A138,建物清冊_匯入!$A$6:$A$1005,0)),""))</f>
        <v/>
      </c>
      <c r="H138" s="7" t="n"/>
      <c r="I138" s="15" t="n"/>
      <c r="J138" s="16" t="n"/>
      <c r="K138" s="17">
        <f>IF(J138="","",1-J138)</f>
        <v/>
      </c>
      <c r="L138" s="15" t="n"/>
      <c r="M138" s="7" t="n"/>
      <c r="N138" s="7" t="n"/>
      <c r="O138" s="7" t="n"/>
      <c r="P138" s="11" t="n"/>
      <c r="Q138" s="7" t="n"/>
      <c r="R138" s="7" t="n"/>
      <c r="S138" s="7" t="n"/>
      <c r="T138" s="7" t="n"/>
      <c r="U138" s="12">
        <f>IF(A138="","",IF(H138="","建議填分配模式",""))</f>
        <v/>
      </c>
    </row>
    <row r="139" ht="24" customHeight="1">
      <c r="A139" s="7" t="n"/>
      <c r="B139" s="7" t="n"/>
      <c r="C139" s="7" t="n"/>
      <c r="D139" s="12">
        <f>IF($A139="","",IFERROR(INDEX(土地清冊_匯入!$B$6:$B$1005,MATCH($A139,土地清冊_匯入!$A$6:$A$1005,0)),"查無資料"))</f>
        <v/>
      </c>
      <c r="E139" s="9">
        <f>IF($A139="","",IFERROR(INDEX(土地清冊_匯入!$I$6:$I$1005,MATCH($A139,土地清冊_匯入!$A$6:$A$1005,0)),""))</f>
        <v/>
      </c>
      <c r="F139" s="13">
        <f>IF($A139="","",IFERROR(INDEX(建物清冊_匯入!$N$6:$N$1005,MATCH($A139,建物清冊_匯入!$A$6:$A$1005,0)),""))</f>
        <v/>
      </c>
      <c r="G139" s="9">
        <f>IF($A139="","",IFERROR(INDEX(建物清冊_匯入!$S$6:$S$1005,MATCH($A139,建物清冊_匯入!$A$6:$A$1005,0)),""))</f>
        <v/>
      </c>
      <c r="H139" s="7" t="n"/>
      <c r="I139" s="15" t="n"/>
      <c r="J139" s="16" t="n"/>
      <c r="K139" s="17">
        <f>IF(J139="","",1-J139)</f>
        <v/>
      </c>
      <c r="L139" s="15" t="n"/>
      <c r="M139" s="7" t="n"/>
      <c r="N139" s="7" t="n"/>
      <c r="O139" s="7" t="n"/>
      <c r="P139" s="11" t="n"/>
      <c r="Q139" s="7" t="n"/>
      <c r="R139" s="7" t="n"/>
      <c r="S139" s="7" t="n"/>
      <c r="T139" s="7" t="n"/>
      <c r="U139" s="12">
        <f>IF(A139="","",IF(H139="","建議填分配模式",""))</f>
        <v/>
      </c>
    </row>
    <row r="140" ht="24" customHeight="1">
      <c r="A140" s="7" t="n"/>
      <c r="B140" s="7" t="n"/>
      <c r="C140" s="7" t="n"/>
      <c r="D140" s="12">
        <f>IF($A140="","",IFERROR(INDEX(土地清冊_匯入!$B$6:$B$1005,MATCH($A140,土地清冊_匯入!$A$6:$A$1005,0)),"查無資料"))</f>
        <v/>
      </c>
      <c r="E140" s="9">
        <f>IF($A140="","",IFERROR(INDEX(土地清冊_匯入!$I$6:$I$1005,MATCH($A140,土地清冊_匯入!$A$6:$A$1005,0)),""))</f>
        <v/>
      </c>
      <c r="F140" s="13">
        <f>IF($A140="","",IFERROR(INDEX(建物清冊_匯入!$N$6:$N$1005,MATCH($A140,建物清冊_匯入!$A$6:$A$1005,0)),""))</f>
        <v/>
      </c>
      <c r="G140" s="9">
        <f>IF($A140="","",IFERROR(INDEX(建物清冊_匯入!$S$6:$S$1005,MATCH($A140,建物清冊_匯入!$A$6:$A$1005,0)),""))</f>
        <v/>
      </c>
      <c r="H140" s="7" t="n"/>
      <c r="I140" s="15" t="n"/>
      <c r="J140" s="16" t="n"/>
      <c r="K140" s="17">
        <f>IF(J140="","",1-J140)</f>
        <v/>
      </c>
      <c r="L140" s="15" t="n"/>
      <c r="M140" s="7" t="n"/>
      <c r="N140" s="7" t="n"/>
      <c r="O140" s="7" t="n"/>
      <c r="P140" s="11" t="n"/>
      <c r="Q140" s="7" t="n"/>
      <c r="R140" s="7" t="n"/>
      <c r="S140" s="7" t="n"/>
      <c r="T140" s="7" t="n"/>
      <c r="U140" s="12">
        <f>IF(A140="","",IF(H140="","建議填分配模式",""))</f>
        <v/>
      </c>
    </row>
    <row r="141" ht="24" customHeight="1">
      <c r="A141" s="7" t="n"/>
      <c r="B141" s="7" t="n"/>
      <c r="C141" s="7" t="n"/>
      <c r="D141" s="12">
        <f>IF($A141="","",IFERROR(INDEX(土地清冊_匯入!$B$6:$B$1005,MATCH($A141,土地清冊_匯入!$A$6:$A$1005,0)),"查無資料"))</f>
        <v/>
      </c>
      <c r="E141" s="9">
        <f>IF($A141="","",IFERROR(INDEX(土地清冊_匯入!$I$6:$I$1005,MATCH($A141,土地清冊_匯入!$A$6:$A$1005,0)),""))</f>
        <v/>
      </c>
      <c r="F141" s="13">
        <f>IF($A141="","",IFERROR(INDEX(建物清冊_匯入!$N$6:$N$1005,MATCH($A141,建物清冊_匯入!$A$6:$A$1005,0)),""))</f>
        <v/>
      </c>
      <c r="G141" s="9">
        <f>IF($A141="","",IFERROR(INDEX(建物清冊_匯入!$S$6:$S$1005,MATCH($A141,建物清冊_匯入!$A$6:$A$1005,0)),""))</f>
        <v/>
      </c>
      <c r="H141" s="7" t="n"/>
      <c r="I141" s="15" t="n"/>
      <c r="J141" s="16" t="n"/>
      <c r="K141" s="17">
        <f>IF(J141="","",1-J141)</f>
        <v/>
      </c>
      <c r="L141" s="15" t="n"/>
      <c r="M141" s="7" t="n"/>
      <c r="N141" s="7" t="n"/>
      <c r="O141" s="7" t="n"/>
      <c r="P141" s="11" t="n"/>
      <c r="Q141" s="7" t="n"/>
      <c r="R141" s="7" t="n"/>
      <c r="S141" s="7" t="n"/>
      <c r="T141" s="7" t="n"/>
      <c r="U141" s="12">
        <f>IF(A141="","",IF(H141="","建議填分配模式",""))</f>
        <v/>
      </c>
    </row>
    <row r="142" ht="24" customHeight="1">
      <c r="A142" s="7" t="n"/>
      <c r="B142" s="7" t="n"/>
      <c r="C142" s="7" t="n"/>
      <c r="D142" s="12">
        <f>IF($A142="","",IFERROR(INDEX(土地清冊_匯入!$B$6:$B$1005,MATCH($A142,土地清冊_匯入!$A$6:$A$1005,0)),"查無資料"))</f>
        <v/>
      </c>
      <c r="E142" s="9">
        <f>IF($A142="","",IFERROR(INDEX(土地清冊_匯入!$I$6:$I$1005,MATCH($A142,土地清冊_匯入!$A$6:$A$1005,0)),""))</f>
        <v/>
      </c>
      <c r="F142" s="13">
        <f>IF($A142="","",IFERROR(INDEX(建物清冊_匯入!$N$6:$N$1005,MATCH($A142,建物清冊_匯入!$A$6:$A$1005,0)),""))</f>
        <v/>
      </c>
      <c r="G142" s="9">
        <f>IF($A142="","",IFERROR(INDEX(建物清冊_匯入!$S$6:$S$1005,MATCH($A142,建物清冊_匯入!$A$6:$A$1005,0)),""))</f>
        <v/>
      </c>
      <c r="H142" s="7" t="n"/>
      <c r="I142" s="15" t="n"/>
      <c r="J142" s="16" t="n"/>
      <c r="K142" s="17">
        <f>IF(J142="","",1-J142)</f>
        <v/>
      </c>
      <c r="L142" s="15" t="n"/>
      <c r="M142" s="7" t="n"/>
      <c r="N142" s="7" t="n"/>
      <c r="O142" s="7" t="n"/>
      <c r="P142" s="11" t="n"/>
      <c r="Q142" s="7" t="n"/>
      <c r="R142" s="7" t="n"/>
      <c r="S142" s="7" t="n"/>
      <c r="T142" s="7" t="n"/>
      <c r="U142" s="12">
        <f>IF(A142="","",IF(H142="","建議填分配模式",""))</f>
        <v/>
      </c>
    </row>
    <row r="143" ht="24" customHeight="1">
      <c r="A143" s="7" t="n"/>
      <c r="B143" s="7" t="n"/>
      <c r="C143" s="7" t="n"/>
      <c r="D143" s="12">
        <f>IF($A143="","",IFERROR(INDEX(土地清冊_匯入!$B$6:$B$1005,MATCH($A143,土地清冊_匯入!$A$6:$A$1005,0)),"查無資料"))</f>
        <v/>
      </c>
      <c r="E143" s="9">
        <f>IF($A143="","",IFERROR(INDEX(土地清冊_匯入!$I$6:$I$1005,MATCH($A143,土地清冊_匯入!$A$6:$A$1005,0)),""))</f>
        <v/>
      </c>
      <c r="F143" s="13">
        <f>IF($A143="","",IFERROR(INDEX(建物清冊_匯入!$N$6:$N$1005,MATCH($A143,建物清冊_匯入!$A$6:$A$1005,0)),""))</f>
        <v/>
      </c>
      <c r="G143" s="9">
        <f>IF($A143="","",IFERROR(INDEX(建物清冊_匯入!$S$6:$S$1005,MATCH($A143,建物清冊_匯入!$A$6:$A$1005,0)),""))</f>
        <v/>
      </c>
      <c r="H143" s="7" t="n"/>
      <c r="I143" s="15" t="n"/>
      <c r="J143" s="16" t="n"/>
      <c r="K143" s="17">
        <f>IF(J143="","",1-J143)</f>
        <v/>
      </c>
      <c r="L143" s="15" t="n"/>
      <c r="M143" s="7" t="n"/>
      <c r="N143" s="7" t="n"/>
      <c r="O143" s="7" t="n"/>
      <c r="P143" s="11" t="n"/>
      <c r="Q143" s="7" t="n"/>
      <c r="R143" s="7" t="n"/>
      <c r="S143" s="7" t="n"/>
      <c r="T143" s="7" t="n"/>
      <c r="U143" s="12">
        <f>IF(A143="","",IF(H143="","建議填分配模式",""))</f>
        <v/>
      </c>
    </row>
    <row r="144" ht="24" customHeight="1">
      <c r="A144" s="7" t="n"/>
      <c r="B144" s="7" t="n"/>
      <c r="C144" s="7" t="n"/>
      <c r="D144" s="12">
        <f>IF($A144="","",IFERROR(INDEX(土地清冊_匯入!$B$6:$B$1005,MATCH($A144,土地清冊_匯入!$A$6:$A$1005,0)),"查無資料"))</f>
        <v/>
      </c>
      <c r="E144" s="9">
        <f>IF($A144="","",IFERROR(INDEX(土地清冊_匯入!$I$6:$I$1005,MATCH($A144,土地清冊_匯入!$A$6:$A$1005,0)),""))</f>
        <v/>
      </c>
      <c r="F144" s="13">
        <f>IF($A144="","",IFERROR(INDEX(建物清冊_匯入!$N$6:$N$1005,MATCH($A144,建物清冊_匯入!$A$6:$A$1005,0)),""))</f>
        <v/>
      </c>
      <c r="G144" s="9">
        <f>IF($A144="","",IFERROR(INDEX(建物清冊_匯入!$S$6:$S$1005,MATCH($A144,建物清冊_匯入!$A$6:$A$1005,0)),""))</f>
        <v/>
      </c>
      <c r="H144" s="7" t="n"/>
      <c r="I144" s="15" t="n"/>
      <c r="J144" s="16" t="n"/>
      <c r="K144" s="17">
        <f>IF(J144="","",1-J144)</f>
        <v/>
      </c>
      <c r="L144" s="15" t="n"/>
      <c r="M144" s="7" t="n"/>
      <c r="N144" s="7" t="n"/>
      <c r="O144" s="7" t="n"/>
      <c r="P144" s="11" t="n"/>
      <c r="Q144" s="7" t="n"/>
      <c r="R144" s="7" t="n"/>
      <c r="S144" s="7" t="n"/>
      <c r="T144" s="7" t="n"/>
      <c r="U144" s="12">
        <f>IF(A144="","",IF(H144="","建議填分配模式",""))</f>
        <v/>
      </c>
    </row>
    <row r="145" ht="24" customHeight="1">
      <c r="A145" s="7" t="n"/>
      <c r="B145" s="7" t="n"/>
      <c r="C145" s="7" t="n"/>
      <c r="D145" s="12">
        <f>IF($A145="","",IFERROR(INDEX(土地清冊_匯入!$B$6:$B$1005,MATCH($A145,土地清冊_匯入!$A$6:$A$1005,0)),"查無資料"))</f>
        <v/>
      </c>
      <c r="E145" s="9">
        <f>IF($A145="","",IFERROR(INDEX(土地清冊_匯入!$I$6:$I$1005,MATCH($A145,土地清冊_匯入!$A$6:$A$1005,0)),""))</f>
        <v/>
      </c>
      <c r="F145" s="13">
        <f>IF($A145="","",IFERROR(INDEX(建物清冊_匯入!$N$6:$N$1005,MATCH($A145,建物清冊_匯入!$A$6:$A$1005,0)),""))</f>
        <v/>
      </c>
      <c r="G145" s="9">
        <f>IF($A145="","",IFERROR(INDEX(建物清冊_匯入!$S$6:$S$1005,MATCH($A145,建物清冊_匯入!$A$6:$A$1005,0)),""))</f>
        <v/>
      </c>
      <c r="H145" s="7" t="n"/>
      <c r="I145" s="15" t="n"/>
      <c r="J145" s="16" t="n"/>
      <c r="K145" s="17">
        <f>IF(J145="","",1-J145)</f>
        <v/>
      </c>
      <c r="L145" s="15" t="n"/>
      <c r="M145" s="7" t="n"/>
      <c r="N145" s="7" t="n"/>
      <c r="O145" s="7" t="n"/>
      <c r="P145" s="11" t="n"/>
      <c r="Q145" s="7" t="n"/>
      <c r="R145" s="7" t="n"/>
      <c r="S145" s="7" t="n"/>
      <c r="T145" s="7" t="n"/>
      <c r="U145" s="12">
        <f>IF(A145="","",IF(H145="","建議填分配模式",""))</f>
        <v/>
      </c>
    </row>
    <row r="146" ht="24" customHeight="1">
      <c r="A146" s="7" t="n"/>
      <c r="B146" s="7" t="n"/>
      <c r="C146" s="7" t="n"/>
      <c r="D146" s="12">
        <f>IF($A146="","",IFERROR(INDEX(土地清冊_匯入!$B$6:$B$1005,MATCH($A146,土地清冊_匯入!$A$6:$A$1005,0)),"查無資料"))</f>
        <v/>
      </c>
      <c r="E146" s="9">
        <f>IF($A146="","",IFERROR(INDEX(土地清冊_匯入!$I$6:$I$1005,MATCH($A146,土地清冊_匯入!$A$6:$A$1005,0)),""))</f>
        <v/>
      </c>
      <c r="F146" s="13">
        <f>IF($A146="","",IFERROR(INDEX(建物清冊_匯入!$N$6:$N$1005,MATCH($A146,建物清冊_匯入!$A$6:$A$1005,0)),""))</f>
        <v/>
      </c>
      <c r="G146" s="9">
        <f>IF($A146="","",IFERROR(INDEX(建物清冊_匯入!$S$6:$S$1005,MATCH($A146,建物清冊_匯入!$A$6:$A$1005,0)),""))</f>
        <v/>
      </c>
      <c r="H146" s="7" t="n"/>
      <c r="I146" s="15" t="n"/>
      <c r="J146" s="16" t="n"/>
      <c r="K146" s="17">
        <f>IF(J146="","",1-J146)</f>
        <v/>
      </c>
      <c r="L146" s="15" t="n"/>
      <c r="M146" s="7" t="n"/>
      <c r="N146" s="7" t="n"/>
      <c r="O146" s="7" t="n"/>
      <c r="P146" s="11" t="n"/>
      <c r="Q146" s="7" t="n"/>
      <c r="R146" s="7" t="n"/>
      <c r="S146" s="7" t="n"/>
      <c r="T146" s="7" t="n"/>
      <c r="U146" s="12">
        <f>IF(A146="","",IF(H146="","建議填分配模式",""))</f>
        <v/>
      </c>
    </row>
    <row r="147" ht="24" customHeight="1">
      <c r="A147" s="7" t="n"/>
      <c r="B147" s="7" t="n"/>
      <c r="C147" s="7" t="n"/>
      <c r="D147" s="12">
        <f>IF($A147="","",IFERROR(INDEX(土地清冊_匯入!$B$6:$B$1005,MATCH($A147,土地清冊_匯入!$A$6:$A$1005,0)),"查無資料"))</f>
        <v/>
      </c>
      <c r="E147" s="9">
        <f>IF($A147="","",IFERROR(INDEX(土地清冊_匯入!$I$6:$I$1005,MATCH($A147,土地清冊_匯入!$A$6:$A$1005,0)),""))</f>
        <v/>
      </c>
      <c r="F147" s="13">
        <f>IF($A147="","",IFERROR(INDEX(建物清冊_匯入!$N$6:$N$1005,MATCH($A147,建物清冊_匯入!$A$6:$A$1005,0)),""))</f>
        <v/>
      </c>
      <c r="G147" s="9">
        <f>IF($A147="","",IFERROR(INDEX(建物清冊_匯入!$S$6:$S$1005,MATCH($A147,建物清冊_匯入!$A$6:$A$1005,0)),""))</f>
        <v/>
      </c>
      <c r="H147" s="7" t="n"/>
      <c r="I147" s="15" t="n"/>
      <c r="J147" s="16" t="n"/>
      <c r="K147" s="17">
        <f>IF(J147="","",1-J147)</f>
        <v/>
      </c>
      <c r="L147" s="15" t="n"/>
      <c r="M147" s="7" t="n"/>
      <c r="N147" s="7" t="n"/>
      <c r="O147" s="7" t="n"/>
      <c r="P147" s="11" t="n"/>
      <c r="Q147" s="7" t="n"/>
      <c r="R147" s="7" t="n"/>
      <c r="S147" s="7" t="n"/>
      <c r="T147" s="7" t="n"/>
      <c r="U147" s="12">
        <f>IF(A147="","",IF(H147="","建議填分配模式",""))</f>
        <v/>
      </c>
    </row>
    <row r="148" ht="24" customHeight="1">
      <c r="A148" s="7" t="n"/>
      <c r="B148" s="7" t="n"/>
      <c r="C148" s="7" t="n"/>
      <c r="D148" s="12">
        <f>IF($A148="","",IFERROR(INDEX(土地清冊_匯入!$B$6:$B$1005,MATCH($A148,土地清冊_匯入!$A$6:$A$1005,0)),"查無資料"))</f>
        <v/>
      </c>
      <c r="E148" s="9">
        <f>IF($A148="","",IFERROR(INDEX(土地清冊_匯入!$I$6:$I$1005,MATCH($A148,土地清冊_匯入!$A$6:$A$1005,0)),""))</f>
        <v/>
      </c>
      <c r="F148" s="13">
        <f>IF($A148="","",IFERROR(INDEX(建物清冊_匯入!$N$6:$N$1005,MATCH($A148,建物清冊_匯入!$A$6:$A$1005,0)),""))</f>
        <v/>
      </c>
      <c r="G148" s="9">
        <f>IF($A148="","",IFERROR(INDEX(建物清冊_匯入!$S$6:$S$1005,MATCH($A148,建物清冊_匯入!$A$6:$A$1005,0)),""))</f>
        <v/>
      </c>
      <c r="H148" s="7" t="n"/>
      <c r="I148" s="15" t="n"/>
      <c r="J148" s="16" t="n"/>
      <c r="K148" s="17">
        <f>IF(J148="","",1-J148)</f>
        <v/>
      </c>
      <c r="L148" s="15" t="n"/>
      <c r="M148" s="7" t="n"/>
      <c r="N148" s="7" t="n"/>
      <c r="O148" s="7" t="n"/>
      <c r="P148" s="11" t="n"/>
      <c r="Q148" s="7" t="n"/>
      <c r="R148" s="7" t="n"/>
      <c r="S148" s="7" t="n"/>
      <c r="T148" s="7" t="n"/>
      <c r="U148" s="12">
        <f>IF(A148="","",IF(H148="","建議填分配模式",""))</f>
        <v/>
      </c>
    </row>
    <row r="149" ht="24" customHeight="1">
      <c r="A149" s="7" t="n"/>
      <c r="B149" s="7" t="n"/>
      <c r="C149" s="7" t="n"/>
      <c r="D149" s="12">
        <f>IF($A149="","",IFERROR(INDEX(土地清冊_匯入!$B$6:$B$1005,MATCH($A149,土地清冊_匯入!$A$6:$A$1005,0)),"查無資料"))</f>
        <v/>
      </c>
      <c r="E149" s="9">
        <f>IF($A149="","",IFERROR(INDEX(土地清冊_匯入!$I$6:$I$1005,MATCH($A149,土地清冊_匯入!$A$6:$A$1005,0)),""))</f>
        <v/>
      </c>
      <c r="F149" s="13">
        <f>IF($A149="","",IFERROR(INDEX(建物清冊_匯入!$N$6:$N$1005,MATCH($A149,建物清冊_匯入!$A$6:$A$1005,0)),""))</f>
        <v/>
      </c>
      <c r="G149" s="9">
        <f>IF($A149="","",IFERROR(INDEX(建物清冊_匯入!$S$6:$S$1005,MATCH($A149,建物清冊_匯入!$A$6:$A$1005,0)),""))</f>
        <v/>
      </c>
      <c r="H149" s="7" t="n"/>
      <c r="I149" s="15" t="n"/>
      <c r="J149" s="16" t="n"/>
      <c r="K149" s="17">
        <f>IF(J149="","",1-J149)</f>
        <v/>
      </c>
      <c r="L149" s="15" t="n"/>
      <c r="M149" s="7" t="n"/>
      <c r="N149" s="7" t="n"/>
      <c r="O149" s="7" t="n"/>
      <c r="P149" s="11" t="n"/>
      <c r="Q149" s="7" t="n"/>
      <c r="R149" s="7" t="n"/>
      <c r="S149" s="7" t="n"/>
      <c r="T149" s="7" t="n"/>
      <c r="U149" s="12">
        <f>IF(A149="","",IF(H149="","建議填分配模式",""))</f>
        <v/>
      </c>
    </row>
    <row r="150" ht="24" customHeight="1">
      <c r="A150" s="7" t="n"/>
      <c r="B150" s="7" t="n"/>
      <c r="C150" s="7" t="n"/>
      <c r="D150" s="12">
        <f>IF($A150="","",IFERROR(INDEX(土地清冊_匯入!$B$6:$B$1005,MATCH($A150,土地清冊_匯入!$A$6:$A$1005,0)),"查無資料"))</f>
        <v/>
      </c>
      <c r="E150" s="9">
        <f>IF($A150="","",IFERROR(INDEX(土地清冊_匯入!$I$6:$I$1005,MATCH($A150,土地清冊_匯入!$A$6:$A$1005,0)),""))</f>
        <v/>
      </c>
      <c r="F150" s="13">
        <f>IF($A150="","",IFERROR(INDEX(建物清冊_匯入!$N$6:$N$1005,MATCH($A150,建物清冊_匯入!$A$6:$A$1005,0)),""))</f>
        <v/>
      </c>
      <c r="G150" s="9">
        <f>IF($A150="","",IFERROR(INDEX(建物清冊_匯入!$S$6:$S$1005,MATCH($A150,建物清冊_匯入!$A$6:$A$1005,0)),""))</f>
        <v/>
      </c>
      <c r="H150" s="7" t="n"/>
      <c r="I150" s="15" t="n"/>
      <c r="J150" s="16" t="n"/>
      <c r="K150" s="17">
        <f>IF(J150="","",1-J150)</f>
        <v/>
      </c>
      <c r="L150" s="15" t="n"/>
      <c r="M150" s="7" t="n"/>
      <c r="N150" s="7" t="n"/>
      <c r="O150" s="7" t="n"/>
      <c r="P150" s="11" t="n"/>
      <c r="Q150" s="7" t="n"/>
      <c r="R150" s="7" t="n"/>
      <c r="S150" s="7" t="n"/>
      <c r="T150" s="7" t="n"/>
      <c r="U150" s="12">
        <f>IF(A150="","",IF(H150="","建議填分配模式",""))</f>
        <v/>
      </c>
    </row>
    <row r="151" ht="24" customHeight="1">
      <c r="A151" s="7" t="n"/>
      <c r="B151" s="7" t="n"/>
      <c r="C151" s="7" t="n"/>
      <c r="D151" s="12">
        <f>IF($A151="","",IFERROR(INDEX(土地清冊_匯入!$B$6:$B$1005,MATCH($A151,土地清冊_匯入!$A$6:$A$1005,0)),"查無資料"))</f>
        <v/>
      </c>
      <c r="E151" s="9">
        <f>IF($A151="","",IFERROR(INDEX(土地清冊_匯入!$I$6:$I$1005,MATCH($A151,土地清冊_匯入!$A$6:$A$1005,0)),""))</f>
        <v/>
      </c>
      <c r="F151" s="13">
        <f>IF($A151="","",IFERROR(INDEX(建物清冊_匯入!$N$6:$N$1005,MATCH($A151,建物清冊_匯入!$A$6:$A$1005,0)),""))</f>
        <v/>
      </c>
      <c r="G151" s="9">
        <f>IF($A151="","",IFERROR(INDEX(建物清冊_匯入!$S$6:$S$1005,MATCH($A151,建物清冊_匯入!$A$6:$A$1005,0)),""))</f>
        <v/>
      </c>
      <c r="H151" s="7" t="n"/>
      <c r="I151" s="15" t="n"/>
      <c r="J151" s="16" t="n"/>
      <c r="K151" s="17">
        <f>IF(J151="","",1-J151)</f>
        <v/>
      </c>
      <c r="L151" s="15" t="n"/>
      <c r="M151" s="7" t="n"/>
      <c r="N151" s="7" t="n"/>
      <c r="O151" s="7" t="n"/>
      <c r="P151" s="11" t="n"/>
      <c r="Q151" s="7" t="n"/>
      <c r="R151" s="7" t="n"/>
      <c r="S151" s="7" t="n"/>
      <c r="T151" s="7" t="n"/>
      <c r="U151" s="12">
        <f>IF(A151="","",IF(H151="","建議填分配模式",""))</f>
        <v/>
      </c>
    </row>
    <row r="152" ht="24" customHeight="1">
      <c r="A152" s="7" t="n"/>
      <c r="B152" s="7" t="n"/>
      <c r="C152" s="7" t="n"/>
      <c r="D152" s="12">
        <f>IF($A152="","",IFERROR(INDEX(土地清冊_匯入!$B$6:$B$1005,MATCH($A152,土地清冊_匯入!$A$6:$A$1005,0)),"查無資料"))</f>
        <v/>
      </c>
      <c r="E152" s="9">
        <f>IF($A152="","",IFERROR(INDEX(土地清冊_匯入!$I$6:$I$1005,MATCH($A152,土地清冊_匯入!$A$6:$A$1005,0)),""))</f>
        <v/>
      </c>
      <c r="F152" s="13">
        <f>IF($A152="","",IFERROR(INDEX(建物清冊_匯入!$N$6:$N$1005,MATCH($A152,建物清冊_匯入!$A$6:$A$1005,0)),""))</f>
        <v/>
      </c>
      <c r="G152" s="9">
        <f>IF($A152="","",IFERROR(INDEX(建物清冊_匯入!$S$6:$S$1005,MATCH($A152,建物清冊_匯入!$A$6:$A$1005,0)),""))</f>
        <v/>
      </c>
      <c r="H152" s="7" t="n"/>
      <c r="I152" s="15" t="n"/>
      <c r="J152" s="16" t="n"/>
      <c r="K152" s="17">
        <f>IF(J152="","",1-J152)</f>
        <v/>
      </c>
      <c r="L152" s="15" t="n"/>
      <c r="M152" s="7" t="n"/>
      <c r="N152" s="7" t="n"/>
      <c r="O152" s="7" t="n"/>
      <c r="P152" s="11" t="n"/>
      <c r="Q152" s="7" t="n"/>
      <c r="R152" s="7" t="n"/>
      <c r="S152" s="7" t="n"/>
      <c r="T152" s="7" t="n"/>
      <c r="U152" s="12">
        <f>IF(A152="","",IF(H152="","建議填分配模式",""))</f>
        <v/>
      </c>
    </row>
    <row r="153" ht="24" customHeight="1">
      <c r="A153" s="7" t="n"/>
      <c r="B153" s="7" t="n"/>
      <c r="C153" s="7" t="n"/>
      <c r="D153" s="12">
        <f>IF($A153="","",IFERROR(INDEX(土地清冊_匯入!$B$6:$B$1005,MATCH($A153,土地清冊_匯入!$A$6:$A$1005,0)),"查無資料"))</f>
        <v/>
      </c>
      <c r="E153" s="9">
        <f>IF($A153="","",IFERROR(INDEX(土地清冊_匯入!$I$6:$I$1005,MATCH($A153,土地清冊_匯入!$A$6:$A$1005,0)),""))</f>
        <v/>
      </c>
      <c r="F153" s="13">
        <f>IF($A153="","",IFERROR(INDEX(建物清冊_匯入!$N$6:$N$1005,MATCH($A153,建物清冊_匯入!$A$6:$A$1005,0)),""))</f>
        <v/>
      </c>
      <c r="G153" s="9">
        <f>IF($A153="","",IFERROR(INDEX(建物清冊_匯入!$S$6:$S$1005,MATCH($A153,建物清冊_匯入!$A$6:$A$1005,0)),""))</f>
        <v/>
      </c>
      <c r="H153" s="7" t="n"/>
      <c r="I153" s="15" t="n"/>
      <c r="J153" s="16" t="n"/>
      <c r="K153" s="17">
        <f>IF(J153="","",1-J153)</f>
        <v/>
      </c>
      <c r="L153" s="15" t="n"/>
      <c r="M153" s="7" t="n"/>
      <c r="N153" s="7" t="n"/>
      <c r="O153" s="7" t="n"/>
      <c r="P153" s="11" t="n"/>
      <c r="Q153" s="7" t="n"/>
      <c r="R153" s="7" t="n"/>
      <c r="S153" s="7" t="n"/>
      <c r="T153" s="7" t="n"/>
      <c r="U153" s="12">
        <f>IF(A153="","",IF(H153="","建議填分配模式",""))</f>
        <v/>
      </c>
    </row>
    <row r="154" ht="24" customHeight="1">
      <c r="A154" s="7" t="n"/>
      <c r="B154" s="7" t="n"/>
      <c r="C154" s="7" t="n"/>
      <c r="D154" s="12">
        <f>IF($A154="","",IFERROR(INDEX(土地清冊_匯入!$B$6:$B$1005,MATCH($A154,土地清冊_匯入!$A$6:$A$1005,0)),"查無資料"))</f>
        <v/>
      </c>
      <c r="E154" s="9">
        <f>IF($A154="","",IFERROR(INDEX(土地清冊_匯入!$I$6:$I$1005,MATCH($A154,土地清冊_匯入!$A$6:$A$1005,0)),""))</f>
        <v/>
      </c>
      <c r="F154" s="13">
        <f>IF($A154="","",IFERROR(INDEX(建物清冊_匯入!$N$6:$N$1005,MATCH($A154,建物清冊_匯入!$A$6:$A$1005,0)),""))</f>
        <v/>
      </c>
      <c r="G154" s="9">
        <f>IF($A154="","",IFERROR(INDEX(建物清冊_匯入!$S$6:$S$1005,MATCH($A154,建物清冊_匯入!$A$6:$A$1005,0)),""))</f>
        <v/>
      </c>
      <c r="H154" s="7" t="n"/>
      <c r="I154" s="15" t="n"/>
      <c r="J154" s="16" t="n"/>
      <c r="K154" s="17">
        <f>IF(J154="","",1-J154)</f>
        <v/>
      </c>
      <c r="L154" s="15" t="n"/>
      <c r="M154" s="7" t="n"/>
      <c r="N154" s="7" t="n"/>
      <c r="O154" s="7" t="n"/>
      <c r="P154" s="11" t="n"/>
      <c r="Q154" s="7" t="n"/>
      <c r="R154" s="7" t="n"/>
      <c r="S154" s="7" t="n"/>
      <c r="T154" s="7" t="n"/>
      <c r="U154" s="12">
        <f>IF(A154="","",IF(H154="","建議填分配模式",""))</f>
        <v/>
      </c>
    </row>
    <row r="155" ht="24" customHeight="1">
      <c r="A155" s="7" t="n"/>
      <c r="B155" s="7" t="n"/>
      <c r="C155" s="7" t="n"/>
      <c r="D155" s="12">
        <f>IF($A155="","",IFERROR(INDEX(土地清冊_匯入!$B$6:$B$1005,MATCH($A155,土地清冊_匯入!$A$6:$A$1005,0)),"查無資料"))</f>
        <v/>
      </c>
      <c r="E155" s="9">
        <f>IF($A155="","",IFERROR(INDEX(土地清冊_匯入!$I$6:$I$1005,MATCH($A155,土地清冊_匯入!$A$6:$A$1005,0)),""))</f>
        <v/>
      </c>
      <c r="F155" s="13">
        <f>IF($A155="","",IFERROR(INDEX(建物清冊_匯入!$N$6:$N$1005,MATCH($A155,建物清冊_匯入!$A$6:$A$1005,0)),""))</f>
        <v/>
      </c>
      <c r="G155" s="9">
        <f>IF($A155="","",IFERROR(INDEX(建物清冊_匯入!$S$6:$S$1005,MATCH($A155,建物清冊_匯入!$A$6:$A$1005,0)),""))</f>
        <v/>
      </c>
      <c r="H155" s="7" t="n"/>
      <c r="I155" s="15" t="n"/>
      <c r="J155" s="16" t="n"/>
      <c r="K155" s="17">
        <f>IF(J155="","",1-J155)</f>
        <v/>
      </c>
      <c r="L155" s="15" t="n"/>
      <c r="M155" s="7" t="n"/>
      <c r="N155" s="7" t="n"/>
      <c r="O155" s="7" t="n"/>
      <c r="P155" s="11" t="n"/>
      <c r="Q155" s="7" t="n"/>
      <c r="R155" s="7" t="n"/>
      <c r="S155" s="7" t="n"/>
      <c r="T155" s="7" t="n"/>
      <c r="U155" s="12">
        <f>IF(A155="","",IF(H155="","建議填分配模式",""))</f>
        <v/>
      </c>
    </row>
    <row r="156" ht="24" customHeight="1">
      <c r="A156" s="7" t="n"/>
      <c r="B156" s="7" t="n"/>
      <c r="C156" s="7" t="n"/>
      <c r="D156" s="12">
        <f>IF($A156="","",IFERROR(INDEX(土地清冊_匯入!$B$6:$B$1005,MATCH($A156,土地清冊_匯入!$A$6:$A$1005,0)),"查無資料"))</f>
        <v/>
      </c>
      <c r="E156" s="9">
        <f>IF($A156="","",IFERROR(INDEX(土地清冊_匯入!$I$6:$I$1005,MATCH($A156,土地清冊_匯入!$A$6:$A$1005,0)),""))</f>
        <v/>
      </c>
      <c r="F156" s="13">
        <f>IF($A156="","",IFERROR(INDEX(建物清冊_匯入!$N$6:$N$1005,MATCH($A156,建物清冊_匯入!$A$6:$A$1005,0)),""))</f>
        <v/>
      </c>
      <c r="G156" s="9">
        <f>IF($A156="","",IFERROR(INDEX(建物清冊_匯入!$S$6:$S$1005,MATCH($A156,建物清冊_匯入!$A$6:$A$1005,0)),""))</f>
        <v/>
      </c>
      <c r="H156" s="7" t="n"/>
      <c r="I156" s="15" t="n"/>
      <c r="J156" s="16" t="n"/>
      <c r="K156" s="17">
        <f>IF(J156="","",1-J156)</f>
        <v/>
      </c>
      <c r="L156" s="15" t="n"/>
      <c r="M156" s="7" t="n"/>
      <c r="N156" s="7" t="n"/>
      <c r="O156" s="7" t="n"/>
      <c r="P156" s="11" t="n"/>
      <c r="Q156" s="7" t="n"/>
      <c r="R156" s="7" t="n"/>
      <c r="S156" s="7" t="n"/>
      <c r="T156" s="7" t="n"/>
      <c r="U156" s="12">
        <f>IF(A156="","",IF(H156="","建議填分配模式",""))</f>
        <v/>
      </c>
    </row>
    <row r="157" ht="24" customHeight="1">
      <c r="A157" s="7" t="n"/>
      <c r="B157" s="7" t="n"/>
      <c r="C157" s="7" t="n"/>
      <c r="D157" s="12">
        <f>IF($A157="","",IFERROR(INDEX(土地清冊_匯入!$B$6:$B$1005,MATCH($A157,土地清冊_匯入!$A$6:$A$1005,0)),"查無資料"))</f>
        <v/>
      </c>
      <c r="E157" s="9">
        <f>IF($A157="","",IFERROR(INDEX(土地清冊_匯入!$I$6:$I$1005,MATCH($A157,土地清冊_匯入!$A$6:$A$1005,0)),""))</f>
        <v/>
      </c>
      <c r="F157" s="13">
        <f>IF($A157="","",IFERROR(INDEX(建物清冊_匯入!$N$6:$N$1005,MATCH($A157,建物清冊_匯入!$A$6:$A$1005,0)),""))</f>
        <v/>
      </c>
      <c r="G157" s="9">
        <f>IF($A157="","",IFERROR(INDEX(建物清冊_匯入!$S$6:$S$1005,MATCH($A157,建物清冊_匯入!$A$6:$A$1005,0)),""))</f>
        <v/>
      </c>
      <c r="H157" s="7" t="n"/>
      <c r="I157" s="15" t="n"/>
      <c r="J157" s="16" t="n"/>
      <c r="K157" s="17">
        <f>IF(J157="","",1-J157)</f>
        <v/>
      </c>
      <c r="L157" s="15" t="n"/>
      <c r="M157" s="7" t="n"/>
      <c r="N157" s="7" t="n"/>
      <c r="O157" s="7" t="n"/>
      <c r="P157" s="11" t="n"/>
      <c r="Q157" s="7" t="n"/>
      <c r="R157" s="7" t="n"/>
      <c r="S157" s="7" t="n"/>
      <c r="T157" s="7" t="n"/>
      <c r="U157" s="12">
        <f>IF(A157="","",IF(H157="","建議填分配模式",""))</f>
        <v/>
      </c>
    </row>
    <row r="158" ht="24" customHeight="1">
      <c r="A158" s="7" t="n"/>
      <c r="B158" s="7" t="n"/>
      <c r="C158" s="7" t="n"/>
      <c r="D158" s="12">
        <f>IF($A158="","",IFERROR(INDEX(土地清冊_匯入!$B$6:$B$1005,MATCH($A158,土地清冊_匯入!$A$6:$A$1005,0)),"查無資料"))</f>
        <v/>
      </c>
      <c r="E158" s="9">
        <f>IF($A158="","",IFERROR(INDEX(土地清冊_匯入!$I$6:$I$1005,MATCH($A158,土地清冊_匯入!$A$6:$A$1005,0)),""))</f>
        <v/>
      </c>
      <c r="F158" s="13">
        <f>IF($A158="","",IFERROR(INDEX(建物清冊_匯入!$N$6:$N$1005,MATCH($A158,建物清冊_匯入!$A$6:$A$1005,0)),""))</f>
        <v/>
      </c>
      <c r="G158" s="9">
        <f>IF($A158="","",IFERROR(INDEX(建物清冊_匯入!$S$6:$S$1005,MATCH($A158,建物清冊_匯入!$A$6:$A$1005,0)),""))</f>
        <v/>
      </c>
      <c r="H158" s="7" t="n"/>
      <c r="I158" s="15" t="n"/>
      <c r="J158" s="16" t="n"/>
      <c r="K158" s="17">
        <f>IF(J158="","",1-J158)</f>
        <v/>
      </c>
      <c r="L158" s="15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2">
        <f>IF(A158="","",IF(H158="","建議填分配模式",""))</f>
        <v/>
      </c>
    </row>
    <row r="159" ht="24" customHeight="1">
      <c r="A159" s="7" t="n"/>
      <c r="B159" s="7" t="n"/>
      <c r="C159" s="7" t="n"/>
      <c r="D159" s="12">
        <f>IF($A159="","",IFERROR(INDEX(土地清冊_匯入!$B$6:$B$1005,MATCH($A159,土地清冊_匯入!$A$6:$A$1005,0)),"查無資料"))</f>
        <v/>
      </c>
      <c r="E159" s="9">
        <f>IF($A159="","",IFERROR(INDEX(土地清冊_匯入!$I$6:$I$1005,MATCH($A159,土地清冊_匯入!$A$6:$A$1005,0)),""))</f>
        <v/>
      </c>
      <c r="F159" s="13">
        <f>IF($A159="","",IFERROR(INDEX(建物清冊_匯入!$N$6:$N$1005,MATCH($A159,建物清冊_匯入!$A$6:$A$1005,0)),""))</f>
        <v/>
      </c>
      <c r="G159" s="9">
        <f>IF($A159="","",IFERROR(INDEX(建物清冊_匯入!$S$6:$S$1005,MATCH($A159,建物清冊_匯入!$A$6:$A$1005,0)),""))</f>
        <v/>
      </c>
      <c r="H159" s="7" t="n"/>
      <c r="I159" s="15" t="n"/>
      <c r="J159" s="16" t="n"/>
      <c r="K159" s="17">
        <f>IF(J159="","",1-J159)</f>
        <v/>
      </c>
      <c r="L159" s="15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2">
        <f>IF(A159="","",IF(H159="","建議填分配模式",""))</f>
        <v/>
      </c>
    </row>
    <row r="160" ht="24" customHeight="1">
      <c r="A160" s="7" t="n"/>
      <c r="B160" s="7" t="n"/>
      <c r="C160" s="7" t="n"/>
      <c r="D160" s="12">
        <f>IF($A160="","",IFERROR(INDEX(土地清冊_匯入!$B$6:$B$1005,MATCH($A160,土地清冊_匯入!$A$6:$A$1005,0)),"查無資料"))</f>
        <v/>
      </c>
      <c r="E160" s="9">
        <f>IF($A160="","",IFERROR(INDEX(土地清冊_匯入!$I$6:$I$1005,MATCH($A160,土地清冊_匯入!$A$6:$A$1005,0)),""))</f>
        <v/>
      </c>
      <c r="F160" s="13">
        <f>IF($A160="","",IFERROR(INDEX(建物清冊_匯入!$N$6:$N$1005,MATCH($A160,建物清冊_匯入!$A$6:$A$1005,0)),""))</f>
        <v/>
      </c>
      <c r="G160" s="9">
        <f>IF($A160="","",IFERROR(INDEX(建物清冊_匯入!$S$6:$S$1005,MATCH($A160,建物清冊_匯入!$A$6:$A$1005,0)),""))</f>
        <v/>
      </c>
      <c r="H160" s="7" t="n"/>
      <c r="I160" s="15" t="n"/>
      <c r="J160" s="16" t="n"/>
      <c r="K160" s="17">
        <f>IF(J160="","",1-J160)</f>
        <v/>
      </c>
      <c r="L160" s="15" t="n"/>
      <c r="M160" s="7" t="n"/>
      <c r="N160" s="7" t="n"/>
      <c r="O160" s="7" t="n"/>
      <c r="P160" s="11" t="n"/>
      <c r="Q160" s="7" t="n"/>
      <c r="R160" s="7" t="n"/>
      <c r="S160" s="7" t="n"/>
      <c r="T160" s="7" t="n"/>
      <c r="U160" s="12">
        <f>IF(A160="","",IF(H160="","建議填分配模式",""))</f>
        <v/>
      </c>
    </row>
    <row r="161" ht="24" customHeight="1">
      <c r="A161" s="7" t="n"/>
      <c r="B161" s="7" t="n"/>
      <c r="C161" s="7" t="n"/>
      <c r="D161" s="12">
        <f>IF($A161="","",IFERROR(INDEX(土地清冊_匯入!$B$6:$B$1005,MATCH($A161,土地清冊_匯入!$A$6:$A$1005,0)),"查無資料"))</f>
        <v/>
      </c>
      <c r="E161" s="9">
        <f>IF($A161="","",IFERROR(INDEX(土地清冊_匯入!$I$6:$I$1005,MATCH($A161,土地清冊_匯入!$A$6:$A$1005,0)),""))</f>
        <v/>
      </c>
      <c r="F161" s="13">
        <f>IF($A161="","",IFERROR(INDEX(建物清冊_匯入!$N$6:$N$1005,MATCH($A161,建物清冊_匯入!$A$6:$A$1005,0)),""))</f>
        <v/>
      </c>
      <c r="G161" s="9">
        <f>IF($A161="","",IFERROR(INDEX(建物清冊_匯入!$S$6:$S$1005,MATCH($A161,建物清冊_匯入!$A$6:$A$1005,0)),""))</f>
        <v/>
      </c>
      <c r="H161" s="7" t="n"/>
      <c r="I161" s="15" t="n"/>
      <c r="J161" s="16" t="n"/>
      <c r="K161" s="17">
        <f>IF(J161="","",1-J161)</f>
        <v/>
      </c>
      <c r="L161" s="15" t="n"/>
      <c r="M161" s="7" t="n"/>
      <c r="N161" s="7" t="n"/>
      <c r="O161" s="7" t="n"/>
      <c r="P161" s="11" t="n"/>
      <c r="Q161" s="7" t="n"/>
      <c r="R161" s="7" t="n"/>
      <c r="S161" s="7" t="n"/>
      <c r="T161" s="7" t="n"/>
      <c r="U161" s="12">
        <f>IF(A161="","",IF(H161="","建議填分配模式",""))</f>
        <v/>
      </c>
    </row>
    <row r="162" ht="24" customHeight="1">
      <c r="A162" s="7" t="n"/>
      <c r="B162" s="7" t="n"/>
      <c r="C162" s="7" t="n"/>
      <c r="D162" s="12">
        <f>IF($A162="","",IFERROR(INDEX(土地清冊_匯入!$B$6:$B$1005,MATCH($A162,土地清冊_匯入!$A$6:$A$1005,0)),"查無資料"))</f>
        <v/>
      </c>
      <c r="E162" s="9">
        <f>IF($A162="","",IFERROR(INDEX(土地清冊_匯入!$I$6:$I$1005,MATCH($A162,土地清冊_匯入!$A$6:$A$1005,0)),""))</f>
        <v/>
      </c>
      <c r="F162" s="13">
        <f>IF($A162="","",IFERROR(INDEX(建物清冊_匯入!$N$6:$N$1005,MATCH($A162,建物清冊_匯入!$A$6:$A$1005,0)),""))</f>
        <v/>
      </c>
      <c r="G162" s="9">
        <f>IF($A162="","",IFERROR(INDEX(建物清冊_匯入!$S$6:$S$1005,MATCH($A162,建物清冊_匯入!$A$6:$A$1005,0)),""))</f>
        <v/>
      </c>
      <c r="H162" s="7" t="n"/>
      <c r="I162" s="15" t="n"/>
      <c r="J162" s="16" t="n"/>
      <c r="K162" s="17">
        <f>IF(J162="","",1-J162)</f>
        <v/>
      </c>
      <c r="L162" s="15" t="n"/>
      <c r="M162" s="7" t="n"/>
      <c r="N162" s="7" t="n"/>
      <c r="O162" s="7" t="n"/>
      <c r="P162" s="11" t="n"/>
      <c r="Q162" s="7" t="n"/>
      <c r="R162" s="7" t="n"/>
      <c r="S162" s="7" t="n"/>
      <c r="T162" s="7" t="n"/>
      <c r="U162" s="12">
        <f>IF(A162="","",IF(H162="","建議填分配模式",""))</f>
        <v/>
      </c>
    </row>
    <row r="163" ht="24" customHeight="1">
      <c r="A163" s="7" t="n"/>
      <c r="B163" s="7" t="n"/>
      <c r="C163" s="7" t="n"/>
      <c r="D163" s="12">
        <f>IF($A163="","",IFERROR(INDEX(土地清冊_匯入!$B$6:$B$1005,MATCH($A163,土地清冊_匯入!$A$6:$A$1005,0)),"查無資料"))</f>
        <v/>
      </c>
      <c r="E163" s="9">
        <f>IF($A163="","",IFERROR(INDEX(土地清冊_匯入!$I$6:$I$1005,MATCH($A163,土地清冊_匯入!$A$6:$A$1005,0)),""))</f>
        <v/>
      </c>
      <c r="F163" s="13">
        <f>IF($A163="","",IFERROR(INDEX(建物清冊_匯入!$N$6:$N$1005,MATCH($A163,建物清冊_匯入!$A$6:$A$1005,0)),""))</f>
        <v/>
      </c>
      <c r="G163" s="9">
        <f>IF($A163="","",IFERROR(INDEX(建物清冊_匯入!$S$6:$S$1005,MATCH($A163,建物清冊_匯入!$A$6:$A$1005,0)),""))</f>
        <v/>
      </c>
      <c r="H163" s="7" t="n"/>
      <c r="I163" s="15" t="n"/>
      <c r="J163" s="16" t="n"/>
      <c r="K163" s="17">
        <f>IF(J163="","",1-J163)</f>
        <v/>
      </c>
      <c r="L163" s="15" t="n"/>
      <c r="M163" s="7" t="n"/>
      <c r="N163" s="7" t="n"/>
      <c r="O163" s="7" t="n"/>
      <c r="P163" s="11" t="n"/>
      <c r="Q163" s="7" t="n"/>
      <c r="R163" s="7" t="n"/>
      <c r="S163" s="7" t="n"/>
      <c r="T163" s="7" t="n"/>
      <c r="U163" s="12">
        <f>IF(A163="","",IF(H163="","建議填分配模式",""))</f>
        <v/>
      </c>
    </row>
    <row r="164" ht="24" customHeight="1">
      <c r="A164" s="7" t="n"/>
      <c r="B164" s="7" t="n"/>
      <c r="C164" s="7" t="n"/>
      <c r="D164" s="12">
        <f>IF($A164="","",IFERROR(INDEX(土地清冊_匯入!$B$6:$B$1005,MATCH($A164,土地清冊_匯入!$A$6:$A$1005,0)),"查無資料"))</f>
        <v/>
      </c>
      <c r="E164" s="9">
        <f>IF($A164="","",IFERROR(INDEX(土地清冊_匯入!$I$6:$I$1005,MATCH($A164,土地清冊_匯入!$A$6:$A$1005,0)),""))</f>
        <v/>
      </c>
      <c r="F164" s="13">
        <f>IF($A164="","",IFERROR(INDEX(建物清冊_匯入!$N$6:$N$1005,MATCH($A164,建物清冊_匯入!$A$6:$A$1005,0)),""))</f>
        <v/>
      </c>
      <c r="G164" s="9">
        <f>IF($A164="","",IFERROR(INDEX(建物清冊_匯入!$S$6:$S$1005,MATCH($A164,建物清冊_匯入!$A$6:$A$1005,0)),""))</f>
        <v/>
      </c>
      <c r="H164" s="7" t="n"/>
      <c r="I164" s="15" t="n"/>
      <c r="J164" s="16" t="n"/>
      <c r="K164" s="17">
        <f>IF(J164="","",1-J164)</f>
        <v/>
      </c>
      <c r="L164" s="15" t="n"/>
      <c r="M164" s="7" t="n"/>
      <c r="N164" s="7" t="n"/>
      <c r="O164" s="7" t="n"/>
      <c r="P164" s="11" t="n"/>
      <c r="Q164" s="7" t="n"/>
      <c r="R164" s="7" t="n"/>
      <c r="S164" s="7" t="n"/>
      <c r="T164" s="7" t="n"/>
      <c r="U164" s="12">
        <f>IF(A164="","",IF(H164="","建議填分配模式",""))</f>
        <v/>
      </c>
    </row>
    <row r="165" ht="24" customHeight="1">
      <c r="A165" s="7" t="n"/>
      <c r="B165" s="7" t="n"/>
      <c r="C165" s="7" t="n"/>
      <c r="D165" s="12">
        <f>IF($A165="","",IFERROR(INDEX(土地清冊_匯入!$B$6:$B$1005,MATCH($A165,土地清冊_匯入!$A$6:$A$1005,0)),"查無資料"))</f>
        <v/>
      </c>
      <c r="E165" s="9">
        <f>IF($A165="","",IFERROR(INDEX(土地清冊_匯入!$I$6:$I$1005,MATCH($A165,土地清冊_匯入!$A$6:$A$1005,0)),""))</f>
        <v/>
      </c>
      <c r="F165" s="13">
        <f>IF($A165="","",IFERROR(INDEX(建物清冊_匯入!$N$6:$N$1005,MATCH($A165,建物清冊_匯入!$A$6:$A$1005,0)),""))</f>
        <v/>
      </c>
      <c r="G165" s="9">
        <f>IF($A165="","",IFERROR(INDEX(建物清冊_匯入!$S$6:$S$1005,MATCH($A165,建物清冊_匯入!$A$6:$A$1005,0)),""))</f>
        <v/>
      </c>
      <c r="H165" s="7" t="n"/>
      <c r="I165" s="15" t="n"/>
      <c r="J165" s="16" t="n"/>
      <c r="K165" s="17">
        <f>IF(J165="","",1-J165)</f>
        <v/>
      </c>
      <c r="L165" s="15" t="n"/>
      <c r="M165" s="7" t="n"/>
      <c r="N165" s="7" t="n"/>
      <c r="O165" s="7" t="n"/>
      <c r="P165" s="11" t="n"/>
      <c r="Q165" s="7" t="n"/>
      <c r="R165" s="7" t="n"/>
      <c r="S165" s="7" t="n"/>
      <c r="T165" s="7" t="n"/>
      <c r="U165" s="12">
        <f>IF(A165="","",IF(H165="","建議填分配模式",""))</f>
        <v/>
      </c>
    </row>
    <row r="166" ht="24" customHeight="1">
      <c r="A166" s="7" t="n"/>
      <c r="B166" s="7" t="n"/>
      <c r="C166" s="7" t="n"/>
      <c r="D166" s="12">
        <f>IF($A166="","",IFERROR(INDEX(土地清冊_匯入!$B$6:$B$1005,MATCH($A166,土地清冊_匯入!$A$6:$A$1005,0)),"查無資料"))</f>
        <v/>
      </c>
      <c r="E166" s="9">
        <f>IF($A166="","",IFERROR(INDEX(土地清冊_匯入!$I$6:$I$1005,MATCH($A166,土地清冊_匯入!$A$6:$A$1005,0)),""))</f>
        <v/>
      </c>
      <c r="F166" s="13">
        <f>IF($A166="","",IFERROR(INDEX(建物清冊_匯入!$N$6:$N$1005,MATCH($A166,建物清冊_匯入!$A$6:$A$1005,0)),""))</f>
        <v/>
      </c>
      <c r="G166" s="9">
        <f>IF($A166="","",IFERROR(INDEX(建物清冊_匯入!$S$6:$S$1005,MATCH($A166,建物清冊_匯入!$A$6:$A$1005,0)),""))</f>
        <v/>
      </c>
      <c r="H166" s="7" t="n"/>
      <c r="I166" s="15" t="n"/>
      <c r="J166" s="16" t="n"/>
      <c r="K166" s="17">
        <f>IF(J166="","",1-J166)</f>
        <v/>
      </c>
      <c r="L166" s="15" t="n"/>
      <c r="M166" s="7" t="n"/>
      <c r="N166" s="7" t="n"/>
      <c r="O166" s="7" t="n"/>
      <c r="P166" s="11" t="n"/>
      <c r="Q166" s="7" t="n"/>
      <c r="R166" s="7" t="n"/>
      <c r="S166" s="7" t="n"/>
      <c r="T166" s="7" t="n"/>
      <c r="U166" s="12">
        <f>IF(A166="","",IF(H166="","建議填分配模式",""))</f>
        <v/>
      </c>
    </row>
    <row r="167" ht="24" customHeight="1">
      <c r="A167" s="7" t="n"/>
      <c r="B167" s="7" t="n"/>
      <c r="C167" s="7" t="n"/>
      <c r="D167" s="12">
        <f>IF($A167="","",IFERROR(INDEX(土地清冊_匯入!$B$6:$B$1005,MATCH($A167,土地清冊_匯入!$A$6:$A$1005,0)),"查無資料"))</f>
        <v/>
      </c>
      <c r="E167" s="9">
        <f>IF($A167="","",IFERROR(INDEX(土地清冊_匯入!$I$6:$I$1005,MATCH($A167,土地清冊_匯入!$A$6:$A$1005,0)),""))</f>
        <v/>
      </c>
      <c r="F167" s="13">
        <f>IF($A167="","",IFERROR(INDEX(建物清冊_匯入!$N$6:$N$1005,MATCH($A167,建物清冊_匯入!$A$6:$A$1005,0)),""))</f>
        <v/>
      </c>
      <c r="G167" s="9">
        <f>IF($A167="","",IFERROR(INDEX(建物清冊_匯入!$S$6:$S$1005,MATCH($A167,建物清冊_匯入!$A$6:$A$1005,0)),""))</f>
        <v/>
      </c>
      <c r="H167" s="7" t="n"/>
      <c r="I167" s="15" t="n"/>
      <c r="J167" s="16" t="n"/>
      <c r="K167" s="17">
        <f>IF(J167="","",1-J167)</f>
        <v/>
      </c>
      <c r="L167" s="15" t="n"/>
      <c r="M167" s="7" t="n"/>
      <c r="N167" s="7" t="n"/>
      <c r="O167" s="7" t="n"/>
      <c r="P167" s="11" t="n"/>
      <c r="Q167" s="7" t="n"/>
      <c r="R167" s="7" t="n"/>
      <c r="S167" s="7" t="n"/>
      <c r="T167" s="7" t="n"/>
      <c r="U167" s="12">
        <f>IF(A167="","",IF(H167="","建議填分配模式",""))</f>
        <v/>
      </c>
    </row>
    <row r="168" ht="24" customHeight="1">
      <c r="A168" s="7" t="n"/>
      <c r="B168" s="7" t="n"/>
      <c r="C168" s="7" t="n"/>
      <c r="D168" s="12">
        <f>IF($A168="","",IFERROR(INDEX(土地清冊_匯入!$B$6:$B$1005,MATCH($A168,土地清冊_匯入!$A$6:$A$1005,0)),"查無資料"))</f>
        <v/>
      </c>
      <c r="E168" s="9">
        <f>IF($A168="","",IFERROR(INDEX(土地清冊_匯入!$I$6:$I$1005,MATCH($A168,土地清冊_匯入!$A$6:$A$1005,0)),""))</f>
        <v/>
      </c>
      <c r="F168" s="13">
        <f>IF($A168="","",IFERROR(INDEX(建物清冊_匯入!$N$6:$N$1005,MATCH($A168,建物清冊_匯入!$A$6:$A$1005,0)),""))</f>
        <v/>
      </c>
      <c r="G168" s="9">
        <f>IF($A168="","",IFERROR(INDEX(建物清冊_匯入!$S$6:$S$1005,MATCH($A168,建物清冊_匯入!$A$6:$A$1005,0)),""))</f>
        <v/>
      </c>
      <c r="H168" s="7" t="n"/>
      <c r="I168" s="15" t="n"/>
      <c r="J168" s="16" t="n"/>
      <c r="K168" s="17">
        <f>IF(J168="","",1-J168)</f>
        <v/>
      </c>
      <c r="L168" s="15" t="n"/>
      <c r="M168" s="7" t="n"/>
      <c r="N168" s="7" t="n"/>
      <c r="O168" s="7" t="n"/>
      <c r="P168" s="11" t="n"/>
      <c r="Q168" s="7" t="n"/>
      <c r="R168" s="7" t="n"/>
      <c r="S168" s="7" t="n"/>
      <c r="T168" s="7" t="n"/>
      <c r="U168" s="12">
        <f>IF(A168="","",IF(H168="","建議填分配模式",""))</f>
        <v/>
      </c>
    </row>
    <row r="169" ht="24" customHeight="1">
      <c r="A169" s="7" t="n"/>
      <c r="B169" s="7" t="n"/>
      <c r="C169" s="7" t="n"/>
      <c r="D169" s="12">
        <f>IF($A169="","",IFERROR(INDEX(土地清冊_匯入!$B$6:$B$1005,MATCH($A169,土地清冊_匯入!$A$6:$A$1005,0)),"查無資料"))</f>
        <v/>
      </c>
      <c r="E169" s="9">
        <f>IF($A169="","",IFERROR(INDEX(土地清冊_匯入!$I$6:$I$1005,MATCH($A169,土地清冊_匯入!$A$6:$A$1005,0)),""))</f>
        <v/>
      </c>
      <c r="F169" s="13">
        <f>IF($A169="","",IFERROR(INDEX(建物清冊_匯入!$N$6:$N$1005,MATCH($A169,建物清冊_匯入!$A$6:$A$1005,0)),""))</f>
        <v/>
      </c>
      <c r="G169" s="9">
        <f>IF($A169="","",IFERROR(INDEX(建物清冊_匯入!$S$6:$S$1005,MATCH($A169,建物清冊_匯入!$A$6:$A$1005,0)),""))</f>
        <v/>
      </c>
      <c r="H169" s="7" t="n"/>
      <c r="I169" s="15" t="n"/>
      <c r="J169" s="16" t="n"/>
      <c r="K169" s="17">
        <f>IF(J169="","",1-J169)</f>
        <v/>
      </c>
      <c r="L169" s="15" t="n"/>
      <c r="M169" s="7" t="n"/>
      <c r="N169" s="7" t="n"/>
      <c r="O169" s="7" t="n"/>
      <c r="P169" s="11" t="n"/>
      <c r="Q169" s="7" t="n"/>
      <c r="R169" s="7" t="n"/>
      <c r="S169" s="7" t="n"/>
      <c r="T169" s="7" t="n"/>
      <c r="U169" s="12">
        <f>IF(A169="","",IF(H169="","建議填分配模式",""))</f>
        <v/>
      </c>
    </row>
    <row r="170" ht="24" customHeight="1">
      <c r="A170" s="7" t="n"/>
      <c r="B170" s="7" t="n"/>
      <c r="C170" s="7" t="n"/>
      <c r="D170" s="12">
        <f>IF($A170="","",IFERROR(INDEX(土地清冊_匯入!$B$6:$B$1005,MATCH($A170,土地清冊_匯入!$A$6:$A$1005,0)),"查無資料"))</f>
        <v/>
      </c>
      <c r="E170" s="9">
        <f>IF($A170="","",IFERROR(INDEX(土地清冊_匯入!$I$6:$I$1005,MATCH($A170,土地清冊_匯入!$A$6:$A$1005,0)),""))</f>
        <v/>
      </c>
      <c r="F170" s="13">
        <f>IF($A170="","",IFERROR(INDEX(建物清冊_匯入!$N$6:$N$1005,MATCH($A170,建物清冊_匯入!$A$6:$A$1005,0)),""))</f>
        <v/>
      </c>
      <c r="G170" s="9">
        <f>IF($A170="","",IFERROR(INDEX(建物清冊_匯入!$S$6:$S$1005,MATCH($A170,建物清冊_匯入!$A$6:$A$1005,0)),""))</f>
        <v/>
      </c>
      <c r="H170" s="7" t="n"/>
      <c r="I170" s="15" t="n"/>
      <c r="J170" s="16" t="n"/>
      <c r="K170" s="17">
        <f>IF(J170="","",1-J170)</f>
        <v/>
      </c>
      <c r="L170" s="15" t="n"/>
      <c r="M170" s="7" t="n"/>
      <c r="N170" s="7" t="n"/>
      <c r="O170" s="7" t="n"/>
      <c r="P170" s="11" t="n"/>
      <c r="Q170" s="7" t="n"/>
      <c r="R170" s="7" t="n"/>
      <c r="S170" s="7" t="n"/>
      <c r="T170" s="7" t="n"/>
      <c r="U170" s="12">
        <f>IF(A170="","",IF(H170="","建議填分配模式",""))</f>
        <v/>
      </c>
    </row>
    <row r="171" ht="24" customHeight="1">
      <c r="A171" s="7" t="n"/>
      <c r="B171" s="7" t="n"/>
      <c r="C171" s="7" t="n"/>
      <c r="D171" s="12">
        <f>IF($A171="","",IFERROR(INDEX(土地清冊_匯入!$B$6:$B$1005,MATCH($A171,土地清冊_匯入!$A$6:$A$1005,0)),"查無資料"))</f>
        <v/>
      </c>
      <c r="E171" s="9">
        <f>IF($A171="","",IFERROR(INDEX(土地清冊_匯入!$I$6:$I$1005,MATCH($A171,土地清冊_匯入!$A$6:$A$1005,0)),""))</f>
        <v/>
      </c>
      <c r="F171" s="13">
        <f>IF($A171="","",IFERROR(INDEX(建物清冊_匯入!$N$6:$N$1005,MATCH($A171,建物清冊_匯入!$A$6:$A$1005,0)),""))</f>
        <v/>
      </c>
      <c r="G171" s="9">
        <f>IF($A171="","",IFERROR(INDEX(建物清冊_匯入!$S$6:$S$1005,MATCH($A171,建物清冊_匯入!$A$6:$A$1005,0)),""))</f>
        <v/>
      </c>
      <c r="H171" s="7" t="n"/>
      <c r="I171" s="15" t="n"/>
      <c r="J171" s="16" t="n"/>
      <c r="K171" s="17">
        <f>IF(J171="","",1-J171)</f>
        <v/>
      </c>
      <c r="L171" s="15" t="n"/>
      <c r="M171" s="7" t="n"/>
      <c r="N171" s="7" t="n"/>
      <c r="O171" s="7" t="n"/>
      <c r="P171" s="11" t="n"/>
      <c r="Q171" s="7" t="n"/>
      <c r="R171" s="7" t="n"/>
      <c r="S171" s="7" t="n"/>
      <c r="T171" s="7" t="n"/>
      <c r="U171" s="12">
        <f>IF(A171="","",IF(H171="","建議填分配模式",""))</f>
        <v/>
      </c>
    </row>
    <row r="172" ht="24" customHeight="1">
      <c r="A172" s="7" t="n"/>
      <c r="B172" s="7" t="n"/>
      <c r="C172" s="7" t="n"/>
      <c r="D172" s="12">
        <f>IF($A172="","",IFERROR(INDEX(土地清冊_匯入!$B$6:$B$1005,MATCH($A172,土地清冊_匯入!$A$6:$A$1005,0)),"查無資料"))</f>
        <v/>
      </c>
      <c r="E172" s="9">
        <f>IF($A172="","",IFERROR(INDEX(土地清冊_匯入!$I$6:$I$1005,MATCH($A172,土地清冊_匯入!$A$6:$A$1005,0)),""))</f>
        <v/>
      </c>
      <c r="F172" s="13">
        <f>IF($A172="","",IFERROR(INDEX(建物清冊_匯入!$N$6:$N$1005,MATCH($A172,建物清冊_匯入!$A$6:$A$1005,0)),""))</f>
        <v/>
      </c>
      <c r="G172" s="9">
        <f>IF($A172="","",IFERROR(INDEX(建物清冊_匯入!$S$6:$S$1005,MATCH($A172,建物清冊_匯入!$A$6:$A$1005,0)),""))</f>
        <v/>
      </c>
      <c r="H172" s="7" t="n"/>
      <c r="I172" s="15" t="n"/>
      <c r="J172" s="16" t="n"/>
      <c r="K172" s="17">
        <f>IF(J172="","",1-J172)</f>
        <v/>
      </c>
      <c r="L172" s="15" t="n"/>
      <c r="M172" s="7" t="n"/>
      <c r="N172" s="7" t="n"/>
      <c r="O172" s="7" t="n"/>
      <c r="P172" s="11" t="n"/>
      <c r="Q172" s="7" t="n"/>
      <c r="R172" s="7" t="n"/>
      <c r="S172" s="7" t="n"/>
      <c r="T172" s="7" t="n"/>
      <c r="U172" s="12">
        <f>IF(A172="","",IF(H172="","建議填分配模式",""))</f>
        <v/>
      </c>
    </row>
    <row r="173" ht="24" customHeight="1">
      <c r="A173" s="7" t="n"/>
      <c r="B173" s="7" t="n"/>
      <c r="C173" s="7" t="n"/>
      <c r="D173" s="12">
        <f>IF($A173="","",IFERROR(INDEX(土地清冊_匯入!$B$6:$B$1005,MATCH($A173,土地清冊_匯入!$A$6:$A$1005,0)),"查無資料"))</f>
        <v/>
      </c>
      <c r="E173" s="9">
        <f>IF($A173="","",IFERROR(INDEX(土地清冊_匯入!$I$6:$I$1005,MATCH($A173,土地清冊_匯入!$A$6:$A$1005,0)),""))</f>
        <v/>
      </c>
      <c r="F173" s="13">
        <f>IF($A173="","",IFERROR(INDEX(建物清冊_匯入!$N$6:$N$1005,MATCH($A173,建物清冊_匯入!$A$6:$A$1005,0)),""))</f>
        <v/>
      </c>
      <c r="G173" s="9">
        <f>IF($A173="","",IFERROR(INDEX(建物清冊_匯入!$S$6:$S$1005,MATCH($A173,建物清冊_匯入!$A$6:$A$1005,0)),""))</f>
        <v/>
      </c>
      <c r="H173" s="7" t="n"/>
      <c r="I173" s="15" t="n"/>
      <c r="J173" s="16" t="n"/>
      <c r="K173" s="17">
        <f>IF(J173="","",1-J173)</f>
        <v/>
      </c>
      <c r="L173" s="15" t="n"/>
      <c r="M173" s="7" t="n"/>
      <c r="N173" s="7" t="n"/>
      <c r="O173" s="7" t="n"/>
      <c r="P173" s="11" t="n"/>
      <c r="Q173" s="7" t="n"/>
      <c r="R173" s="7" t="n"/>
      <c r="S173" s="7" t="n"/>
      <c r="T173" s="7" t="n"/>
      <c r="U173" s="12">
        <f>IF(A173="","",IF(H173="","建議填分配模式",""))</f>
        <v/>
      </c>
    </row>
    <row r="174" ht="24" customHeight="1">
      <c r="A174" s="7" t="n"/>
      <c r="B174" s="7" t="n"/>
      <c r="C174" s="7" t="n"/>
      <c r="D174" s="12">
        <f>IF($A174="","",IFERROR(INDEX(土地清冊_匯入!$B$6:$B$1005,MATCH($A174,土地清冊_匯入!$A$6:$A$1005,0)),"查無資料"))</f>
        <v/>
      </c>
      <c r="E174" s="9">
        <f>IF($A174="","",IFERROR(INDEX(土地清冊_匯入!$I$6:$I$1005,MATCH($A174,土地清冊_匯入!$A$6:$A$1005,0)),""))</f>
        <v/>
      </c>
      <c r="F174" s="13">
        <f>IF($A174="","",IFERROR(INDEX(建物清冊_匯入!$N$6:$N$1005,MATCH($A174,建物清冊_匯入!$A$6:$A$1005,0)),""))</f>
        <v/>
      </c>
      <c r="G174" s="9">
        <f>IF($A174="","",IFERROR(INDEX(建物清冊_匯入!$S$6:$S$1005,MATCH($A174,建物清冊_匯入!$A$6:$A$1005,0)),""))</f>
        <v/>
      </c>
      <c r="H174" s="7" t="n"/>
      <c r="I174" s="15" t="n"/>
      <c r="J174" s="16" t="n"/>
      <c r="K174" s="17">
        <f>IF(J174="","",1-J174)</f>
        <v/>
      </c>
      <c r="L174" s="15" t="n"/>
      <c r="M174" s="7" t="n"/>
      <c r="N174" s="7" t="n"/>
      <c r="O174" s="7" t="n"/>
      <c r="P174" s="11" t="n"/>
      <c r="Q174" s="7" t="n"/>
      <c r="R174" s="7" t="n"/>
      <c r="S174" s="7" t="n"/>
      <c r="T174" s="7" t="n"/>
      <c r="U174" s="12">
        <f>IF(A174="","",IF(H174="","建議填分配模式",""))</f>
        <v/>
      </c>
    </row>
    <row r="175" ht="24" customHeight="1">
      <c r="A175" s="7" t="n"/>
      <c r="B175" s="7" t="n"/>
      <c r="C175" s="7" t="n"/>
      <c r="D175" s="12">
        <f>IF($A175="","",IFERROR(INDEX(土地清冊_匯入!$B$6:$B$1005,MATCH($A175,土地清冊_匯入!$A$6:$A$1005,0)),"查無資料"))</f>
        <v/>
      </c>
      <c r="E175" s="9">
        <f>IF($A175="","",IFERROR(INDEX(土地清冊_匯入!$I$6:$I$1005,MATCH($A175,土地清冊_匯入!$A$6:$A$1005,0)),""))</f>
        <v/>
      </c>
      <c r="F175" s="13">
        <f>IF($A175="","",IFERROR(INDEX(建物清冊_匯入!$N$6:$N$1005,MATCH($A175,建物清冊_匯入!$A$6:$A$1005,0)),""))</f>
        <v/>
      </c>
      <c r="G175" s="9">
        <f>IF($A175="","",IFERROR(INDEX(建物清冊_匯入!$S$6:$S$1005,MATCH($A175,建物清冊_匯入!$A$6:$A$1005,0)),""))</f>
        <v/>
      </c>
      <c r="H175" s="7" t="n"/>
      <c r="I175" s="15" t="n"/>
      <c r="J175" s="16" t="n"/>
      <c r="K175" s="17">
        <f>IF(J175="","",1-J175)</f>
        <v/>
      </c>
      <c r="L175" s="15" t="n"/>
      <c r="M175" s="7" t="n"/>
      <c r="N175" s="7" t="n"/>
      <c r="O175" s="7" t="n"/>
      <c r="P175" s="11" t="n"/>
      <c r="Q175" s="7" t="n"/>
      <c r="R175" s="7" t="n"/>
      <c r="S175" s="7" t="n"/>
      <c r="T175" s="7" t="n"/>
      <c r="U175" s="12">
        <f>IF(A175="","",IF(H175="","建議填分配模式",""))</f>
        <v/>
      </c>
    </row>
    <row r="176" ht="24" customHeight="1">
      <c r="A176" s="7" t="n"/>
      <c r="B176" s="7" t="n"/>
      <c r="C176" s="7" t="n"/>
      <c r="D176" s="12">
        <f>IF($A176="","",IFERROR(INDEX(土地清冊_匯入!$B$6:$B$1005,MATCH($A176,土地清冊_匯入!$A$6:$A$1005,0)),"查無資料"))</f>
        <v/>
      </c>
      <c r="E176" s="9">
        <f>IF($A176="","",IFERROR(INDEX(土地清冊_匯入!$I$6:$I$1005,MATCH($A176,土地清冊_匯入!$A$6:$A$1005,0)),""))</f>
        <v/>
      </c>
      <c r="F176" s="13">
        <f>IF($A176="","",IFERROR(INDEX(建物清冊_匯入!$N$6:$N$1005,MATCH($A176,建物清冊_匯入!$A$6:$A$1005,0)),""))</f>
        <v/>
      </c>
      <c r="G176" s="9">
        <f>IF($A176="","",IFERROR(INDEX(建物清冊_匯入!$S$6:$S$1005,MATCH($A176,建物清冊_匯入!$A$6:$A$1005,0)),""))</f>
        <v/>
      </c>
      <c r="H176" s="7" t="n"/>
      <c r="I176" s="15" t="n"/>
      <c r="J176" s="16" t="n"/>
      <c r="K176" s="17">
        <f>IF(J176="","",1-J176)</f>
        <v/>
      </c>
      <c r="L176" s="15" t="n"/>
      <c r="M176" s="7" t="n"/>
      <c r="N176" s="7" t="n"/>
      <c r="O176" s="7" t="n"/>
      <c r="P176" s="11" t="n"/>
      <c r="Q176" s="7" t="n"/>
      <c r="R176" s="7" t="n"/>
      <c r="S176" s="7" t="n"/>
      <c r="T176" s="7" t="n"/>
      <c r="U176" s="12">
        <f>IF(A176="","",IF(H176="","建議填分配模式",""))</f>
        <v/>
      </c>
    </row>
    <row r="177" ht="24" customHeight="1">
      <c r="A177" s="7" t="n"/>
      <c r="B177" s="7" t="n"/>
      <c r="C177" s="7" t="n"/>
      <c r="D177" s="12">
        <f>IF($A177="","",IFERROR(INDEX(土地清冊_匯入!$B$6:$B$1005,MATCH($A177,土地清冊_匯入!$A$6:$A$1005,0)),"查無資料"))</f>
        <v/>
      </c>
      <c r="E177" s="9">
        <f>IF($A177="","",IFERROR(INDEX(土地清冊_匯入!$I$6:$I$1005,MATCH($A177,土地清冊_匯入!$A$6:$A$1005,0)),""))</f>
        <v/>
      </c>
      <c r="F177" s="13">
        <f>IF($A177="","",IFERROR(INDEX(建物清冊_匯入!$N$6:$N$1005,MATCH($A177,建物清冊_匯入!$A$6:$A$1005,0)),""))</f>
        <v/>
      </c>
      <c r="G177" s="9">
        <f>IF($A177="","",IFERROR(INDEX(建物清冊_匯入!$S$6:$S$1005,MATCH($A177,建物清冊_匯入!$A$6:$A$1005,0)),""))</f>
        <v/>
      </c>
      <c r="H177" s="7" t="n"/>
      <c r="I177" s="15" t="n"/>
      <c r="J177" s="16" t="n"/>
      <c r="K177" s="17">
        <f>IF(J177="","",1-J177)</f>
        <v/>
      </c>
      <c r="L177" s="15" t="n"/>
      <c r="M177" s="7" t="n"/>
      <c r="N177" s="7" t="n"/>
      <c r="O177" s="7" t="n"/>
      <c r="P177" s="11" t="n"/>
      <c r="Q177" s="7" t="n"/>
      <c r="R177" s="7" t="n"/>
      <c r="S177" s="7" t="n"/>
      <c r="T177" s="7" t="n"/>
      <c r="U177" s="12">
        <f>IF(A177="","",IF(H177="","建議填分配模式",""))</f>
        <v/>
      </c>
    </row>
    <row r="178" ht="24" customHeight="1">
      <c r="A178" s="7" t="n"/>
      <c r="B178" s="7" t="n"/>
      <c r="C178" s="7" t="n"/>
      <c r="D178" s="12">
        <f>IF($A178="","",IFERROR(INDEX(土地清冊_匯入!$B$6:$B$1005,MATCH($A178,土地清冊_匯入!$A$6:$A$1005,0)),"查無資料"))</f>
        <v/>
      </c>
      <c r="E178" s="9">
        <f>IF($A178="","",IFERROR(INDEX(土地清冊_匯入!$I$6:$I$1005,MATCH($A178,土地清冊_匯入!$A$6:$A$1005,0)),""))</f>
        <v/>
      </c>
      <c r="F178" s="13">
        <f>IF($A178="","",IFERROR(INDEX(建物清冊_匯入!$N$6:$N$1005,MATCH($A178,建物清冊_匯入!$A$6:$A$1005,0)),""))</f>
        <v/>
      </c>
      <c r="G178" s="9">
        <f>IF($A178="","",IFERROR(INDEX(建物清冊_匯入!$S$6:$S$1005,MATCH($A178,建物清冊_匯入!$A$6:$A$1005,0)),""))</f>
        <v/>
      </c>
      <c r="H178" s="7" t="n"/>
      <c r="I178" s="15" t="n"/>
      <c r="J178" s="16" t="n"/>
      <c r="K178" s="17">
        <f>IF(J178="","",1-J178)</f>
        <v/>
      </c>
      <c r="L178" s="15" t="n"/>
      <c r="M178" s="7" t="n"/>
      <c r="N178" s="7" t="n"/>
      <c r="O178" s="7" t="n"/>
      <c r="P178" s="11" t="n"/>
      <c r="Q178" s="7" t="n"/>
      <c r="R178" s="7" t="n"/>
      <c r="S178" s="7" t="n"/>
      <c r="T178" s="7" t="n"/>
      <c r="U178" s="12">
        <f>IF(A178="","",IF(H178="","建議填分配模式",""))</f>
        <v/>
      </c>
    </row>
    <row r="179" ht="24" customHeight="1">
      <c r="A179" s="7" t="n"/>
      <c r="B179" s="7" t="n"/>
      <c r="C179" s="7" t="n"/>
      <c r="D179" s="12">
        <f>IF($A179="","",IFERROR(INDEX(土地清冊_匯入!$B$6:$B$1005,MATCH($A179,土地清冊_匯入!$A$6:$A$1005,0)),"查無資料"))</f>
        <v/>
      </c>
      <c r="E179" s="9">
        <f>IF($A179="","",IFERROR(INDEX(土地清冊_匯入!$I$6:$I$1005,MATCH($A179,土地清冊_匯入!$A$6:$A$1005,0)),""))</f>
        <v/>
      </c>
      <c r="F179" s="13">
        <f>IF($A179="","",IFERROR(INDEX(建物清冊_匯入!$N$6:$N$1005,MATCH($A179,建物清冊_匯入!$A$6:$A$1005,0)),""))</f>
        <v/>
      </c>
      <c r="G179" s="9">
        <f>IF($A179="","",IFERROR(INDEX(建物清冊_匯入!$S$6:$S$1005,MATCH($A179,建物清冊_匯入!$A$6:$A$1005,0)),""))</f>
        <v/>
      </c>
      <c r="H179" s="7" t="n"/>
      <c r="I179" s="15" t="n"/>
      <c r="J179" s="16" t="n"/>
      <c r="K179" s="17">
        <f>IF(J179="","",1-J179)</f>
        <v/>
      </c>
      <c r="L179" s="15" t="n"/>
      <c r="M179" s="7" t="n"/>
      <c r="N179" s="7" t="n"/>
      <c r="O179" s="7" t="n"/>
      <c r="P179" s="11" t="n"/>
      <c r="Q179" s="7" t="n"/>
      <c r="R179" s="7" t="n"/>
      <c r="S179" s="7" t="n"/>
      <c r="T179" s="7" t="n"/>
      <c r="U179" s="12">
        <f>IF(A179="","",IF(H179="","建議填分配模式",""))</f>
        <v/>
      </c>
    </row>
    <row r="180" ht="24" customHeight="1">
      <c r="A180" s="7" t="n"/>
      <c r="B180" s="7" t="n"/>
      <c r="C180" s="7" t="n"/>
      <c r="D180" s="12">
        <f>IF($A180="","",IFERROR(INDEX(土地清冊_匯入!$B$6:$B$1005,MATCH($A180,土地清冊_匯入!$A$6:$A$1005,0)),"查無資料"))</f>
        <v/>
      </c>
      <c r="E180" s="9">
        <f>IF($A180="","",IFERROR(INDEX(土地清冊_匯入!$I$6:$I$1005,MATCH($A180,土地清冊_匯入!$A$6:$A$1005,0)),""))</f>
        <v/>
      </c>
      <c r="F180" s="13">
        <f>IF($A180="","",IFERROR(INDEX(建物清冊_匯入!$N$6:$N$1005,MATCH($A180,建物清冊_匯入!$A$6:$A$1005,0)),""))</f>
        <v/>
      </c>
      <c r="G180" s="9">
        <f>IF($A180="","",IFERROR(INDEX(建物清冊_匯入!$S$6:$S$1005,MATCH($A180,建物清冊_匯入!$A$6:$A$1005,0)),""))</f>
        <v/>
      </c>
      <c r="H180" s="7" t="n"/>
      <c r="I180" s="15" t="n"/>
      <c r="J180" s="16" t="n"/>
      <c r="K180" s="17">
        <f>IF(J180="","",1-J180)</f>
        <v/>
      </c>
      <c r="L180" s="15" t="n"/>
      <c r="M180" s="7" t="n"/>
      <c r="N180" s="7" t="n"/>
      <c r="O180" s="7" t="n"/>
      <c r="P180" s="11" t="n"/>
      <c r="Q180" s="7" t="n"/>
      <c r="R180" s="7" t="n"/>
      <c r="S180" s="7" t="n"/>
      <c r="T180" s="7" t="n"/>
      <c r="U180" s="12">
        <f>IF(A180="","",IF(H180="","建議填分配模式",""))</f>
        <v/>
      </c>
    </row>
    <row r="181" ht="24" customHeight="1">
      <c r="A181" s="7" t="n"/>
      <c r="B181" s="7" t="n"/>
      <c r="C181" s="7" t="n"/>
      <c r="D181" s="12">
        <f>IF($A181="","",IFERROR(INDEX(土地清冊_匯入!$B$6:$B$1005,MATCH($A181,土地清冊_匯入!$A$6:$A$1005,0)),"查無資料"))</f>
        <v/>
      </c>
      <c r="E181" s="9">
        <f>IF($A181="","",IFERROR(INDEX(土地清冊_匯入!$I$6:$I$1005,MATCH($A181,土地清冊_匯入!$A$6:$A$1005,0)),""))</f>
        <v/>
      </c>
      <c r="F181" s="13">
        <f>IF($A181="","",IFERROR(INDEX(建物清冊_匯入!$N$6:$N$1005,MATCH($A181,建物清冊_匯入!$A$6:$A$1005,0)),""))</f>
        <v/>
      </c>
      <c r="G181" s="9">
        <f>IF($A181="","",IFERROR(INDEX(建物清冊_匯入!$S$6:$S$1005,MATCH($A181,建物清冊_匯入!$A$6:$A$1005,0)),""))</f>
        <v/>
      </c>
      <c r="H181" s="7" t="n"/>
      <c r="I181" s="15" t="n"/>
      <c r="J181" s="16" t="n"/>
      <c r="K181" s="17">
        <f>IF(J181="","",1-J181)</f>
        <v/>
      </c>
      <c r="L181" s="15" t="n"/>
      <c r="M181" s="7" t="n"/>
      <c r="N181" s="7" t="n"/>
      <c r="O181" s="7" t="n"/>
      <c r="P181" s="11" t="n"/>
      <c r="Q181" s="7" t="n"/>
      <c r="R181" s="7" t="n"/>
      <c r="S181" s="7" t="n"/>
      <c r="T181" s="7" t="n"/>
      <c r="U181" s="12">
        <f>IF(A181="","",IF(H181="","建議填分配模式",""))</f>
        <v/>
      </c>
    </row>
    <row r="182" ht="24" customHeight="1">
      <c r="A182" s="7" t="n"/>
      <c r="B182" s="7" t="n"/>
      <c r="C182" s="7" t="n"/>
      <c r="D182" s="12">
        <f>IF($A182="","",IFERROR(INDEX(土地清冊_匯入!$B$6:$B$1005,MATCH($A182,土地清冊_匯入!$A$6:$A$1005,0)),"查無資料"))</f>
        <v/>
      </c>
      <c r="E182" s="9">
        <f>IF($A182="","",IFERROR(INDEX(土地清冊_匯入!$I$6:$I$1005,MATCH($A182,土地清冊_匯入!$A$6:$A$1005,0)),""))</f>
        <v/>
      </c>
      <c r="F182" s="13">
        <f>IF($A182="","",IFERROR(INDEX(建物清冊_匯入!$N$6:$N$1005,MATCH($A182,建物清冊_匯入!$A$6:$A$1005,0)),""))</f>
        <v/>
      </c>
      <c r="G182" s="9">
        <f>IF($A182="","",IFERROR(INDEX(建物清冊_匯入!$S$6:$S$1005,MATCH($A182,建物清冊_匯入!$A$6:$A$1005,0)),""))</f>
        <v/>
      </c>
      <c r="H182" s="7" t="n"/>
      <c r="I182" s="15" t="n"/>
      <c r="J182" s="16" t="n"/>
      <c r="K182" s="17">
        <f>IF(J182="","",1-J182)</f>
        <v/>
      </c>
      <c r="L182" s="15" t="n"/>
      <c r="M182" s="7" t="n"/>
      <c r="N182" s="7" t="n"/>
      <c r="O182" s="7" t="n"/>
      <c r="P182" s="11" t="n"/>
      <c r="Q182" s="7" t="n"/>
      <c r="R182" s="7" t="n"/>
      <c r="S182" s="7" t="n"/>
      <c r="T182" s="7" t="n"/>
      <c r="U182" s="12">
        <f>IF(A182="","",IF(H182="","建議填分配模式",""))</f>
        <v/>
      </c>
    </row>
    <row r="183" ht="24" customHeight="1">
      <c r="A183" s="7" t="n"/>
      <c r="B183" s="7" t="n"/>
      <c r="C183" s="7" t="n"/>
      <c r="D183" s="12">
        <f>IF($A183="","",IFERROR(INDEX(土地清冊_匯入!$B$6:$B$1005,MATCH($A183,土地清冊_匯入!$A$6:$A$1005,0)),"查無資料"))</f>
        <v/>
      </c>
      <c r="E183" s="9">
        <f>IF($A183="","",IFERROR(INDEX(土地清冊_匯入!$I$6:$I$1005,MATCH($A183,土地清冊_匯入!$A$6:$A$1005,0)),""))</f>
        <v/>
      </c>
      <c r="F183" s="13">
        <f>IF($A183="","",IFERROR(INDEX(建物清冊_匯入!$N$6:$N$1005,MATCH($A183,建物清冊_匯入!$A$6:$A$1005,0)),""))</f>
        <v/>
      </c>
      <c r="G183" s="9">
        <f>IF($A183="","",IFERROR(INDEX(建物清冊_匯入!$S$6:$S$1005,MATCH($A183,建物清冊_匯入!$A$6:$A$1005,0)),""))</f>
        <v/>
      </c>
      <c r="H183" s="7" t="n"/>
      <c r="I183" s="15" t="n"/>
      <c r="J183" s="16" t="n"/>
      <c r="K183" s="17">
        <f>IF(J183="","",1-J183)</f>
        <v/>
      </c>
      <c r="L183" s="15" t="n"/>
      <c r="M183" s="7" t="n"/>
      <c r="N183" s="7" t="n"/>
      <c r="O183" s="7" t="n"/>
      <c r="P183" s="11" t="n"/>
      <c r="Q183" s="7" t="n"/>
      <c r="R183" s="7" t="n"/>
      <c r="S183" s="7" t="n"/>
      <c r="T183" s="7" t="n"/>
      <c r="U183" s="12">
        <f>IF(A183="","",IF(H183="","建議填分配模式",""))</f>
        <v/>
      </c>
    </row>
    <row r="184" ht="24" customHeight="1">
      <c r="A184" s="7" t="n"/>
      <c r="B184" s="7" t="n"/>
      <c r="C184" s="7" t="n"/>
      <c r="D184" s="12">
        <f>IF($A184="","",IFERROR(INDEX(土地清冊_匯入!$B$6:$B$1005,MATCH($A184,土地清冊_匯入!$A$6:$A$1005,0)),"查無資料"))</f>
        <v/>
      </c>
      <c r="E184" s="9">
        <f>IF($A184="","",IFERROR(INDEX(土地清冊_匯入!$I$6:$I$1005,MATCH($A184,土地清冊_匯入!$A$6:$A$1005,0)),""))</f>
        <v/>
      </c>
      <c r="F184" s="13">
        <f>IF($A184="","",IFERROR(INDEX(建物清冊_匯入!$N$6:$N$1005,MATCH($A184,建物清冊_匯入!$A$6:$A$1005,0)),""))</f>
        <v/>
      </c>
      <c r="G184" s="9">
        <f>IF($A184="","",IFERROR(INDEX(建物清冊_匯入!$S$6:$S$1005,MATCH($A184,建物清冊_匯入!$A$6:$A$1005,0)),""))</f>
        <v/>
      </c>
      <c r="H184" s="7" t="n"/>
      <c r="I184" s="15" t="n"/>
      <c r="J184" s="16" t="n"/>
      <c r="K184" s="17">
        <f>IF(J184="","",1-J184)</f>
        <v/>
      </c>
      <c r="L184" s="15" t="n"/>
      <c r="M184" s="7" t="n"/>
      <c r="N184" s="7" t="n"/>
      <c r="O184" s="7" t="n"/>
      <c r="P184" s="11" t="n"/>
      <c r="Q184" s="7" t="n"/>
      <c r="R184" s="7" t="n"/>
      <c r="S184" s="7" t="n"/>
      <c r="T184" s="7" t="n"/>
      <c r="U184" s="12">
        <f>IF(A184="","",IF(H184="","建議填分配模式",""))</f>
        <v/>
      </c>
    </row>
    <row r="185" ht="24" customHeight="1">
      <c r="A185" s="7" t="n"/>
      <c r="B185" s="7" t="n"/>
      <c r="C185" s="7" t="n"/>
      <c r="D185" s="12">
        <f>IF($A185="","",IFERROR(INDEX(土地清冊_匯入!$B$6:$B$1005,MATCH($A185,土地清冊_匯入!$A$6:$A$1005,0)),"查無資料"))</f>
        <v/>
      </c>
      <c r="E185" s="9">
        <f>IF($A185="","",IFERROR(INDEX(土地清冊_匯入!$I$6:$I$1005,MATCH($A185,土地清冊_匯入!$A$6:$A$1005,0)),""))</f>
        <v/>
      </c>
      <c r="F185" s="13">
        <f>IF($A185="","",IFERROR(INDEX(建物清冊_匯入!$N$6:$N$1005,MATCH($A185,建物清冊_匯入!$A$6:$A$1005,0)),""))</f>
        <v/>
      </c>
      <c r="G185" s="9">
        <f>IF($A185="","",IFERROR(INDEX(建物清冊_匯入!$S$6:$S$1005,MATCH($A185,建物清冊_匯入!$A$6:$A$1005,0)),""))</f>
        <v/>
      </c>
      <c r="H185" s="7" t="n"/>
      <c r="I185" s="15" t="n"/>
      <c r="J185" s="16" t="n"/>
      <c r="K185" s="17">
        <f>IF(J185="","",1-J185)</f>
        <v/>
      </c>
      <c r="L185" s="15" t="n"/>
      <c r="M185" s="7" t="n"/>
      <c r="N185" s="7" t="n"/>
      <c r="O185" s="7" t="n"/>
      <c r="P185" s="11" t="n"/>
      <c r="Q185" s="7" t="n"/>
      <c r="R185" s="7" t="n"/>
      <c r="S185" s="7" t="n"/>
      <c r="T185" s="7" t="n"/>
      <c r="U185" s="12">
        <f>IF(A185="","",IF(H185="","建議填分配模式",""))</f>
        <v/>
      </c>
    </row>
    <row r="186" ht="24" customHeight="1">
      <c r="A186" s="7" t="n"/>
      <c r="B186" s="7" t="n"/>
      <c r="C186" s="7" t="n"/>
      <c r="D186" s="12">
        <f>IF($A186="","",IFERROR(INDEX(土地清冊_匯入!$B$6:$B$1005,MATCH($A186,土地清冊_匯入!$A$6:$A$1005,0)),"查無資料"))</f>
        <v/>
      </c>
      <c r="E186" s="9">
        <f>IF($A186="","",IFERROR(INDEX(土地清冊_匯入!$I$6:$I$1005,MATCH($A186,土地清冊_匯入!$A$6:$A$1005,0)),""))</f>
        <v/>
      </c>
      <c r="F186" s="13">
        <f>IF($A186="","",IFERROR(INDEX(建物清冊_匯入!$N$6:$N$1005,MATCH($A186,建物清冊_匯入!$A$6:$A$1005,0)),""))</f>
        <v/>
      </c>
      <c r="G186" s="9">
        <f>IF($A186="","",IFERROR(INDEX(建物清冊_匯入!$S$6:$S$1005,MATCH($A186,建物清冊_匯入!$A$6:$A$1005,0)),""))</f>
        <v/>
      </c>
      <c r="H186" s="7" t="n"/>
      <c r="I186" s="15" t="n"/>
      <c r="J186" s="16" t="n"/>
      <c r="K186" s="17">
        <f>IF(J186="","",1-J186)</f>
        <v/>
      </c>
      <c r="L186" s="15" t="n"/>
      <c r="M186" s="7" t="n"/>
      <c r="N186" s="7" t="n"/>
      <c r="O186" s="7" t="n"/>
      <c r="P186" s="11" t="n"/>
      <c r="Q186" s="7" t="n"/>
      <c r="R186" s="7" t="n"/>
      <c r="S186" s="7" t="n"/>
      <c r="T186" s="7" t="n"/>
      <c r="U186" s="12">
        <f>IF(A186="","",IF(H186="","建議填分配模式",""))</f>
        <v/>
      </c>
    </row>
    <row r="187" ht="24" customHeight="1">
      <c r="A187" s="7" t="n"/>
      <c r="B187" s="7" t="n"/>
      <c r="C187" s="7" t="n"/>
      <c r="D187" s="12">
        <f>IF($A187="","",IFERROR(INDEX(土地清冊_匯入!$B$6:$B$1005,MATCH($A187,土地清冊_匯入!$A$6:$A$1005,0)),"查無資料"))</f>
        <v/>
      </c>
      <c r="E187" s="9">
        <f>IF($A187="","",IFERROR(INDEX(土地清冊_匯入!$I$6:$I$1005,MATCH($A187,土地清冊_匯入!$A$6:$A$1005,0)),""))</f>
        <v/>
      </c>
      <c r="F187" s="13">
        <f>IF($A187="","",IFERROR(INDEX(建物清冊_匯入!$N$6:$N$1005,MATCH($A187,建物清冊_匯入!$A$6:$A$1005,0)),""))</f>
        <v/>
      </c>
      <c r="G187" s="9">
        <f>IF($A187="","",IFERROR(INDEX(建物清冊_匯入!$S$6:$S$1005,MATCH($A187,建物清冊_匯入!$A$6:$A$1005,0)),""))</f>
        <v/>
      </c>
      <c r="H187" s="7" t="n"/>
      <c r="I187" s="15" t="n"/>
      <c r="J187" s="16" t="n"/>
      <c r="K187" s="17">
        <f>IF(J187="","",1-J187)</f>
        <v/>
      </c>
      <c r="L187" s="15" t="n"/>
      <c r="M187" s="7" t="n"/>
      <c r="N187" s="7" t="n"/>
      <c r="O187" s="7" t="n"/>
      <c r="P187" s="11" t="n"/>
      <c r="Q187" s="7" t="n"/>
      <c r="R187" s="7" t="n"/>
      <c r="S187" s="7" t="n"/>
      <c r="T187" s="7" t="n"/>
      <c r="U187" s="12">
        <f>IF(A187="","",IF(H187="","建議填分配模式",""))</f>
        <v/>
      </c>
    </row>
    <row r="188" ht="24" customHeight="1">
      <c r="A188" s="7" t="n"/>
      <c r="B188" s="7" t="n"/>
      <c r="C188" s="7" t="n"/>
      <c r="D188" s="12">
        <f>IF($A188="","",IFERROR(INDEX(土地清冊_匯入!$B$6:$B$1005,MATCH($A188,土地清冊_匯入!$A$6:$A$1005,0)),"查無資料"))</f>
        <v/>
      </c>
      <c r="E188" s="9">
        <f>IF($A188="","",IFERROR(INDEX(土地清冊_匯入!$I$6:$I$1005,MATCH($A188,土地清冊_匯入!$A$6:$A$1005,0)),""))</f>
        <v/>
      </c>
      <c r="F188" s="13">
        <f>IF($A188="","",IFERROR(INDEX(建物清冊_匯入!$N$6:$N$1005,MATCH($A188,建物清冊_匯入!$A$6:$A$1005,0)),""))</f>
        <v/>
      </c>
      <c r="G188" s="9">
        <f>IF($A188="","",IFERROR(INDEX(建物清冊_匯入!$S$6:$S$1005,MATCH($A188,建物清冊_匯入!$A$6:$A$1005,0)),""))</f>
        <v/>
      </c>
      <c r="H188" s="7" t="n"/>
      <c r="I188" s="15" t="n"/>
      <c r="J188" s="16" t="n"/>
      <c r="K188" s="17">
        <f>IF(J188="","",1-J188)</f>
        <v/>
      </c>
      <c r="L188" s="15" t="n"/>
      <c r="M188" s="7" t="n"/>
      <c r="N188" s="7" t="n"/>
      <c r="O188" s="7" t="n"/>
      <c r="P188" s="11" t="n"/>
      <c r="Q188" s="7" t="n"/>
      <c r="R188" s="7" t="n"/>
      <c r="S188" s="7" t="n"/>
      <c r="T188" s="7" t="n"/>
      <c r="U188" s="12">
        <f>IF(A188="","",IF(H188="","建議填分配模式",""))</f>
        <v/>
      </c>
    </row>
    <row r="189" ht="24" customHeight="1">
      <c r="A189" s="7" t="n"/>
      <c r="B189" s="7" t="n"/>
      <c r="C189" s="7" t="n"/>
      <c r="D189" s="12">
        <f>IF($A189="","",IFERROR(INDEX(土地清冊_匯入!$B$6:$B$1005,MATCH($A189,土地清冊_匯入!$A$6:$A$1005,0)),"查無資料"))</f>
        <v/>
      </c>
      <c r="E189" s="9">
        <f>IF($A189="","",IFERROR(INDEX(土地清冊_匯入!$I$6:$I$1005,MATCH($A189,土地清冊_匯入!$A$6:$A$1005,0)),""))</f>
        <v/>
      </c>
      <c r="F189" s="13">
        <f>IF($A189="","",IFERROR(INDEX(建物清冊_匯入!$N$6:$N$1005,MATCH($A189,建物清冊_匯入!$A$6:$A$1005,0)),""))</f>
        <v/>
      </c>
      <c r="G189" s="9">
        <f>IF($A189="","",IFERROR(INDEX(建物清冊_匯入!$S$6:$S$1005,MATCH($A189,建物清冊_匯入!$A$6:$A$1005,0)),""))</f>
        <v/>
      </c>
      <c r="H189" s="7" t="n"/>
      <c r="I189" s="15" t="n"/>
      <c r="J189" s="16" t="n"/>
      <c r="K189" s="17">
        <f>IF(J189="","",1-J189)</f>
        <v/>
      </c>
      <c r="L189" s="15" t="n"/>
      <c r="M189" s="7" t="n"/>
      <c r="N189" s="7" t="n"/>
      <c r="O189" s="7" t="n"/>
      <c r="P189" s="11" t="n"/>
      <c r="Q189" s="7" t="n"/>
      <c r="R189" s="7" t="n"/>
      <c r="S189" s="7" t="n"/>
      <c r="T189" s="7" t="n"/>
      <c r="U189" s="12">
        <f>IF(A189="","",IF(H189="","建議填分配模式",""))</f>
        <v/>
      </c>
    </row>
    <row r="190" ht="24" customHeight="1">
      <c r="A190" s="7" t="n"/>
      <c r="B190" s="7" t="n"/>
      <c r="C190" s="7" t="n"/>
      <c r="D190" s="12">
        <f>IF($A190="","",IFERROR(INDEX(土地清冊_匯入!$B$6:$B$1005,MATCH($A190,土地清冊_匯入!$A$6:$A$1005,0)),"查無資料"))</f>
        <v/>
      </c>
      <c r="E190" s="9">
        <f>IF($A190="","",IFERROR(INDEX(土地清冊_匯入!$I$6:$I$1005,MATCH($A190,土地清冊_匯入!$A$6:$A$1005,0)),""))</f>
        <v/>
      </c>
      <c r="F190" s="13">
        <f>IF($A190="","",IFERROR(INDEX(建物清冊_匯入!$N$6:$N$1005,MATCH($A190,建物清冊_匯入!$A$6:$A$1005,0)),""))</f>
        <v/>
      </c>
      <c r="G190" s="9">
        <f>IF($A190="","",IFERROR(INDEX(建物清冊_匯入!$S$6:$S$1005,MATCH($A190,建物清冊_匯入!$A$6:$A$1005,0)),""))</f>
        <v/>
      </c>
      <c r="H190" s="7" t="n"/>
      <c r="I190" s="15" t="n"/>
      <c r="J190" s="16" t="n"/>
      <c r="K190" s="17">
        <f>IF(J190="","",1-J190)</f>
        <v/>
      </c>
      <c r="L190" s="15" t="n"/>
      <c r="M190" s="7" t="n"/>
      <c r="N190" s="7" t="n"/>
      <c r="O190" s="7" t="n"/>
      <c r="P190" s="11" t="n"/>
      <c r="Q190" s="7" t="n"/>
      <c r="R190" s="7" t="n"/>
      <c r="S190" s="7" t="n"/>
      <c r="T190" s="7" t="n"/>
      <c r="U190" s="12">
        <f>IF(A190="","",IF(H190="","建議填分配模式",""))</f>
        <v/>
      </c>
    </row>
    <row r="191" ht="24" customHeight="1">
      <c r="A191" s="7" t="n"/>
      <c r="B191" s="7" t="n"/>
      <c r="C191" s="7" t="n"/>
      <c r="D191" s="12">
        <f>IF($A191="","",IFERROR(INDEX(土地清冊_匯入!$B$6:$B$1005,MATCH($A191,土地清冊_匯入!$A$6:$A$1005,0)),"查無資料"))</f>
        <v/>
      </c>
      <c r="E191" s="9">
        <f>IF($A191="","",IFERROR(INDEX(土地清冊_匯入!$I$6:$I$1005,MATCH($A191,土地清冊_匯入!$A$6:$A$1005,0)),""))</f>
        <v/>
      </c>
      <c r="F191" s="13">
        <f>IF($A191="","",IFERROR(INDEX(建物清冊_匯入!$N$6:$N$1005,MATCH($A191,建物清冊_匯入!$A$6:$A$1005,0)),""))</f>
        <v/>
      </c>
      <c r="G191" s="9">
        <f>IF($A191="","",IFERROR(INDEX(建物清冊_匯入!$S$6:$S$1005,MATCH($A191,建物清冊_匯入!$A$6:$A$1005,0)),""))</f>
        <v/>
      </c>
      <c r="H191" s="7" t="n"/>
      <c r="I191" s="15" t="n"/>
      <c r="J191" s="16" t="n"/>
      <c r="K191" s="17">
        <f>IF(J191="","",1-J191)</f>
        <v/>
      </c>
      <c r="L191" s="15" t="n"/>
      <c r="M191" s="7" t="n"/>
      <c r="N191" s="7" t="n"/>
      <c r="O191" s="7" t="n"/>
      <c r="P191" s="11" t="n"/>
      <c r="Q191" s="7" t="n"/>
      <c r="R191" s="7" t="n"/>
      <c r="S191" s="7" t="n"/>
      <c r="T191" s="7" t="n"/>
      <c r="U191" s="12">
        <f>IF(A191="","",IF(H191="","建議填分配模式",""))</f>
        <v/>
      </c>
    </row>
    <row r="192" ht="24" customHeight="1">
      <c r="A192" s="7" t="n"/>
      <c r="B192" s="7" t="n"/>
      <c r="C192" s="7" t="n"/>
      <c r="D192" s="12">
        <f>IF($A192="","",IFERROR(INDEX(土地清冊_匯入!$B$6:$B$1005,MATCH($A192,土地清冊_匯入!$A$6:$A$1005,0)),"查無資料"))</f>
        <v/>
      </c>
      <c r="E192" s="9">
        <f>IF($A192="","",IFERROR(INDEX(土地清冊_匯入!$I$6:$I$1005,MATCH($A192,土地清冊_匯入!$A$6:$A$1005,0)),""))</f>
        <v/>
      </c>
      <c r="F192" s="13">
        <f>IF($A192="","",IFERROR(INDEX(建物清冊_匯入!$N$6:$N$1005,MATCH($A192,建物清冊_匯入!$A$6:$A$1005,0)),""))</f>
        <v/>
      </c>
      <c r="G192" s="9">
        <f>IF($A192="","",IFERROR(INDEX(建物清冊_匯入!$S$6:$S$1005,MATCH($A192,建物清冊_匯入!$A$6:$A$1005,0)),""))</f>
        <v/>
      </c>
      <c r="H192" s="7" t="n"/>
      <c r="I192" s="15" t="n"/>
      <c r="J192" s="16" t="n"/>
      <c r="K192" s="17">
        <f>IF(J192="","",1-J192)</f>
        <v/>
      </c>
      <c r="L192" s="15" t="n"/>
      <c r="M192" s="7" t="n"/>
      <c r="N192" s="7" t="n"/>
      <c r="O192" s="7" t="n"/>
      <c r="P192" s="11" t="n"/>
      <c r="Q192" s="7" t="n"/>
      <c r="R192" s="7" t="n"/>
      <c r="S192" s="7" t="n"/>
      <c r="T192" s="7" t="n"/>
      <c r="U192" s="12">
        <f>IF(A192="","",IF(H192="","建議填分配模式",""))</f>
        <v/>
      </c>
    </row>
    <row r="193" ht="24" customHeight="1">
      <c r="A193" s="7" t="n"/>
      <c r="B193" s="7" t="n"/>
      <c r="C193" s="7" t="n"/>
      <c r="D193" s="12">
        <f>IF($A193="","",IFERROR(INDEX(土地清冊_匯入!$B$6:$B$1005,MATCH($A193,土地清冊_匯入!$A$6:$A$1005,0)),"查無資料"))</f>
        <v/>
      </c>
      <c r="E193" s="9">
        <f>IF($A193="","",IFERROR(INDEX(土地清冊_匯入!$I$6:$I$1005,MATCH($A193,土地清冊_匯入!$A$6:$A$1005,0)),""))</f>
        <v/>
      </c>
      <c r="F193" s="13">
        <f>IF($A193="","",IFERROR(INDEX(建物清冊_匯入!$N$6:$N$1005,MATCH($A193,建物清冊_匯入!$A$6:$A$1005,0)),""))</f>
        <v/>
      </c>
      <c r="G193" s="9">
        <f>IF($A193="","",IFERROR(INDEX(建物清冊_匯入!$S$6:$S$1005,MATCH($A193,建物清冊_匯入!$A$6:$A$1005,0)),""))</f>
        <v/>
      </c>
      <c r="H193" s="7" t="n"/>
      <c r="I193" s="15" t="n"/>
      <c r="J193" s="16" t="n"/>
      <c r="K193" s="17">
        <f>IF(J193="","",1-J193)</f>
        <v/>
      </c>
      <c r="L193" s="15" t="n"/>
      <c r="M193" s="7" t="n"/>
      <c r="N193" s="7" t="n"/>
      <c r="O193" s="7" t="n"/>
      <c r="P193" s="11" t="n"/>
      <c r="Q193" s="7" t="n"/>
      <c r="R193" s="7" t="n"/>
      <c r="S193" s="7" t="n"/>
      <c r="T193" s="7" t="n"/>
      <c r="U193" s="12">
        <f>IF(A193="","",IF(H193="","建議填分配模式",""))</f>
        <v/>
      </c>
    </row>
    <row r="194" ht="24" customHeight="1">
      <c r="A194" s="7" t="n"/>
      <c r="B194" s="7" t="n"/>
      <c r="C194" s="7" t="n"/>
      <c r="D194" s="12">
        <f>IF($A194="","",IFERROR(INDEX(土地清冊_匯入!$B$6:$B$1005,MATCH($A194,土地清冊_匯入!$A$6:$A$1005,0)),"查無資料"))</f>
        <v/>
      </c>
      <c r="E194" s="9">
        <f>IF($A194="","",IFERROR(INDEX(土地清冊_匯入!$I$6:$I$1005,MATCH($A194,土地清冊_匯入!$A$6:$A$1005,0)),""))</f>
        <v/>
      </c>
      <c r="F194" s="13">
        <f>IF($A194="","",IFERROR(INDEX(建物清冊_匯入!$N$6:$N$1005,MATCH($A194,建物清冊_匯入!$A$6:$A$1005,0)),""))</f>
        <v/>
      </c>
      <c r="G194" s="9">
        <f>IF($A194="","",IFERROR(INDEX(建物清冊_匯入!$S$6:$S$1005,MATCH($A194,建物清冊_匯入!$A$6:$A$1005,0)),""))</f>
        <v/>
      </c>
      <c r="H194" s="7" t="n"/>
      <c r="I194" s="15" t="n"/>
      <c r="J194" s="16" t="n"/>
      <c r="K194" s="17">
        <f>IF(J194="","",1-J194)</f>
        <v/>
      </c>
      <c r="L194" s="15" t="n"/>
      <c r="M194" s="7" t="n"/>
      <c r="N194" s="7" t="n"/>
      <c r="O194" s="7" t="n"/>
      <c r="P194" s="11" t="n"/>
      <c r="Q194" s="7" t="n"/>
      <c r="R194" s="7" t="n"/>
      <c r="S194" s="7" t="n"/>
      <c r="T194" s="7" t="n"/>
      <c r="U194" s="12">
        <f>IF(A194="","",IF(H194="","建議填分配模式",""))</f>
        <v/>
      </c>
    </row>
    <row r="195" ht="24" customHeight="1">
      <c r="A195" s="7" t="n"/>
      <c r="B195" s="7" t="n"/>
      <c r="C195" s="7" t="n"/>
      <c r="D195" s="12">
        <f>IF($A195="","",IFERROR(INDEX(土地清冊_匯入!$B$6:$B$1005,MATCH($A195,土地清冊_匯入!$A$6:$A$1005,0)),"查無資料"))</f>
        <v/>
      </c>
      <c r="E195" s="9">
        <f>IF($A195="","",IFERROR(INDEX(土地清冊_匯入!$I$6:$I$1005,MATCH($A195,土地清冊_匯入!$A$6:$A$1005,0)),""))</f>
        <v/>
      </c>
      <c r="F195" s="13">
        <f>IF($A195="","",IFERROR(INDEX(建物清冊_匯入!$N$6:$N$1005,MATCH($A195,建物清冊_匯入!$A$6:$A$1005,0)),""))</f>
        <v/>
      </c>
      <c r="G195" s="9">
        <f>IF($A195="","",IFERROR(INDEX(建物清冊_匯入!$S$6:$S$1005,MATCH($A195,建物清冊_匯入!$A$6:$A$1005,0)),""))</f>
        <v/>
      </c>
      <c r="H195" s="7" t="n"/>
      <c r="I195" s="15" t="n"/>
      <c r="J195" s="16" t="n"/>
      <c r="K195" s="17">
        <f>IF(J195="","",1-J195)</f>
        <v/>
      </c>
      <c r="L195" s="15" t="n"/>
      <c r="M195" s="7" t="n"/>
      <c r="N195" s="7" t="n"/>
      <c r="O195" s="7" t="n"/>
      <c r="P195" s="11" t="n"/>
      <c r="Q195" s="7" t="n"/>
      <c r="R195" s="7" t="n"/>
      <c r="S195" s="7" t="n"/>
      <c r="T195" s="7" t="n"/>
      <c r="U195" s="12">
        <f>IF(A195="","",IF(H195="","建議填分配模式",""))</f>
        <v/>
      </c>
    </row>
    <row r="196" ht="24" customHeight="1">
      <c r="A196" s="7" t="n"/>
      <c r="B196" s="7" t="n"/>
      <c r="C196" s="7" t="n"/>
      <c r="D196" s="12">
        <f>IF($A196="","",IFERROR(INDEX(土地清冊_匯入!$B$6:$B$1005,MATCH($A196,土地清冊_匯入!$A$6:$A$1005,0)),"查無資料"))</f>
        <v/>
      </c>
      <c r="E196" s="9">
        <f>IF($A196="","",IFERROR(INDEX(土地清冊_匯入!$I$6:$I$1005,MATCH($A196,土地清冊_匯入!$A$6:$A$1005,0)),""))</f>
        <v/>
      </c>
      <c r="F196" s="13">
        <f>IF($A196="","",IFERROR(INDEX(建物清冊_匯入!$N$6:$N$1005,MATCH($A196,建物清冊_匯入!$A$6:$A$1005,0)),""))</f>
        <v/>
      </c>
      <c r="G196" s="9">
        <f>IF($A196="","",IFERROR(INDEX(建物清冊_匯入!$S$6:$S$1005,MATCH($A196,建物清冊_匯入!$A$6:$A$1005,0)),""))</f>
        <v/>
      </c>
      <c r="H196" s="7" t="n"/>
      <c r="I196" s="15" t="n"/>
      <c r="J196" s="16" t="n"/>
      <c r="K196" s="17">
        <f>IF(J196="","",1-J196)</f>
        <v/>
      </c>
      <c r="L196" s="15" t="n"/>
      <c r="M196" s="7" t="n"/>
      <c r="N196" s="7" t="n"/>
      <c r="O196" s="7" t="n"/>
      <c r="P196" s="11" t="n"/>
      <c r="Q196" s="7" t="n"/>
      <c r="R196" s="7" t="n"/>
      <c r="S196" s="7" t="n"/>
      <c r="T196" s="7" t="n"/>
      <c r="U196" s="12">
        <f>IF(A196="","",IF(H196="","建議填分配模式",""))</f>
        <v/>
      </c>
    </row>
    <row r="197" ht="24" customHeight="1">
      <c r="A197" s="7" t="n"/>
      <c r="B197" s="7" t="n"/>
      <c r="C197" s="7" t="n"/>
      <c r="D197" s="12">
        <f>IF($A197="","",IFERROR(INDEX(土地清冊_匯入!$B$6:$B$1005,MATCH($A197,土地清冊_匯入!$A$6:$A$1005,0)),"查無資料"))</f>
        <v/>
      </c>
      <c r="E197" s="9">
        <f>IF($A197="","",IFERROR(INDEX(土地清冊_匯入!$I$6:$I$1005,MATCH($A197,土地清冊_匯入!$A$6:$A$1005,0)),""))</f>
        <v/>
      </c>
      <c r="F197" s="13">
        <f>IF($A197="","",IFERROR(INDEX(建物清冊_匯入!$N$6:$N$1005,MATCH($A197,建物清冊_匯入!$A$6:$A$1005,0)),""))</f>
        <v/>
      </c>
      <c r="G197" s="9">
        <f>IF($A197="","",IFERROR(INDEX(建物清冊_匯入!$S$6:$S$1005,MATCH($A197,建物清冊_匯入!$A$6:$A$1005,0)),""))</f>
        <v/>
      </c>
      <c r="H197" s="7" t="n"/>
      <c r="I197" s="15" t="n"/>
      <c r="J197" s="16" t="n"/>
      <c r="K197" s="17">
        <f>IF(J197="","",1-J197)</f>
        <v/>
      </c>
      <c r="L197" s="15" t="n"/>
      <c r="M197" s="7" t="n"/>
      <c r="N197" s="7" t="n"/>
      <c r="O197" s="7" t="n"/>
      <c r="P197" s="11" t="n"/>
      <c r="Q197" s="7" t="n"/>
      <c r="R197" s="7" t="n"/>
      <c r="S197" s="7" t="n"/>
      <c r="T197" s="7" t="n"/>
      <c r="U197" s="12">
        <f>IF(A197="","",IF(H197="","建議填分配模式",""))</f>
        <v/>
      </c>
    </row>
    <row r="198" ht="24" customHeight="1">
      <c r="A198" s="7" t="n"/>
      <c r="B198" s="7" t="n"/>
      <c r="C198" s="7" t="n"/>
      <c r="D198" s="12">
        <f>IF($A198="","",IFERROR(INDEX(土地清冊_匯入!$B$6:$B$1005,MATCH($A198,土地清冊_匯入!$A$6:$A$1005,0)),"查無資料"))</f>
        <v/>
      </c>
      <c r="E198" s="9">
        <f>IF($A198="","",IFERROR(INDEX(土地清冊_匯入!$I$6:$I$1005,MATCH($A198,土地清冊_匯入!$A$6:$A$1005,0)),""))</f>
        <v/>
      </c>
      <c r="F198" s="13">
        <f>IF($A198="","",IFERROR(INDEX(建物清冊_匯入!$N$6:$N$1005,MATCH($A198,建物清冊_匯入!$A$6:$A$1005,0)),""))</f>
        <v/>
      </c>
      <c r="G198" s="9">
        <f>IF($A198="","",IFERROR(INDEX(建物清冊_匯入!$S$6:$S$1005,MATCH($A198,建物清冊_匯入!$A$6:$A$1005,0)),""))</f>
        <v/>
      </c>
      <c r="H198" s="7" t="n"/>
      <c r="I198" s="15" t="n"/>
      <c r="J198" s="16" t="n"/>
      <c r="K198" s="17">
        <f>IF(J198="","",1-J198)</f>
        <v/>
      </c>
      <c r="L198" s="15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2">
        <f>IF(A198="","",IF(H198="","建議填分配模式",""))</f>
        <v/>
      </c>
    </row>
    <row r="199" ht="24" customHeight="1">
      <c r="A199" s="7" t="n"/>
      <c r="B199" s="7" t="n"/>
      <c r="C199" s="7" t="n"/>
      <c r="D199" s="12">
        <f>IF($A199="","",IFERROR(INDEX(土地清冊_匯入!$B$6:$B$1005,MATCH($A199,土地清冊_匯入!$A$6:$A$1005,0)),"查無資料"))</f>
        <v/>
      </c>
      <c r="E199" s="9">
        <f>IF($A199="","",IFERROR(INDEX(土地清冊_匯入!$I$6:$I$1005,MATCH($A199,土地清冊_匯入!$A$6:$A$1005,0)),""))</f>
        <v/>
      </c>
      <c r="F199" s="13">
        <f>IF($A199="","",IFERROR(INDEX(建物清冊_匯入!$N$6:$N$1005,MATCH($A199,建物清冊_匯入!$A$6:$A$1005,0)),""))</f>
        <v/>
      </c>
      <c r="G199" s="9">
        <f>IF($A199="","",IFERROR(INDEX(建物清冊_匯入!$S$6:$S$1005,MATCH($A199,建物清冊_匯入!$A$6:$A$1005,0)),""))</f>
        <v/>
      </c>
      <c r="H199" s="7" t="n"/>
      <c r="I199" s="15" t="n"/>
      <c r="J199" s="16" t="n"/>
      <c r="K199" s="17">
        <f>IF(J199="","",1-J199)</f>
        <v/>
      </c>
      <c r="L199" s="15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2">
        <f>IF(A199="","",IF(H199="","建議填分配模式",""))</f>
        <v/>
      </c>
    </row>
    <row r="200" ht="24" customHeight="1">
      <c r="A200" s="7" t="n"/>
      <c r="B200" s="7" t="n"/>
      <c r="C200" s="7" t="n"/>
      <c r="D200" s="12">
        <f>IF($A200="","",IFERROR(INDEX(土地清冊_匯入!$B$6:$B$1005,MATCH($A200,土地清冊_匯入!$A$6:$A$1005,0)),"查無資料"))</f>
        <v/>
      </c>
      <c r="E200" s="9">
        <f>IF($A200="","",IFERROR(INDEX(土地清冊_匯入!$I$6:$I$1005,MATCH($A200,土地清冊_匯入!$A$6:$A$1005,0)),""))</f>
        <v/>
      </c>
      <c r="F200" s="13">
        <f>IF($A200="","",IFERROR(INDEX(建物清冊_匯入!$N$6:$N$1005,MATCH($A200,建物清冊_匯入!$A$6:$A$1005,0)),""))</f>
        <v/>
      </c>
      <c r="G200" s="9">
        <f>IF($A200="","",IFERROR(INDEX(建物清冊_匯入!$S$6:$S$1005,MATCH($A200,建物清冊_匯入!$A$6:$A$1005,0)),""))</f>
        <v/>
      </c>
      <c r="H200" s="7" t="n"/>
      <c r="I200" s="15" t="n"/>
      <c r="J200" s="16" t="n"/>
      <c r="K200" s="17">
        <f>IF(J200="","",1-J200)</f>
        <v/>
      </c>
      <c r="L200" s="15" t="n"/>
      <c r="M200" s="7" t="n"/>
      <c r="N200" s="7" t="n"/>
      <c r="O200" s="7" t="n"/>
      <c r="P200" s="11" t="n"/>
      <c r="Q200" s="7" t="n"/>
      <c r="R200" s="7" t="n"/>
      <c r="S200" s="7" t="n"/>
      <c r="T200" s="7" t="n"/>
      <c r="U200" s="12">
        <f>IF(A200="","",IF(H200="","建議填分配模式",""))</f>
        <v/>
      </c>
    </row>
    <row r="201" ht="24" customHeight="1">
      <c r="A201" s="7" t="n"/>
      <c r="B201" s="7" t="n"/>
      <c r="C201" s="7" t="n"/>
      <c r="D201" s="12">
        <f>IF($A201="","",IFERROR(INDEX(土地清冊_匯入!$B$6:$B$1005,MATCH($A201,土地清冊_匯入!$A$6:$A$1005,0)),"查無資料"))</f>
        <v/>
      </c>
      <c r="E201" s="9">
        <f>IF($A201="","",IFERROR(INDEX(土地清冊_匯入!$I$6:$I$1005,MATCH($A201,土地清冊_匯入!$A$6:$A$1005,0)),""))</f>
        <v/>
      </c>
      <c r="F201" s="13">
        <f>IF($A201="","",IFERROR(INDEX(建物清冊_匯入!$N$6:$N$1005,MATCH($A201,建物清冊_匯入!$A$6:$A$1005,0)),""))</f>
        <v/>
      </c>
      <c r="G201" s="9">
        <f>IF($A201="","",IFERROR(INDEX(建物清冊_匯入!$S$6:$S$1005,MATCH($A201,建物清冊_匯入!$A$6:$A$1005,0)),""))</f>
        <v/>
      </c>
      <c r="H201" s="7" t="n"/>
      <c r="I201" s="15" t="n"/>
      <c r="J201" s="16" t="n"/>
      <c r="K201" s="17">
        <f>IF(J201="","",1-J201)</f>
        <v/>
      </c>
      <c r="L201" s="15" t="n"/>
      <c r="M201" s="7" t="n"/>
      <c r="N201" s="7" t="n"/>
      <c r="O201" s="7" t="n"/>
      <c r="P201" s="11" t="n"/>
      <c r="Q201" s="7" t="n"/>
      <c r="R201" s="7" t="n"/>
      <c r="S201" s="7" t="n"/>
      <c r="T201" s="7" t="n"/>
      <c r="U201" s="12">
        <f>IF(A201="","",IF(H201="","建議填分配模式",""))</f>
        <v/>
      </c>
    </row>
    <row r="202" ht="24" customHeight="1">
      <c r="A202" s="7" t="n"/>
      <c r="B202" s="7" t="n"/>
      <c r="C202" s="7" t="n"/>
      <c r="D202" s="12">
        <f>IF($A202="","",IFERROR(INDEX(土地清冊_匯入!$B$6:$B$1005,MATCH($A202,土地清冊_匯入!$A$6:$A$1005,0)),"查無資料"))</f>
        <v/>
      </c>
      <c r="E202" s="9">
        <f>IF($A202="","",IFERROR(INDEX(土地清冊_匯入!$I$6:$I$1005,MATCH($A202,土地清冊_匯入!$A$6:$A$1005,0)),""))</f>
        <v/>
      </c>
      <c r="F202" s="13">
        <f>IF($A202="","",IFERROR(INDEX(建物清冊_匯入!$N$6:$N$1005,MATCH($A202,建物清冊_匯入!$A$6:$A$1005,0)),""))</f>
        <v/>
      </c>
      <c r="G202" s="9">
        <f>IF($A202="","",IFERROR(INDEX(建物清冊_匯入!$S$6:$S$1005,MATCH($A202,建物清冊_匯入!$A$6:$A$1005,0)),""))</f>
        <v/>
      </c>
      <c r="H202" s="7" t="n"/>
      <c r="I202" s="15" t="n"/>
      <c r="J202" s="16" t="n"/>
      <c r="K202" s="17">
        <f>IF(J202="","",1-J202)</f>
        <v/>
      </c>
      <c r="L202" s="15" t="n"/>
      <c r="M202" s="7" t="n"/>
      <c r="N202" s="7" t="n"/>
      <c r="O202" s="7" t="n"/>
      <c r="P202" s="11" t="n"/>
      <c r="Q202" s="7" t="n"/>
      <c r="R202" s="7" t="n"/>
      <c r="S202" s="7" t="n"/>
      <c r="T202" s="7" t="n"/>
      <c r="U202" s="12">
        <f>IF(A202="","",IF(H202="","建議填分配模式",""))</f>
        <v/>
      </c>
    </row>
    <row r="203" ht="24" customHeight="1">
      <c r="A203" s="7" t="n"/>
      <c r="B203" s="7" t="n"/>
      <c r="C203" s="7" t="n"/>
      <c r="D203" s="12">
        <f>IF($A203="","",IFERROR(INDEX(土地清冊_匯入!$B$6:$B$1005,MATCH($A203,土地清冊_匯入!$A$6:$A$1005,0)),"查無資料"))</f>
        <v/>
      </c>
      <c r="E203" s="9">
        <f>IF($A203="","",IFERROR(INDEX(土地清冊_匯入!$I$6:$I$1005,MATCH($A203,土地清冊_匯入!$A$6:$A$1005,0)),""))</f>
        <v/>
      </c>
      <c r="F203" s="13">
        <f>IF($A203="","",IFERROR(INDEX(建物清冊_匯入!$N$6:$N$1005,MATCH($A203,建物清冊_匯入!$A$6:$A$1005,0)),""))</f>
        <v/>
      </c>
      <c r="G203" s="9">
        <f>IF($A203="","",IFERROR(INDEX(建物清冊_匯入!$S$6:$S$1005,MATCH($A203,建物清冊_匯入!$A$6:$A$1005,0)),""))</f>
        <v/>
      </c>
      <c r="H203" s="7" t="n"/>
      <c r="I203" s="15" t="n"/>
      <c r="J203" s="16" t="n"/>
      <c r="K203" s="17">
        <f>IF(J203="","",1-J203)</f>
        <v/>
      </c>
      <c r="L203" s="15" t="n"/>
      <c r="M203" s="7" t="n"/>
      <c r="N203" s="7" t="n"/>
      <c r="O203" s="7" t="n"/>
      <c r="P203" s="11" t="n"/>
      <c r="Q203" s="7" t="n"/>
      <c r="R203" s="7" t="n"/>
      <c r="S203" s="7" t="n"/>
      <c r="T203" s="7" t="n"/>
      <c r="U203" s="12">
        <f>IF(A203="","",IF(H203="","建議填分配模式",""))</f>
        <v/>
      </c>
    </row>
    <row r="204" ht="24" customHeight="1">
      <c r="A204" s="7" t="n"/>
      <c r="B204" s="7" t="n"/>
      <c r="C204" s="7" t="n"/>
      <c r="D204" s="12">
        <f>IF($A204="","",IFERROR(INDEX(土地清冊_匯入!$B$6:$B$1005,MATCH($A204,土地清冊_匯入!$A$6:$A$1005,0)),"查無資料"))</f>
        <v/>
      </c>
      <c r="E204" s="9">
        <f>IF($A204="","",IFERROR(INDEX(土地清冊_匯入!$I$6:$I$1005,MATCH($A204,土地清冊_匯入!$A$6:$A$1005,0)),""))</f>
        <v/>
      </c>
      <c r="F204" s="13">
        <f>IF($A204="","",IFERROR(INDEX(建物清冊_匯入!$N$6:$N$1005,MATCH($A204,建物清冊_匯入!$A$6:$A$1005,0)),""))</f>
        <v/>
      </c>
      <c r="G204" s="9">
        <f>IF($A204="","",IFERROR(INDEX(建物清冊_匯入!$S$6:$S$1005,MATCH($A204,建物清冊_匯入!$A$6:$A$1005,0)),""))</f>
        <v/>
      </c>
      <c r="H204" s="7" t="n"/>
      <c r="I204" s="15" t="n"/>
      <c r="J204" s="16" t="n"/>
      <c r="K204" s="17">
        <f>IF(J204="","",1-J204)</f>
        <v/>
      </c>
      <c r="L204" s="15" t="n"/>
      <c r="M204" s="7" t="n"/>
      <c r="N204" s="7" t="n"/>
      <c r="O204" s="7" t="n"/>
      <c r="P204" s="11" t="n"/>
      <c r="Q204" s="7" t="n"/>
      <c r="R204" s="7" t="n"/>
      <c r="S204" s="7" t="n"/>
      <c r="T204" s="7" t="n"/>
      <c r="U204" s="12">
        <f>IF(A204="","",IF(H204="","建議填分配模式",""))</f>
        <v/>
      </c>
    </row>
    <row r="205" ht="24" customHeight="1">
      <c r="A205" s="7" t="n"/>
      <c r="B205" s="7" t="n"/>
      <c r="C205" s="7" t="n"/>
      <c r="D205" s="12">
        <f>IF($A205="","",IFERROR(INDEX(土地清冊_匯入!$B$6:$B$1005,MATCH($A205,土地清冊_匯入!$A$6:$A$1005,0)),"查無資料"))</f>
        <v/>
      </c>
      <c r="E205" s="9">
        <f>IF($A205="","",IFERROR(INDEX(土地清冊_匯入!$I$6:$I$1005,MATCH($A205,土地清冊_匯入!$A$6:$A$1005,0)),""))</f>
        <v/>
      </c>
      <c r="F205" s="13">
        <f>IF($A205="","",IFERROR(INDEX(建物清冊_匯入!$N$6:$N$1005,MATCH($A205,建物清冊_匯入!$A$6:$A$1005,0)),""))</f>
        <v/>
      </c>
      <c r="G205" s="9">
        <f>IF($A205="","",IFERROR(INDEX(建物清冊_匯入!$S$6:$S$1005,MATCH($A205,建物清冊_匯入!$A$6:$A$1005,0)),""))</f>
        <v/>
      </c>
      <c r="H205" s="7" t="n"/>
      <c r="I205" s="15" t="n"/>
      <c r="J205" s="16" t="n"/>
      <c r="K205" s="17">
        <f>IF(J205="","",1-J205)</f>
        <v/>
      </c>
      <c r="L205" s="15" t="n"/>
      <c r="M205" s="7" t="n"/>
      <c r="N205" s="7" t="n"/>
      <c r="O205" s="7" t="n"/>
      <c r="P205" s="11" t="n"/>
      <c r="Q205" s="7" t="n"/>
      <c r="R205" s="7" t="n"/>
      <c r="S205" s="7" t="n"/>
      <c r="T205" s="7" t="n"/>
      <c r="U205" s="12">
        <f>IF(A205="","",IF(H205="","建議填分配模式",""))</f>
        <v/>
      </c>
    </row>
    <row r="206" ht="24" customHeight="1">
      <c r="A206" s="7" t="n"/>
      <c r="B206" s="7" t="n"/>
      <c r="C206" s="7" t="n"/>
      <c r="D206" s="12">
        <f>IF($A206="","",IFERROR(INDEX(土地清冊_匯入!$B$6:$B$1005,MATCH($A206,土地清冊_匯入!$A$6:$A$1005,0)),"查無資料"))</f>
        <v/>
      </c>
      <c r="E206" s="9">
        <f>IF($A206="","",IFERROR(INDEX(土地清冊_匯入!$I$6:$I$1005,MATCH($A206,土地清冊_匯入!$A$6:$A$1005,0)),""))</f>
        <v/>
      </c>
      <c r="F206" s="13">
        <f>IF($A206="","",IFERROR(INDEX(建物清冊_匯入!$N$6:$N$1005,MATCH($A206,建物清冊_匯入!$A$6:$A$1005,0)),""))</f>
        <v/>
      </c>
      <c r="G206" s="9">
        <f>IF($A206="","",IFERROR(INDEX(建物清冊_匯入!$S$6:$S$1005,MATCH($A206,建物清冊_匯入!$A$6:$A$1005,0)),""))</f>
        <v/>
      </c>
      <c r="H206" s="7" t="n"/>
      <c r="I206" s="15" t="n"/>
      <c r="J206" s="16" t="n"/>
      <c r="K206" s="17">
        <f>IF(J206="","",1-J206)</f>
        <v/>
      </c>
      <c r="L206" s="15" t="n"/>
      <c r="M206" s="7" t="n"/>
      <c r="N206" s="7" t="n"/>
      <c r="O206" s="7" t="n"/>
      <c r="P206" s="11" t="n"/>
      <c r="Q206" s="7" t="n"/>
      <c r="R206" s="7" t="n"/>
      <c r="S206" s="7" t="n"/>
      <c r="T206" s="7" t="n"/>
      <c r="U206" s="12">
        <f>IF(A206="","",IF(H206="","建議填分配模式",""))</f>
        <v/>
      </c>
    </row>
    <row r="207" ht="24" customHeight="1">
      <c r="A207" s="7" t="n"/>
      <c r="B207" s="7" t="n"/>
      <c r="C207" s="7" t="n"/>
      <c r="D207" s="12">
        <f>IF($A207="","",IFERROR(INDEX(土地清冊_匯入!$B$6:$B$1005,MATCH($A207,土地清冊_匯入!$A$6:$A$1005,0)),"查無資料"))</f>
        <v/>
      </c>
      <c r="E207" s="9">
        <f>IF($A207="","",IFERROR(INDEX(土地清冊_匯入!$I$6:$I$1005,MATCH($A207,土地清冊_匯入!$A$6:$A$1005,0)),""))</f>
        <v/>
      </c>
      <c r="F207" s="13">
        <f>IF($A207="","",IFERROR(INDEX(建物清冊_匯入!$N$6:$N$1005,MATCH($A207,建物清冊_匯入!$A$6:$A$1005,0)),""))</f>
        <v/>
      </c>
      <c r="G207" s="9">
        <f>IF($A207="","",IFERROR(INDEX(建物清冊_匯入!$S$6:$S$1005,MATCH($A207,建物清冊_匯入!$A$6:$A$1005,0)),""))</f>
        <v/>
      </c>
      <c r="H207" s="7" t="n"/>
      <c r="I207" s="15" t="n"/>
      <c r="J207" s="16" t="n"/>
      <c r="K207" s="17">
        <f>IF(J207="","",1-J207)</f>
        <v/>
      </c>
      <c r="L207" s="15" t="n"/>
      <c r="M207" s="7" t="n"/>
      <c r="N207" s="7" t="n"/>
      <c r="O207" s="7" t="n"/>
      <c r="P207" s="11" t="n"/>
      <c r="Q207" s="7" t="n"/>
      <c r="R207" s="7" t="n"/>
      <c r="S207" s="7" t="n"/>
      <c r="T207" s="7" t="n"/>
      <c r="U207" s="12">
        <f>IF(A207="","",IF(H207="","建議填分配模式",""))</f>
        <v/>
      </c>
    </row>
    <row r="208" ht="24" customHeight="1">
      <c r="A208" s="7" t="n"/>
      <c r="B208" s="7" t="n"/>
      <c r="C208" s="7" t="n"/>
      <c r="D208" s="12">
        <f>IF($A208="","",IFERROR(INDEX(土地清冊_匯入!$B$6:$B$1005,MATCH($A208,土地清冊_匯入!$A$6:$A$1005,0)),"查無資料"))</f>
        <v/>
      </c>
      <c r="E208" s="9">
        <f>IF($A208="","",IFERROR(INDEX(土地清冊_匯入!$I$6:$I$1005,MATCH($A208,土地清冊_匯入!$A$6:$A$1005,0)),""))</f>
        <v/>
      </c>
      <c r="F208" s="13">
        <f>IF($A208="","",IFERROR(INDEX(建物清冊_匯入!$N$6:$N$1005,MATCH($A208,建物清冊_匯入!$A$6:$A$1005,0)),""))</f>
        <v/>
      </c>
      <c r="G208" s="9">
        <f>IF($A208="","",IFERROR(INDEX(建物清冊_匯入!$S$6:$S$1005,MATCH($A208,建物清冊_匯入!$A$6:$A$1005,0)),""))</f>
        <v/>
      </c>
      <c r="H208" s="7" t="n"/>
      <c r="I208" s="15" t="n"/>
      <c r="J208" s="16" t="n"/>
      <c r="K208" s="17">
        <f>IF(J208="","",1-J208)</f>
        <v/>
      </c>
      <c r="L208" s="15" t="n"/>
      <c r="M208" s="7" t="n"/>
      <c r="N208" s="7" t="n"/>
      <c r="O208" s="7" t="n"/>
      <c r="P208" s="11" t="n"/>
      <c r="Q208" s="7" t="n"/>
      <c r="R208" s="7" t="n"/>
      <c r="S208" s="7" t="n"/>
      <c r="T208" s="7" t="n"/>
      <c r="U208" s="12">
        <f>IF(A208="","",IF(H208="","建議填分配模式",""))</f>
        <v/>
      </c>
    </row>
    <row r="209" ht="24" customHeight="1">
      <c r="A209" s="7" t="n"/>
      <c r="B209" s="7" t="n"/>
      <c r="C209" s="7" t="n"/>
      <c r="D209" s="12">
        <f>IF($A209="","",IFERROR(INDEX(土地清冊_匯入!$B$6:$B$1005,MATCH($A209,土地清冊_匯入!$A$6:$A$1005,0)),"查無資料"))</f>
        <v/>
      </c>
      <c r="E209" s="9">
        <f>IF($A209="","",IFERROR(INDEX(土地清冊_匯入!$I$6:$I$1005,MATCH($A209,土地清冊_匯入!$A$6:$A$1005,0)),""))</f>
        <v/>
      </c>
      <c r="F209" s="13">
        <f>IF($A209="","",IFERROR(INDEX(建物清冊_匯入!$N$6:$N$1005,MATCH($A209,建物清冊_匯入!$A$6:$A$1005,0)),""))</f>
        <v/>
      </c>
      <c r="G209" s="9">
        <f>IF($A209="","",IFERROR(INDEX(建物清冊_匯入!$S$6:$S$1005,MATCH($A209,建物清冊_匯入!$A$6:$A$1005,0)),""))</f>
        <v/>
      </c>
      <c r="H209" s="7" t="n"/>
      <c r="I209" s="15" t="n"/>
      <c r="J209" s="16" t="n"/>
      <c r="K209" s="17">
        <f>IF(J209="","",1-J209)</f>
        <v/>
      </c>
      <c r="L209" s="15" t="n"/>
      <c r="M209" s="7" t="n"/>
      <c r="N209" s="7" t="n"/>
      <c r="O209" s="7" t="n"/>
      <c r="P209" s="11" t="n"/>
      <c r="Q209" s="7" t="n"/>
      <c r="R209" s="7" t="n"/>
      <c r="S209" s="7" t="n"/>
      <c r="T209" s="7" t="n"/>
      <c r="U209" s="12">
        <f>IF(A209="","",IF(H209="","建議填分配模式",""))</f>
        <v/>
      </c>
    </row>
    <row r="210" ht="24" customHeight="1">
      <c r="A210" s="7" t="n"/>
      <c r="B210" s="7" t="n"/>
      <c r="C210" s="7" t="n"/>
      <c r="D210" s="12">
        <f>IF($A210="","",IFERROR(INDEX(土地清冊_匯入!$B$6:$B$1005,MATCH($A210,土地清冊_匯入!$A$6:$A$1005,0)),"查無資料"))</f>
        <v/>
      </c>
      <c r="E210" s="9">
        <f>IF($A210="","",IFERROR(INDEX(土地清冊_匯入!$I$6:$I$1005,MATCH($A210,土地清冊_匯入!$A$6:$A$1005,0)),""))</f>
        <v/>
      </c>
      <c r="F210" s="13">
        <f>IF($A210="","",IFERROR(INDEX(建物清冊_匯入!$N$6:$N$1005,MATCH($A210,建物清冊_匯入!$A$6:$A$1005,0)),""))</f>
        <v/>
      </c>
      <c r="G210" s="9">
        <f>IF($A210="","",IFERROR(INDEX(建物清冊_匯入!$S$6:$S$1005,MATCH($A210,建物清冊_匯入!$A$6:$A$1005,0)),""))</f>
        <v/>
      </c>
      <c r="H210" s="7" t="n"/>
      <c r="I210" s="15" t="n"/>
      <c r="J210" s="16" t="n"/>
      <c r="K210" s="17">
        <f>IF(J210="","",1-J210)</f>
        <v/>
      </c>
      <c r="L210" s="15" t="n"/>
      <c r="M210" s="7" t="n"/>
      <c r="N210" s="7" t="n"/>
      <c r="O210" s="7" t="n"/>
      <c r="P210" s="11" t="n"/>
      <c r="Q210" s="7" t="n"/>
      <c r="R210" s="7" t="n"/>
      <c r="S210" s="7" t="n"/>
      <c r="T210" s="7" t="n"/>
      <c r="U210" s="12">
        <f>IF(A210="","",IF(H210="","建議填分配模式",""))</f>
        <v/>
      </c>
    </row>
    <row r="211" ht="24" customHeight="1">
      <c r="A211" s="7" t="n"/>
      <c r="B211" s="7" t="n"/>
      <c r="C211" s="7" t="n"/>
      <c r="D211" s="12">
        <f>IF($A211="","",IFERROR(INDEX(土地清冊_匯入!$B$6:$B$1005,MATCH($A211,土地清冊_匯入!$A$6:$A$1005,0)),"查無資料"))</f>
        <v/>
      </c>
      <c r="E211" s="9">
        <f>IF($A211="","",IFERROR(INDEX(土地清冊_匯入!$I$6:$I$1005,MATCH($A211,土地清冊_匯入!$A$6:$A$1005,0)),""))</f>
        <v/>
      </c>
      <c r="F211" s="13">
        <f>IF($A211="","",IFERROR(INDEX(建物清冊_匯入!$N$6:$N$1005,MATCH($A211,建物清冊_匯入!$A$6:$A$1005,0)),""))</f>
        <v/>
      </c>
      <c r="G211" s="9">
        <f>IF($A211="","",IFERROR(INDEX(建物清冊_匯入!$S$6:$S$1005,MATCH($A211,建物清冊_匯入!$A$6:$A$1005,0)),""))</f>
        <v/>
      </c>
      <c r="H211" s="7" t="n"/>
      <c r="I211" s="15" t="n"/>
      <c r="J211" s="16" t="n"/>
      <c r="K211" s="17">
        <f>IF(J211="","",1-J211)</f>
        <v/>
      </c>
      <c r="L211" s="15" t="n"/>
      <c r="M211" s="7" t="n"/>
      <c r="N211" s="7" t="n"/>
      <c r="O211" s="7" t="n"/>
      <c r="P211" s="11" t="n"/>
      <c r="Q211" s="7" t="n"/>
      <c r="R211" s="7" t="n"/>
      <c r="S211" s="7" t="n"/>
      <c r="T211" s="7" t="n"/>
      <c r="U211" s="12">
        <f>IF(A211="","",IF(H211="","建議填分配模式",""))</f>
        <v/>
      </c>
    </row>
    <row r="212" ht="24" customHeight="1">
      <c r="A212" s="7" t="n"/>
      <c r="B212" s="7" t="n"/>
      <c r="C212" s="7" t="n"/>
      <c r="D212" s="12">
        <f>IF($A212="","",IFERROR(INDEX(土地清冊_匯入!$B$6:$B$1005,MATCH($A212,土地清冊_匯入!$A$6:$A$1005,0)),"查無資料"))</f>
        <v/>
      </c>
      <c r="E212" s="9">
        <f>IF($A212="","",IFERROR(INDEX(土地清冊_匯入!$I$6:$I$1005,MATCH($A212,土地清冊_匯入!$A$6:$A$1005,0)),""))</f>
        <v/>
      </c>
      <c r="F212" s="13">
        <f>IF($A212="","",IFERROR(INDEX(建物清冊_匯入!$N$6:$N$1005,MATCH($A212,建物清冊_匯入!$A$6:$A$1005,0)),""))</f>
        <v/>
      </c>
      <c r="G212" s="9">
        <f>IF($A212="","",IFERROR(INDEX(建物清冊_匯入!$S$6:$S$1005,MATCH($A212,建物清冊_匯入!$A$6:$A$1005,0)),""))</f>
        <v/>
      </c>
      <c r="H212" s="7" t="n"/>
      <c r="I212" s="15" t="n"/>
      <c r="J212" s="16" t="n"/>
      <c r="K212" s="17">
        <f>IF(J212="","",1-J212)</f>
        <v/>
      </c>
      <c r="L212" s="15" t="n"/>
      <c r="M212" s="7" t="n"/>
      <c r="N212" s="7" t="n"/>
      <c r="O212" s="7" t="n"/>
      <c r="P212" s="11" t="n"/>
      <c r="Q212" s="7" t="n"/>
      <c r="R212" s="7" t="n"/>
      <c r="S212" s="7" t="n"/>
      <c r="T212" s="7" t="n"/>
      <c r="U212" s="12">
        <f>IF(A212="","",IF(H212="","建議填分配模式",""))</f>
        <v/>
      </c>
    </row>
    <row r="213" ht="24" customHeight="1">
      <c r="A213" s="7" t="n"/>
      <c r="B213" s="7" t="n"/>
      <c r="C213" s="7" t="n"/>
      <c r="D213" s="12">
        <f>IF($A213="","",IFERROR(INDEX(土地清冊_匯入!$B$6:$B$1005,MATCH($A213,土地清冊_匯入!$A$6:$A$1005,0)),"查無資料"))</f>
        <v/>
      </c>
      <c r="E213" s="9">
        <f>IF($A213="","",IFERROR(INDEX(土地清冊_匯入!$I$6:$I$1005,MATCH($A213,土地清冊_匯入!$A$6:$A$1005,0)),""))</f>
        <v/>
      </c>
      <c r="F213" s="13">
        <f>IF($A213="","",IFERROR(INDEX(建物清冊_匯入!$N$6:$N$1005,MATCH($A213,建物清冊_匯入!$A$6:$A$1005,0)),""))</f>
        <v/>
      </c>
      <c r="G213" s="9">
        <f>IF($A213="","",IFERROR(INDEX(建物清冊_匯入!$S$6:$S$1005,MATCH($A213,建物清冊_匯入!$A$6:$A$1005,0)),""))</f>
        <v/>
      </c>
      <c r="H213" s="7" t="n"/>
      <c r="I213" s="15" t="n"/>
      <c r="J213" s="16" t="n"/>
      <c r="K213" s="17">
        <f>IF(J213="","",1-J213)</f>
        <v/>
      </c>
      <c r="L213" s="15" t="n"/>
      <c r="M213" s="7" t="n"/>
      <c r="N213" s="7" t="n"/>
      <c r="O213" s="7" t="n"/>
      <c r="P213" s="11" t="n"/>
      <c r="Q213" s="7" t="n"/>
      <c r="R213" s="7" t="n"/>
      <c r="S213" s="7" t="n"/>
      <c r="T213" s="7" t="n"/>
      <c r="U213" s="12">
        <f>IF(A213="","",IF(H213="","建議填分配模式",""))</f>
        <v/>
      </c>
    </row>
    <row r="214" ht="24" customHeight="1">
      <c r="A214" s="7" t="n"/>
      <c r="B214" s="7" t="n"/>
      <c r="C214" s="7" t="n"/>
      <c r="D214" s="12">
        <f>IF($A214="","",IFERROR(INDEX(土地清冊_匯入!$B$6:$B$1005,MATCH($A214,土地清冊_匯入!$A$6:$A$1005,0)),"查無資料"))</f>
        <v/>
      </c>
      <c r="E214" s="9">
        <f>IF($A214="","",IFERROR(INDEX(土地清冊_匯入!$I$6:$I$1005,MATCH($A214,土地清冊_匯入!$A$6:$A$1005,0)),""))</f>
        <v/>
      </c>
      <c r="F214" s="13">
        <f>IF($A214="","",IFERROR(INDEX(建物清冊_匯入!$N$6:$N$1005,MATCH($A214,建物清冊_匯入!$A$6:$A$1005,0)),""))</f>
        <v/>
      </c>
      <c r="G214" s="9">
        <f>IF($A214="","",IFERROR(INDEX(建物清冊_匯入!$S$6:$S$1005,MATCH($A214,建物清冊_匯入!$A$6:$A$1005,0)),""))</f>
        <v/>
      </c>
      <c r="H214" s="7" t="n"/>
      <c r="I214" s="15" t="n"/>
      <c r="J214" s="16" t="n"/>
      <c r="K214" s="17">
        <f>IF(J214="","",1-J214)</f>
        <v/>
      </c>
      <c r="L214" s="15" t="n"/>
      <c r="M214" s="7" t="n"/>
      <c r="N214" s="7" t="n"/>
      <c r="O214" s="7" t="n"/>
      <c r="P214" s="11" t="n"/>
      <c r="Q214" s="7" t="n"/>
      <c r="R214" s="7" t="n"/>
      <c r="S214" s="7" t="n"/>
      <c r="T214" s="7" t="n"/>
      <c r="U214" s="12">
        <f>IF(A214="","",IF(H214="","建議填分配模式",""))</f>
        <v/>
      </c>
    </row>
    <row r="215" ht="24" customHeight="1">
      <c r="A215" s="7" t="n"/>
      <c r="B215" s="7" t="n"/>
      <c r="C215" s="7" t="n"/>
      <c r="D215" s="12">
        <f>IF($A215="","",IFERROR(INDEX(土地清冊_匯入!$B$6:$B$1005,MATCH($A215,土地清冊_匯入!$A$6:$A$1005,0)),"查無資料"))</f>
        <v/>
      </c>
      <c r="E215" s="9">
        <f>IF($A215="","",IFERROR(INDEX(土地清冊_匯入!$I$6:$I$1005,MATCH($A215,土地清冊_匯入!$A$6:$A$1005,0)),""))</f>
        <v/>
      </c>
      <c r="F215" s="13">
        <f>IF($A215="","",IFERROR(INDEX(建物清冊_匯入!$N$6:$N$1005,MATCH($A215,建物清冊_匯入!$A$6:$A$1005,0)),""))</f>
        <v/>
      </c>
      <c r="G215" s="9">
        <f>IF($A215="","",IFERROR(INDEX(建物清冊_匯入!$S$6:$S$1005,MATCH($A215,建物清冊_匯入!$A$6:$A$1005,0)),""))</f>
        <v/>
      </c>
      <c r="H215" s="7" t="n"/>
      <c r="I215" s="15" t="n"/>
      <c r="J215" s="16" t="n"/>
      <c r="K215" s="17">
        <f>IF(J215="","",1-J215)</f>
        <v/>
      </c>
      <c r="L215" s="15" t="n"/>
      <c r="M215" s="7" t="n"/>
      <c r="N215" s="7" t="n"/>
      <c r="O215" s="7" t="n"/>
      <c r="P215" s="11" t="n"/>
      <c r="Q215" s="7" t="n"/>
      <c r="R215" s="7" t="n"/>
      <c r="S215" s="7" t="n"/>
      <c r="T215" s="7" t="n"/>
      <c r="U215" s="12">
        <f>IF(A215="","",IF(H215="","建議填分配模式",""))</f>
        <v/>
      </c>
    </row>
    <row r="216" ht="24" customHeight="1">
      <c r="A216" s="7" t="n"/>
      <c r="B216" s="7" t="n"/>
      <c r="C216" s="7" t="n"/>
      <c r="D216" s="12">
        <f>IF($A216="","",IFERROR(INDEX(土地清冊_匯入!$B$6:$B$1005,MATCH($A216,土地清冊_匯入!$A$6:$A$1005,0)),"查無資料"))</f>
        <v/>
      </c>
      <c r="E216" s="9">
        <f>IF($A216="","",IFERROR(INDEX(土地清冊_匯入!$I$6:$I$1005,MATCH($A216,土地清冊_匯入!$A$6:$A$1005,0)),""))</f>
        <v/>
      </c>
      <c r="F216" s="13">
        <f>IF($A216="","",IFERROR(INDEX(建物清冊_匯入!$N$6:$N$1005,MATCH($A216,建物清冊_匯入!$A$6:$A$1005,0)),""))</f>
        <v/>
      </c>
      <c r="G216" s="9">
        <f>IF($A216="","",IFERROR(INDEX(建物清冊_匯入!$S$6:$S$1005,MATCH($A216,建物清冊_匯入!$A$6:$A$1005,0)),""))</f>
        <v/>
      </c>
      <c r="H216" s="7" t="n"/>
      <c r="I216" s="15" t="n"/>
      <c r="J216" s="16" t="n"/>
      <c r="K216" s="17">
        <f>IF(J216="","",1-J216)</f>
        <v/>
      </c>
      <c r="L216" s="15" t="n"/>
      <c r="M216" s="7" t="n"/>
      <c r="N216" s="7" t="n"/>
      <c r="O216" s="7" t="n"/>
      <c r="P216" s="11" t="n"/>
      <c r="Q216" s="7" t="n"/>
      <c r="R216" s="7" t="n"/>
      <c r="S216" s="7" t="n"/>
      <c r="T216" s="7" t="n"/>
      <c r="U216" s="12">
        <f>IF(A216="","",IF(H216="","建議填分配模式",""))</f>
        <v/>
      </c>
    </row>
    <row r="217" ht="24" customHeight="1">
      <c r="A217" s="7" t="n"/>
      <c r="B217" s="7" t="n"/>
      <c r="C217" s="7" t="n"/>
      <c r="D217" s="12">
        <f>IF($A217="","",IFERROR(INDEX(土地清冊_匯入!$B$6:$B$1005,MATCH($A217,土地清冊_匯入!$A$6:$A$1005,0)),"查無資料"))</f>
        <v/>
      </c>
      <c r="E217" s="9">
        <f>IF($A217="","",IFERROR(INDEX(土地清冊_匯入!$I$6:$I$1005,MATCH($A217,土地清冊_匯入!$A$6:$A$1005,0)),""))</f>
        <v/>
      </c>
      <c r="F217" s="13">
        <f>IF($A217="","",IFERROR(INDEX(建物清冊_匯入!$N$6:$N$1005,MATCH($A217,建物清冊_匯入!$A$6:$A$1005,0)),""))</f>
        <v/>
      </c>
      <c r="G217" s="9">
        <f>IF($A217="","",IFERROR(INDEX(建物清冊_匯入!$S$6:$S$1005,MATCH($A217,建物清冊_匯入!$A$6:$A$1005,0)),""))</f>
        <v/>
      </c>
      <c r="H217" s="7" t="n"/>
      <c r="I217" s="15" t="n"/>
      <c r="J217" s="16" t="n"/>
      <c r="K217" s="17">
        <f>IF(J217="","",1-J217)</f>
        <v/>
      </c>
      <c r="L217" s="15" t="n"/>
      <c r="M217" s="7" t="n"/>
      <c r="N217" s="7" t="n"/>
      <c r="O217" s="7" t="n"/>
      <c r="P217" s="11" t="n"/>
      <c r="Q217" s="7" t="n"/>
      <c r="R217" s="7" t="n"/>
      <c r="S217" s="7" t="n"/>
      <c r="T217" s="7" t="n"/>
      <c r="U217" s="12">
        <f>IF(A217="","",IF(H217="","建議填分配模式",""))</f>
        <v/>
      </c>
    </row>
    <row r="218" ht="24" customHeight="1">
      <c r="A218" s="7" t="n"/>
      <c r="B218" s="7" t="n"/>
      <c r="C218" s="7" t="n"/>
      <c r="D218" s="12">
        <f>IF($A218="","",IFERROR(INDEX(土地清冊_匯入!$B$6:$B$1005,MATCH($A218,土地清冊_匯入!$A$6:$A$1005,0)),"查無資料"))</f>
        <v/>
      </c>
      <c r="E218" s="9">
        <f>IF($A218="","",IFERROR(INDEX(土地清冊_匯入!$I$6:$I$1005,MATCH($A218,土地清冊_匯入!$A$6:$A$1005,0)),""))</f>
        <v/>
      </c>
      <c r="F218" s="13">
        <f>IF($A218="","",IFERROR(INDEX(建物清冊_匯入!$N$6:$N$1005,MATCH($A218,建物清冊_匯入!$A$6:$A$1005,0)),""))</f>
        <v/>
      </c>
      <c r="G218" s="9">
        <f>IF($A218="","",IFERROR(INDEX(建物清冊_匯入!$S$6:$S$1005,MATCH($A218,建物清冊_匯入!$A$6:$A$1005,0)),""))</f>
        <v/>
      </c>
      <c r="H218" s="7" t="n"/>
      <c r="I218" s="15" t="n"/>
      <c r="J218" s="16" t="n"/>
      <c r="K218" s="17">
        <f>IF(J218="","",1-J218)</f>
        <v/>
      </c>
      <c r="L218" s="15" t="n"/>
      <c r="M218" s="7" t="n"/>
      <c r="N218" s="7" t="n"/>
      <c r="O218" s="7" t="n"/>
      <c r="P218" s="11" t="n"/>
      <c r="Q218" s="7" t="n"/>
      <c r="R218" s="7" t="n"/>
      <c r="S218" s="7" t="n"/>
      <c r="T218" s="7" t="n"/>
      <c r="U218" s="12">
        <f>IF(A218="","",IF(H218="","建議填分配模式",""))</f>
        <v/>
      </c>
    </row>
    <row r="219" ht="24" customHeight="1">
      <c r="A219" s="7" t="n"/>
      <c r="B219" s="7" t="n"/>
      <c r="C219" s="7" t="n"/>
      <c r="D219" s="12">
        <f>IF($A219="","",IFERROR(INDEX(土地清冊_匯入!$B$6:$B$1005,MATCH($A219,土地清冊_匯入!$A$6:$A$1005,0)),"查無資料"))</f>
        <v/>
      </c>
      <c r="E219" s="9">
        <f>IF($A219="","",IFERROR(INDEX(土地清冊_匯入!$I$6:$I$1005,MATCH($A219,土地清冊_匯入!$A$6:$A$1005,0)),""))</f>
        <v/>
      </c>
      <c r="F219" s="13">
        <f>IF($A219="","",IFERROR(INDEX(建物清冊_匯入!$N$6:$N$1005,MATCH($A219,建物清冊_匯入!$A$6:$A$1005,0)),""))</f>
        <v/>
      </c>
      <c r="G219" s="9">
        <f>IF($A219="","",IFERROR(INDEX(建物清冊_匯入!$S$6:$S$1005,MATCH($A219,建物清冊_匯入!$A$6:$A$1005,0)),""))</f>
        <v/>
      </c>
      <c r="H219" s="7" t="n"/>
      <c r="I219" s="15" t="n"/>
      <c r="J219" s="16" t="n"/>
      <c r="K219" s="17">
        <f>IF(J219="","",1-J219)</f>
        <v/>
      </c>
      <c r="L219" s="15" t="n"/>
      <c r="M219" s="7" t="n"/>
      <c r="N219" s="7" t="n"/>
      <c r="O219" s="7" t="n"/>
      <c r="P219" s="11" t="n"/>
      <c r="Q219" s="7" t="n"/>
      <c r="R219" s="7" t="n"/>
      <c r="S219" s="7" t="n"/>
      <c r="T219" s="7" t="n"/>
      <c r="U219" s="12">
        <f>IF(A219="","",IF(H219="","建議填分配模式",""))</f>
        <v/>
      </c>
    </row>
    <row r="220" ht="24" customHeight="1">
      <c r="A220" s="7" t="n"/>
      <c r="B220" s="7" t="n"/>
      <c r="C220" s="7" t="n"/>
      <c r="D220" s="12">
        <f>IF($A220="","",IFERROR(INDEX(土地清冊_匯入!$B$6:$B$1005,MATCH($A220,土地清冊_匯入!$A$6:$A$1005,0)),"查無資料"))</f>
        <v/>
      </c>
      <c r="E220" s="9">
        <f>IF($A220="","",IFERROR(INDEX(土地清冊_匯入!$I$6:$I$1005,MATCH($A220,土地清冊_匯入!$A$6:$A$1005,0)),""))</f>
        <v/>
      </c>
      <c r="F220" s="13">
        <f>IF($A220="","",IFERROR(INDEX(建物清冊_匯入!$N$6:$N$1005,MATCH($A220,建物清冊_匯入!$A$6:$A$1005,0)),""))</f>
        <v/>
      </c>
      <c r="G220" s="9">
        <f>IF($A220="","",IFERROR(INDEX(建物清冊_匯入!$S$6:$S$1005,MATCH($A220,建物清冊_匯入!$A$6:$A$1005,0)),""))</f>
        <v/>
      </c>
      <c r="H220" s="7" t="n"/>
      <c r="I220" s="15" t="n"/>
      <c r="J220" s="16" t="n"/>
      <c r="K220" s="17">
        <f>IF(J220="","",1-J220)</f>
        <v/>
      </c>
      <c r="L220" s="15" t="n"/>
      <c r="M220" s="7" t="n"/>
      <c r="N220" s="7" t="n"/>
      <c r="O220" s="7" t="n"/>
      <c r="P220" s="11" t="n"/>
      <c r="Q220" s="7" t="n"/>
      <c r="R220" s="7" t="n"/>
      <c r="S220" s="7" t="n"/>
      <c r="T220" s="7" t="n"/>
      <c r="U220" s="12">
        <f>IF(A220="","",IF(H220="","建議填分配模式",""))</f>
        <v/>
      </c>
    </row>
    <row r="221" ht="24" customHeight="1">
      <c r="A221" s="7" t="n"/>
      <c r="B221" s="7" t="n"/>
      <c r="C221" s="7" t="n"/>
      <c r="D221" s="12">
        <f>IF($A221="","",IFERROR(INDEX(土地清冊_匯入!$B$6:$B$1005,MATCH($A221,土地清冊_匯入!$A$6:$A$1005,0)),"查無資料"))</f>
        <v/>
      </c>
      <c r="E221" s="9">
        <f>IF($A221="","",IFERROR(INDEX(土地清冊_匯入!$I$6:$I$1005,MATCH($A221,土地清冊_匯入!$A$6:$A$1005,0)),""))</f>
        <v/>
      </c>
      <c r="F221" s="13">
        <f>IF($A221="","",IFERROR(INDEX(建物清冊_匯入!$N$6:$N$1005,MATCH($A221,建物清冊_匯入!$A$6:$A$1005,0)),""))</f>
        <v/>
      </c>
      <c r="G221" s="9">
        <f>IF($A221="","",IFERROR(INDEX(建物清冊_匯入!$S$6:$S$1005,MATCH($A221,建物清冊_匯入!$A$6:$A$1005,0)),""))</f>
        <v/>
      </c>
      <c r="H221" s="7" t="n"/>
      <c r="I221" s="15" t="n"/>
      <c r="J221" s="16" t="n"/>
      <c r="K221" s="17">
        <f>IF(J221="","",1-J221)</f>
        <v/>
      </c>
      <c r="L221" s="15" t="n"/>
      <c r="M221" s="7" t="n"/>
      <c r="N221" s="7" t="n"/>
      <c r="O221" s="7" t="n"/>
      <c r="P221" s="11" t="n"/>
      <c r="Q221" s="7" t="n"/>
      <c r="R221" s="7" t="n"/>
      <c r="S221" s="7" t="n"/>
      <c r="T221" s="7" t="n"/>
      <c r="U221" s="12">
        <f>IF(A221="","",IF(H221="","建議填分配模式",""))</f>
        <v/>
      </c>
    </row>
    <row r="222" ht="24" customHeight="1">
      <c r="A222" s="7" t="n"/>
      <c r="B222" s="7" t="n"/>
      <c r="C222" s="7" t="n"/>
      <c r="D222" s="12">
        <f>IF($A222="","",IFERROR(INDEX(土地清冊_匯入!$B$6:$B$1005,MATCH($A222,土地清冊_匯入!$A$6:$A$1005,0)),"查無資料"))</f>
        <v/>
      </c>
      <c r="E222" s="9">
        <f>IF($A222="","",IFERROR(INDEX(土地清冊_匯入!$I$6:$I$1005,MATCH($A222,土地清冊_匯入!$A$6:$A$1005,0)),""))</f>
        <v/>
      </c>
      <c r="F222" s="13">
        <f>IF($A222="","",IFERROR(INDEX(建物清冊_匯入!$N$6:$N$1005,MATCH($A222,建物清冊_匯入!$A$6:$A$1005,0)),""))</f>
        <v/>
      </c>
      <c r="G222" s="9">
        <f>IF($A222="","",IFERROR(INDEX(建物清冊_匯入!$S$6:$S$1005,MATCH($A222,建物清冊_匯入!$A$6:$A$1005,0)),""))</f>
        <v/>
      </c>
      <c r="H222" s="7" t="n"/>
      <c r="I222" s="15" t="n"/>
      <c r="J222" s="16" t="n"/>
      <c r="K222" s="17">
        <f>IF(J222="","",1-J222)</f>
        <v/>
      </c>
      <c r="L222" s="15" t="n"/>
      <c r="M222" s="7" t="n"/>
      <c r="N222" s="7" t="n"/>
      <c r="O222" s="7" t="n"/>
      <c r="P222" s="11" t="n"/>
      <c r="Q222" s="7" t="n"/>
      <c r="R222" s="7" t="n"/>
      <c r="S222" s="7" t="n"/>
      <c r="T222" s="7" t="n"/>
      <c r="U222" s="12">
        <f>IF(A222="","",IF(H222="","建議填分配模式",""))</f>
        <v/>
      </c>
    </row>
    <row r="223" ht="24" customHeight="1">
      <c r="A223" s="7" t="n"/>
      <c r="B223" s="7" t="n"/>
      <c r="C223" s="7" t="n"/>
      <c r="D223" s="12">
        <f>IF($A223="","",IFERROR(INDEX(土地清冊_匯入!$B$6:$B$1005,MATCH($A223,土地清冊_匯入!$A$6:$A$1005,0)),"查無資料"))</f>
        <v/>
      </c>
      <c r="E223" s="9">
        <f>IF($A223="","",IFERROR(INDEX(土地清冊_匯入!$I$6:$I$1005,MATCH($A223,土地清冊_匯入!$A$6:$A$1005,0)),""))</f>
        <v/>
      </c>
      <c r="F223" s="13">
        <f>IF($A223="","",IFERROR(INDEX(建物清冊_匯入!$N$6:$N$1005,MATCH($A223,建物清冊_匯入!$A$6:$A$1005,0)),""))</f>
        <v/>
      </c>
      <c r="G223" s="9">
        <f>IF($A223="","",IFERROR(INDEX(建物清冊_匯入!$S$6:$S$1005,MATCH($A223,建物清冊_匯入!$A$6:$A$1005,0)),""))</f>
        <v/>
      </c>
      <c r="H223" s="7" t="n"/>
      <c r="I223" s="15" t="n"/>
      <c r="J223" s="16" t="n"/>
      <c r="K223" s="17">
        <f>IF(J223="","",1-J223)</f>
        <v/>
      </c>
      <c r="L223" s="15" t="n"/>
      <c r="M223" s="7" t="n"/>
      <c r="N223" s="7" t="n"/>
      <c r="O223" s="7" t="n"/>
      <c r="P223" s="11" t="n"/>
      <c r="Q223" s="7" t="n"/>
      <c r="R223" s="7" t="n"/>
      <c r="S223" s="7" t="n"/>
      <c r="T223" s="7" t="n"/>
      <c r="U223" s="12">
        <f>IF(A223="","",IF(H223="","建議填分配模式",""))</f>
        <v/>
      </c>
    </row>
    <row r="224" ht="24" customHeight="1">
      <c r="A224" s="7" t="n"/>
      <c r="B224" s="7" t="n"/>
      <c r="C224" s="7" t="n"/>
      <c r="D224" s="12">
        <f>IF($A224="","",IFERROR(INDEX(土地清冊_匯入!$B$6:$B$1005,MATCH($A224,土地清冊_匯入!$A$6:$A$1005,0)),"查無資料"))</f>
        <v/>
      </c>
      <c r="E224" s="9">
        <f>IF($A224="","",IFERROR(INDEX(土地清冊_匯入!$I$6:$I$1005,MATCH($A224,土地清冊_匯入!$A$6:$A$1005,0)),""))</f>
        <v/>
      </c>
      <c r="F224" s="13">
        <f>IF($A224="","",IFERROR(INDEX(建物清冊_匯入!$N$6:$N$1005,MATCH($A224,建物清冊_匯入!$A$6:$A$1005,0)),""))</f>
        <v/>
      </c>
      <c r="G224" s="9">
        <f>IF($A224="","",IFERROR(INDEX(建物清冊_匯入!$S$6:$S$1005,MATCH($A224,建物清冊_匯入!$A$6:$A$1005,0)),""))</f>
        <v/>
      </c>
      <c r="H224" s="7" t="n"/>
      <c r="I224" s="15" t="n"/>
      <c r="J224" s="16" t="n"/>
      <c r="K224" s="17">
        <f>IF(J224="","",1-J224)</f>
        <v/>
      </c>
      <c r="L224" s="15" t="n"/>
      <c r="M224" s="7" t="n"/>
      <c r="N224" s="7" t="n"/>
      <c r="O224" s="7" t="n"/>
      <c r="P224" s="11" t="n"/>
      <c r="Q224" s="7" t="n"/>
      <c r="R224" s="7" t="n"/>
      <c r="S224" s="7" t="n"/>
      <c r="T224" s="7" t="n"/>
      <c r="U224" s="12">
        <f>IF(A224="","",IF(H224="","建議填分配模式",""))</f>
        <v/>
      </c>
    </row>
    <row r="225" ht="24" customHeight="1">
      <c r="A225" s="7" t="n"/>
      <c r="B225" s="7" t="n"/>
      <c r="C225" s="7" t="n"/>
      <c r="D225" s="12">
        <f>IF($A225="","",IFERROR(INDEX(土地清冊_匯入!$B$6:$B$1005,MATCH($A225,土地清冊_匯入!$A$6:$A$1005,0)),"查無資料"))</f>
        <v/>
      </c>
      <c r="E225" s="9">
        <f>IF($A225="","",IFERROR(INDEX(土地清冊_匯入!$I$6:$I$1005,MATCH($A225,土地清冊_匯入!$A$6:$A$1005,0)),""))</f>
        <v/>
      </c>
      <c r="F225" s="13">
        <f>IF($A225="","",IFERROR(INDEX(建物清冊_匯入!$N$6:$N$1005,MATCH($A225,建物清冊_匯入!$A$6:$A$1005,0)),""))</f>
        <v/>
      </c>
      <c r="G225" s="9">
        <f>IF($A225="","",IFERROR(INDEX(建物清冊_匯入!$S$6:$S$1005,MATCH($A225,建物清冊_匯入!$A$6:$A$1005,0)),""))</f>
        <v/>
      </c>
      <c r="H225" s="7" t="n"/>
      <c r="I225" s="15" t="n"/>
      <c r="J225" s="16" t="n"/>
      <c r="K225" s="17">
        <f>IF(J225="","",1-J225)</f>
        <v/>
      </c>
      <c r="L225" s="15" t="n"/>
      <c r="M225" s="7" t="n"/>
      <c r="N225" s="7" t="n"/>
      <c r="O225" s="7" t="n"/>
      <c r="P225" s="11" t="n"/>
      <c r="Q225" s="7" t="n"/>
      <c r="R225" s="7" t="n"/>
      <c r="S225" s="7" t="n"/>
      <c r="T225" s="7" t="n"/>
      <c r="U225" s="12">
        <f>IF(A225="","",IF(H225="","建議填分配模式",""))</f>
        <v/>
      </c>
    </row>
    <row r="226" ht="24" customHeight="1">
      <c r="A226" s="7" t="n"/>
      <c r="B226" s="7" t="n"/>
      <c r="C226" s="7" t="n"/>
      <c r="D226" s="12">
        <f>IF($A226="","",IFERROR(INDEX(土地清冊_匯入!$B$6:$B$1005,MATCH($A226,土地清冊_匯入!$A$6:$A$1005,0)),"查無資料"))</f>
        <v/>
      </c>
      <c r="E226" s="9">
        <f>IF($A226="","",IFERROR(INDEX(土地清冊_匯入!$I$6:$I$1005,MATCH($A226,土地清冊_匯入!$A$6:$A$1005,0)),""))</f>
        <v/>
      </c>
      <c r="F226" s="13">
        <f>IF($A226="","",IFERROR(INDEX(建物清冊_匯入!$N$6:$N$1005,MATCH($A226,建物清冊_匯入!$A$6:$A$1005,0)),""))</f>
        <v/>
      </c>
      <c r="G226" s="9">
        <f>IF($A226="","",IFERROR(INDEX(建物清冊_匯入!$S$6:$S$1005,MATCH($A226,建物清冊_匯入!$A$6:$A$1005,0)),""))</f>
        <v/>
      </c>
      <c r="H226" s="7" t="n"/>
      <c r="I226" s="15" t="n"/>
      <c r="J226" s="16" t="n"/>
      <c r="K226" s="17">
        <f>IF(J226="","",1-J226)</f>
        <v/>
      </c>
      <c r="L226" s="15" t="n"/>
      <c r="M226" s="7" t="n"/>
      <c r="N226" s="7" t="n"/>
      <c r="O226" s="7" t="n"/>
      <c r="P226" s="11" t="n"/>
      <c r="Q226" s="7" t="n"/>
      <c r="R226" s="7" t="n"/>
      <c r="S226" s="7" t="n"/>
      <c r="T226" s="7" t="n"/>
      <c r="U226" s="12">
        <f>IF(A226="","",IF(H226="","建議填分配模式",""))</f>
        <v/>
      </c>
    </row>
    <row r="227" ht="24" customHeight="1">
      <c r="A227" s="7" t="n"/>
      <c r="B227" s="7" t="n"/>
      <c r="C227" s="7" t="n"/>
      <c r="D227" s="12">
        <f>IF($A227="","",IFERROR(INDEX(土地清冊_匯入!$B$6:$B$1005,MATCH($A227,土地清冊_匯入!$A$6:$A$1005,0)),"查無資料"))</f>
        <v/>
      </c>
      <c r="E227" s="9">
        <f>IF($A227="","",IFERROR(INDEX(土地清冊_匯入!$I$6:$I$1005,MATCH($A227,土地清冊_匯入!$A$6:$A$1005,0)),""))</f>
        <v/>
      </c>
      <c r="F227" s="13">
        <f>IF($A227="","",IFERROR(INDEX(建物清冊_匯入!$N$6:$N$1005,MATCH($A227,建物清冊_匯入!$A$6:$A$1005,0)),""))</f>
        <v/>
      </c>
      <c r="G227" s="9">
        <f>IF($A227="","",IFERROR(INDEX(建物清冊_匯入!$S$6:$S$1005,MATCH($A227,建物清冊_匯入!$A$6:$A$1005,0)),""))</f>
        <v/>
      </c>
      <c r="H227" s="7" t="n"/>
      <c r="I227" s="15" t="n"/>
      <c r="J227" s="16" t="n"/>
      <c r="K227" s="17">
        <f>IF(J227="","",1-J227)</f>
        <v/>
      </c>
      <c r="L227" s="15" t="n"/>
      <c r="M227" s="7" t="n"/>
      <c r="N227" s="7" t="n"/>
      <c r="O227" s="7" t="n"/>
      <c r="P227" s="11" t="n"/>
      <c r="Q227" s="7" t="n"/>
      <c r="R227" s="7" t="n"/>
      <c r="S227" s="7" t="n"/>
      <c r="T227" s="7" t="n"/>
      <c r="U227" s="12">
        <f>IF(A227="","",IF(H227="","建議填分配模式",""))</f>
        <v/>
      </c>
    </row>
    <row r="228" ht="24" customHeight="1">
      <c r="A228" s="7" t="n"/>
      <c r="B228" s="7" t="n"/>
      <c r="C228" s="7" t="n"/>
      <c r="D228" s="12">
        <f>IF($A228="","",IFERROR(INDEX(土地清冊_匯入!$B$6:$B$1005,MATCH($A228,土地清冊_匯入!$A$6:$A$1005,0)),"查無資料"))</f>
        <v/>
      </c>
      <c r="E228" s="9">
        <f>IF($A228="","",IFERROR(INDEX(土地清冊_匯入!$I$6:$I$1005,MATCH($A228,土地清冊_匯入!$A$6:$A$1005,0)),""))</f>
        <v/>
      </c>
      <c r="F228" s="13">
        <f>IF($A228="","",IFERROR(INDEX(建物清冊_匯入!$N$6:$N$1005,MATCH($A228,建物清冊_匯入!$A$6:$A$1005,0)),""))</f>
        <v/>
      </c>
      <c r="G228" s="9">
        <f>IF($A228="","",IFERROR(INDEX(建物清冊_匯入!$S$6:$S$1005,MATCH($A228,建物清冊_匯入!$A$6:$A$1005,0)),""))</f>
        <v/>
      </c>
      <c r="H228" s="7" t="n"/>
      <c r="I228" s="15" t="n"/>
      <c r="J228" s="16" t="n"/>
      <c r="K228" s="17">
        <f>IF(J228="","",1-J228)</f>
        <v/>
      </c>
      <c r="L228" s="15" t="n"/>
      <c r="M228" s="7" t="n"/>
      <c r="N228" s="7" t="n"/>
      <c r="O228" s="7" t="n"/>
      <c r="P228" s="11" t="n"/>
      <c r="Q228" s="7" t="n"/>
      <c r="R228" s="7" t="n"/>
      <c r="S228" s="7" t="n"/>
      <c r="T228" s="7" t="n"/>
      <c r="U228" s="12">
        <f>IF(A228="","",IF(H228="","建議填分配模式",""))</f>
        <v/>
      </c>
    </row>
    <row r="229" ht="24" customHeight="1">
      <c r="A229" s="7" t="n"/>
      <c r="B229" s="7" t="n"/>
      <c r="C229" s="7" t="n"/>
      <c r="D229" s="12">
        <f>IF($A229="","",IFERROR(INDEX(土地清冊_匯入!$B$6:$B$1005,MATCH($A229,土地清冊_匯入!$A$6:$A$1005,0)),"查無資料"))</f>
        <v/>
      </c>
      <c r="E229" s="9">
        <f>IF($A229="","",IFERROR(INDEX(土地清冊_匯入!$I$6:$I$1005,MATCH($A229,土地清冊_匯入!$A$6:$A$1005,0)),""))</f>
        <v/>
      </c>
      <c r="F229" s="13">
        <f>IF($A229="","",IFERROR(INDEX(建物清冊_匯入!$N$6:$N$1005,MATCH($A229,建物清冊_匯入!$A$6:$A$1005,0)),""))</f>
        <v/>
      </c>
      <c r="G229" s="9">
        <f>IF($A229="","",IFERROR(INDEX(建物清冊_匯入!$S$6:$S$1005,MATCH($A229,建物清冊_匯入!$A$6:$A$1005,0)),""))</f>
        <v/>
      </c>
      <c r="H229" s="7" t="n"/>
      <c r="I229" s="15" t="n"/>
      <c r="J229" s="16" t="n"/>
      <c r="K229" s="17">
        <f>IF(J229="","",1-J229)</f>
        <v/>
      </c>
      <c r="L229" s="15" t="n"/>
      <c r="M229" s="7" t="n"/>
      <c r="N229" s="7" t="n"/>
      <c r="O229" s="7" t="n"/>
      <c r="P229" s="11" t="n"/>
      <c r="Q229" s="7" t="n"/>
      <c r="R229" s="7" t="n"/>
      <c r="S229" s="7" t="n"/>
      <c r="T229" s="7" t="n"/>
      <c r="U229" s="12">
        <f>IF(A229="","",IF(H229="","建議填分配模式",""))</f>
        <v/>
      </c>
    </row>
    <row r="230" ht="24" customHeight="1">
      <c r="A230" s="7" t="n"/>
      <c r="B230" s="7" t="n"/>
      <c r="C230" s="7" t="n"/>
      <c r="D230" s="12">
        <f>IF($A230="","",IFERROR(INDEX(土地清冊_匯入!$B$6:$B$1005,MATCH($A230,土地清冊_匯入!$A$6:$A$1005,0)),"查無資料"))</f>
        <v/>
      </c>
      <c r="E230" s="9">
        <f>IF($A230="","",IFERROR(INDEX(土地清冊_匯入!$I$6:$I$1005,MATCH($A230,土地清冊_匯入!$A$6:$A$1005,0)),""))</f>
        <v/>
      </c>
      <c r="F230" s="13">
        <f>IF($A230="","",IFERROR(INDEX(建物清冊_匯入!$N$6:$N$1005,MATCH($A230,建物清冊_匯入!$A$6:$A$1005,0)),""))</f>
        <v/>
      </c>
      <c r="G230" s="9">
        <f>IF($A230="","",IFERROR(INDEX(建物清冊_匯入!$S$6:$S$1005,MATCH($A230,建物清冊_匯入!$A$6:$A$1005,0)),""))</f>
        <v/>
      </c>
      <c r="H230" s="7" t="n"/>
      <c r="I230" s="15" t="n"/>
      <c r="J230" s="16" t="n"/>
      <c r="K230" s="17">
        <f>IF(J230="","",1-J230)</f>
        <v/>
      </c>
      <c r="L230" s="15" t="n"/>
      <c r="M230" s="7" t="n"/>
      <c r="N230" s="7" t="n"/>
      <c r="O230" s="7" t="n"/>
      <c r="P230" s="11" t="n"/>
      <c r="Q230" s="7" t="n"/>
      <c r="R230" s="7" t="n"/>
      <c r="S230" s="7" t="n"/>
      <c r="T230" s="7" t="n"/>
      <c r="U230" s="12">
        <f>IF(A230="","",IF(H230="","建議填分配模式",""))</f>
        <v/>
      </c>
    </row>
    <row r="231" ht="24" customHeight="1">
      <c r="A231" s="7" t="n"/>
      <c r="B231" s="7" t="n"/>
      <c r="C231" s="7" t="n"/>
      <c r="D231" s="12">
        <f>IF($A231="","",IFERROR(INDEX(土地清冊_匯入!$B$6:$B$1005,MATCH($A231,土地清冊_匯入!$A$6:$A$1005,0)),"查無資料"))</f>
        <v/>
      </c>
      <c r="E231" s="9">
        <f>IF($A231="","",IFERROR(INDEX(土地清冊_匯入!$I$6:$I$1005,MATCH($A231,土地清冊_匯入!$A$6:$A$1005,0)),""))</f>
        <v/>
      </c>
      <c r="F231" s="13">
        <f>IF($A231="","",IFERROR(INDEX(建物清冊_匯入!$N$6:$N$1005,MATCH($A231,建物清冊_匯入!$A$6:$A$1005,0)),""))</f>
        <v/>
      </c>
      <c r="G231" s="9">
        <f>IF($A231="","",IFERROR(INDEX(建物清冊_匯入!$S$6:$S$1005,MATCH($A231,建物清冊_匯入!$A$6:$A$1005,0)),""))</f>
        <v/>
      </c>
      <c r="H231" s="7" t="n"/>
      <c r="I231" s="15" t="n"/>
      <c r="J231" s="16" t="n"/>
      <c r="K231" s="17">
        <f>IF(J231="","",1-J231)</f>
        <v/>
      </c>
      <c r="L231" s="15" t="n"/>
      <c r="M231" s="7" t="n"/>
      <c r="N231" s="7" t="n"/>
      <c r="O231" s="7" t="n"/>
      <c r="P231" s="11" t="n"/>
      <c r="Q231" s="7" t="n"/>
      <c r="R231" s="7" t="n"/>
      <c r="S231" s="7" t="n"/>
      <c r="T231" s="7" t="n"/>
      <c r="U231" s="12">
        <f>IF(A231="","",IF(H231="","建議填分配模式",""))</f>
        <v/>
      </c>
    </row>
    <row r="232" ht="24" customHeight="1">
      <c r="A232" s="7" t="n"/>
      <c r="B232" s="7" t="n"/>
      <c r="C232" s="7" t="n"/>
      <c r="D232" s="12">
        <f>IF($A232="","",IFERROR(INDEX(土地清冊_匯入!$B$6:$B$1005,MATCH($A232,土地清冊_匯入!$A$6:$A$1005,0)),"查無資料"))</f>
        <v/>
      </c>
      <c r="E232" s="9">
        <f>IF($A232="","",IFERROR(INDEX(土地清冊_匯入!$I$6:$I$1005,MATCH($A232,土地清冊_匯入!$A$6:$A$1005,0)),""))</f>
        <v/>
      </c>
      <c r="F232" s="13">
        <f>IF($A232="","",IFERROR(INDEX(建物清冊_匯入!$N$6:$N$1005,MATCH($A232,建物清冊_匯入!$A$6:$A$1005,0)),""))</f>
        <v/>
      </c>
      <c r="G232" s="9">
        <f>IF($A232="","",IFERROR(INDEX(建物清冊_匯入!$S$6:$S$1005,MATCH($A232,建物清冊_匯入!$A$6:$A$1005,0)),""))</f>
        <v/>
      </c>
      <c r="H232" s="7" t="n"/>
      <c r="I232" s="15" t="n"/>
      <c r="J232" s="16" t="n"/>
      <c r="K232" s="17">
        <f>IF(J232="","",1-J232)</f>
        <v/>
      </c>
      <c r="L232" s="15" t="n"/>
      <c r="M232" s="7" t="n"/>
      <c r="N232" s="7" t="n"/>
      <c r="O232" s="7" t="n"/>
      <c r="P232" s="11" t="n"/>
      <c r="Q232" s="7" t="n"/>
      <c r="R232" s="7" t="n"/>
      <c r="S232" s="7" t="n"/>
      <c r="T232" s="7" t="n"/>
      <c r="U232" s="12">
        <f>IF(A232="","",IF(H232="","建議填分配模式",""))</f>
        <v/>
      </c>
    </row>
    <row r="233" ht="24" customHeight="1">
      <c r="A233" s="7" t="n"/>
      <c r="B233" s="7" t="n"/>
      <c r="C233" s="7" t="n"/>
      <c r="D233" s="12">
        <f>IF($A233="","",IFERROR(INDEX(土地清冊_匯入!$B$6:$B$1005,MATCH($A233,土地清冊_匯入!$A$6:$A$1005,0)),"查無資料"))</f>
        <v/>
      </c>
      <c r="E233" s="9">
        <f>IF($A233="","",IFERROR(INDEX(土地清冊_匯入!$I$6:$I$1005,MATCH($A233,土地清冊_匯入!$A$6:$A$1005,0)),""))</f>
        <v/>
      </c>
      <c r="F233" s="13">
        <f>IF($A233="","",IFERROR(INDEX(建物清冊_匯入!$N$6:$N$1005,MATCH($A233,建物清冊_匯入!$A$6:$A$1005,0)),""))</f>
        <v/>
      </c>
      <c r="G233" s="9">
        <f>IF($A233="","",IFERROR(INDEX(建物清冊_匯入!$S$6:$S$1005,MATCH($A233,建物清冊_匯入!$A$6:$A$1005,0)),""))</f>
        <v/>
      </c>
      <c r="H233" s="7" t="n"/>
      <c r="I233" s="15" t="n"/>
      <c r="J233" s="16" t="n"/>
      <c r="K233" s="17">
        <f>IF(J233="","",1-J233)</f>
        <v/>
      </c>
      <c r="L233" s="15" t="n"/>
      <c r="M233" s="7" t="n"/>
      <c r="N233" s="7" t="n"/>
      <c r="O233" s="7" t="n"/>
      <c r="P233" s="11" t="n"/>
      <c r="Q233" s="7" t="n"/>
      <c r="R233" s="7" t="n"/>
      <c r="S233" s="7" t="n"/>
      <c r="T233" s="7" t="n"/>
      <c r="U233" s="12">
        <f>IF(A233="","",IF(H233="","建議填分配模式",""))</f>
        <v/>
      </c>
    </row>
    <row r="234" ht="24" customHeight="1">
      <c r="A234" s="7" t="n"/>
      <c r="B234" s="7" t="n"/>
      <c r="C234" s="7" t="n"/>
      <c r="D234" s="12">
        <f>IF($A234="","",IFERROR(INDEX(土地清冊_匯入!$B$6:$B$1005,MATCH($A234,土地清冊_匯入!$A$6:$A$1005,0)),"查無資料"))</f>
        <v/>
      </c>
      <c r="E234" s="9">
        <f>IF($A234="","",IFERROR(INDEX(土地清冊_匯入!$I$6:$I$1005,MATCH($A234,土地清冊_匯入!$A$6:$A$1005,0)),""))</f>
        <v/>
      </c>
      <c r="F234" s="13">
        <f>IF($A234="","",IFERROR(INDEX(建物清冊_匯入!$N$6:$N$1005,MATCH($A234,建物清冊_匯入!$A$6:$A$1005,0)),""))</f>
        <v/>
      </c>
      <c r="G234" s="9">
        <f>IF($A234="","",IFERROR(INDEX(建物清冊_匯入!$S$6:$S$1005,MATCH($A234,建物清冊_匯入!$A$6:$A$1005,0)),""))</f>
        <v/>
      </c>
      <c r="H234" s="7" t="n"/>
      <c r="I234" s="15" t="n"/>
      <c r="J234" s="16" t="n"/>
      <c r="K234" s="17">
        <f>IF(J234="","",1-J234)</f>
        <v/>
      </c>
      <c r="L234" s="15" t="n"/>
      <c r="M234" s="7" t="n"/>
      <c r="N234" s="7" t="n"/>
      <c r="O234" s="7" t="n"/>
      <c r="P234" s="11" t="n"/>
      <c r="Q234" s="7" t="n"/>
      <c r="R234" s="7" t="n"/>
      <c r="S234" s="7" t="n"/>
      <c r="T234" s="7" t="n"/>
      <c r="U234" s="12">
        <f>IF(A234="","",IF(H234="","建議填分配模式",""))</f>
        <v/>
      </c>
    </row>
    <row r="235" ht="24" customHeight="1">
      <c r="A235" s="7" t="n"/>
      <c r="B235" s="7" t="n"/>
      <c r="C235" s="7" t="n"/>
      <c r="D235" s="12">
        <f>IF($A235="","",IFERROR(INDEX(土地清冊_匯入!$B$6:$B$1005,MATCH($A235,土地清冊_匯入!$A$6:$A$1005,0)),"查無資料"))</f>
        <v/>
      </c>
      <c r="E235" s="9">
        <f>IF($A235="","",IFERROR(INDEX(土地清冊_匯入!$I$6:$I$1005,MATCH($A235,土地清冊_匯入!$A$6:$A$1005,0)),""))</f>
        <v/>
      </c>
      <c r="F235" s="13">
        <f>IF($A235="","",IFERROR(INDEX(建物清冊_匯入!$N$6:$N$1005,MATCH($A235,建物清冊_匯入!$A$6:$A$1005,0)),""))</f>
        <v/>
      </c>
      <c r="G235" s="9">
        <f>IF($A235="","",IFERROR(INDEX(建物清冊_匯入!$S$6:$S$1005,MATCH($A235,建物清冊_匯入!$A$6:$A$1005,0)),""))</f>
        <v/>
      </c>
      <c r="H235" s="7" t="n"/>
      <c r="I235" s="15" t="n"/>
      <c r="J235" s="16" t="n"/>
      <c r="K235" s="17">
        <f>IF(J235="","",1-J235)</f>
        <v/>
      </c>
      <c r="L235" s="15" t="n"/>
      <c r="M235" s="7" t="n"/>
      <c r="N235" s="7" t="n"/>
      <c r="O235" s="7" t="n"/>
      <c r="P235" s="11" t="n"/>
      <c r="Q235" s="7" t="n"/>
      <c r="R235" s="7" t="n"/>
      <c r="S235" s="7" t="n"/>
      <c r="T235" s="7" t="n"/>
      <c r="U235" s="12">
        <f>IF(A235="","",IF(H235="","建議填分配模式",""))</f>
        <v/>
      </c>
    </row>
    <row r="236" ht="24" customHeight="1">
      <c r="A236" s="7" t="n"/>
      <c r="B236" s="7" t="n"/>
      <c r="C236" s="7" t="n"/>
      <c r="D236" s="12">
        <f>IF($A236="","",IFERROR(INDEX(土地清冊_匯入!$B$6:$B$1005,MATCH($A236,土地清冊_匯入!$A$6:$A$1005,0)),"查無資料"))</f>
        <v/>
      </c>
      <c r="E236" s="9">
        <f>IF($A236="","",IFERROR(INDEX(土地清冊_匯入!$I$6:$I$1005,MATCH($A236,土地清冊_匯入!$A$6:$A$1005,0)),""))</f>
        <v/>
      </c>
      <c r="F236" s="13">
        <f>IF($A236="","",IFERROR(INDEX(建物清冊_匯入!$N$6:$N$1005,MATCH($A236,建物清冊_匯入!$A$6:$A$1005,0)),""))</f>
        <v/>
      </c>
      <c r="G236" s="9">
        <f>IF($A236="","",IFERROR(INDEX(建物清冊_匯入!$S$6:$S$1005,MATCH($A236,建物清冊_匯入!$A$6:$A$1005,0)),""))</f>
        <v/>
      </c>
      <c r="H236" s="7" t="n"/>
      <c r="I236" s="15" t="n"/>
      <c r="J236" s="16" t="n"/>
      <c r="K236" s="17">
        <f>IF(J236="","",1-J236)</f>
        <v/>
      </c>
      <c r="L236" s="15" t="n"/>
      <c r="M236" s="7" t="n"/>
      <c r="N236" s="7" t="n"/>
      <c r="O236" s="7" t="n"/>
      <c r="P236" s="11" t="n"/>
      <c r="Q236" s="7" t="n"/>
      <c r="R236" s="7" t="n"/>
      <c r="S236" s="7" t="n"/>
      <c r="T236" s="7" t="n"/>
      <c r="U236" s="12">
        <f>IF(A236="","",IF(H236="","建議填分配模式",""))</f>
        <v/>
      </c>
    </row>
    <row r="237" ht="24" customHeight="1">
      <c r="A237" s="7" t="n"/>
      <c r="B237" s="7" t="n"/>
      <c r="C237" s="7" t="n"/>
      <c r="D237" s="12">
        <f>IF($A237="","",IFERROR(INDEX(土地清冊_匯入!$B$6:$B$1005,MATCH($A237,土地清冊_匯入!$A$6:$A$1005,0)),"查無資料"))</f>
        <v/>
      </c>
      <c r="E237" s="9">
        <f>IF($A237="","",IFERROR(INDEX(土地清冊_匯入!$I$6:$I$1005,MATCH($A237,土地清冊_匯入!$A$6:$A$1005,0)),""))</f>
        <v/>
      </c>
      <c r="F237" s="13">
        <f>IF($A237="","",IFERROR(INDEX(建物清冊_匯入!$N$6:$N$1005,MATCH($A237,建物清冊_匯入!$A$6:$A$1005,0)),""))</f>
        <v/>
      </c>
      <c r="G237" s="9">
        <f>IF($A237="","",IFERROR(INDEX(建物清冊_匯入!$S$6:$S$1005,MATCH($A237,建物清冊_匯入!$A$6:$A$1005,0)),""))</f>
        <v/>
      </c>
      <c r="H237" s="7" t="n"/>
      <c r="I237" s="15" t="n"/>
      <c r="J237" s="16" t="n"/>
      <c r="K237" s="17">
        <f>IF(J237="","",1-J237)</f>
        <v/>
      </c>
      <c r="L237" s="15" t="n"/>
      <c r="M237" s="7" t="n"/>
      <c r="N237" s="7" t="n"/>
      <c r="O237" s="7" t="n"/>
      <c r="P237" s="11" t="n"/>
      <c r="Q237" s="7" t="n"/>
      <c r="R237" s="7" t="n"/>
      <c r="S237" s="7" t="n"/>
      <c r="T237" s="7" t="n"/>
      <c r="U237" s="12">
        <f>IF(A237="","",IF(H237="","建議填分配模式",""))</f>
        <v/>
      </c>
    </row>
    <row r="238" ht="24" customHeight="1">
      <c r="A238" s="7" t="n"/>
      <c r="B238" s="7" t="n"/>
      <c r="C238" s="7" t="n"/>
      <c r="D238" s="12">
        <f>IF($A238="","",IFERROR(INDEX(土地清冊_匯入!$B$6:$B$1005,MATCH($A238,土地清冊_匯入!$A$6:$A$1005,0)),"查無資料"))</f>
        <v/>
      </c>
      <c r="E238" s="9">
        <f>IF($A238="","",IFERROR(INDEX(土地清冊_匯入!$I$6:$I$1005,MATCH($A238,土地清冊_匯入!$A$6:$A$1005,0)),""))</f>
        <v/>
      </c>
      <c r="F238" s="13">
        <f>IF($A238="","",IFERROR(INDEX(建物清冊_匯入!$N$6:$N$1005,MATCH($A238,建物清冊_匯入!$A$6:$A$1005,0)),""))</f>
        <v/>
      </c>
      <c r="G238" s="9">
        <f>IF($A238="","",IFERROR(INDEX(建物清冊_匯入!$S$6:$S$1005,MATCH($A238,建物清冊_匯入!$A$6:$A$1005,0)),""))</f>
        <v/>
      </c>
      <c r="H238" s="7" t="n"/>
      <c r="I238" s="15" t="n"/>
      <c r="J238" s="16" t="n"/>
      <c r="K238" s="17">
        <f>IF(J238="","",1-J238)</f>
        <v/>
      </c>
      <c r="L238" s="15" t="n"/>
      <c r="M238" s="7" t="n"/>
      <c r="N238" s="7" t="n"/>
      <c r="O238" s="7" t="n"/>
      <c r="P238" s="11" t="n"/>
      <c r="Q238" s="7" t="n"/>
      <c r="R238" s="7" t="n"/>
      <c r="S238" s="7" t="n"/>
      <c r="T238" s="7" t="n"/>
      <c r="U238" s="12">
        <f>IF(A238="","",IF(H238="","建議填分配模式",""))</f>
        <v/>
      </c>
    </row>
    <row r="239" ht="24" customHeight="1">
      <c r="A239" s="7" t="n"/>
      <c r="B239" s="7" t="n"/>
      <c r="C239" s="7" t="n"/>
      <c r="D239" s="12">
        <f>IF($A239="","",IFERROR(INDEX(土地清冊_匯入!$B$6:$B$1005,MATCH($A239,土地清冊_匯入!$A$6:$A$1005,0)),"查無資料"))</f>
        <v/>
      </c>
      <c r="E239" s="9">
        <f>IF($A239="","",IFERROR(INDEX(土地清冊_匯入!$I$6:$I$1005,MATCH($A239,土地清冊_匯入!$A$6:$A$1005,0)),""))</f>
        <v/>
      </c>
      <c r="F239" s="13">
        <f>IF($A239="","",IFERROR(INDEX(建物清冊_匯入!$N$6:$N$1005,MATCH($A239,建物清冊_匯入!$A$6:$A$1005,0)),""))</f>
        <v/>
      </c>
      <c r="G239" s="9">
        <f>IF($A239="","",IFERROR(INDEX(建物清冊_匯入!$S$6:$S$1005,MATCH($A239,建物清冊_匯入!$A$6:$A$1005,0)),""))</f>
        <v/>
      </c>
      <c r="H239" s="7" t="n"/>
      <c r="I239" s="15" t="n"/>
      <c r="J239" s="16" t="n"/>
      <c r="K239" s="17">
        <f>IF(J239="","",1-J239)</f>
        <v/>
      </c>
      <c r="L239" s="15" t="n"/>
      <c r="M239" s="7" t="n"/>
      <c r="N239" s="7" t="n"/>
      <c r="O239" s="7" t="n"/>
      <c r="P239" s="11" t="n"/>
      <c r="Q239" s="7" t="n"/>
      <c r="R239" s="7" t="n"/>
      <c r="S239" s="7" t="n"/>
      <c r="T239" s="7" t="n"/>
      <c r="U239" s="12">
        <f>IF(A239="","",IF(H239="","建議填分配模式",""))</f>
        <v/>
      </c>
    </row>
    <row r="240" ht="24" customHeight="1">
      <c r="A240" s="7" t="n"/>
      <c r="B240" s="7" t="n"/>
      <c r="C240" s="7" t="n"/>
      <c r="D240" s="12">
        <f>IF($A240="","",IFERROR(INDEX(土地清冊_匯入!$B$6:$B$1005,MATCH($A240,土地清冊_匯入!$A$6:$A$1005,0)),"查無資料"))</f>
        <v/>
      </c>
      <c r="E240" s="9">
        <f>IF($A240="","",IFERROR(INDEX(土地清冊_匯入!$I$6:$I$1005,MATCH($A240,土地清冊_匯入!$A$6:$A$1005,0)),""))</f>
        <v/>
      </c>
      <c r="F240" s="13">
        <f>IF($A240="","",IFERROR(INDEX(建物清冊_匯入!$N$6:$N$1005,MATCH($A240,建物清冊_匯入!$A$6:$A$1005,0)),""))</f>
        <v/>
      </c>
      <c r="G240" s="9">
        <f>IF($A240="","",IFERROR(INDEX(建物清冊_匯入!$S$6:$S$1005,MATCH($A240,建物清冊_匯入!$A$6:$A$1005,0)),""))</f>
        <v/>
      </c>
      <c r="H240" s="7" t="n"/>
      <c r="I240" s="15" t="n"/>
      <c r="J240" s="16" t="n"/>
      <c r="K240" s="17">
        <f>IF(J240="","",1-J240)</f>
        <v/>
      </c>
      <c r="L240" s="15" t="n"/>
      <c r="M240" s="7" t="n"/>
      <c r="N240" s="7" t="n"/>
      <c r="O240" s="7" t="n"/>
      <c r="P240" s="11" t="n"/>
      <c r="Q240" s="7" t="n"/>
      <c r="R240" s="7" t="n"/>
      <c r="S240" s="7" t="n"/>
      <c r="T240" s="7" t="n"/>
      <c r="U240" s="12">
        <f>IF(A240="","",IF(H240="","建議填分配模式",""))</f>
        <v/>
      </c>
    </row>
    <row r="241" ht="24" customHeight="1">
      <c r="A241" s="7" t="n"/>
      <c r="B241" s="7" t="n"/>
      <c r="C241" s="7" t="n"/>
      <c r="D241" s="12">
        <f>IF($A241="","",IFERROR(INDEX(土地清冊_匯入!$B$6:$B$1005,MATCH($A241,土地清冊_匯入!$A$6:$A$1005,0)),"查無資料"))</f>
        <v/>
      </c>
      <c r="E241" s="9">
        <f>IF($A241="","",IFERROR(INDEX(土地清冊_匯入!$I$6:$I$1005,MATCH($A241,土地清冊_匯入!$A$6:$A$1005,0)),""))</f>
        <v/>
      </c>
      <c r="F241" s="13">
        <f>IF($A241="","",IFERROR(INDEX(建物清冊_匯入!$N$6:$N$1005,MATCH($A241,建物清冊_匯入!$A$6:$A$1005,0)),""))</f>
        <v/>
      </c>
      <c r="G241" s="9">
        <f>IF($A241="","",IFERROR(INDEX(建物清冊_匯入!$S$6:$S$1005,MATCH($A241,建物清冊_匯入!$A$6:$A$1005,0)),""))</f>
        <v/>
      </c>
      <c r="H241" s="7" t="n"/>
      <c r="I241" s="15" t="n"/>
      <c r="J241" s="16" t="n"/>
      <c r="K241" s="17">
        <f>IF(J241="","",1-J241)</f>
        <v/>
      </c>
      <c r="L241" s="15" t="n"/>
      <c r="M241" s="7" t="n"/>
      <c r="N241" s="7" t="n"/>
      <c r="O241" s="7" t="n"/>
      <c r="P241" s="11" t="n"/>
      <c r="Q241" s="7" t="n"/>
      <c r="R241" s="7" t="n"/>
      <c r="S241" s="7" t="n"/>
      <c r="T241" s="7" t="n"/>
      <c r="U241" s="12">
        <f>IF(A241="","",IF(H241="","建議填分配模式",""))</f>
        <v/>
      </c>
    </row>
    <row r="242" ht="24" customHeight="1">
      <c r="A242" s="7" t="n"/>
      <c r="B242" s="7" t="n"/>
      <c r="C242" s="7" t="n"/>
      <c r="D242" s="12">
        <f>IF($A242="","",IFERROR(INDEX(土地清冊_匯入!$B$6:$B$1005,MATCH($A242,土地清冊_匯入!$A$6:$A$1005,0)),"查無資料"))</f>
        <v/>
      </c>
      <c r="E242" s="9">
        <f>IF($A242="","",IFERROR(INDEX(土地清冊_匯入!$I$6:$I$1005,MATCH($A242,土地清冊_匯入!$A$6:$A$1005,0)),""))</f>
        <v/>
      </c>
      <c r="F242" s="13">
        <f>IF($A242="","",IFERROR(INDEX(建物清冊_匯入!$N$6:$N$1005,MATCH($A242,建物清冊_匯入!$A$6:$A$1005,0)),""))</f>
        <v/>
      </c>
      <c r="G242" s="9">
        <f>IF($A242="","",IFERROR(INDEX(建物清冊_匯入!$S$6:$S$1005,MATCH($A242,建物清冊_匯入!$A$6:$A$1005,0)),""))</f>
        <v/>
      </c>
      <c r="H242" s="7" t="n"/>
      <c r="I242" s="15" t="n"/>
      <c r="J242" s="16" t="n"/>
      <c r="K242" s="17">
        <f>IF(J242="","",1-J242)</f>
        <v/>
      </c>
      <c r="L242" s="15" t="n"/>
      <c r="M242" s="7" t="n"/>
      <c r="N242" s="7" t="n"/>
      <c r="O242" s="7" t="n"/>
      <c r="P242" s="11" t="n"/>
      <c r="Q242" s="7" t="n"/>
      <c r="R242" s="7" t="n"/>
      <c r="S242" s="7" t="n"/>
      <c r="T242" s="7" t="n"/>
      <c r="U242" s="12">
        <f>IF(A242="","",IF(H242="","建議填分配模式",""))</f>
        <v/>
      </c>
    </row>
    <row r="243" ht="24" customHeight="1">
      <c r="A243" s="7" t="n"/>
      <c r="B243" s="7" t="n"/>
      <c r="C243" s="7" t="n"/>
      <c r="D243" s="12">
        <f>IF($A243="","",IFERROR(INDEX(土地清冊_匯入!$B$6:$B$1005,MATCH($A243,土地清冊_匯入!$A$6:$A$1005,0)),"查無資料"))</f>
        <v/>
      </c>
      <c r="E243" s="9">
        <f>IF($A243="","",IFERROR(INDEX(土地清冊_匯入!$I$6:$I$1005,MATCH($A243,土地清冊_匯入!$A$6:$A$1005,0)),""))</f>
        <v/>
      </c>
      <c r="F243" s="13">
        <f>IF($A243="","",IFERROR(INDEX(建物清冊_匯入!$N$6:$N$1005,MATCH($A243,建物清冊_匯入!$A$6:$A$1005,0)),""))</f>
        <v/>
      </c>
      <c r="G243" s="9">
        <f>IF($A243="","",IFERROR(INDEX(建物清冊_匯入!$S$6:$S$1005,MATCH($A243,建物清冊_匯入!$A$6:$A$1005,0)),""))</f>
        <v/>
      </c>
      <c r="H243" s="7" t="n"/>
      <c r="I243" s="15" t="n"/>
      <c r="J243" s="16" t="n"/>
      <c r="K243" s="17">
        <f>IF(J243="","",1-J243)</f>
        <v/>
      </c>
      <c r="L243" s="15" t="n"/>
      <c r="M243" s="7" t="n"/>
      <c r="N243" s="7" t="n"/>
      <c r="O243" s="7" t="n"/>
      <c r="P243" s="11" t="n"/>
      <c r="Q243" s="7" t="n"/>
      <c r="R243" s="7" t="n"/>
      <c r="S243" s="7" t="n"/>
      <c r="T243" s="7" t="n"/>
      <c r="U243" s="12">
        <f>IF(A243="","",IF(H243="","建議填分配模式",""))</f>
        <v/>
      </c>
    </row>
    <row r="244" ht="24" customHeight="1">
      <c r="A244" s="7" t="n"/>
      <c r="B244" s="7" t="n"/>
      <c r="C244" s="7" t="n"/>
      <c r="D244" s="12">
        <f>IF($A244="","",IFERROR(INDEX(土地清冊_匯入!$B$6:$B$1005,MATCH($A244,土地清冊_匯入!$A$6:$A$1005,0)),"查無資料"))</f>
        <v/>
      </c>
      <c r="E244" s="9">
        <f>IF($A244="","",IFERROR(INDEX(土地清冊_匯入!$I$6:$I$1005,MATCH($A244,土地清冊_匯入!$A$6:$A$1005,0)),""))</f>
        <v/>
      </c>
      <c r="F244" s="13">
        <f>IF($A244="","",IFERROR(INDEX(建物清冊_匯入!$N$6:$N$1005,MATCH($A244,建物清冊_匯入!$A$6:$A$1005,0)),""))</f>
        <v/>
      </c>
      <c r="G244" s="9">
        <f>IF($A244="","",IFERROR(INDEX(建物清冊_匯入!$S$6:$S$1005,MATCH($A244,建物清冊_匯入!$A$6:$A$1005,0)),""))</f>
        <v/>
      </c>
      <c r="H244" s="7" t="n"/>
      <c r="I244" s="15" t="n"/>
      <c r="J244" s="16" t="n"/>
      <c r="K244" s="17">
        <f>IF(J244="","",1-J244)</f>
        <v/>
      </c>
      <c r="L244" s="15" t="n"/>
      <c r="M244" s="7" t="n"/>
      <c r="N244" s="7" t="n"/>
      <c r="O244" s="7" t="n"/>
      <c r="P244" s="11" t="n"/>
      <c r="Q244" s="7" t="n"/>
      <c r="R244" s="7" t="n"/>
      <c r="S244" s="7" t="n"/>
      <c r="T244" s="7" t="n"/>
      <c r="U244" s="12">
        <f>IF(A244="","",IF(H244="","建議填分配模式",""))</f>
        <v/>
      </c>
    </row>
    <row r="245" ht="24" customHeight="1">
      <c r="A245" s="7" t="n"/>
      <c r="B245" s="7" t="n"/>
      <c r="C245" s="7" t="n"/>
      <c r="D245" s="12">
        <f>IF($A245="","",IFERROR(INDEX(土地清冊_匯入!$B$6:$B$1005,MATCH($A245,土地清冊_匯入!$A$6:$A$1005,0)),"查無資料"))</f>
        <v/>
      </c>
      <c r="E245" s="9">
        <f>IF($A245="","",IFERROR(INDEX(土地清冊_匯入!$I$6:$I$1005,MATCH($A245,土地清冊_匯入!$A$6:$A$1005,0)),""))</f>
        <v/>
      </c>
      <c r="F245" s="13">
        <f>IF($A245="","",IFERROR(INDEX(建物清冊_匯入!$N$6:$N$1005,MATCH($A245,建物清冊_匯入!$A$6:$A$1005,0)),""))</f>
        <v/>
      </c>
      <c r="G245" s="9">
        <f>IF($A245="","",IFERROR(INDEX(建物清冊_匯入!$S$6:$S$1005,MATCH($A245,建物清冊_匯入!$A$6:$A$1005,0)),""))</f>
        <v/>
      </c>
      <c r="H245" s="7" t="n"/>
      <c r="I245" s="15" t="n"/>
      <c r="J245" s="16" t="n"/>
      <c r="K245" s="17">
        <f>IF(J245="","",1-J245)</f>
        <v/>
      </c>
      <c r="L245" s="15" t="n"/>
      <c r="M245" s="7" t="n"/>
      <c r="N245" s="7" t="n"/>
      <c r="O245" s="7" t="n"/>
      <c r="P245" s="11" t="n"/>
      <c r="Q245" s="7" t="n"/>
      <c r="R245" s="7" t="n"/>
      <c r="S245" s="7" t="n"/>
      <c r="T245" s="7" t="n"/>
      <c r="U245" s="12">
        <f>IF(A245="","",IF(H245="","建議填分配模式",""))</f>
        <v/>
      </c>
    </row>
    <row r="246" ht="24" customHeight="1">
      <c r="A246" s="7" t="n"/>
      <c r="B246" s="7" t="n"/>
      <c r="C246" s="7" t="n"/>
      <c r="D246" s="12">
        <f>IF($A246="","",IFERROR(INDEX(土地清冊_匯入!$B$6:$B$1005,MATCH($A246,土地清冊_匯入!$A$6:$A$1005,0)),"查無資料"))</f>
        <v/>
      </c>
      <c r="E246" s="9">
        <f>IF($A246="","",IFERROR(INDEX(土地清冊_匯入!$I$6:$I$1005,MATCH($A246,土地清冊_匯入!$A$6:$A$1005,0)),""))</f>
        <v/>
      </c>
      <c r="F246" s="13">
        <f>IF($A246="","",IFERROR(INDEX(建物清冊_匯入!$N$6:$N$1005,MATCH($A246,建物清冊_匯入!$A$6:$A$1005,0)),""))</f>
        <v/>
      </c>
      <c r="G246" s="9">
        <f>IF($A246="","",IFERROR(INDEX(建物清冊_匯入!$S$6:$S$1005,MATCH($A246,建物清冊_匯入!$A$6:$A$1005,0)),""))</f>
        <v/>
      </c>
      <c r="H246" s="7" t="n"/>
      <c r="I246" s="15" t="n"/>
      <c r="J246" s="16" t="n"/>
      <c r="K246" s="17">
        <f>IF(J246="","",1-J246)</f>
        <v/>
      </c>
      <c r="L246" s="15" t="n"/>
      <c r="M246" s="7" t="n"/>
      <c r="N246" s="7" t="n"/>
      <c r="O246" s="7" t="n"/>
      <c r="P246" s="11" t="n"/>
      <c r="Q246" s="7" t="n"/>
      <c r="R246" s="7" t="n"/>
      <c r="S246" s="7" t="n"/>
      <c r="T246" s="7" t="n"/>
      <c r="U246" s="12">
        <f>IF(A246="","",IF(H246="","建議填分配模式",""))</f>
        <v/>
      </c>
    </row>
    <row r="247" ht="24" customHeight="1">
      <c r="A247" s="7" t="n"/>
      <c r="B247" s="7" t="n"/>
      <c r="C247" s="7" t="n"/>
      <c r="D247" s="12">
        <f>IF($A247="","",IFERROR(INDEX(土地清冊_匯入!$B$6:$B$1005,MATCH($A247,土地清冊_匯入!$A$6:$A$1005,0)),"查無資料"))</f>
        <v/>
      </c>
      <c r="E247" s="9">
        <f>IF($A247="","",IFERROR(INDEX(土地清冊_匯入!$I$6:$I$1005,MATCH($A247,土地清冊_匯入!$A$6:$A$1005,0)),""))</f>
        <v/>
      </c>
      <c r="F247" s="13">
        <f>IF($A247="","",IFERROR(INDEX(建物清冊_匯入!$N$6:$N$1005,MATCH($A247,建物清冊_匯入!$A$6:$A$1005,0)),""))</f>
        <v/>
      </c>
      <c r="G247" s="9">
        <f>IF($A247="","",IFERROR(INDEX(建物清冊_匯入!$S$6:$S$1005,MATCH($A247,建物清冊_匯入!$A$6:$A$1005,0)),""))</f>
        <v/>
      </c>
      <c r="H247" s="7" t="n"/>
      <c r="I247" s="15" t="n"/>
      <c r="J247" s="16" t="n"/>
      <c r="K247" s="17">
        <f>IF(J247="","",1-J247)</f>
        <v/>
      </c>
      <c r="L247" s="15" t="n"/>
      <c r="M247" s="7" t="n"/>
      <c r="N247" s="7" t="n"/>
      <c r="O247" s="7" t="n"/>
      <c r="P247" s="11" t="n"/>
      <c r="Q247" s="7" t="n"/>
      <c r="R247" s="7" t="n"/>
      <c r="S247" s="7" t="n"/>
      <c r="T247" s="7" t="n"/>
      <c r="U247" s="12">
        <f>IF(A247="","",IF(H247="","建議填分配模式",""))</f>
        <v/>
      </c>
    </row>
    <row r="248" ht="24" customHeight="1">
      <c r="A248" s="7" t="n"/>
      <c r="B248" s="7" t="n"/>
      <c r="C248" s="7" t="n"/>
      <c r="D248" s="12">
        <f>IF($A248="","",IFERROR(INDEX(土地清冊_匯入!$B$6:$B$1005,MATCH($A248,土地清冊_匯入!$A$6:$A$1005,0)),"查無資料"))</f>
        <v/>
      </c>
      <c r="E248" s="9">
        <f>IF($A248="","",IFERROR(INDEX(土地清冊_匯入!$I$6:$I$1005,MATCH($A248,土地清冊_匯入!$A$6:$A$1005,0)),""))</f>
        <v/>
      </c>
      <c r="F248" s="13">
        <f>IF($A248="","",IFERROR(INDEX(建物清冊_匯入!$N$6:$N$1005,MATCH($A248,建物清冊_匯入!$A$6:$A$1005,0)),""))</f>
        <v/>
      </c>
      <c r="G248" s="9">
        <f>IF($A248="","",IFERROR(INDEX(建物清冊_匯入!$S$6:$S$1005,MATCH($A248,建物清冊_匯入!$A$6:$A$1005,0)),""))</f>
        <v/>
      </c>
      <c r="H248" s="7" t="n"/>
      <c r="I248" s="15" t="n"/>
      <c r="J248" s="16" t="n"/>
      <c r="K248" s="17">
        <f>IF(J248="","",1-J248)</f>
        <v/>
      </c>
      <c r="L248" s="15" t="n"/>
      <c r="M248" s="7" t="n"/>
      <c r="N248" s="7" t="n"/>
      <c r="O248" s="7" t="n"/>
      <c r="P248" s="11" t="n"/>
      <c r="Q248" s="7" t="n"/>
      <c r="R248" s="7" t="n"/>
      <c r="S248" s="7" t="n"/>
      <c r="T248" s="7" t="n"/>
      <c r="U248" s="12">
        <f>IF(A248="","",IF(H248="","建議填分配模式",""))</f>
        <v/>
      </c>
    </row>
    <row r="249" ht="24" customHeight="1">
      <c r="A249" s="7" t="n"/>
      <c r="B249" s="7" t="n"/>
      <c r="C249" s="7" t="n"/>
      <c r="D249" s="12">
        <f>IF($A249="","",IFERROR(INDEX(土地清冊_匯入!$B$6:$B$1005,MATCH($A249,土地清冊_匯入!$A$6:$A$1005,0)),"查無資料"))</f>
        <v/>
      </c>
      <c r="E249" s="9">
        <f>IF($A249="","",IFERROR(INDEX(土地清冊_匯入!$I$6:$I$1005,MATCH($A249,土地清冊_匯入!$A$6:$A$1005,0)),""))</f>
        <v/>
      </c>
      <c r="F249" s="13">
        <f>IF($A249="","",IFERROR(INDEX(建物清冊_匯入!$N$6:$N$1005,MATCH($A249,建物清冊_匯入!$A$6:$A$1005,0)),""))</f>
        <v/>
      </c>
      <c r="G249" s="9">
        <f>IF($A249="","",IFERROR(INDEX(建物清冊_匯入!$S$6:$S$1005,MATCH($A249,建物清冊_匯入!$A$6:$A$1005,0)),""))</f>
        <v/>
      </c>
      <c r="H249" s="7" t="n"/>
      <c r="I249" s="15" t="n"/>
      <c r="J249" s="16" t="n"/>
      <c r="K249" s="17">
        <f>IF(J249="","",1-J249)</f>
        <v/>
      </c>
      <c r="L249" s="15" t="n"/>
      <c r="M249" s="7" t="n"/>
      <c r="N249" s="7" t="n"/>
      <c r="O249" s="7" t="n"/>
      <c r="P249" s="11" t="n"/>
      <c r="Q249" s="7" t="n"/>
      <c r="R249" s="7" t="n"/>
      <c r="S249" s="7" t="n"/>
      <c r="T249" s="7" t="n"/>
      <c r="U249" s="12">
        <f>IF(A249="","",IF(H249="","建議填分配模式",""))</f>
        <v/>
      </c>
    </row>
    <row r="250" ht="24" customHeight="1">
      <c r="A250" s="7" t="n"/>
      <c r="B250" s="7" t="n"/>
      <c r="C250" s="7" t="n"/>
      <c r="D250" s="12">
        <f>IF($A250="","",IFERROR(INDEX(土地清冊_匯入!$B$6:$B$1005,MATCH($A250,土地清冊_匯入!$A$6:$A$1005,0)),"查無資料"))</f>
        <v/>
      </c>
      <c r="E250" s="9">
        <f>IF($A250="","",IFERROR(INDEX(土地清冊_匯入!$I$6:$I$1005,MATCH($A250,土地清冊_匯入!$A$6:$A$1005,0)),""))</f>
        <v/>
      </c>
      <c r="F250" s="13">
        <f>IF($A250="","",IFERROR(INDEX(建物清冊_匯入!$N$6:$N$1005,MATCH($A250,建物清冊_匯入!$A$6:$A$1005,0)),""))</f>
        <v/>
      </c>
      <c r="G250" s="9">
        <f>IF($A250="","",IFERROR(INDEX(建物清冊_匯入!$S$6:$S$1005,MATCH($A250,建物清冊_匯入!$A$6:$A$1005,0)),""))</f>
        <v/>
      </c>
      <c r="H250" s="7" t="n"/>
      <c r="I250" s="15" t="n"/>
      <c r="J250" s="16" t="n"/>
      <c r="K250" s="17">
        <f>IF(J250="","",1-J250)</f>
        <v/>
      </c>
      <c r="L250" s="15" t="n"/>
      <c r="M250" s="7" t="n"/>
      <c r="N250" s="7" t="n"/>
      <c r="O250" s="7" t="n"/>
      <c r="P250" s="11" t="n"/>
      <c r="Q250" s="7" t="n"/>
      <c r="R250" s="7" t="n"/>
      <c r="S250" s="7" t="n"/>
      <c r="T250" s="7" t="n"/>
      <c r="U250" s="12">
        <f>IF(A250="","",IF(H250="","建議填分配模式",""))</f>
        <v/>
      </c>
    </row>
    <row r="251" ht="24" customHeight="1">
      <c r="A251" s="7" t="n"/>
      <c r="B251" s="7" t="n"/>
      <c r="C251" s="7" t="n"/>
      <c r="D251" s="12">
        <f>IF($A251="","",IFERROR(INDEX(土地清冊_匯入!$B$6:$B$1005,MATCH($A251,土地清冊_匯入!$A$6:$A$1005,0)),"查無資料"))</f>
        <v/>
      </c>
      <c r="E251" s="9">
        <f>IF($A251="","",IFERROR(INDEX(土地清冊_匯入!$I$6:$I$1005,MATCH($A251,土地清冊_匯入!$A$6:$A$1005,0)),""))</f>
        <v/>
      </c>
      <c r="F251" s="13">
        <f>IF($A251="","",IFERROR(INDEX(建物清冊_匯入!$N$6:$N$1005,MATCH($A251,建物清冊_匯入!$A$6:$A$1005,0)),""))</f>
        <v/>
      </c>
      <c r="G251" s="9">
        <f>IF($A251="","",IFERROR(INDEX(建物清冊_匯入!$S$6:$S$1005,MATCH($A251,建物清冊_匯入!$A$6:$A$1005,0)),""))</f>
        <v/>
      </c>
      <c r="H251" s="7" t="n"/>
      <c r="I251" s="15" t="n"/>
      <c r="J251" s="16" t="n"/>
      <c r="K251" s="17">
        <f>IF(J251="","",1-J251)</f>
        <v/>
      </c>
      <c r="L251" s="15" t="n"/>
      <c r="M251" s="7" t="n"/>
      <c r="N251" s="7" t="n"/>
      <c r="O251" s="7" t="n"/>
      <c r="P251" s="11" t="n"/>
      <c r="Q251" s="7" t="n"/>
      <c r="R251" s="7" t="n"/>
      <c r="S251" s="7" t="n"/>
      <c r="T251" s="7" t="n"/>
      <c r="U251" s="12">
        <f>IF(A251="","",IF(H251="","建議填分配模式",""))</f>
        <v/>
      </c>
    </row>
    <row r="252" ht="24" customHeight="1">
      <c r="A252" s="7" t="n"/>
      <c r="B252" s="7" t="n"/>
      <c r="C252" s="7" t="n"/>
      <c r="D252" s="12">
        <f>IF($A252="","",IFERROR(INDEX(土地清冊_匯入!$B$6:$B$1005,MATCH($A252,土地清冊_匯入!$A$6:$A$1005,0)),"查無資料"))</f>
        <v/>
      </c>
      <c r="E252" s="9">
        <f>IF($A252="","",IFERROR(INDEX(土地清冊_匯入!$I$6:$I$1005,MATCH($A252,土地清冊_匯入!$A$6:$A$1005,0)),""))</f>
        <v/>
      </c>
      <c r="F252" s="13">
        <f>IF($A252="","",IFERROR(INDEX(建物清冊_匯入!$N$6:$N$1005,MATCH($A252,建物清冊_匯入!$A$6:$A$1005,0)),""))</f>
        <v/>
      </c>
      <c r="G252" s="9">
        <f>IF($A252="","",IFERROR(INDEX(建物清冊_匯入!$S$6:$S$1005,MATCH($A252,建物清冊_匯入!$A$6:$A$1005,0)),""))</f>
        <v/>
      </c>
      <c r="H252" s="7" t="n"/>
      <c r="I252" s="15" t="n"/>
      <c r="J252" s="16" t="n"/>
      <c r="K252" s="17">
        <f>IF(J252="","",1-J252)</f>
        <v/>
      </c>
      <c r="L252" s="15" t="n"/>
      <c r="M252" s="7" t="n"/>
      <c r="N252" s="7" t="n"/>
      <c r="O252" s="7" t="n"/>
      <c r="P252" s="11" t="n"/>
      <c r="Q252" s="7" t="n"/>
      <c r="R252" s="7" t="n"/>
      <c r="S252" s="7" t="n"/>
      <c r="T252" s="7" t="n"/>
      <c r="U252" s="12">
        <f>IF(A252="","",IF(H252="","建議填分配模式",""))</f>
        <v/>
      </c>
    </row>
    <row r="253" ht="24" customHeight="1">
      <c r="A253" s="7" t="n"/>
      <c r="B253" s="7" t="n"/>
      <c r="C253" s="7" t="n"/>
      <c r="D253" s="12">
        <f>IF($A253="","",IFERROR(INDEX(土地清冊_匯入!$B$6:$B$1005,MATCH($A253,土地清冊_匯入!$A$6:$A$1005,0)),"查無資料"))</f>
        <v/>
      </c>
      <c r="E253" s="9">
        <f>IF($A253="","",IFERROR(INDEX(土地清冊_匯入!$I$6:$I$1005,MATCH($A253,土地清冊_匯入!$A$6:$A$1005,0)),""))</f>
        <v/>
      </c>
      <c r="F253" s="13">
        <f>IF($A253="","",IFERROR(INDEX(建物清冊_匯入!$N$6:$N$1005,MATCH($A253,建物清冊_匯入!$A$6:$A$1005,0)),""))</f>
        <v/>
      </c>
      <c r="G253" s="9">
        <f>IF($A253="","",IFERROR(INDEX(建物清冊_匯入!$S$6:$S$1005,MATCH($A253,建物清冊_匯入!$A$6:$A$1005,0)),""))</f>
        <v/>
      </c>
      <c r="H253" s="7" t="n"/>
      <c r="I253" s="15" t="n"/>
      <c r="J253" s="16" t="n"/>
      <c r="K253" s="17">
        <f>IF(J253="","",1-J253)</f>
        <v/>
      </c>
      <c r="L253" s="15" t="n"/>
      <c r="M253" s="7" t="n"/>
      <c r="N253" s="7" t="n"/>
      <c r="O253" s="7" t="n"/>
      <c r="P253" s="11" t="n"/>
      <c r="Q253" s="7" t="n"/>
      <c r="R253" s="7" t="n"/>
      <c r="S253" s="7" t="n"/>
      <c r="T253" s="7" t="n"/>
      <c r="U253" s="12">
        <f>IF(A253="","",IF(H253="","建議填分配模式",""))</f>
        <v/>
      </c>
    </row>
    <row r="254" ht="24" customHeight="1">
      <c r="A254" s="7" t="n"/>
      <c r="B254" s="7" t="n"/>
      <c r="C254" s="7" t="n"/>
      <c r="D254" s="12">
        <f>IF($A254="","",IFERROR(INDEX(土地清冊_匯入!$B$6:$B$1005,MATCH($A254,土地清冊_匯入!$A$6:$A$1005,0)),"查無資料"))</f>
        <v/>
      </c>
      <c r="E254" s="9">
        <f>IF($A254="","",IFERROR(INDEX(土地清冊_匯入!$I$6:$I$1005,MATCH($A254,土地清冊_匯入!$A$6:$A$1005,0)),""))</f>
        <v/>
      </c>
      <c r="F254" s="13">
        <f>IF($A254="","",IFERROR(INDEX(建物清冊_匯入!$N$6:$N$1005,MATCH($A254,建物清冊_匯入!$A$6:$A$1005,0)),""))</f>
        <v/>
      </c>
      <c r="G254" s="9">
        <f>IF($A254="","",IFERROR(INDEX(建物清冊_匯入!$S$6:$S$1005,MATCH($A254,建物清冊_匯入!$A$6:$A$1005,0)),""))</f>
        <v/>
      </c>
      <c r="H254" s="7" t="n"/>
      <c r="I254" s="15" t="n"/>
      <c r="J254" s="16" t="n"/>
      <c r="K254" s="17">
        <f>IF(J254="","",1-J254)</f>
        <v/>
      </c>
      <c r="L254" s="15" t="n"/>
      <c r="M254" s="7" t="n"/>
      <c r="N254" s="7" t="n"/>
      <c r="O254" s="7" t="n"/>
      <c r="P254" s="11" t="n"/>
      <c r="Q254" s="7" t="n"/>
      <c r="R254" s="7" t="n"/>
      <c r="S254" s="7" t="n"/>
      <c r="T254" s="7" t="n"/>
      <c r="U254" s="12">
        <f>IF(A254="","",IF(H254="","建議填分配模式",""))</f>
        <v/>
      </c>
    </row>
    <row r="255" ht="24" customHeight="1">
      <c r="A255" s="7" t="n"/>
      <c r="B255" s="7" t="n"/>
      <c r="C255" s="7" t="n"/>
      <c r="D255" s="12">
        <f>IF($A255="","",IFERROR(INDEX(土地清冊_匯入!$B$6:$B$1005,MATCH($A255,土地清冊_匯入!$A$6:$A$1005,0)),"查無資料"))</f>
        <v/>
      </c>
      <c r="E255" s="9">
        <f>IF($A255="","",IFERROR(INDEX(土地清冊_匯入!$I$6:$I$1005,MATCH($A255,土地清冊_匯入!$A$6:$A$1005,0)),""))</f>
        <v/>
      </c>
      <c r="F255" s="13">
        <f>IF($A255="","",IFERROR(INDEX(建物清冊_匯入!$N$6:$N$1005,MATCH($A255,建物清冊_匯入!$A$6:$A$1005,0)),""))</f>
        <v/>
      </c>
      <c r="G255" s="9">
        <f>IF($A255="","",IFERROR(INDEX(建物清冊_匯入!$S$6:$S$1005,MATCH($A255,建物清冊_匯入!$A$6:$A$1005,0)),""))</f>
        <v/>
      </c>
      <c r="H255" s="7" t="n"/>
      <c r="I255" s="15" t="n"/>
      <c r="J255" s="16" t="n"/>
      <c r="K255" s="17">
        <f>IF(J255="","",1-J255)</f>
        <v/>
      </c>
      <c r="L255" s="15" t="n"/>
      <c r="M255" s="7" t="n"/>
      <c r="N255" s="7" t="n"/>
      <c r="O255" s="7" t="n"/>
      <c r="P255" s="11" t="n"/>
      <c r="Q255" s="7" t="n"/>
      <c r="R255" s="7" t="n"/>
      <c r="S255" s="7" t="n"/>
      <c r="T255" s="7" t="n"/>
      <c r="U255" s="12">
        <f>IF(A255="","",IF(H255="","建議填分配模式",""))</f>
        <v/>
      </c>
    </row>
    <row r="256" ht="24" customHeight="1">
      <c r="A256" s="7" t="n"/>
      <c r="B256" s="7" t="n"/>
      <c r="C256" s="7" t="n"/>
      <c r="D256" s="12">
        <f>IF($A256="","",IFERROR(INDEX(土地清冊_匯入!$B$6:$B$1005,MATCH($A256,土地清冊_匯入!$A$6:$A$1005,0)),"查無資料"))</f>
        <v/>
      </c>
      <c r="E256" s="9">
        <f>IF($A256="","",IFERROR(INDEX(土地清冊_匯入!$I$6:$I$1005,MATCH($A256,土地清冊_匯入!$A$6:$A$1005,0)),""))</f>
        <v/>
      </c>
      <c r="F256" s="13">
        <f>IF($A256="","",IFERROR(INDEX(建物清冊_匯入!$N$6:$N$1005,MATCH($A256,建物清冊_匯入!$A$6:$A$1005,0)),""))</f>
        <v/>
      </c>
      <c r="G256" s="9">
        <f>IF($A256="","",IFERROR(INDEX(建物清冊_匯入!$S$6:$S$1005,MATCH($A256,建物清冊_匯入!$A$6:$A$1005,0)),""))</f>
        <v/>
      </c>
      <c r="H256" s="7" t="n"/>
      <c r="I256" s="15" t="n"/>
      <c r="J256" s="16" t="n"/>
      <c r="K256" s="17">
        <f>IF(J256="","",1-J256)</f>
        <v/>
      </c>
      <c r="L256" s="15" t="n"/>
      <c r="M256" s="7" t="n"/>
      <c r="N256" s="7" t="n"/>
      <c r="O256" s="7" t="n"/>
      <c r="P256" s="11" t="n"/>
      <c r="Q256" s="7" t="n"/>
      <c r="R256" s="7" t="n"/>
      <c r="S256" s="7" t="n"/>
      <c r="T256" s="7" t="n"/>
      <c r="U256" s="12">
        <f>IF(A256="","",IF(H256="","建議填分配模式",""))</f>
        <v/>
      </c>
    </row>
    <row r="257" ht="24" customHeight="1">
      <c r="A257" s="7" t="n"/>
      <c r="B257" s="7" t="n"/>
      <c r="C257" s="7" t="n"/>
      <c r="D257" s="12">
        <f>IF($A257="","",IFERROR(INDEX(土地清冊_匯入!$B$6:$B$1005,MATCH($A257,土地清冊_匯入!$A$6:$A$1005,0)),"查無資料"))</f>
        <v/>
      </c>
      <c r="E257" s="9">
        <f>IF($A257="","",IFERROR(INDEX(土地清冊_匯入!$I$6:$I$1005,MATCH($A257,土地清冊_匯入!$A$6:$A$1005,0)),""))</f>
        <v/>
      </c>
      <c r="F257" s="13">
        <f>IF($A257="","",IFERROR(INDEX(建物清冊_匯入!$N$6:$N$1005,MATCH($A257,建物清冊_匯入!$A$6:$A$1005,0)),""))</f>
        <v/>
      </c>
      <c r="G257" s="9">
        <f>IF($A257="","",IFERROR(INDEX(建物清冊_匯入!$S$6:$S$1005,MATCH($A257,建物清冊_匯入!$A$6:$A$1005,0)),""))</f>
        <v/>
      </c>
      <c r="H257" s="7" t="n"/>
      <c r="I257" s="15" t="n"/>
      <c r="J257" s="16" t="n"/>
      <c r="K257" s="17">
        <f>IF(J257="","",1-J257)</f>
        <v/>
      </c>
      <c r="L257" s="15" t="n"/>
      <c r="M257" s="7" t="n"/>
      <c r="N257" s="7" t="n"/>
      <c r="O257" s="7" t="n"/>
      <c r="P257" s="11" t="n"/>
      <c r="Q257" s="7" t="n"/>
      <c r="R257" s="7" t="n"/>
      <c r="S257" s="7" t="n"/>
      <c r="T257" s="7" t="n"/>
      <c r="U257" s="12">
        <f>IF(A257="","",IF(H257="","建議填分配模式",""))</f>
        <v/>
      </c>
    </row>
    <row r="258" ht="24" customHeight="1">
      <c r="A258" s="7" t="n"/>
      <c r="B258" s="7" t="n"/>
      <c r="C258" s="7" t="n"/>
      <c r="D258" s="12">
        <f>IF($A258="","",IFERROR(INDEX(土地清冊_匯入!$B$6:$B$1005,MATCH($A258,土地清冊_匯入!$A$6:$A$1005,0)),"查無資料"))</f>
        <v/>
      </c>
      <c r="E258" s="9">
        <f>IF($A258="","",IFERROR(INDEX(土地清冊_匯入!$I$6:$I$1005,MATCH($A258,土地清冊_匯入!$A$6:$A$1005,0)),""))</f>
        <v/>
      </c>
      <c r="F258" s="13">
        <f>IF($A258="","",IFERROR(INDEX(建物清冊_匯入!$N$6:$N$1005,MATCH($A258,建物清冊_匯入!$A$6:$A$1005,0)),""))</f>
        <v/>
      </c>
      <c r="G258" s="9">
        <f>IF($A258="","",IFERROR(INDEX(建物清冊_匯入!$S$6:$S$1005,MATCH($A258,建物清冊_匯入!$A$6:$A$1005,0)),""))</f>
        <v/>
      </c>
      <c r="H258" s="7" t="n"/>
      <c r="I258" s="15" t="n"/>
      <c r="J258" s="16" t="n"/>
      <c r="K258" s="17">
        <f>IF(J258="","",1-J258)</f>
        <v/>
      </c>
      <c r="L258" s="15" t="n"/>
      <c r="M258" s="7" t="n"/>
      <c r="N258" s="7" t="n"/>
      <c r="O258" s="7" t="n"/>
      <c r="P258" s="11" t="n"/>
      <c r="Q258" s="7" t="n"/>
      <c r="R258" s="7" t="n"/>
      <c r="S258" s="7" t="n"/>
      <c r="T258" s="7" t="n"/>
      <c r="U258" s="12">
        <f>IF(A258="","",IF(H258="","建議填分配模式",""))</f>
        <v/>
      </c>
    </row>
    <row r="259" ht="24" customHeight="1">
      <c r="A259" s="7" t="n"/>
      <c r="B259" s="7" t="n"/>
      <c r="C259" s="7" t="n"/>
      <c r="D259" s="12">
        <f>IF($A259="","",IFERROR(INDEX(土地清冊_匯入!$B$6:$B$1005,MATCH($A259,土地清冊_匯入!$A$6:$A$1005,0)),"查無資料"))</f>
        <v/>
      </c>
      <c r="E259" s="9">
        <f>IF($A259="","",IFERROR(INDEX(土地清冊_匯入!$I$6:$I$1005,MATCH($A259,土地清冊_匯入!$A$6:$A$1005,0)),""))</f>
        <v/>
      </c>
      <c r="F259" s="13">
        <f>IF($A259="","",IFERROR(INDEX(建物清冊_匯入!$N$6:$N$1005,MATCH($A259,建物清冊_匯入!$A$6:$A$1005,0)),""))</f>
        <v/>
      </c>
      <c r="G259" s="9">
        <f>IF($A259="","",IFERROR(INDEX(建物清冊_匯入!$S$6:$S$1005,MATCH($A259,建物清冊_匯入!$A$6:$A$1005,0)),""))</f>
        <v/>
      </c>
      <c r="H259" s="7" t="n"/>
      <c r="I259" s="15" t="n"/>
      <c r="J259" s="16" t="n"/>
      <c r="K259" s="17">
        <f>IF(J259="","",1-J259)</f>
        <v/>
      </c>
      <c r="L259" s="15" t="n"/>
      <c r="M259" s="7" t="n"/>
      <c r="N259" s="7" t="n"/>
      <c r="O259" s="7" t="n"/>
      <c r="P259" s="11" t="n"/>
      <c r="Q259" s="7" t="n"/>
      <c r="R259" s="7" t="n"/>
      <c r="S259" s="7" t="n"/>
      <c r="T259" s="7" t="n"/>
      <c r="U259" s="12">
        <f>IF(A259="","",IF(H259="","建議填分配模式",""))</f>
        <v/>
      </c>
    </row>
    <row r="260" ht="24" customHeight="1">
      <c r="A260" s="7" t="n"/>
      <c r="B260" s="7" t="n"/>
      <c r="C260" s="7" t="n"/>
      <c r="D260" s="12">
        <f>IF($A260="","",IFERROR(INDEX(土地清冊_匯入!$B$6:$B$1005,MATCH($A260,土地清冊_匯入!$A$6:$A$1005,0)),"查無資料"))</f>
        <v/>
      </c>
      <c r="E260" s="9">
        <f>IF($A260="","",IFERROR(INDEX(土地清冊_匯入!$I$6:$I$1005,MATCH($A260,土地清冊_匯入!$A$6:$A$1005,0)),""))</f>
        <v/>
      </c>
      <c r="F260" s="13">
        <f>IF($A260="","",IFERROR(INDEX(建物清冊_匯入!$N$6:$N$1005,MATCH($A260,建物清冊_匯入!$A$6:$A$1005,0)),""))</f>
        <v/>
      </c>
      <c r="G260" s="9">
        <f>IF($A260="","",IFERROR(INDEX(建物清冊_匯入!$S$6:$S$1005,MATCH($A260,建物清冊_匯入!$A$6:$A$1005,0)),""))</f>
        <v/>
      </c>
      <c r="H260" s="7" t="n"/>
      <c r="I260" s="15" t="n"/>
      <c r="J260" s="16" t="n"/>
      <c r="K260" s="17">
        <f>IF(J260="","",1-J260)</f>
        <v/>
      </c>
      <c r="L260" s="15" t="n"/>
      <c r="M260" s="7" t="n"/>
      <c r="N260" s="7" t="n"/>
      <c r="O260" s="7" t="n"/>
      <c r="P260" s="11" t="n"/>
      <c r="Q260" s="7" t="n"/>
      <c r="R260" s="7" t="n"/>
      <c r="S260" s="7" t="n"/>
      <c r="T260" s="7" t="n"/>
      <c r="U260" s="12">
        <f>IF(A260="","",IF(H260="","建議填分配模式",""))</f>
        <v/>
      </c>
    </row>
    <row r="261" ht="24" customHeight="1">
      <c r="A261" s="7" t="n"/>
      <c r="B261" s="7" t="n"/>
      <c r="C261" s="7" t="n"/>
      <c r="D261" s="12">
        <f>IF($A261="","",IFERROR(INDEX(土地清冊_匯入!$B$6:$B$1005,MATCH($A261,土地清冊_匯入!$A$6:$A$1005,0)),"查無資料"))</f>
        <v/>
      </c>
      <c r="E261" s="9">
        <f>IF($A261="","",IFERROR(INDEX(土地清冊_匯入!$I$6:$I$1005,MATCH($A261,土地清冊_匯入!$A$6:$A$1005,0)),""))</f>
        <v/>
      </c>
      <c r="F261" s="13">
        <f>IF($A261="","",IFERROR(INDEX(建物清冊_匯入!$N$6:$N$1005,MATCH($A261,建物清冊_匯入!$A$6:$A$1005,0)),""))</f>
        <v/>
      </c>
      <c r="G261" s="9">
        <f>IF($A261="","",IFERROR(INDEX(建物清冊_匯入!$S$6:$S$1005,MATCH($A261,建物清冊_匯入!$A$6:$A$1005,0)),""))</f>
        <v/>
      </c>
      <c r="H261" s="7" t="n"/>
      <c r="I261" s="15" t="n"/>
      <c r="J261" s="16" t="n"/>
      <c r="K261" s="17">
        <f>IF(J261="","",1-J261)</f>
        <v/>
      </c>
      <c r="L261" s="15" t="n"/>
      <c r="M261" s="7" t="n"/>
      <c r="N261" s="7" t="n"/>
      <c r="O261" s="7" t="n"/>
      <c r="P261" s="11" t="n"/>
      <c r="Q261" s="7" t="n"/>
      <c r="R261" s="7" t="n"/>
      <c r="S261" s="7" t="n"/>
      <c r="T261" s="7" t="n"/>
      <c r="U261" s="12">
        <f>IF(A261="","",IF(H261="","建議填分配模式",""))</f>
        <v/>
      </c>
    </row>
    <row r="262" ht="24" customHeight="1">
      <c r="A262" s="7" t="n"/>
      <c r="B262" s="7" t="n"/>
      <c r="C262" s="7" t="n"/>
      <c r="D262" s="12">
        <f>IF($A262="","",IFERROR(INDEX(土地清冊_匯入!$B$6:$B$1005,MATCH($A262,土地清冊_匯入!$A$6:$A$1005,0)),"查無資料"))</f>
        <v/>
      </c>
      <c r="E262" s="9">
        <f>IF($A262="","",IFERROR(INDEX(土地清冊_匯入!$I$6:$I$1005,MATCH($A262,土地清冊_匯入!$A$6:$A$1005,0)),""))</f>
        <v/>
      </c>
      <c r="F262" s="13">
        <f>IF($A262="","",IFERROR(INDEX(建物清冊_匯入!$N$6:$N$1005,MATCH($A262,建物清冊_匯入!$A$6:$A$1005,0)),""))</f>
        <v/>
      </c>
      <c r="G262" s="9">
        <f>IF($A262="","",IFERROR(INDEX(建物清冊_匯入!$S$6:$S$1005,MATCH($A262,建物清冊_匯入!$A$6:$A$1005,0)),""))</f>
        <v/>
      </c>
      <c r="H262" s="7" t="n"/>
      <c r="I262" s="15" t="n"/>
      <c r="J262" s="16" t="n"/>
      <c r="K262" s="17">
        <f>IF(J262="","",1-J262)</f>
        <v/>
      </c>
      <c r="L262" s="15" t="n"/>
      <c r="M262" s="7" t="n"/>
      <c r="N262" s="7" t="n"/>
      <c r="O262" s="7" t="n"/>
      <c r="P262" s="11" t="n"/>
      <c r="Q262" s="7" t="n"/>
      <c r="R262" s="7" t="n"/>
      <c r="S262" s="7" t="n"/>
      <c r="T262" s="7" t="n"/>
      <c r="U262" s="12">
        <f>IF(A262="","",IF(H262="","建議填分配模式",""))</f>
        <v/>
      </c>
    </row>
    <row r="263" ht="24" customHeight="1">
      <c r="A263" s="7" t="n"/>
      <c r="B263" s="7" t="n"/>
      <c r="C263" s="7" t="n"/>
      <c r="D263" s="12">
        <f>IF($A263="","",IFERROR(INDEX(土地清冊_匯入!$B$6:$B$1005,MATCH($A263,土地清冊_匯入!$A$6:$A$1005,0)),"查無資料"))</f>
        <v/>
      </c>
      <c r="E263" s="9">
        <f>IF($A263="","",IFERROR(INDEX(土地清冊_匯入!$I$6:$I$1005,MATCH($A263,土地清冊_匯入!$A$6:$A$1005,0)),""))</f>
        <v/>
      </c>
      <c r="F263" s="13">
        <f>IF($A263="","",IFERROR(INDEX(建物清冊_匯入!$N$6:$N$1005,MATCH($A263,建物清冊_匯入!$A$6:$A$1005,0)),""))</f>
        <v/>
      </c>
      <c r="G263" s="9">
        <f>IF($A263="","",IFERROR(INDEX(建物清冊_匯入!$S$6:$S$1005,MATCH($A263,建物清冊_匯入!$A$6:$A$1005,0)),""))</f>
        <v/>
      </c>
      <c r="H263" s="7" t="n"/>
      <c r="I263" s="15" t="n"/>
      <c r="J263" s="16" t="n"/>
      <c r="K263" s="17">
        <f>IF(J263="","",1-J263)</f>
        <v/>
      </c>
      <c r="L263" s="15" t="n"/>
      <c r="M263" s="7" t="n"/>
      <c r="N263" s="7" t="n"/>
      <c r="O263" s="7" t="n"/>
      <c r="P263" s="11" t="n"/>
      <c r="Q263" s="7" t="n"/>
      <c r="R263" s="7" t="n"/>
      <c r="S263" s="7" t="n"/>
      <c r="T263" s="7" t="n"/>
      <c r="U263" s="12">
        <f>IF(A263="","",IF(H263="","建議填分配模式",""))</f>
        <v/>
      </c>
    </row>
    <row r="264" ht="24" customHeight="1">
      <c r="A264" s="7" t="n"/>
      <c r="B264" s="7" t="n"/>
      <c r="C264" s="7" t="n"/>
      <c r="D264" s="12">
        <f>IF($A264="","",IFERROR(INDEX(土地清冊_匯入!$B$6:$B$1005,MATCH($A264,土地清冊_匯入!$A$6:$A$1005,0)),"查無資料"))</f>
        <v/>
      </c>
      <c r="E264" s="9">
        <f>IF($A264="","",IFERROR(INDEX(土地清冊_匯入!$I$6:$I$1005,MATCH($A264,土地清冊_匯入!$A$6:$A$1005,0)),""))</f>
        <v/>
      </c>
      <c r="F264" s="13">
        <f>IF($A264="","",IFERROR(INDEX(建物清冊_匯入!$N$6:$N$1005,MATCH($A264,建物清冊_匯入!$A$6:$A$1005,0)),""))</f>
        <v/>
      </c>
      <c r="G264" s="9">
        <f>IF($A264="","",IFERROR(INDEX(建物清冊_匯入!$S$6:$S$1005,MATCH($A264,建物清冊_匯入!$A$6:$A$1005,0)),""))</f>
        <v/>
      </c>
      <c r="H264" s="7" t="n"/>
      <c r="I264" s="15" t="n"/>
      <c r="J264" s="16" t="n"/>
      <c r="K264" s="17">
        <f>IF(J264="","",1-J264)</f>
        <v/>
      </c>
      <c r="L264" s="15" t="n"/>
      <c r="M264" s="7" t="n"/>
      <c r="N264" s="7" t="n"/>
      <c r="O264" s="7" t="n"/>
      <c r="P264" s="11" t="n"/>
      <c r="Q264" s="7" t="n"/>
      <c r="R264" s="7" t="n"/>
      <c r="S264" s="7" t="n"/>
      <c r="T264" s="7" t="n"/>
      <c r="U264" s="12">
        <f>IF(A264="","",IF(H264="","建議填分配模式",""))</f>
        <v/>
      </c>
    </row>
    <row r="265" ht="24" customHeight="1">
      <c r="A265" s="7" t="n"/>
      <c r="B265" s="7" t="n"/>
      <c r="C265" s="7" t="n"/>
      <c r="D265" s="12">
        <f>IF($A265="","",IFERROR(INDEX(土地清冊_匯入!$B$6:$B$1005,MATCH($A265,土地清冊_匯入!$A$6:$A$1005,0)),"查無資料"))</f>
        <v/>
      </c>
      <c r="E265" s="9">
        <f>IF($A265="","",IFERROR(INDEX(土地清冊_匯入!$I$6:$I$1005,MATCH($A265,土地清冊_匯入!$A$6:$A$1005,0)),""))</f>
        <v/>
      </c>
      <c r="F265" s="13">
        <f>IF($A265="","",IFERROR(INDEX(建物清冊_匯入!$N$6:$N$1005,MATCH($A265,建物清冊_匯入!$A$6:$A$1005,0)),""))</f>
        <v/>
      </c>
      <c r="G265" s="9">
        <f>IF($A265="","",IFERROR(INDEX(建物清冊_匯入!$S$6:$S$1005,MATCH($A265,建物清冊_匯入!$A$6:$A$1005,0)),""))</f>
        <v/>
      </c>
      <c r="H265" s="7" t="n"/>
      <c r="I265" s="15" t="n"/>
      <c r="J265" s="16" t="n"/>
      <c r="K265" s="17">
        <f>IF(J265="","",1-J265)</f>
        <v/>
      </c>
      <c r="L265" s="15" t="n"/>
      <c r="M265" s="7" t="n"/>
      <c r="N265" s="7" t="n"/>
      <c r="O265" s="7" t="n"/>
      <c r="P265" s="11" t="n"/>
      <c r="Q265" s="7" t="n"/>
      <c r="R265" s="7" t="n"/>
      <c r="S265" s="7" t="n"/>
      <c r="T265" s="7" t="n"/>
      <c r="U265" s="12">
        <f>IF(A265="","",IF(H265="","建議填分配模式",""))</f>
        <v/>
      </c>
    </row>
    <row r="266" ht="24" customHeight="1">
      <c r="A266" s="7" t="n"/>
      <c r="B266" s="7" t="n"/>
      <c r="C266" s="7" t="n"/>
      <c r="D266" s="12">
        <f>IF($A266="","",IFERROR(INDEX(土地清冊_匯入!$B$6:$B$1005,MATCH($A266,土地清冊_匯入!$A$6:$A$1005,0)),"查無資料"))</f>
        <v/>
      </c>
      <c r="E266" s="9">
        <f>IF($A266="","",IFERROR(INDEX(土地清冊_匯入!$I$6:$I$1005,MATCH($A266,土地清冊_匯入!$A$6:$A$1005,0)),""))</f>
        <v/>
      </c>
      <c r="F266" s="13">
        <f>IF($A266="","",IFERROR(INDEX(建物清冊_匯入!$N$6:$N$1005,MATCH($A266,建物清冊_匯入!$A$6:$A$1005,0)),""))</f>
        <v/>
      </c>
      <c r="G266" s="9">
        <f>IF($A266="","",IFERROR(INDEX(建物清冊_匯入!$S$6:$S$1005,MATCH($A266,建物清冊_匯入!$A$6:$A$1005,0)),""))</f>
        <v/>
      </c>
      <c r="H266" s="7" t="n"/>
      <c r="I266" s="15" t="n"/>
      <c r="J266" s="16" t="n"/>
      <c r="K266" s="17">
        <f>IF(J266="","",1-J266)</f>
        <v/>
      </c>
      <c r="L266" s="15" t="n"/>
      <c r="M266" s="7" t="n"/>
      <c r="N266" s="7" t="n"/>
      <c r="O266" s="7" t="n"/>
      <c r="P266" s="11" t="n"/>
      <c r="Q266" s="7" t="n"/>
      <c r="R266" s="7" t="n"/>
      <c r="S266" s="7" t="n"/>
      <c r="T266" s="7" t="n"/>
      <c r="U266" s="12">
        <f>IF(A266="","",IF(H266="","建議填分配模式",""))</f>
        <v/>
      </c>
    </row>
    <row r="267" ht="24" customHeight="1">
      <c r="A267" s="7" t="n"/>
      <c r="B267" s="7" t="n"/>
      <c r="C267" s="7" t="n"/>
      <c r="D267" s="12">
        <f>IF($A267="","",IFERROR(INDEX(土地清冊_匯入!$B$6:$B$1005,MATCH($A267,土地清冊_匯入!$A$6:$A$1005,0)),"查無資料"))</f>
        <v/>
      </c>
      <c r="E267" s="9">
        <f>IF($A267="","",IFERROR(INDEX(土地清冊_匯入!$I$6:$I$1005,MATCH($A267,土地清冊_匯入!$A$6:$A$1005,0)),""))</f>
        <v/>
      </c>
      <c r="F267" s="13">
        <f>IF($A267="","",IFERROR(INDEX(建物清冊_匯入!$N$6:$N$1005,MATCH($A267,建物清冊_匯入!$A$6:$A$1005,0)),""))</f>
        <v/>
      </c>
      <c r="G267" s="9">
        <f>IF($A267="","",IFERROR(INDEX(建物清冊_匯入!$S$6:$S$1005,MATCH($A267,建物清冊_匯入!$A$6:$A$1005,0)),""))</f>
        <v/>
      </c>
      <c r="H267" s="7" t="n"/>
      <c r="I267" s="15" t="n"/>
      <c r="J267" s="16" t="n"/>
      <c r="K267" s="17">
        <f>IF(J267="","",1-J267)</f>
        <v/>
      </c>
      <c r="L267" s="15" t="n"/>
      <c r="M267" s="7" t="n"/>
      <c r="N267" s="7" t="n"/>
      <c r="O267" s="7" t="n"/>
      <c r="P267" s="11" t="n"/>
      <c r="Q267" s="7" t="n"/>
      <c r="R267" s="7" t="n"/>
      <c r="S267" s="7" t="n"/>
      <c r="T267" s="7" t="n"/>
      <c r="U267" s="12">
        <f>IF(A267="","",IF(H267="","建議填分配模式",""))</f>
        <v/>
      </c>
    </row>
    <row r="268" ht="24" customHeight="1">
      <c r="A268" s="7" t="n"/>
      <c r="B268" s="7" t="n"/>
      <c r="C268" s="7" t="n"/>
      <c r="D268" s="12">
        <f>IF($A268="","",IFERROR(INDEX(土地清冊_匯入!$B$6:$B$1005,MATCH($A268,土地清冊_匯入!$A$6:$A$1005,0)),"查無資料"))</f>
        <v/>
      </c>
      <c r="E268" s="9">
        <f>IF($A268="","",IFERROR(INDEX(土地清冊_匯入!$I$6:$I$1005,MATCH($A268,土地清冊_匯入!$A$6:$A$1005,0)),""))</f>
        <v/>
      </c>
      <c r="F268" s="13">
        <f>IF($A268="","",IFERROR(INDEX(建物清冊_匯入!$N$6:$N$1005,MATCH($A268,建物清冊_匯入!$A$6:$A$1005,0)),""))</f>
        <v/>
      </c>
      <c r="G268" s="9">
        <f>IF($A268="","",IFERROR(INDEX(建物清冊_匯入!$S$6:$S$1005,MATCH($A268,建物清冊_匯入!$A$6:$A$1005,0)),""))</f>
        <v/>
      </c>
      <c r="H268" s="7" t="n"/>
      <c r="I268" s="15" t="n"/>
      <c r="J268" s="16" t="n"/>
      <c r="K268" s="17">
        <f>IF(J268="","",1-J268)</f>
        <v/>
      </c>
      <c r="L268" s="15" t="n"/>
      <c r="M268" s="7" t="n"/>
      <c r="N268" s="7" t="n"/>
      <c r="O268" s="7" t="n"/>
      <c r="P268" s="11" t="n"/>
      <c r="Q268" s="7" t="n"/>
      <c r="R268" s="7" t="n"/>
      <c r="S268" s="7" t="n"/>
      <c r="T268" s="7" t="n"/>
      <c r="U268" s="12">
        <f>IF(A268="","",IF(H268="","建議填分配模式",""))</f>
        <v/>
      </c>
    </row>
    <row r="269" ht="24" customHeight="1">
      <c r="A269" s="7" t="n"/>
      <c r="B269" s="7" t="n"/>
      <c r="C269" s="7" t="n"/>
      <c r="D269" s="12">
        <f>IF($A269="","",IFERROR(INDEX(土地清冊_匯入!$B$6:$B$1005,MATCH($A269,土地清冊_匯入!$A$6:$A$1005,0)),"查無資料"))</f>
        <v/>
      </c>
      <c r="E269" s="9">
        <f>IF($A269="","",IFERROR(INDEX(土地清冊_匯入!$I$6:$I$1005,MATCH($A269,土地清冊_匯入!$A$6:$A$1005,0)),""))</f>
        <v/>
      </c>
      <c r="F269" s="13">
        <f>IF($A269="","",IFERROR(INDEX(建物清冊_匯入!$N$6:$N$1005,MATCH($A269,建物清冊_匯入!$A$6:$A$1005,0)),""))</f>
        <v/>
      </c>
      <c r="G269" s="9">
        <f>IF($A269="","",IFERROR(INDEX(建物清冊_匯入!$S$6:$S$1005,MATCH($A269,建物清冊_匯入!$A$6:$A$1005,0)),""))</f>
        <v/>
      </c>
      <c r="H269" s="7" t="n"/>
      <c r="I269" s="15" t="n"/>
      <c r="J269" s="16" t="n"/>
      <c r="K269" s="17">
        <f>IF(J269="","",1-J269)</f>
        <v/>
      </c>
      <c r="L269" s="15" t="n"/>
      <c r="M269" s="7" t="n"/>
      <c r="N269" s="7" t="n"/>
      <c r="O269" s="7" t="n"/>
      <c r="P269" s="11" t="n"/>
      <c r="Q269" s="7" t="n"/>
      <c r="R269" s="7" t="n"/>
      <c r="S269" s="7" t="n"/>
      <c r="T269" s="7" t="n"/>
      <c r="U269" s="12">
        <f>IF(A269="","",IF(H269="","建議填分配模式",""))</f>
        <v/>
      </c>
    </row>
    <row r="270" ht="24" customHeight="1">
      <c r="A270" s="7" t="n"/>
      <c r="B270" s="7" t="n"/>
      <c r="C270" s="7" t="n"/>
      <c r="D270" s="12">
        <f>IF($A270="","",IFERROR(INDEX(土地清冊_匯入!$B$6:$B$1005,MATCH($A270,土地清冊_匯入!$A$6:$A$1005,0)),"查無資料"))</f>
        <v/>
      </c>
      <c r="E270" s="9">
        <f>IF($A270="","",IFERROR(INDEX(土地清冊_匯入!$I$6:$I$1005,MATCH($A270,土地清冊_匯入!$A$6:$A$1005,0)),""))</f>
        <v/>
      </c>
      <c r="F270" s="13">
        <f>IF($A270="","",IFERROR(INDEX(建物清冊_匯入!$N$6:$N$1005,MATCH($A270,建物清冊_匯入!$A$6:$A$1005,0)),""))</f>
        <v/>
      </c>
      <c r="G270" s="9">
        <f>IF($A270="","",IFERROR(INDEX(建物清冊_匯入!$S$6:$S$1005,MATCH($A270,建物清冊_匯入!$A$6:$A$1005,0)),""))</f>
        <v/>
      </c>
      <c r="H270" s="7" t="n"/>
      <c r="I270" s="15" t="n"/>
      <c r="J270" s="16" t="n"/>
      <c r="K270" s="17">
        <f>IF(J270="","",1-J270)</f>
        <v/>
      </c>
      <c r="L270" s="15" t="n"/>
      <c r="M270" s="7" t="n"/>
      <c r="N270" s="7" t="n"/>
      <c r="O270" s="7" t="n"/>
      <c r="P270" s="11" t="n"/>
      <c r="Q270" s="7" t="n"/>
      <c r="R270" s="7" t="n"/>
      <c r="S270" s="7" t="n"/>
      <c r="T270" s="7" t="n"/>
      <c r="U270" s="12">
        <f>IF(A270="","",IF(H270="","建議填分配模式",""))</f>
        <v/>
      </c>
    </row>
    <row r="271" ht="24" customHeight="1">
      <c r="A271" s="7" t="n"/>
      <c r="B271" s="7" t="n"/>
      <c r="C271" s="7" t="n"/>
      <c r="D271" s="12">
        <f>IF($A271="","",IFERROR(INDEX(土地清冊_匯入!$B$6:$B$1005,MATCH($A271,土地清冊_匯入!$A$6:$A$1005,0)),"查無資料"))</f>
        <v/>
      </c>
      <c r="E271" s="9">
        <f>IF($A271="","",IFERROR(INDEX(土地清冊_匯入!$I$6:$I$1005,MATCH($A271,土地清冊_匯入!$A$6:$A$1005,0)),""))</f>
        <v/>
      </c>
      <c r="F271" s="13">
        <f>IF($A271="","",IFERROR(INDEX(建物清冊_匯入!$N$6:$N$1005,MATCH($A271,建物清冊_匯入!$A$6:$A$1005,0)),""))</f>
        <v/>
      </c>
      <c r="G271" s="9">
        <f>IF($A271="","",IFERROR(INDEX(建物清冊_匯入!$S$6:$S$1005,MATCH($A271,建物清冊_匯入!$A$6:$A$1005,0)),""))</f>
        <v/>
      </c>
      <c r="H271" s="7" t="n"/>
      <c r="I271" s="15" t="n"/>
      <c r="J271" s="16" t="n"/>
      <c r="K271" s="17">
        <f>IF(J271="","",1-J271)</f>
        <v/>
      </c>
      <c r="L271" s="15" t="n"/>
      <c r="M271" s="7" t="n"/>
      <c r="N271" s="7" t="n"/>
      <c r="O271" s="7" t="n"/>
      <c r="P271" s="11" t="n"/>
      <c r="Q271" s="7" t="n"/>
      <c r="R271" s="7" t="n"/>
      <c r="S271" s="7" t="n"/>
      <c r="T271" s="7" t="n"/>
      <c r="U271" s="12">
        <f>IF(A271="","",IF(H271="","建議填分配模式",""))</f>
        <v/>
      </c>
    </row>
    <row r="272" ht="24" customHeight="1">
      <c r="A272" s="7" t="n"/>
      <c r="B272" s="7" t="n"/>
      <c r="C272" s="7" t="n"/>
      <c r="D272" s="12">
        <f>IF($A272="","",IFERROR(INDEX(土地清冊_匯入!$B$6:$B$1005,MATCH($A272,土地清冊_匯入!$A$6:$A$1005,0)),"查無資料"))</f>
        <v/>
      </c>
      <c r="E272" s="9">
        <f>IF($A272="","",IFERROR(INDEX(土地清冊_匯入!$I$6:$I$1005,MATCH($A272,土地清冊_匯入!$A$6:$A$1005,0)),""))</f>
        <v/>
      </c>
      <c r="F272" s="13">
        <f>IF($A272="","",IFERROR(INDEX(建物清冊_匯入!$N$6:$N$1005,MATCH($A272,建物清冊_匯入!$A$6:$A$1005,0)),""))</f>
        <v/>
      </c>
      <c r="G272" s="9">
        <f>IF($A272="","",IFERROR(INDEX(建物清冊_匯入!$S$6:$S$1005,MATCH($A272,建物清冊_匯入!$A$6:$A$1005,0)),""))</f>
        <v/>
      </c>
      <c r="H272" s="7" t="n"/>
      <c r="I272" s="15" t="n"/>
      <c r="J272" s="16" t="n"/>
      <c r="K272" s="17">
        <f>IF(J272="","",1-J272)</f>
        <v/>
      </c>
      <c r="L272" s="15" t="n"/>
      <c r="M272" s="7" t="n"/>
      <c r="N272" s="7" t="n"/>
      <c r="O272" s="7" t="n"/>
      <c r="P272" s="11" t="n"/>
      <c r="Q272" s="7" t="n"/>
      <c r="R272" s="7" t="n"/>
      <c r="S272" s="7" t="n"/>
      <c r="T272" s="7" t="n"/>
      <c r="U272" s="12">
        <f>IF(A272="","",IF(H272="","建議填分配模式",""))</f>
        <v/>
      </c>
    </row>
    <row r="273" ht="24" customHeight="1">
      <c r="A273" s="7" t="n"/>
      <c r="B273" s="7" t="n"/>
      <c r="C273" s="7" t="n"/>
      <c r="D273" s="12">
        <f>IF($A273="","",IFERROR(INDEX(土地清冊_匯入!$B$6:$B$1005,MATCH($A273,土地清冊_匯入!$A$6:$A$1005,0)),"查無資料"))</f>
        <v/>
      </c>
      <c r="E273" s="9">
        <f>IF($A273="","",IFERROR(INDEX(土地清冊_匯入!$I$6:$I$1005,MATCH($A273,土地清冊_匯入!$A$6:$A$1005,0)),""))</f>
        <v/>
      </c>
      <c r="F273" s="13">
        <f>IF($A273="","",IFERROR(INDEX(建物清冊_匯入!$N$6:$N$1005,MATCH($A273,建物清冊_匯入!$A$6:$A$1005,0)),""))</f>
        <v/>
      </c>
      <c r="G273" s="9">
        <f>IF($A273="","",IFERROR(INDEX(建物清冊_匯入!$S$6:$S$1005,MATCH($A273,建物清冊_匯入!$A$6:$A$1005,0)),""))</f>
        <v/>
      </c>
      <c r="H273" s="7" t="n"/>
      <c r="I273" s="15" t="n"/>
      <c r="J273" s="16" t="n"/>
      <c r="K273" s="17">
        <f>IF(J273="","",1-J273)</f>
        <v/>
      </c>
      <c r="L273" s="15" t="n"/>
      <c r="M273" s="7" t="n"/>
      <c r="N273" s="7" t="n"/>
      <c r="O273" s="7" t="n"/>
      <c r="P273" s="11" t="n"/>
      <c r="Q273" s="7" t="n"/>
      <c r="R273" s="7" t="n"/>
      <c r="S273" s="7" t="n"/>
      <c r="T273" s="7" t="n"/>
      <c r="U273" s="12">
        <f>IF(A273="","",IF(H273="","建議填分配模式",""))</f>
        <v/>
      </c>
    </row>
    <row r="274" ht="24" customHeight="1">
      <c r="A274" s="7" t="n"/>
      <c r="B274" s="7" t="n"/>
      <c r="C274" s="7" t="n"/>
      <c r="D274" s="12">
        <f>IF($A274="","",IFERROR(INDEX(土地清冊_匯入!$B$6:$B$1005,MATCH($A274,土地清冊_匯入!$A$6:$A$1005,0)),"查無資料"))</f>
        <v/>
      </c>
      <c r="E274" s="9">
        <f>IF($A274="","",IFERROR(INDEX(土地清冊_匯入!$I$6:$I$1005,MATCH($A274,土地清冊_匯入!$A$6:$A$1005,0)),""))</f>
        <v/>
      </c>
      <c r="F274" s="13">
        <f>IF($A274="","",IFERROR(INDEX(建物清冊_匯入!$N$6:$N$1005,MATCH($A274,建物清冊_匯入!$A$6:$A$1005,0)),""))</f>
        <v/>
      </c>
      <c r="G274" s="9">
        <f>IF($A274="","",IFERROR(INDEX(建物清冊_匯入!$S$6:$S$1005,MATCH($A274,建物清冊_匯入!$A$6:$A$1005,0)),""))</f>
        <v/>
      </c>
      <c r="H274" s="7" t="n"/>
      <c r="I274" s="15" t="n"/>
      <c r="J274" s="16" t="n"/>
      <c r="K274" s="17">
        <f>IF(J274="","",1-J274)</f>
        <v/>
      </c>
      <c r="L274" s="15" t="n"/>
      <c r="M274" s="7" t="n"/>
      <c r="N274" s="7" t="n"/>
      <c r="O274" s="7" t="n"/>
      <c r="P274" s="11" t="n"/>
      <c r="Q274" s="7" t="n"/>
      <c r="R274" s="7" t="n"/>
      <c r="S274" s="7" t="n"/>
      <c r="T274" s="7" t="n"/>
      <c r="U274" s="12">
        <f>IF(A274="","",IF(H274="","建議填分配模式",""))</f>
        <v/>
      </c>
    </row>
    <row r="275" ht="24" customHeight="1">
      <c r="A275" s="7" t="n"/>
      <c r="B275" s="7" t="n"/>
      <c r="C275" s="7" t="n"/>
      <c r="D275" s="12">
        <f>IF($A275="","",IFERROR(INDEX(土地清冊_匯入!$B$6:$B$1005,MATCH($A275,土地清冊_匯入!$A$6:$A$1005,0)),"查無資料"))</f>
        <v/>
      </c>
      <c r="E275" s="9">
        <f>IF($A275="","",IFERROR(INDEX(土地清冊_匯入!$I$6:$I$1005,MATCH($A275,土地清冊_匯入!$A$6:$A$1005,0)),""))</f>
        <v/>
      </c>
      <c r="F275" s="13">
        <f>IF($A275="","",IFERROR(INDEX(建物清冊_匯入!$N$6:$N$1005,MATCH($A275,建物清冊_匯入!$A$6:$A$1005,0)),""))</f>
        <v/>
      </c>
      <c r="G275" s="9">
        <f>IF($A275="","",IFERROR(INDEX(建物清冊_匯入!$S$6:$S$1005,MATCH($A275,建物清冊_匯入!$A$6:$A$1005,0)),""))</f>
        <v/>
      </c>
      <c r="H275" s="7" t="n"/>
      <c r="I275" s="15" t="n"/>
      <c r="J275" s="16" t="n"/>
      <c r="K275" s="17">
        <f>IF(J275="","",1-J275)</f>
        <v/>
      </c>
      <c r="L275" s="15" t="n"/>
      <c r="M275" s="7" t="n"/>
      <c r="N275" s="7" t="n"/>
      <c r="O275" s="7" t="n"/>
      <c r="P275" s="11" t="n"/>
      <c r="Q275" s="7" t="n"/>
      <c r="R275" s="7" t="n"/>
      <c r="S275" s="7" t="n"/>
      <c r="T275" s="7" t="n"/>
      <c r="U275" s="12">
        <f>IF(A275="","",IF(H275="","建議填分配模式",""))</f>
        <v/>
      </c>
    </row>
    <row r="276" ht="24" customHeight="1">
      <c r="A276" s="7" t="n"/>
      <c r="B276" s="7" t="n"/>
      <c r="C276" s="7" t="n"/>
      <c r="D276" s="12">
        <f>IF($A276="","",IFERROR(INDEX(土地清冊_匯入!$B$6:$B$1005,MATCH($A276,土地清冊_匯入!$A$6:$A$1005,0)),"查無資料"))</f>
        <v/>
      </c>
      <c r="E276" s="9">
        <f>IF($A276="","",IFERROR(INDEX(土地清冊_匯入!$I$6:$I$1005,MATCH($A276,土地清冊_匯入!$A$6:$A$1005,0)),""))</f>
        <v/>
      </c>
      <c r="F276" s="13">
        <f>IF($A276="","",IFERROR(INDEX(建物清冊_匯入!$N$6:$N$1005,MATCH($A276,建物清冊_匯入!$A$6:$A$1005,0)),""))</f>
        <v/>
      </c>
      <c r="G276" s="9">
        <f>IF($A276="","",IFERROR(INDEX(建物清冊_匯入!$S$6:$S$1005,MATCH($A276,建物清冊_匯入!$A$6:$A$1005,0)),""))</f>
        <v/>
      </c>
      <c r="H276" s="7" t="n"/>
      <c r="I276" s="15" t="n"/>
      <c r="J276" s="16" t="n"/>
      <c r="K276" s="17">
        <f>IF(J276="","",1-J276)</f>
        <v/>
      </c>
      <c r="L276" s="15" t="n"/>
      <c r="M276" s="7" t="n"/>
      <c r="N276" s="7" t="n"/>
      <c r="O276" s="7" t="n"/>
      <c r="P276" s="11" t="n"/>
      <c r="Q276" s="7" t="n"/>
      <c r="R276" s="7" t="n"/>
      <c r="S276" s="7" t="n"/>
      <c r="T276" s="7" t="n"/>
      <c r="U276" s="12">
        <f>IF(A276="","",IF(H276="","建議填分配模式",""))</f>
        <v/>
      </c>
    </row>
    <row r="277" ht="24" customHeight="1">
      <c r="A277" s="7" t="n"/>
      <c r="B277" s="7" t="n"/>
      <c r="C277" s="7" t="n"/>
      <c r="D277" s="12">
        <f>IF($A277="","",IFERROR(INDEX(土地清冊_匯入!$B$6:$B$1005,MATCH($A277,土地清冊_匯入!$A$6:$A$1005,0)),"查無資料"))</f>
        <v/>
      </c>
      <c r="E277" s="9">
        <f>IF($A277="","",IFERROR(INDEX(土地清冊_匯入!$I$6:$I$1005,MATCH($A277,土地清冊_匯入!$A$6:$A$1005,0)),""))</f>
        <v/>
      </c>
      <c r="F277" s="13">
        <f>IF($A277="","",IFERROR(INDEX(建物清冊_匯入!$N$6:$N$1005,MATCH($A277,建物清冊_匯入!$A$6:$A$1005,0)),""))</f>
        <v/>
      </c>
      <c r="G277" s="9">
        <f>IF($A277="","",IFERROR(INDEX(建物清冊_匯入!$S$6:$S$1005,MATCH($A277,建物清冊_匯入!$A$6:$A$1005,0)),""))</f>
        <v/>
      </c>
      <c r="H277" s="7" t="n"/>
      <c r="I277" s="15" t="n"/>
      <c r="J277" s="16" t="n"/>
      <c r="K277" s="17">
        <f>IF(J277="","",1-J277)</f>
        <v/>
      </c>
      <c r="L277" s="15" t="n"/>
      <c r="M277" s="7" t="n"/>
      <c r="N277" s="7" t="n"/>
      <c r="O277" s="7" t="n"/>
      <c r="P277" s="11" t="n"/>
      <c r="Q277" s="7" t="n"/>
      <c r="R277" s="7" t="n"/>
      <c r="S277" s="7" t="n"/>
      <c r="T277" s="7" t="n"/>
      <c r="U277" s="12">
        <f>IF(A277="","",IF(H277="","建議填分配模式",""))</f>
        <v/>
      </c>
    </row>
    <row r="278" ht="24" customHeight="1">
      <c r="A278" s="7" t="n"/>
      <c r="B278" s="7" t="n"/>
      <c r="C278" s="7" t="n"/>
      <c r="D278" s="12">
        <f>IF($A278="","",IFERROR(INDEX(土地清冊_匯入!$B$6:$B$1005,MATCH($A278,土地清冊_匯入!$A$6:$A$1005,0)),"查無資料"))</f>
        <v/>
      </c>
      <c r="E278" s="9">
        <f>IF($A278="","",IFERROR(INDEX(土地清冊_匯入!$I$6:$I$1005,MATCH($A278,土地清冊_匯入!$A$6:$A$1005,0)),""))</f>
        <v/>
      </c>
      <c r="F278" s="13">
        <f>IF($A278="","",IFERROR(INDEX(建物清冊_匯入!$N$6:$N$1005,MATCH($A278,建物清冊_匯入!$A$6:$A$1005,0)),""))</f>
        <v/>
      </c>
      <c r="G278" s="9">
        <f>IF($A278="","",IFERROR(INDEX(建物清冊_匯入!$S$6:$S$1005,MATCH($A278,建物清冊_匯入!$A$6:$A$1005,0)),""))</f>
        <v/>
      </c>
      <c r="H278" s="7" t="n"/>
      <c r="I278" s="15" t="n"/>
      <c r="J278" s="16" t="n"/>
      <c r="K278" s="17">
        <f>IF(J278="","",1-J278)</f>
        <v/>
      </c>
      <c r="L278" s="15" t="n"/>
      <c r="M278" s="7" t="n"/>
      <c r="N278" s="7" t="n"/>
      <c r="O278" s="7" t="n"/>
      <c r="P278" s="11" t="n"/>
      <c r="Q278" s="7" t="n"/>
      <c r="R278" s="7" t="n"/>
      <c r="S278" s="7" t="n"/>
      <c r="T278" s="7" t="n"/>
      <c r="U278" s="12">
        <f>IF(A278="","",IF(H278="","建議填分配模式",""))</f>
        <v/>
      </c>
    </row>
    <row r="279" ht="24" customHeight="1">
      <c r="A279" s="7" t="n"/>
      <c r="B279" s="7" t="n"/>
      <c r="C279" s="7" t="n"/>
      <c r="D279" s="12">
        <f>IF($A279="","",IFERROR(INDEX(土地清冊_匯入!$B$6:$B$1005,MATCH($A279,土地清冊_匯入!$A$6:$A$1005,0)),"查無資料"))</f>
        <v/>
      </c>
      <c r="E279" s="9">
        <f>IF($A279="","",IFERROR(INDEX(土地清冊_匯入!$I$6:$I$1005,MATCH($A279,土地清冊_匯入!$A$6:$A$1005,0)),""))</f>
        <v/>
      </c>
      <c r="F279" s="13">
        <f>IF($A279="","",IFERROR(INDEX(建物清冊_匯入!$N$6:$N$1005,MATCH($A279,建物清冊_匯入!$A$6:$A$1005,0)),""))</f>
        <v/>
      </c>
      <c r="G279" s="9">
        <f>IF($A279="","",IFERROR(INDEX(建物清冊_匯入!$S$6:$S$1005,MATCH($A279,建物清冊_匯入!$A$6:$A$1005,0)),""))</f>
        <v/>
      </c>
      <c r="H279" s="7" t="n"/>
      <c r="I279" s="15" t="n"/>
      <c r="J279" s="16" t="n"/>
      <c r="K279" s="17">
        <f>IF(J279="","",1-J279)</f>
        <v/>
      </c>
      <c r="L279" s="15" t="n"/>
      <c r="M279" s="7" t="n"/>
      <c r="N279" s="7" t="n"/>
      <c r="O279" s="7" t="n"/>
      <c r="P279" s="11" t="n"/>
      <c r="Q279" s="7" t="n"/>
      <c r="R279" s="7" t="n"/>
      <c r="S279" s="7" t="n"/>
      <c r="T279" s="7" t="n"/>
      <c r="U279" s="12">
        <f>IF(A279="","",IF(H279="","建議填分配模式",""))</f>
        <v/>
      </c>
    </row>
    <row r="280" ht="24" customHeight="1">
      <c r="A280" s="7" t="n"/>
      <c r="B280" s="7" t="n"/>
      <c r="C280" s="7" t="n"/>
      <c r="D280" s="12">
        <f>IF($A280="","",IFERROR(INDEX(土地清冊_匯入!$B$6:$B$1005,MATCH($A280,土地清冊_匯入!$A$6:$A$1005,0)),"查無資料"))</f>
        <v/>
      </c>
      <c r="E280" s="9">
        <f>IF($A280="","",IFERROR(INDEX(土地清冊_匯入!$I$6:$I$1005,MATCH($A280,土地清冊_匯入!$A$6:$A$1005,0)),""))</f>
        <v/>
      </c>
      <c r="F280" s="13">
        <f>IF($A280="","",IFERROR(INDEX(建物清冊_匯入!$N$6:$N$1005,MATCH($A280,建物清冊_匯入!$A$6:$A$1005,0)),""))</f>
        <v/>
      </c>
      <c r="G280" s="9">
        <f>IF($A280="","",IFERROR(INDEX(建物清冊_匯入!$S$6:$S$1005,MATCH($A280,建物清冊_匯入!$A$6:$A$1005,0)),""))</f>
        <v/>
      </c>
      <c r="H280" s="7" t="n"/>
      <c r="I280" s="15" t="n"/>
      <c r="J280" s="16" t="n"/>
      <c r="K280" s="17">
        <f>IF(J280="","",1-J280)</f>
        <v/>
      </c>
      <c r="L280" s="15" t="n"/>
      <c r="M280" s="7" t="n"/>
      <c r="N280" s="7" t="n"/>
      <c r="O280" s="7" t="n"/>
      <c r="P280" s="11" t="n"/>
      <c r="Q280" s="7" t="n"/>
      <c r="R280" s="7" t="n"/>
      <c r="S280" s="7" t="n"/>
      <c r="T280" s="7" t="n"/>
      <c r="U280" s="12">
        <f>IF(A280="","",IF(H280="","建議填分配模式",""))</f>
        <v/>
      </c>
    </row>
    <row r="281" ht="24" customHeight="1">
      <c r="A281" s="7" t="n"/>
      <c r="B281" s="7" t="n"/>
      <c r="C281" s="7" t="n"/>
      <c r="D281" s="12">
        <f>IF($A281="","",IFERROR(INDEX(土地清冊_匯入!$B$6:$B$1005,MATCH($A281,土地清冊_匯入!$A$6:$A$1005,0)),"查無資料"))</f>
        <v/>
      </c>
      <c r="E281" s="9">
        <f>IF($A281="","",IFERROR(INDEX(土地清冊_匯入!$I$6:$I$1005,MATCH($A281,土地清冊_匯入!$A$6:$A$1005,0)),""))</f>
        <v/>
      </c>
      <c r="F281" s="13">
        <f>IF($A281="","",IFERROR(INDEX(建物清冊_匯入!$N$6:$N$1005,MATCH($A281,建物清冊_匯入!$A$6:$A$1005,0)),""))</f>
        <v/>
      </c>
      <c r="G281" s="9">
        <f>IF($A281="","",IFERROR(INDEX(建物清冊_匯入!$S$6:$S$1005,MATCH($A281,建物清冊_匯入!$A$6:$A$1005,0)),""))</f>
        <v/>
      </c>
      <c r="H281" s="7" t="n"/>
      <c r="I281" s="15" t="n"/>
      <c r="J281" s="16" t="n"/>
      <c r="K281" s="17">
        <f>IF(J281="","",1-J281)</f>
        <v/>
      </c>
      <c r="L281" s="15" t="n"/>
      <c r="M281" s="7" t="n"/>
      <c r="N281" s="7" t="n"/>
      <c r="O281" s="7" t="n"/>
      <c r="P281" s="11" t="n"/>
      <c r="Q281" s="7" t="n"/>
      <c r="R281" s="7" t="n"/>
      <c r="S281" s="7" t="n"/>
      <c r="T281" s="7" t="n"/>
      <c r="U281" s="12">
        <f>IF(A281="","",IF(H281="","建議填分配模式",""))</f>
        <v/>
      </c>
    </row>
    <row r="282" ht="24" customHeight="1">
      <c r="A282" s="7" t="n"/>
      <c r="B282" s="7" t="n"/>
      <c r="C282" s="7" t="n"/>
      <c r="D282" s="12">
        <f>IF($A282="","",IFERROR(INDEX(土地清冊_匯入!$B$6:$B$1005,MATCH($A282,土地清冊_匯入!$A$6:$A$1005,0)),"查無資料"))</f>
        <v/>
      </c>
      <c r="E282" s="9">
        <f>IF($A282="","",IFERROR(INDEX(土地清冊_匯入!$I$6:$I$1005,MATCH($A282,土地清冊_匯入!$A$6:$A$1005,0)),""))</f>
        <v/>
      </c>
      <c r="F282" s="13">
        <f>IF($A282="","",IFERROR(INDEX(建物清冊_匯入!$N$6:$N$1005,MATCH($A282,建物清冊_匯入!$A$6:$A$1005,0)),""))</f>
        <v/>
      </c>
      <c r="G282" s="9">
        <f>IF($A282="","",IFERROR(INDEX(建物清冊_匯入!$S$6:$S$1005,MATCH($A282,建物清冊_匯入!$A$6:$A$1005,0)),""))</f>
        <v/>
      </c>
      <c r="H282" s="7" t="n"/>
      <c r="I282" s="15" t="n"/>
      <c r="J282" s="16" t="n"/>
      <c r="K282" s="17">
        <f>IF(J282="","",1-J282)</f>
        <v/>
      </c>
      <c r="L282" s="15" t="n"/>
      <c r="M282" s="7" t="n"/>
      <c r="N282" s="7" t="n"/>
      <c r="O282" s="7" t="n"/>
      <c r="P282" s="11" t="n"/>
      <c r="Q282" s="7" t="n"/>
      <c r="R282" s="7" t="n"/>
      <c r="S282" s="7" t="n"/>
      <c r="T282" s="7" t="n"/>
      <c r="U282" s="12">
        <f>IF(A282="","",IF(H282="","建議填分配模式",""))</f>
        <v/>
      </c>
    </row>
    <row r="283" ht="24" customHeight="1">
      <c r="A283" s="7" t="n"/>
      <c r="B283" s="7" t="n"/>
      <c r="C283" s="7" t="n"/>
      <c r="D283" s="12">
        <f>IF($A283="","",IFERROR(INDEX(土地清冊_匯入!$B$6:$B$1005,MATCH($A283,土地清冊_匯入!$A$6:$A$1005,0)),"查無資料"))</f>
        <v/>
      </c>
      <c r="E283" s="9">
        <f>IF($A283="","",IFERROR(INDEX(土地清冊_匯入!$I$6:$I$1005,MATCH($A283,土地清冊_匯入!$A$6:$A$1005,0)),""))</f>
        <v/>
      </c>
      <c r="F283" s="13">
        <f>IF($A283="","",IFERROR(INDEX(建物清冊_匯入!$N$6:$N$1005,MATCH($A283,建物清冊_匯入!$A$6:$A$1005,0)),""))</f>
        <v/>
      </c>
      <c r="G283" s="9">
        <f>IF($A283="","",IFERROR(INDEX(建物清冊_匯入!$S$6:$S$1005,MATCH($A283,建物清冊_匯入!$A$6:$A$1005,0)),""))</f>
        <v/>
      </c>
      <c r="H283" s="7" t="n"/>
      <c r="I283" s="15" t="n"/>
      <c r="J283" s="16" t="n"/>
      <c r="K283" s="17">
        <f>IF(J283="","",1-J283)</f>
        <v/>
      </c>
      <c r="L283" s="15" t="n"/>
      <c r="M283" s="7" t="n"/>
      <c r="N283" s="7" t="n"/>
      <c r="O283" s="7" t="n"/>
      <c r="P283" s="11" t="n"/>
      <c r="Q283" s="7" t="n"/>
      <c r="R283" s="7" t="n"/>
      <c r="S283" s="7" t="n"/>
      <c r="T283" s="7" t="n"/>
      <c r="U283" s="12">
        <f>IF(A283="","",IF(H283="","建議填分配模式",""))</f>
        <v/>
      </c>
    </row>
    <row r="284" ht="24" customHeight="1">
      <c r="A284" s="7" t="n"/>
      <c r="B284" s="7" t="n"/>
      <c r="C284" s="7" t="n"/>
      <c r="D284" s="12">
        <f>IF($A284="","",IFERROR(INDEX(土地清冊_匯入!$B$6:$B$1005,MATCH($A284,土地清冊_匯入!$A$6:$A$1005,0)),"查無資料"))</f>
        <v/>
      </c>
      <c r="E284" s="9">
        <f>IF($A284="","",IFERROR(INDEX(土地清冊_匯入!$I$6:$I$1005,MATCH($A284,土地清冊_匯入!$A$6:$A$1005,0)),""))</f>
        <v/>
      </c>
      <c r="F284" s="13">
        <f>IF($A284="","",IFERROR(INDEX(建物清冊_匯入!$N$6:$N$1005,MATCH($A284,建物清冊_匯入!$A$6:$A$1005,0)),""))</f>
        <v/>
      </c>
      <c r="G284" s="9">
        <f>IF($A284="","",IFERROR(INDEX(建物清冊_匯入!$S$6:$S$1005,MATCH($A284,建物清冊_匯入!$A$6:$A$1005,0)),""))</f>
        <v/>
      </c>
      <c r="H284" s="7" t="n"/>
      <c r="I284" s="15" t="n"/>
      <c r="J284" s="16" t="n"/>
      <c r="K284" s="17">
        <f>IF(J284="","",1-J284)</f>
        <v/>
      </c>
      <c r="L284" s="15" t="n"/>
      <c r="M284" s="7" t="n"/>
      <c r="N284" s="7" t="n"/>
      <c r="O284" s="7" t="n"/>
      <c r="P284" s="11" t="n"/>
      <c r="Q284" s="7" t="n"/>
      <c r="R284" s="7" t="n"/>
      <c r="S284" s="7" t="n"/>
      <c r="T284" s="7" t="n"/>
      <c r="U284" s="12">
        <f>IF(A284="","",IF(H284="","建議填分配模式",""))</f>
        <v/>
      </c>
    </row>
    <row r="285" ht="24" customHeight="1">
      <c r="A285" s="7" t="n"/>
      <c r="B285" s="7" t="n"/>
      <c r="C285" s="7" t="n"/>
      <c r="D285" s="12">
        <f>IF($A285="","",IFERROR(INDEX(土地清冊_匯入!$B$6:$B$1005,MATCH($A285,土地清冊_匯入!$A$6:$A$1005,0)),"查無資料"))</f>
        <v/>
      </c>
      <c r="E285" s="9">
        <f>IF($A285="","",IFERROR(INDEX(土地清冊_匯入!$I$6:$I$1005,MATCH($A285,土地清冊_匯入!$A$6:$A$1005,0)),""))</f>
        <v/>
      </c>
      <c r="F285" s="13">
        <f>IF($A285="","",IFERROR(INDEX(建物清冊_匯入!$N$6:$N$1005,MATCH($A285,建物清冊_匯入!$A$6:$A$1005,0)),""))</f>
        <v/>
      </c>
      <c r="G285" s="9">
        <f>IF($A285="","",IFERROR(INDEX(建物清冊_匯入!$S$6:$S$1005,MATCH($A285,建物清冊_匯入!$A$6:$A$1005,0)),""))</f>
        <v/>
      </c>
      <c r="H285" s="7" t="n"/>
      <c r="I285" s="15" t="n"/>
      <c r="J285" s="16" t="n"/>
      <c r="K285" s="17">
        <f>IF(J285="","",1-J285)</f>
        <v/>
      </c>
      <c r="L285" s="15" t="n"/>
      <c r="M285" s="7" t="n"/>
      <c r="N285" s="7" t="n"/>
      <c r="O285" s="7" t="n"/>
      <c r="P285" s="11" t="n"/>
      <c r="Q285" s="7" t="n"/>
      <c r="R285" s="7" t="n"/>
      <c r="S285" s="7" t="n"/>
      <c r="T285" s="7" t="n"/>
      <c r="U285" s="12">
        <f>IF(A285="","",IF(H285="","建議填分配模式",""))</f>
        <v/>
      </c>
    </row>
    <row r="286" ht="24" customHeight="1">
      <c r="A286" s="7" t="n"/>
      <c r="B286" s="7" t="n"/>
      <c r="C286" s="7" t="n"/>
      <c r="D286" s="12">
        <f>IF($A286="","",IFERROR(INDEX(土地清冊_匯入!$B$6:$B$1005,MATCH($A286,土地清冊_匯入!$A$6:$A$1005,0)),"查無資料"))</f>
        <v/>
      </c>
      <c r="E286" s="9">
        <f>IF($A286="","",IFERROR(INDEX(土地清冊_匯入!$I$6:$I$1005,MATCH($A286,土地清冊_匯入!$A$6:$A$1005,0)),""))</f>
        <v/>
      </c>
      <c r="F286" s="13">
        <f>IF($A286="","",IFERROR(INDEX(建物清冊_匯入!$N$6:$N$1005,MATCH($A286,建物清冊_匯入!$A$6:$A$1005,0)),""))</f>
        <v/>
      </c>
      <c r="G286" s="9">
        <f>IF($A286="","",IFERROR(INDEX(建物清冊_匯入!$S$6:$S$1005,MATCH($A286,建物清冊_匯入!$A$6:$A$1005,0)),""))</f>
        <v/>
      </c>
      <c r="H286" s="7" t="n"/>
      <c r="I286" s="15" t="n"/>
      <c r="J286" s="16" t="n"/>
      <c r="K286" s="17">
        <f>IF(J286="","",1-J286)</f>
        <v/>
      </c>
      <c r="L286" s="15" t="n"/>
      <c r="M286" s="7" t="n"/>
      <c r="N286" s="7" t="n"/>
      <c r="O286" s="7" t="n"/>
      <c r="P286" s="11" t="n"/>
      <c r="Q286" s="7" t="n"/>
      <c r="R286" s="7" t="n"/>
      <c r="S286" s="7" t="n"/>
      <c r="T286" s="7" t="n"/>
      <c r="U286" s="12">
        <f>IF(A286="","",IF(H286="","建議填分配模式",""))</f>
        <v/>
      </c>
    </row>
    <row r="287" ht="24" customHeight="1">
      <c r="A287" s="7" t="n"/>
      <c r="B287" s="7" t="n"/>
      <c r="C287" s="7" t="n"/>
      <c r="D287" s="12">
        <f>IF($A287="","",IFERROR(INDEX(土地清冊_匯入!$B$6:$B$1005,MATCH($A287,土地清冊_匯入!$A$6:$A$1005,0)),"查無資料"))</f>
        <v/>
      </c>
      <c r="E287" s="9">
        <f>IF($A287="","",IFERROR(INDEX(土地清冊_匯入!$I$6:$I$1005,MATCH($A287,土地清冊_匯入!$A$6:$A$1005,0)),""))</f>
        <v/>
      </c>
      <c r="F287" s="13">
        <f>IF($A287="","",IFERROR(INDEX(建物清冊_匯入!$N$6:$N$1005,MATCH($A287,建物清冊_匯入!$A$6:$A$1005,0)),""))</f>
        <v/>
      </c>
      <c r="G287" s="9">
        <f>IF($A287="","",IFERROR(INDEX(建物清冊_匯入!$S$6:$S$1005,MATCH($A287,建物清冊_匯入!$A$6:$A$1005,0)),""))</f>
        <v/>
      </c>
      <c r="H287" s="7" t="n"/>
      <c r="I287" s="15" t="n"/>
      <c r="J287" s="16" t="n"/>
      <c r="K287" s="17">
        <f>IF(J287="","",1-J287)</f>
        <v/>
      </c>
      <c r="L287" s="15" t="n"/>
      <c r="M287" s="7" t="n"/>
      <c r="N287" s="7" t="n"/>
      <c r="O287" s="7" t="n"/>
      <c r="P287" s="11" t="n"/>
      <c r="Q287" s="7" t="n"/>
      <c r="R287" s="7" t="n"/>
      <c r="S287" s="7" t="n"/>
      <c r="T287" s="7" t="n"/>
      <c r="U287" s="12">
        <f>IF(A287="","",IF(H287="","建議填分配模式",""))</f>
        <v/>
      </c>
    </row>
    <row r="288" ht="24" customHeight="1">
      <c r="A288" s="7" t="n"/>
      <c r="B288" s="7" t="n"/>
      <c r="C288" s="7" t="n"/>
      <c r="D288" s="12">
        <f>IF($A288="","",IFERROR(INDEX(土地清冊_匯入!$B$6:$B$1005,MATCH($A288,土地清冊_匯入!$A$6:$A$1005,0)),"查無資料"))</f>
        <v/>
      </c>
      <c r="E288" s="9">
        <f>IF($A288="","",IFERROR(INDEX(土地清冊_匯入!$I$6:$I$1005,MATCH($A288,土地清冊_匯入!$A$6:$A$1005,0)),""))</f>
        <v/>
      </c>
      <c r="F288" s="13">
        <f>IF($A288="","",IFERROR(INDEX(建物清冊_匯入!$N$6:$N$1005,MATCH($A288,建物清冊_匯入!$A$6:$A$1005,0)),""))</f>
        <v/>
      </c>
      <c r="G288" s="9">
        <f>IF($A288="","",IFERROR(INDEX(建物清冊_匯入!$S$6:$S$1005,MATCH($A288,建物清冊_匯入!$A$6:$A$1005,0)),""))</f>
        <v/>
      </c>
      <c r="H288" s="7" t="n"/>
      <c r="I288" s="15" t="n"/>
      <c r="J288" s="16" t="n"/>
      <c r="K288" s="17">
        <f>IF(J288="","",1-J288)</f>
        <v/>
      </c>
      <c r="L288" s="15" t="n"/>
      <c r="M288" s="7" t="n"/>
      <c r="N288" s="7" t="n"/>
      <c r="O288" s="7" t="n"/>
      <c r="P288" s="11" t="n"/>
      <c r="Q288" s="7" t="n"/>
      <c r="R288" s="7" t="n"/>
      <c r="S288" s="7" t="n"/>
      <c r="T288" s="7" t="n"/>
      <c r="U288" s="12">
        <f>IF(A288="","",IF(H288="","建議填分配模式",""))</f>
        <v/>
      </c>
    </row>
    <row r="289" ht="24" customHeight="1">
      <c r="A289" s="7" t="n"/>
      <c r="B289" s="7" t="n"/>
      <c r="C289" s="7" t="n"/>
      <c r="D289" s="12">
        <f>IF($A289="","",IFERROR(INDEX(土地清冊_匯入!$B$6:$B$1005,MATCH($A289,土地清冊_匯入!$A$6:$A$1005,0)),"查無資料"))</f>
        <v/>
      </c>
      <c r="E289" s="9">
        <f>IF($A289="","",IFERROR(INDEX(土地清冊_匯入!$I$6:$I$1005,MATCH($A289,土地清冊_匯入!$A$6:$A$1005,0)),""))</f>
        <v/>
      </c>
      <c r="F289" s="13">
        <f>IF($A289="","",IFERROR(INDEX(建物清冊_匯入!$N$6:$N$1005,MATCH($A289,建物清冊_匯入!$A$6:$A$1005,0)),""))</f>
        <v/>
      </c>
      <c r="G289" s="9">
        <f>IF($A289="","",IFERROR(INDEX(建物清冊_匯入!$S$6:$S$1005,MATCH($A289,建物清冊_匯入!$A$6:$A$1005,0)),""))</f>
        <v/>
      </c>
      <c r="H289" s="7" t="n"/>
      <c r="I289" s="15" t="n"/>
      <c r="J289" s="16" t="n"/>
      <c r="K289" s="17">
        <f>IF(J289="","",1-J289)</f>
        <v/>
      </c>
      <c r="L289" s="15" t="n"/>
      <c r="M289" s="7" t="n"/>
      <c r="N289" s="7" t="n"/>
      <c r="O289" s="7" t="n"/>
      <c r="P289" s="11" t="n"/>
      <c r="Q289" s="7" t="n"/>
      <c r="R289" s="7" t="n"/>
      <c r="S289" s="7" t="n"/>
      <c r="T289" s="7" t="n"/>
      <c r="U289" s="12">
        <f>IF(A289="","",IF(H289="","建議填分配模式",""))</f>
        <v/>
      </c>
    </row>
    <row r="290" ht="24" customHeight="1">
      <c r="A290" s="7" t="n"/>
      <c r="B290" s="7" t="n"/>
      <c r="C290" s="7" t="n"/>
      <c r="D290" s="12">
        <f>IF($A290="","",IFERROR(INDEX(土地清冊_匯入!$B$6:$B$1005,MATCH($A290,土地清冊_匯入!$A$6:$A$1005,0)),"查無資料"))</f>
        <v/>
      </c>
      <c r="E290" s="9">
        <f>IF($A290="","",IFERROR(INDEX(土地清冊_匯入!$I$6:$I$1005,MATCH($A290,土地清冊_匯入!$A$6:$A$1005,0)),""))</f>
        <v/>
      </c>
      <c r="F290" s="13">
        <f>IF($A290="","",IFERROR(INDEX(建物清冊_匯入!$N$6:$N$1005,MATCH($A290,建物清冊_匯入!$A$6:$A$1005,0)),""))</f>
        <v/>
      </c>
      <c r="G290" s="9">
        <f>IF($A290="","",IFERROR(INDEX(建物清冊_匯入!$S$6:$S$1005,MATCH($A290,建物清冊_匯入!$A$6:$A$1005,0)),""))</f>
        <v/>
      </c>
      <c r="H290" s="7" t="n"/>
      <c r="I290" s="15" t="n"/>
      <c r="J290" s="16" t="n"/>
      <c r="K290" s="17">
        <f>IF(J290="","",1-J290)</f>
        <v/>
      </c>
      <c r="L290" s="15" t="n"/>
      <c r="M290" s="7" t="n"/>
      <c r="N290" s="7" t="n"/>
      <c r="O290" s="7" t="n"/>
      <c r="P290" s="11" t="n"/>
      <c r="Q290" s="7" t="n"/>
      <c r="R290" s="7" t="n"/>
      <c r="S290" s="7" t="n"/>
      <c r="T290" s="7" t="n"/>
      <c r="U290" s="12">
        <f>IF(A290="","",IF(H290="","建議填分配模式",""))</f>
        <v/>
      </c>
    </row>
    <row r="291" ht="24" customHeight="1">
      <c r="A291" s="7" t="n"/>
      <c r="B291" s="7" t="n"/>
      <c r="C291" s="7" t="n"/>
      <c r="D291" s="12">
        <f>IF($A291="","",IFERROR(INDEX(土地清冊_匯入!$B$6:$B$1005,MATCH($A291,土地清冊_匯入!$A$6:$A$1005,0)),"查無資料"))</f>
        <v/>
      </c>
      <c r="E291" s="9">
        <f>IF($A291="","",IFERROR(INDEX(土地清冊_匯入!$I$6:$I$1005,MATCH($A291,土地清冊_匯入!$A$6:$A$1005,0)),""))</f>
        <v/>
      </c>
      <c r="F291" s="13">
        <f>IF($A291="","",IFERROR(INDEX(建物清冊_匯入!$N$6:$N$1005,MATCH($A291,建物清冊_匯入!$A$6:$A$1005,0)),""))</f>
        <v/>
      </c>
      <c r="G291" s="9">
        <f>IF($A291="","",IFERROR(INDEX(建物清冊_匯入!$S$6:$S$1005,MATCH($A291,建物清冊_匯入!$A$6:$A$1005,0)),""))</f>
        <v/>
      </c>
      <c r="H291" s="7" t="n"/>
      <c r="I291" s="15" t="n"/>
      <c r="J291" s="16" t="n"/>
      <c r="K291" s="17">
        <f>IF(J291="","",1-J291)</f>
        <v/>
      </c>
      <c r="L291" s="15" t="n"/>
      <c r="M291" s="7" t="n"/>
      <c r="N291" s="7" t="n"/>
      <c r="O291" s="7" t="n"/>
      <c r="P291" s="11" t="n"/>
      <c r="Q291" s="7" t="n"/>
      <c r="R291" s="7" t="n"/>
      <c r="S291" s="7" t="n"/>
      <c r="T291" s="7" t="n"/>
      <c r="U291" s="12">
        <f>IF(A291="","",IF(H291="","建議填分配模式",""))</f>
        <v/>
      </c>
    </row>
    <row r="292" ht="24" customHeight="1">
      <c r="A292" s="7" t="n"/>
      <c r="B292" s="7" t="n"/>
      <c r="C292" s="7" t="n"/>
      <c r="D292" s="12">
        <f>IF($A292="","",IFERROR(INDEX(土地清冊_匯入!$B$6:$B$1005,MATCH($A292,土地清冊_匯入!$A$6:$A$1005,0)),"查無資料"))</f>
        <v/>
      </c>
      <c r="E292" s="9">
        <f>IF($A292="","",IFERROR(INDEX(土地清冊_匯入!$I$6:$I$1005,MATCH($A292,土地清冊_匯入!$A$6:$A$1005,0)),""))</f>
        <v/>
      </c>
      <c r="F292" s="13">
        <f>IF($A292="","",IFERROR(INDEX(建物清冊_匯入!$N$6:$N$1005,MATCH($A292,建物清冊_匯入!$A$6:$A$1005,0)),""))</f>
        <v/>
      </c>
      <c r="G292" s="9">
        <f>IF($A292="","",IFERROR(INDEX(建物清冊_匯入!$S$6:$S$1005,MATCH($A292,建物清冊_匯入!$A$6:$A$1005,0)),""))</f>
        <v/>
      </c>
      <c r="H292" s="7" t="n"/>
      <c r="I292" s="15" t="n"/>
      <c r="J292" s="16" t="n"/>
      <c r="K292" s="17">
        <f>IF(J292="","",1-J292)</f>
        <v/>
      </c>
      <c r="L292" s="15" t="n"/>
      <c r="M292" s="7" t="n"/>
      <c r="N292" s="7" t="n"/>
      <c r="O292" s="7" t="n"/>
      <c r="P292" s="11" t="n"/>
      <c r="Q292" s="7" t="n"/>
      <c r="R292" s="7" t="n"/>
      <c r="S292" s="7" t="n"/>
      <c r="T292" s="7" t="n"/>
      <c r="U292" s="12">
        <f>IF(A292="","",IF(H292="","建議填分配模式",""))</f>
        <v/>
      </c>
    </row>
    <row r="293" ht="24" customHeight="1">
      <c r="A293" s="7" t="n"/>
      <c r="B293" s="7" t="n"/>
      <c r="C293" s="7" t="n"/>
      <c r="D293" s="12">
        <f>IF($A293="","",IFERROR(INDEX(土地清冊_匯入!$B$6:$B$1005,MATCH($A293,土地清冊_匯入!$A$6:$A$1005,0)),"查無資料"))</f>
        <v/>
      </c>
      <c r="E293" s="9">
        <f>IF($A293="","",IFERROR(INDEX(土地清冊_匯入!$I$6:$I$1005,MATCH($A293,土地清冊_匯入!$A$6:$A$1005,0)),""))</f>
        <v/>
      </c>
      <c r="F293" s="13">
        <f>IF($A293="","",IFERROR(INDEX(建物清冊_匯入!$N$6:$N$1005,MATCH($A293,建物清冊_匯入!$A$6:$A$1005,0)),""))</f>
        <v/>
      </c>
      <c r="G293" s="9">
        <f>IF($A293="","",IFERROR(INDEX(建物清冊_匯入!$S$6:$S$1005,MATCH($A293,建物清冊_匯入!$A$6:$A$1005,0)),""))</f>
        <v/>
      </c>
      <c r="H293" s="7" t="n"/>
      <c r="I293" s="15" t="n"/>
      <c r="J293" s="16" t="n"/>
      <c r="K293" s="17">
        <f>IF(J293="","",1-J293)</f>
        <v/>
      </c>
      <c r="L293" s="15" t="n"/>
      <c r="M293" s="7" t="n"/>
      <c r="N293" s="7" t="n"/>
      <c r="O293" s="7" t="n"/>
      <c r="P293" s="11" t="n"/>
      <c r="Q293" s="7" t="n"/>
      <c r="R293" s="7" t="n"/>
      <c r="S293" s="7" t="n"/>
      <c r="T293" s="7" t="n"/>
      <c r="U293" s="12">
        <f>IF(A293="","",IF(H293="","建議填分配模式",""))</f>
        <v/>
      </c>
    </row>
    <row r="294" ht="24" customHeight="1">
      <c r="A294" s="7" t="n"/>
      <c r="B294" s="7" t="n"/>
      <c r="C294" s="7" t="n"/>
      <c r="D294" s="12">
        <f>IF($A294="","",IFERROR(INDEX(土地清冊_匯入!$B$6:$B$1005,MATCH($A294,土地清冊_匯入!$A$6:$A$1005,0)),"查無資料"))</f>
        <v/>
      </c>
      <c r="E294" s="9">
        <f>IF($A294="","",IFERROR(INDEX(土地清冊_匯入!$I$6:$I$1005,MATCH($A294,土地清冊_匯入!$A$6:$A$1005,0)),""))</f>
        <v/>
      </c>
      <c r="F294" s="13">
        <f>IF($A294="","",IFERROR(INDEX(建物清冊_匯入!$N$6:$N$1005,MATCH($A294,建物清冊_匯入!$A$6:$A$1005,0)),""))</f>
        <v/>
      </c>
      <c r="G294" s="9">
        <f>IF($A294="","",IFERROR(INDEX(建物清冊_匯入!$S$6:$S$1005,MATCH($A294,建物清冊_匯入!$A$6:$A$1005,0)),""))</f>
        <v/>
      </c>
      <c r="H294" s="7" t="n"/>
      <c r="I294" s="15" t="n"/>
      <c r="J294" s="16" t="n"/>
      <c r="K294" s="17">
        <f>IF(J294="","",1-J294)</f>
        <v/>
      </c>
      <c r="L294" s="15" t="n"/>
      <c r="M294" s="7" t="n"/>
      <c r="N294" s="7" t="n"/>
      <c r="O294" s="7" t="n"/>
      <c r="P294" s="11" t="n"/>
      <c r="Q294" s="7" t="n"/>
      <c r="R294" s="7" t="n"/>
      <c r="S294" s="7" t="n"/>
      <c r="T294" s="7" t="n"/>
      <c r="U294" s="12">
        <f>IF(A294="","",IF(H294="","建議填分配模式",""))</f>
        <v/>
      </c>
    </row>
    <row r="295" ht="24" customHeight="1">
      <c r="A295" s="7" t="n"/>
      <c r="B295" s="7" t="n"/>
      <c r="C295" s="7" t="n"/>
      <c r="D295" s="12">
        <f>IF($A295="","",IFERROR(INDEX(土地清冊_匯入!$B$6:$B$1005,MATCH($A295,土地清冊_匯入!$A$6:$A$1005,0)),"查無資料"))</f>
        <v/>
      </c>
      <c r="E295" s="9">
        <f>IF($A295="","",IFERROR(INDEX(土地清冊_匯入!$I$6:$I$1005,MATCH($A295,土地清冊_匯入!$A$6:$A$1005,0)),""))</f>
        <v/>
      </c>
      <c r="F295" s="13">
        <f>IF($A295="","",IFERROR(INDEX(建物清冊_匯入!$N$6:$N$1005,MATCH($A295,建物清冊_匯入!$A$6:$A$1005,0)),""))</f>
        <v/>
      </c>
      <c r="G295" s="9">
        <f>IF($A295="","",IFERROR(INDEX(建物清冊_匯入!$S$6:$S$1005,MATCH($A295,建物清冊_匯入!$A$6:$A$1005,0)),""))</f>
        <v/>
      </c>
      <c r="H295" s="7" t="n"/>
      <c r="I295" s="15" t="n"/>
      <c r="J295" s="16" t="n"/>
      <c r="K295" s="17">
        <f>IF(J295="","",1-J295)</f>
        <v/>
      </c>
      <c r="L295" s="15" t="n"/>
      <c r="M295" s="7" t="n"/>
      <c r="N295" s="7" t="n"/>
      <c r="O295" s="7" t="n"/>
      <c r="P295" s="11" t="n"/>
      <c r="Q295" s="7" t="n"/>
      <c r="R295" s="7" t="n"/>
      <c r="S295" s="7" t="n"/>
      <c r="T295" s="7" t="n"/>
      <c r="U295" s="12">
        <f>IF(A295="","",IF(H295="","建議填分配模式",""))</f>
        <v/>
      </c>
    </row>
    <row r="296" ht="24" customHeight="1">
      <c r="A296" s="7" t="n"/>
      <c r="B296" s="7" t="n"/>
      <c r="C296" s="7" t="n"/>
      <c r="D296" s="12">
        <f>IF($A296="","",IFERROR(INDEX(土地清冊_匯入!$B$6:$B$1005,MATCH($A296,土地清冊_匯入!$A$6:$A$1005,0)),"查無資料"))</f>
        <v/>
      </c>
      <c r="E296" s="9">
        <f>IF($A296="","",IFERROR(INDEX(土地清冊_匯入!$I$6:$I$1005,MATCH($A296,土地清冊_匯入!$A$6:$A$1005,0)),""))</f>
        <v/>
      </c>
      <c r="F296" s="13">
        <f>IF($A296="","",IFERROR(INDEX(建物清冊_匯入!$N$6:$N$1005,MATCH($A296,建物清冊_匯入!$A$6:$A$1005,0)),""))</f>
        <v/>
      </c>
      <c r="G296" s="9">
        <f>IF($A296="","",IFERROR(INDEX(建物清冊_匯入!$S$6:$S$1005,MATCH($A296,建物清冊_匯入!$A$6:$A$1005,0)),""))</f>
        <v/>
      </c>
      <c r="H296" s="7" t="n"/>
      <c r="I296" s="15" t="n"/>
      <c r="J296" s="16" t="n"/>
      <c r="K296" s="17">
        <f>IF(J296="","",1-J296)</f>
        <v/>
      </c>
      <c r="L296" s="15" t="n"/>
      <c r="M296" s="7" t="n"/>
      <c r="N296" s="7" t="n"/>
      <c r="O296" s="7" t="n"/>
      <c r="P296" s="11" t="n"/>
      <c r="Q296" s="7" t="n"/>
      <c r="R296" s="7" t="n"/>
      <c r="S296" s="7" t="n"/>
      <c r="T296" s="7" t="n"/>
      <c r="U296" s="12">
        <f>IF(A296="","",IF(H296="","建議填分配模式",""))</f>
        <v/>
      </c>
    </row>
    <row r="297" ht="24" customHeight="1">
      <c r="A297" s="7" t="n"/>
      <c r="B297" s="7" t="n"/>
      <c r="C297" s="7" t="n"/>
      <c r="D297" s="12">
        <f>IF($A297="","",IFERROR(INDEX(土地清冊_匯入!$B$6:$B$1005,MATCH($A297,土地清冊_匯入!$A$6:$A$1005,0)),"查無資料"))</f>
        <v/>
      </c>
      <c r="E297" s="9">
        <f>IF($A297="","",IFERROR(INDEX(土地清冊_匯入!$I$6:$I$1005,MATCH($A297,土地清冊_匯入!$A$6:$A$1005,0)),""))</f>
        <v/>
      </c>
      <c r="F297" s="13">
        <f>IF($A297="","",IFERROR(INDEX(建物清冊_匯入!$N$6:$N$1005,MATCH($A297,建物清冊_匯入!$A$6:$A$1005,0)),""))</f>
        <v/>
      </c>
      <c r="G297" s="9">
        <f>IF($A297="","",IFERROR(INDEX(建物清冊_匯入!$S$6:$S$1005,MATCH($A297,建物清冊_匯入!$A$6:$A$1005,0)),""))</f>
        <v/>
      </c>
      <c r="H297" s="7" t="n"/>
      <c r="I297" s="15" t="n"/>
      <c r="J297" s="16" t="n"/>
      <c r="K297" s="17">
        <f>IF(J297="","",1-J297)</f>
        <v/>
      </c>
      <c r="L297" s="15" t="n"/>
      <c r="M297" s="7" t="n"/>
      <c r="N297" s="7" t="n"/>
      <c r="O297" s="7" t="n"/>
      <c r="P297" s="11" t="n"/>
      <c r="Q297" s="7" t="n"/>
      <c r="R297" s="7" t="n"/>
      <c r="S297" s="7" t="n"/>
      <c r="T297" s="7" t="n"/>
      <c r="U297" s="12">
        <f>IF(A297="","",IF(H297="","建議填分配模式",""))</f>
        <v/>
      </c>
    </row>
    <row r="298" ht="24" customHeight="1">
      <c r="A298" s="7" t="n"/>
      <c r="B298" s="7" t="n"/>
      <c r="C298" s="7" t="n"/>
      <c r="D298" s="12">
        <f>IF($A298="","",IFERROR(INDEX(土地清冊_匯入!$B$6:$B$1005,MATCH($A298,土地清冊_匯入!$A$6:$A$1005,0)),"查無資料"))</f>
        <v/>
      </c>
      <c r="E298" s="9">
        <f>IF($A298="","",IFERROR(INDEX(土地清冊_匯入!$I$6:$I$1005,MATCH($A298,土地清冊_匯入!$A$6:$A$1005,0)),""))</f>
        <v/>
      </c>
      <c r="F298" s="13">
        <f>IF($A298="","",IFERROR(INDEX(建物清冊_匯入!$N$6:$N$1005,MATCH($A298,建物清冊_匯入!$A$6:$A$1005,0)),""))</f>
        <v/>
      </c>
      <c r="G298" s="9">
        <f>IF($A298="","",IFERROR(INDEX(建物清冊_匯入!$S$6:$S$1005,MATCH($A298,建物清冊_匯入!$A$6:$A$1005,0)),""))</f>
        <v/>
      </c>
      <c r="H298" s="7" t="n"/>
      <c r="I298" s="15" t="n"/>
      <c r="J298" s="16" t="n"/>
      <c r="K298" s="17">
        <f>IF(J298="","",1-J298)</f>
        <v/>
      </c>
      <c r="L298" s="15" t="n"/>
      <c r="M298" s="7" t="n"/>
      <c r="N298" s="7" t="n"/>
      <c r="O298" s="7" t="n"/>
      <c r="P298" s="11" t="n"/>
      <c r="Q298" s="7" t="n"/>
      <c r="R298" s="7" t="n"/>
      <c r="S298" s="7" t="n"/>
      <c r="T298" s="7" t="n"/>
      <c r="U298" s="12">
        <f>IF(A298="","",IF(H298="","建議填分配模式",""))</f>
        <v/>
      </c>
    </row>
    <row r="299" ht="24" customHeight="1">
      <c r="A299" s="7" t="n"/>
      <c r="B299" s="7" t="n"/>
      <c r="C299" s="7" t="n"/>
      <c r="D299" s="12">
        <f>IF($A299="","",IFERROR(INDEX(土地清冊_匯入!$B$6:$B$1005,MATCH($A299,土地清冊_匯入!$A$6:$A$1005,0)),"查無資料"))</f>
        <v/>
      </c>
      <c r="E299" s="9">
        <f>IF($A299="","",IFERROR(INDEX(土地清冊_匯入!$I$6:$I$1005,MATCH($A299,土地清冊_匯入!$A$6:$A$1005,0)),""))</f>
        <v/>
      </c>
      <c r="F299" s="13">
        <f>IF($A299="","",IFERROR(INDEX(建物清冊_匯入!$N$6:$N$1005,MATCH($A299,建物清冊_匯入!$A$6:$A$1005,0)),""))</f>
        <v/>
      </c>
      <c r="G299" s="9">
        <f>IF($A299="","",IFERROR(INDEX(建物清冊_匯入!$S$6:$S$1005,MATCH($A299,建物清冊_匯入!$A$6:$A$1005,0)),""))</f>
        <v/>
      </c>
      <c r="H299" s="7" t="n"/>
      <c r="I299" s="15" t="n"/>
      <c r="J299" s="16" t="n"/>
      <c r="K299" s="17">
        <f>IF(J299="","",1-J299)</f>
        <v/>
      </c>
      <c r="L299" s="15" t="n"/>
      <c r="M299" s="7" t="n"/>
      <c r="N299" s="7" t="n"/>
      <c r="O299" s="7" t="n"/>
      <c r="P299" s="11" t="n"/>
      <c r="Q299" s="7" t="n"/>
      <c r="R299" s="7" t="n"/>
      <c r="S299" s="7" t="n"/>
      <c r="T299" s="7" t="n"/>
      <c r="U299" s="12">
        <f>IF(A299="","",IF(H299="","建議填分配模式",""))</f>
        <v/>
      </c>
    </row>
    <row r="300" ht="24" customHeight="1">
      <c r="A300" s="7" t="n"/>
      <c r="B300" s="7" t="n"/>
      <c r="C300" s="7" t="n"/>
      <c r="D300" s="12">
        <f>IF($A300="","",IFERROR(INDEX(土地清冊_匯入!$B$6:$B$1005,MATCH($A300,土地清冊_匯入!$A$6:$A$1005,0)),"查無資料"))</f>
        <v/>
      </c>
      <c r="E300" s="9">
        <f>IF($A300="","",IFERROR(INDEX(土地清冊_匯入!$I$6:$I$1005,MATCH($A300,土地清冊_匯入!$A$6:$A$1005,0)),""))</f>
        <v/>
      </c>
      <c r="F300" s="13">
        <f>IF($A300="","",IFERROR(INDEX(建物清冊_匯入!$N$6:$N$1005,MATCH($A300,建物清冊_匯入!$A$6:$A$1005,0)),""))</f>
        <v/>
      </c>
      <c r="G300" s="9">
        <f>IF($A300="","",IFERROR(INDEX(建物清冊_匯入!$S$6:$S$1005,MATCH($A300,建物清冊_匯入!$A$6:$A$1005,0)),""))</f>
        <v/>
      </c>
      <c r="H300" s="7" t="n"/>
      <c r="I300" s="15" t="n"/>
      <c r="J300" s="16" t="n"/>
      <c r="K300" s="17">
        <f>IF(J300="","",1-J300)</f>
        <v/>
      </c>
      <c r="L300" s="15" t="n"/>
      <c r="M300" s="7" t="n"/>
      <c r="N300" s="7" t="n"/>
      <c r="O300" s="7" t="n"/>
      <c r="P300" s="11" t="n"/>
      <c r="Q300" s="7" t="n"/>
      <c r="R300" s="7" t="n"/>
      <c r="S300" s="7" t="n"/>
      <c r="T300" s="7" t="n"/>
      <c r="U300" s="12">
        <f>IF(A300="","",IF(H300="","建議填分配模式",""))</f>
        <v/>
      </c>
    </row>
    <row r="301" ht="24" customHeight="1">
      <c r="A301" s="7" t="n"/>
      <c r="B301" s="7" t="n"/>
      <c r="C301" s="7" t="n"/>
      <c r="D301" s="12">
        <f>IF($A301="","",IFERROR(INDEX(土地清冊_匯入!$B$6:$B$1005,MATCH($A301,土地清冊_匯入!$A$6:$A$1005,0)),"查無資料"))</f>
        <v/>
      </c>
      <c r="E301" s="9">
        <f>IF($A301="","",IFERROR(INDEX(土地清冊_匯入!$I$6:$I$1005,MATCH($A301,土地清冊_匯入!$A$6:$A$1005,0)),""))</f>
        <v/>
      </c>
      <c r="F301" s="13">
        <f>IF($A301="","",IFERROR(INDEX(建物清冊_匯入!$N$6:$N$1005,MATCH($A301,建物清冊_匯入!$A$6:$A$1005,0)),""))</f>
        <v/>
      </c>
      <c r="G301" s="9">
        <f>IF($A301="","",IFERROR(INDEX(建物清冊_匯入!$S$6:$S$1005,MATCH($A301,建物清冊_匯入!$A$6:$A$1005,0)),""))</f>
        <v/>
      </c>
      <c r="H301" s="7" t="n"/>
      <c r="I301" s="15" t="n"/>
      <c r="J301" s="16" t="n"/>
      <c r="K301" s="17">
        <f>IF(J301="","",1-J301)</f>
        <v/>
      </c>
      <c r="L301" s="15" t="n"/>
      <c r="M301" s="7" t="n"/>
      <c r="N301" s="7" t="n"/>
      <c r="O301" s="7" t="n"/>
      <c r="P301" s="11" t="n"/>
      <c r="Q301" s="7" t="n"/>
      <c r="R301" s="7" t="n"/>
      <c r="S301" s="7" t="n"/>
      <c r="T301" s="7" t="n"/>
      <c r="U301" s="12">
        <f>IF(A301="","",IF(H301="","建議填分配模式",""))</f>
        <v/>
      </c>
    </row>
    <row r="302" ht="24" customHeight="1">
      <c r="A302" s="7" t="n"/>
      <c r="B302" s="7" t="n"/>
      <c r="C302" s="7" t="n"/>
      <c r="D302" s="12">
        <f>IF($A302="","",IFERROR(INDEX(土地清冊_匯入!$B$6:$B$1005,MATCH($A302,土地清冊_匯入!$A$6:$A$1005,0)),"查無資料"))</f>
        <v/>
      </c>
      <c r="E302" s="9">
        <f>IF($A302="","",IFERROR(INDEX(土地清冊_匯入!$I$6:$I$1005,MATCH($A302,土地清冊_匯入!$A$6:$A$1005,0)),""))</f>
        <v/>
      </c>
      <c r="F302" s="13">
        <f>IF($A302="","",IFERROR(INDEX(建物清冊_匯入!$N$6:$N$1005,MATCH($A302,建物清冊_匯入!$A$6:$A$1005,0)),""))</f>
        <v/>
      </c>
      <c r="G302" s="9">
        <f>IF($A302="","",IFERROR(INDEX(建物清冊_匯入!$S$6:$S$1005,MATCH($A302,建物清冊_匯入!$A$6:$A$1005,0)),""))</f>
        <v/>
      </c>
      <c r="H302" s="7" t="n"/>
      <c r="I302" s="15" t="n"/>
      <c r="J302" s="16" t="n"/>
      <c r="K302" s="17">
        <f>IF(J302="","",1-J302)</f>
        <v/>
      </c>
      <c r="L302" s="15" t="n"/>
      <c r="M302" s="7" t="n"/>
      <c r="N302" s="7" t="n"/>
      <c r="O302" s="7" t="n"/>
      <c r="P302" s="11" t="n"/>
      <c r="Q302" s="7" t="n"/>
      <c r="R302" s="7" t="n"/>
      <c r="S302" s="7" t="n"/>
      <c r="T302" s="7" t="n"/>
      <c r="U302" s="12">
        <f>IF(A302="","",IF(H302="","建議填分配模式",""))</f>
        <v/>
      </c>
    </row>
    <row r="303" ht="24" customHeight="1">
      <c r="A303" s="7" t="n"/>
      <c r="B303" s="7" t="n"/>
      <c r="C303" s="7" t="n"/>
      <c r="D303" s="12">
        <f>IF($A303="","",IFERROR(INDEX(土地清冊_匯入!$B$6:$B$1005,MATCH($A303,土地清冊_匯入!$A$6:$A$1005,0)),"查無資料"))</f>
        <v/>
      </c>
      <c r="E303" s="9">
        <f>IF($A303="","",IFERROR(INDEX(土地清冊_匯入!$I$6:$I$1005,MATCH($A303,土地清冊_匯入!$A$6:$A$1005,0)),""))</f>
        <v/>
      </c>
      <c r="F303" s="13">
        <f>IF($A303="","",IFERROR(INDEX(建物清冊_匯入!$N$6:$N$1005,MATCH($A303,建物清冊_匯入!$A$6:$A$1005,0)),""))</f>
        <v/>
      </c>
      <c r="G303" s="9">
        <f>IF($A303="","",IFERROR(INDEX(建物清冊_匯入!$S$6:$S$1005,MATCH($A303,建物清冊_匯入!$A$6:$A$1005,0)),""))</f>
        <v/>
      </c>
      <c r="H303" s="7" t="n"/>
      <c r="I303" s="15" t="n"/>
      <c r="J303" s="16" t="n"/>
      <c r="K303" s="17">
        <f>IF(J303="","",1-J303)</f>
        <v/>
      </c>
      <c r="L303" s="15" t="n"/>
      <c r="M303" s="7" t="n"/>
      <c r="N303" s="7" t="n"/>
      <c r="O303" s="7" t="n"/>
      <c r="P303" s="11" t="n"/>
      <c r="Q303" s="7" t="n"/>
      <c r="R303" s="7" t="n"/>
      <c r="S303" s="7" t="n"/>
      <c r="T303" s="7" t="n"/>
      <c r="U303" s="12">
        <f>IF(A303="","",IF(H303="","建議填分配模式",""))</f>
        <v/>
      </c>
    </row>
    <row r="304" ht="24" customHeight="1">
      <c r="A304" s="7" t="n"/>
      <c r="B304" s="7" t="n"/>
      <c r="C304" s="7" t="n"/>
      <c r="D304" s="12">
        <f>IF($A304="","",IFERROR(INDEX(土地清冊_匯入!$B$6:$B$1005,MATCH($A304,土地清冊_匯入!$A$6:$A$1005,0)),"查無資料"))</f>
        <v/>
      </c>
      <c r="E304" s="9">
        <f>IF($A304="","",IFERROR(INDEX(土地清冊_匯入!$I$6:$I$1005,MATCH($A304,土地清冊_匯入!$A$6:$A$1005,0)),""))</f>
        <v/>
      </c>
      <c r="F304" s="13">
        <f>IF($A304="","",IFERROR(INDEX(建物清冊_匯入!$N$6:$N$1005,MATCH($A304,建物清冊_匯入!$A$6:$A$1005,0)),""))</f>
        <v/>
      </c>
      <c r="G304" s="9">
        <f>IF($A304="","",IFERROR(INDEX(建物清冊_匯入!$S$6:$S$1005,MATCH($A304,建物清冊_匯入!$A$6:$A$1005,0)),""))</f>
        <v/>
      </c>
      <c r="H304" s="7" t="n"/>
      <c r="I304" s="15" t="n"/>
      <c r="J304" s="16" t="n"/>
      <c r="K304" s="17">
        <f>IF(J304="","",1-J304)</f>
        <v/>
      </c>
      <c r="L304" s="15" t="n"/>
      <c r="M304" s="7" t="n"/>
      <c r="N304" s="7" t="n"/>
      <c r="O304" s="7" t="n"/>
      <c r="P304" s="11" t="n"/>
      <c r="Q304" s="7" t="n"/>
      <c r="R304" s="7" t="n"/>
      <c r="S304" s="7" t="n"/>
      <c r="T304" s="7" t="n"/>
      <c r="U304" s="12">
        <f>IF(A304="","",IF(H304="","建議填分配模式",""))</f>
        <v/>
      </c>
    </row>
    <row r="305" ht="24" customHeight="1">
      <c r="A305" s="7" t="n"/>
      <c r="B305" s="7" t="n"/>
      <c r="C305" s="7" t="n"/>
      <c r="D305" s="12">
        <f>IF($A305="","",IFERROR(INDEX(土地清冊_匯入!$B$6:$B$1005,MATCH($A305,土地清冊_匯入!$A$6:$A$1005,0)),"查無資料"))</f>
        <v/>
      </c>
      <c r="E305" s="9">
        <f>IF($A305="","",IFERROR(INDEX(土地清冊_匯入!$I$6:$I$1005,MATCH($A305,土地清冊_匯入!$A$6:$A$1005,0)),""))</f>
        <v/>
      </c>
      <c r="F305" s="13">
        <f>IF($A305="","",IFERROR(INDEX(建物清冊_匯入!$N$6:$N$1005,MATCH($A305,建物清冊_匯入!$A$6:$A$1005,0)),""))</f>
        <v/>
      </c>
      <c r="G305" s="9">
        <f>IF($A305="","",IFERROR(INDEX(建物清冊_匯入!$S$6:$S$1005,MATCH($A305,建物清冊_匯入!$A$6:$A$1005,0)),""))</f>
        <v/>
      </c>
      <c r="H305" s="7" t="n"/>
      <c r="I305" s="15" t="n"/>
      <c r="J305" s="16" t="n"/>
      <c r="K305" s="17">
        <f>IF(J305="","",1-J305)</f>
        <v/>
      </c>
      <c r="L305" s="15" t="n"/>
      <c r="M305" s="7" t="n"/>
      <c r="N305" s="7" t="n"/>
      <c r="O305" s="7" t="n"/>
      <c r="P305" s="11" t="n"/>
      <c r="Q305" s="7" t="n"/>
      <c r="R305" s="7" t="n"/>
      <c r="S305" s="7" t="n"/>
      <c r="T305" s="7" t="n"/>
      <c r="U305" s="12">
        <f>IF(A305="","",IF(H305="","建議填分配模式",""))</f>
        <v/>
      </c>
    </row>
    <row r="306" ht="24" customHeight="1">
      <c r="A306" s="7" t="n"/>
      <c r="B306" s="7" t="n"/>
      <c r="C306" s="7" t="n"/>
      <c r="D306" s="12">
        <f>IF($A306="","",IFERROR(INDEX(土地清冊_匯入!$B$6:$B$1005,MATCH($A306,土地清冊_匯入!$A$6:$A$1005,0)),"查無資料"))</f>
        <v/>
      </c>
      <c r="E306" s="9">
        <f>IF($A306="","",IFERROR(INDEX(土地清冊_匯入!$I$6:$I$1005,MATCH($A306,土地清冊_匯入!$A$6:$A$1005,0)),""))</f>
        <v/>
      </c>
      <c r="F306" s="13">
        <f>IF($A306="","",IFERROR(INDEX(建物清冊_匯入!$N$6:$N$1005,MATCH($A306,建物清冊_匯入!$A$6:$A$1005,0)),""))</f>
        <v/>
      </c>
      <c r="G306" s="9">
        <f>IF($A306="","",IFERROR(INDEX(建物清冊_匯入!$S$6:$S$1005,MATCH($A306,建物清冊_匯入!$A$6:$A$1005,0)),""))</f>
        <v/>
      </c>
      <c r="H306" s="7" t="n"/>
      <c r="I306" s="15" t="n"/>
      <c r="J306" s="16" t="n"/>
      <c r="K306" s="17">
        <f>IF(J306="","",1-J306)</f>
        <v/>
      </c>
      <c r="L306" s="15" t="n"/>
      <c r="M306" s="7" t="n"/>
      <c r="N306" s="7" t="n"/>
      <c r="O306" s="7" t="n"/>
      <c r="P306" s="11" t="n"/>
      <c r="Q306" s="7" t="n"/>
      <c r="R306" s="7" t="n"/>
      <c r="S306" s="7" t="n"/>
      <c r="T306" s="7" t="n"/>
      <c r="U306" s="12">
        <f>IF(A306="","",IF(H306="","建議填分配模式",""))</f>
        <v/>
      </c>
    </row>
    <row r="307" ht="24" customHeight="1">
      <c r="A307" s="7" t="n"/>
      <c r="B307" s="7" t="n"/>
      <c r="C307" s="7" t="n"/>
      <c r="D307" s="12">
        <f>IF($A307="","",IFERROR(INDEX(土地清冊_匯入!$B$6:$B$1005,MATCH($A307,土地清冊_匯入!$A$6:$A$1005,0)),"查無資料"))</f>
        <v/>
      </c>
      <c r="E307" s="9">
        <f>IF($A307="","",IFERROR(INDEX(土地清冊_匯入!$I$6:$I$1005,MATCH($A307,土地清冊_匯入!$A$6:$A$1005,0)),""))</f>
        <v/>
      </c>
      <c r="F307" s="13">
        <f>IF($A307="","",IFERROR(INDEX(建物清冊_匯入!$N$6:$N$1005,MATCH($A307,建物清冊_匯入!$A$6:$A$1005,0)),""))</f>
        <v/>
      </c>
      <c r="G307" s="9">
        <f>IF($A307="","",IFERROR(INDEX(建物清冊_匯入!$S$6:$S$1005,MATCH($A307,建物清冊_匯入!$A$6:$A$1005,0)),""))</f>
        <v/>
      </c>
      <c r="H307" s="7" t="n"/>
      <c r="I307" s="15" t="n"/>
      <c r="J307" s="16" t="n"/>
      <c r="K307" s="17">
        <f>IF(J307="","",1-J307)</f>
        <v/>
      </c>
      <c r="L307" s="15" t="n"/>
      <c r="M307" s="7" t="n"/>
      <c r="N307" s="7" t="n"/>
      <c r="O307" s="7" t="n"/>
      <c r="P307" s="11" t="n"/>
      <c r="Q307" s="7" t="n"/>
      <c r="R307" s="7" t="n"/>
      <c r="S307" s="7" t="n"/>
      <c r="T307" s="7" t="n"/>
      <c r="U307" s="12">
        <f>IF(A307="","",IF(H307="","建議填分配模式",""))</f>
        <v/>
      </c>
    </row>
    <row r="308" ht="24" customHeight="1">
      <c r="A308" s="7" t="n"/>
      <c r="B308" s="7" t="n"/>
      <c r="C308" s="7" t="n"/>
      <c r="D308" s="12">
        <f>IF($A308="","",IFERROR(INDEX(土地清冊_匯入!$B$6:$B$1005,MATCH($A308,土地清冊_匯入!$A$6:$A$1005,0)),"查無資料"))</f>
        <v/>
      </c>
      <c r="E308" s="9">
        <f>IF($A308="","",IFERROR(INDEX(土地清冊_匯入!$I$6:$I$1005,MATCH($A308,土地清冊_匯入!$A$6:$A$1005,0)),""))</f>
        <v/>
      </c>
      <c r="F308" s="13">
        <f>IF($A308="","",IFERROR(INDEX(建物清冊_匯入!$N$6:$N$1005,MATCH($A308,建物清冊_匯入!$A$6:$A$1005,0)),""))</f>
        <v/>
      </c>
      <c r="G308" s="9">
        <f>IF($A308="","",IFERROR(INDEX(建物清冊_匯入!$S$6:$S$1005,MATCH($A308,建物清冊_匯入!$A$6:$A$1005,0)),""))</f>
        <v/>
      </c>
      <c r="H308" s="7" t="n"/>
      <c r="I308" s="15" t="n"/>
      <c r="J308" s="16" t="n"/>
      <c r="K308" s="17">
        <f>IF(J308="","",1-J308)</f>
        <v/>
      </c>
      <c r="L308" s="15" t="n"/>
      <c r="M308" s="7" t="n"/>
      <c r="N308" s="7" t="n"/>
      <c r="O308" s="7" t="n"/>
      <c r="P308" s="11" t="n"/>
      <c r="Q308" s="7" t="n"/>
      <c r="R308" s="7" t="n"/>
      <c r="S308" s="7" t="n"/>
      <c r="T308" s="7" t="n"/>
      <c r="U308" s="12">
        <f>IF(A308="","",IF(H308="","建議填分配模式",""))</f>
        <v/>
      </c>
    </row>
    <row r="309" ht="24" customHeight="1">
      <c r="A309" s="7" t="n"/>
      <c r="B309" s="7" t="n"/>
      <c r="C309" s="7" t="n"/>
      <c r="D309" s="12">
        <f>IF($A309="","",IFERROR(INDEX(土地清冊_匯入!$B$6:$B$1005,MATCH($A309,土地清冊_匯入!$A$6:$A$1005,0)),"查無資料"))</f>
        <v/>
      </c>
      <c r="E309" s="9">
        <f>IF($A309="","",IFERROR(INDEX(土地清冊_匯入!$I$6:$I$1005,MATCH($A309,土地清冊_匯入!$A$6:$A$1005,0)),""))</f>
        <v/>
      </c>
      <c r="F309" s="13">
        <f>IF($A309="","",IFERROR(INDEX(建物清冊_匯入!$N$6:$N$1005,MATCH($A309,建物清冊_匯入!$A$6:$A$1005,0)),""))</f>
        <v/>
      </c>
      <c r="G309" s="9">
        <f>IF($A309="","",IFERROR(INDEX(建物清冊_匯入!$S$6:$S$1005,MATCH($A309,建物清冊_匯入!$A$6:$A$1005,0)),""))</f>
        <v/>
      </c>
      <c r="H309" s="7" t="n"/>
      <c r="I309" s="15" t="n"/>
      <c r="J309" s="16" t="n"/>
      <c r="K309" s="17">
        <f>IF(J309="","",1-J309)</f>
        <v/>
      </c>
      <c r="L309" s="15" t="n"/>
      <c r="M309" s="7" t="n"/>
      <c r="N309" s="7" t="n"/>
      <c r="O309" s="7" t="n"/>
      <c r="P309" s="11" t="n"/>
      <c r="Q309" s="7" t="n"/>
      <c r="R309" s="7" t="n"/>
      <c r="S309" s="7" t="n"/>
      <c r="T309" s="7" t="n"/>
      <c r="U309" s="12">
        <f>IF(A309="","",IF(H309="","建議填分配模式",""))</f>
        <v/>
      </c>
    </row>
    <row r="310" ht="24" customHeight="1">
      <c r="A310" s="7" t="n"/>
      <c r="B310" s="7" t="n"/>
      <c r="C310" s="7" t="n"/>
      <c r="D310" s="12">
        <f>IF($A310="","",IFERROR(INDEX(土地清冊_匯入!$B$6:$B$1005,MATCH($A310,土地清冊_匯入!$A$6:$A$1005,0)),"查無資料"))</f>
        <v/>
      </c>
      <c r="E310" s="9">
        <f>IF($A310="","",IFERROR(INDEX(土地清冊_匯入!$I$6:$I$1005,MATCH($A310,土地清冊_匯入!$A$6:$A$1005,0)),""))</f>
        <v/>
      </c>
      <c r="F310" s="13">
        <f>IF($A310="","",IFERROR(INDEX(建物清冊_匯入!$N$6:$N$1005,MATCH($A310,建物清冊_匯入!$A$6:$A$1005,0)),""))</f>
        <v/>
      </c>
      <c r="G310" s="9">
        <f>IF($A310="","",IFERROR(INDEX(建物清冊_匯入!$S$6:$S$1005,MATCH($A310,建物清冊_匯入!$A$6:$A$1005,0)),""))</f>
        <v/>
      </c>
      <c r="H310" s="7" t="n"/>
      <c r="I310" s="15" t="n"/>
      <c r="J310" s="16" t="n"/>
      <c r="K310" s="17">
        <f>IF(J310="","",1-J310)</f>
        <v/>
      </c>
      <c r="L310" s="15" t="n"/>
      <c r="M310" s="7" t="n"/>
      <c r="N310" s="7" t="n"/>
      <c r="O310" s="7" t="n"/>
      <c r="P310" s="11" t="n"/>
      <c r="Q310" s="7" t="n"/>
      <c r="R310" s="7" t="n"/>
      <c r="S310" s="7" t="n"/>
      <c r="T310" s="7" t="n"/>
      <c r="U310" s="12">
        <f>IF(A310="","",IF(H310="","建議填分配模式",""))</f>
        <v/>
      </c>
    </row>
    <row r="311" ht="24" customHeight="1">
      <c r="A311" s="7" t="n"/>
      <c r="B311" s="7" t="n"/>
      <c r="C311" s="7" t="n"/>
      <c r="D311" s="12">
        <f>IF($A311="","",IFERROR(INDEX(土地清冊_匯入!$B$6:$B$1005,MATCH($A311,土地清冊_匯入!$A$6:$A$1005,0)),"查無資料"))</f>
        <v/>
      </c>
      <c r="E311" s="9">
        <f>IF($A311="","",IFERROR(INDEX(土地清冊_匯入!$I$6:$I$1005,MATCH($A311,土地清冊_匯入!$A$6:$A$1005,0)),""))</f>
        <v/>
      </c>
      <c r="F311" s="13">
        <f>IF($A311="","",IFERROR(INDEX(建物清冊_匯入!$N$6:$N$1005,MATCH($A311,建物清冊_匯入!$A$6:$A$1005,0)),""))</f>
        <v/>
      </c>
      <c r="G311" s="9">
        <f>IF($A311="","",IFERROR(INDEX(建物清冊_匯入!$S$6:$S$1005,MATCH($A311,建物清冊_匯入!$A$6:$A$1005,0)),""))</f>
        <v/>
      </c>
      <c r="H311" s="7" t="n"/>
      <c r="I311" s="15" t="n"/>
      <c r="J311" s="16" t="n"/>
      <c r="K311" s="17">
        <f>IF(J311="","",1-J311)</f>
        <v/>
      </c>
      <c r="L311" s="15" t="n"/>
      <c r="M311" s="7" t="n"/>
      <c r="N311" s="7" t="n"/>
      <c r="O311" s="7" t="n"/>
      <c r="P311" s="11" t="n"/>
      <c r="Q311" s="7" t="n"/>
      <c r="R311" s="7" t="n"/>
      <c r="S311" s="7" t="n"/>
      <c r="T311" s="7" t="n"/>
      <c r="U311" s="12">
        <f>IF(A311="","",IF(H311="","建議填分配模式",""))</f>
        <v/>
      </c>
    </row>
    <row r="312" ht="24" customHeight="1">
      <c r="A312" s="7" t="n"/>
      <c r="B312" s="7" t="n"/>
      <c r="C312" s="7" t="n"/>
      <c r="D312" s="12">
        <f>IF($A312="","",IFERROR(INDEX(土地清冊_匯入!$B$6:$B$1005,MATCH($A312,土地清冊_匯入!$A$6:$A$1005,0)),"查無資料"))</f>
        <v/>
      </c>
      <c r="E312" s="9">
        <f>IF($A312="","",IFERROR(INDEX(土地清冊_匯入!$I$6:$I$1005,MATCH($A312,土地清冊_匯入!$A$6:$A$1005,0)),""))</f>
        <v/>
      </c>
      <c r="F312" s="13">
        <f>IF($A312="","",IFERROR(INDEX(建物清冊_匯入!$N$6:$N$1005,MATCH($A312,建物清冊_匯入!$A$6:$A$1005,0)),""))</f>
        <v/>
      </c>
      <c r="G312" s="9">
        <f>IF($A312="","",IFERROR(INDEX(建物清冊_匯入!$S$6:$S$1005,MATCH($A312,建物清冊_匯入!$A$6:$A$1005,0)),""))</f>
        <v/>
      </c>
      <c r="H312" s="7" t="n"/>
      <c r="I312" s="15" t="n"/>
      <c r="J312" s="16" t="n"/>
      <c r="K312" s="17">
        <f>IF(J312="","",1-J312)</f>
        <v/>
      </c>
      <c r="L312" s="15" t="n"/>
      <c r="M312" s="7" t="n"/>
      <c r="N312" s="7" t="n"/>
      <c r="O312" s="7" t="n"/>
      <c r="P312" s="11" t="n"/>
      <c r="Q312" s="7" t="n"/>
      <c r="R312" s="7" t="n"/>
      <c r="S312" s="7" t="n"/>
      <c r="T312" s="7" t="n"/>
      <c r="U312" s="12">
        <f>IF(A312="","",IF(H312="","建議填分配模式",""))</f>
        <v/>
      </c>
    </row>
    <row r="313" ht="24" customHeight="1">
      <c r="A313" s="7" t="n"/>
      <c r="B313" s="7" t="n"/>
      <c r="C313" s="7" t="n"/>
      <c r="D313" s="12">
        <f>IF($A313="","",IFERROR(INDEX(土地清冊_匯入!$B$6:$B$1005,MATCH($A313,土地清冊_匯入!$A$6:$A$1005,0)),"查無資料"))</f>
        <v/>
      </c>
      <c r="E313" s="9">
        <f>IF($A313="","",IFERROR(INDEX(土地清冊_匯入!$I$6:$I$1005,MATCH($A313,土地清冊_匯入!$A$6:$A$1005,0)),""))</f>
        <v/>
      </c>
      <c r="F313" s="13">
        <f>IF($A313="","",IFERROR(INDEX(建物清冊_匯入!$N$6:$N$1005,MATCH($A313,建物清冊_匯入!$A$6:$A$1005,0)),""))</f>
        <v/>
      </c>
      <c r="G313" s="9">
        <f>IF($A313="","",IFERROR(INDEX(建物清冊_匯入!$S$6:$S$1005,MATCH($A313,建物清冊_匯入!$A$6:$A$1005,0)),""))</f>
        <v/>
      </c>
      <c r="H313" s="7" t="n"/>
      <c r="I313" s="15" t="n"/>
      <c r="J313" s="16" t="n"/>
      <c r="K313" s="17">
        <f>IF(J313="","",1-J313)</f>
        <v/>
      </c>
      <c r="L313" s="15" t="n"/>
      <c r="M313" s="7" t="n"/>
      <c r="N313" s="7" t="n"/>
      <c r="O313" s="7" t="n"/>
      <c r="P313" s="11" t="n"/>
      <c r="Q313" s="7" t="n"/>
      <c r="R313" s="7" t="n"/>
      <c r="S313" s="7" t="n"/>
      <c r="T313" s="7" t="n"/>
      <c r="U313" s="12">
        <f>IF(A313="","",IF(H313="","建議填分配模式",""))</f>
        <v/>
      </c>
    </row>
    <row r="314" ht="24" customHeight="1">
      <c r="A314" s="7" t="n"/>
      <c r="B314" s="7" t="n"/>
      <c r="C314" s="7" t="n"/>
      <c r="D314" s="12">
        <f>IF($A314="","",IFERROR(INDEX(土地清冊_匯入!$B$6:$B$1005,MATCH($A314,土地清冊_匯入!$A$6:$A$1005,0)),"查無資料"))</f>
        <v/>
      </c>
      <c r="E314" s="9">
        <f>IF($A314="","",IFERROR(INDEX(土地清冊_匯入!$I$6:$I$1005,MATCH($A314,土地清冊_匯入!$A$6:$A$1005,0)),""))</f>
        <v/>
      </c>
      <c r="F314" s="13">
        <f>IF($A314="","",IFERROR(INDEX(建物清冊_匯入!$N$6:$N$1005,MATCH($A314,建物清冊_匯入!$A$6:$A$1005,0)),""))</f>
        <v/>
      </c>
      <c r="G314" s="9">
        <f>IF($A314="","",IFERROR(INDEX(建物清冊_匯入!$S$6:$S$1005,MATCH($A314,建物清冊_匯入!$A$6:$A$1005,0)),""))</f>
        <v/>
      </c>
      <c r="H314" s="7" t="n"/>
      <c r="I314" s="15" t="n"/>
      <c r="J314" s="16" t="n"/>
      <c r="K314" s="17">
        <f>IF(J314="","",1-J314)</f>
        <v/>
      </c>
      <c r="L314" s="15" t="n"/>
      <c r="M314" s="7" t="n"/>
      <c r="N314" s="7" t="n"/>
      <c r="O314" s="7" t="n"/>
      <c r="P314" s="11" t="n"/>
      <c r="Q314" s="7" t="n"/>
      <c r="R314" s="7" t="n"/>
      <c r="S314" s="7" t="n"/>
      <c r="T314" s="7" t="n"/>
      <c r="U314" s="12">
        <f>IF(A314="","",IF(H314="","建議填分配模式",""))</f>
        <v/>
      </c>
    </row>
    <row r="315" ht="24" customHeight="1">
      <c r="A315" s="7" t="n"/>
      <c r="B315" s="7" t="n"/>
      <c r="C315" s="7" t="n"/>
      <c r="D315" s="12">
        <f>IF($A315="","",IFERROR(INDEX(土地清冊_匯入!$B$6:$B$1005,MATCH($A315,土地清冊_匯入!$A$6:$A$1005,0)),"查無資料"))</f>
        <v/>
      </c>
      <c r="E315" s="9">
        <f>IF($A315="","",IFERROR(INDEX(土地清冊_匯入!$I$6:$I$1005,MATCH($A315,土地清冊_匯入!$A$6:$A$1005,0)),""))</f>
        <v/>
      </c>
      <c r="F315" s="13">
        <f>IF($A315="","",IFERROR(INDEX(建物清冊_匯入!$N$6:$N$1005,MATCH($A315,建物清冊_匯入!$A$6:$A$1005,0)),""))</f>
        <v/>
      </c>
      <c r="G315" s="9">
        <f>IF($A315="","",IFERROR(INDEX(建物清冊_匯入!$S$6:$S$1005,MATCH($A315,建物清冊_匯入!$A$6:$A$1005,0)),""))</f>
        <v/>
      </c>
      <c r="H315" s="7" t="n"/>
      <c r="I315" s="15" t="n"/>
      <c r="J315" s="16" t="n"/>
      <c r="K315" s="17">
        <f>IF(J315="","",1-J315)</f>
        <v/>
      </c>
      <c r="L315" s="15" t="n"/>
      <c r="M315" s="7" t="n"/>
      <c r="N315" s="7" t="n"/>
      <c r="O315" s="7" t="n"/>
      <c r="P315" s="11" t="n"/>
      <c r="Q315" s="7" t="n"/>
      <c r="R315" s="7" t="n"/>
      <c r="S315" s="7" t="n"/>
      <c r="T315" s="7" t="n"/>
      <c r="U315" s="12">
        <f>IF(A315="","",IF(H315="","建議填分配模式",""))</f>
        <v/>
      </c>
    </row>
    <row r="316" ht="24" customHeight="1">
      <c r="A316" s="7" t="n"/>
      <c r="B316" s="7" t="n"/>
      <c r="C316" s="7" t="n"/>
      <c r="D316" s="12">
        <f>IF($A316="","",IFERROR(INDEX(土地清冊_匯入!$B$6:$B$1005,MATCH($A316,土地清冊_匯入!$A$6:$A$1005,0)),"查無資料"))</f>
        <v/>
      </c>
      <c r="E316" s="9">
        <f>IF($A316="","",IFERROR(INDEX(土地清冊_匯入!$I$6:$I$1005,MATCH($A316,土地清冊_匯入!$A$6:$A$1005,0)),""))</f>
        <v/>
      </c>
      <c r="F316" s="13">
        <f>IF($A316="","",IFERROR(INDEX(建物清冊_匯入!$N$6:$N$1005,MATCH($A316,建物清冊_匯入!$A$6:$A$1005,0)),""))</f>
        <v/>
      </c>
      <c r="G316" s="9">
        <f>IF($A316="","",IFERROR(INDEX(建物清冊_匯入!$S$6:$S$1005,MATCH($A316,建物清冊_匯入!$A$6:$A$1005,0)),""))</f>
        <v/>
      </c>
      <c r="H316" s="7" t="n"/>
      <c r="I316" s="15" t="n"/>
      <c r="J316" s="16" t="n"/>
      <c r="K316" s="17">
        <f>IF(J316="","",1-J316)</f>
        <v/>
      </c>
      <c r="L316" s="15" t="n"/>
      <c r="M316" s="7" t="n"/>
      <c r="N316" s="7" t="n"/>
      <c r="O316" s="7" t="n"/>
      <c r="P316" s="11" t="n"/>
      <c r="Q316" s="7" t="n"/>
      <c r="R316" s="7" t="n"/>
      <c r="S316" s="7" t="n"/>
      <c r="T316" s="7" t="n"/>
      <c r="U316" s="12">
        <f>IF(A316="","",IF(H316="","建議填分配模式",""))</f>
        <v/>
      </c>
    </row>
    <row r="317" ht="24" customHeight="1">
      <c r="A317" s="7" t="n"/>
      <c r="B317" s="7" t="n"/>
      <c r="C317" s="7" t="n"/>
      <c r="D317" s="12">
        <f>IF($A317="","",IFERROR(INDEX(土地清冊_匯入!$B$6:$B$1005,MATCH($A317,土地清冊_匯入!$A$6:$A$1005,0)),"查無資料"))</f>
        <v/>
      </c>
      <c r="E317" s="9">
        <f>IF($A317="","",IFERROR(INDEX(土地清冊_匯入!$I$6:$I$1005,MATCH($A317,土地清冊_匯入!$A$6:$A$1005,0)),""))</f>
        <v/>
      </c>
      <c r="F317" s="13">
        <f>IF($A317="","",IFERROR(INDEX(建物清冊_匯入!$N$6:$N$1005,MATCH($A317,建物清冊_匯入!$A$6:$A$1005,0)),""))</f>
        <v/>
      </c>
      <c r="G317" s="9">
        <f>IF($A317="","",IFERROR(INDEX(建物清冊_匯入!$S$6:$S$1005,MATCH($A317,建物清冊_匯入!$A$6:$A$1005,0)),""))</f>
        <v/>
      </c>
      <c r="H317" s="7" t="n"/>
      <c r="I317" s="15" t="n"/>
      <c r="J317" s="16" t="n"/>
      <c r="K317" s="17">
        <f>IF(J317="","",1-J317)</f>
        <v/>
      </c>
      <c r="L317" s="15" t="n"/>
      <c r="M317" s="7" t="n"/>
      <c r="N317" s="7" t="n"/>
      <c r="O317" s="7" t="n"/>
      <c r="P317" s="11" t="n"/>
      <c r="Q317" s="7" t="n"/>
      <c r="R317" s="7" t="n"/>
      <c r="S317" s="7" t="n"/>
      <c r="T317" s="7" t="n"/>
      <c r="U317" s="12">
        <f>IF(A317="","",IF(H317="","建議填分配模式",""))</f>
        <v/>
      </c>
    </row>
    <row r="318" ht="24" customHeight="1">
      <c r="A318" s="7" t="n"/>
      <c r="B318" s="7" t="n"/>
      <c r="C318" s="7" t="n"/>
      <c r="D318" s="12">
        <f>IF($A318="","",IFERROR(INDEX(土地清冊_匯入!$B$6:$B$1005,MATCH($A318,土地清冊_匯入!$A$6:$A$1005,0)),"查無資料"))</f>
        <v/>
      </c>
      <c r="E318" s="9">
        <f>IF($A318="","",IFERROR(INDEX(土地清冊_匯入!$I$6:$I$1005,MATCH($A318,土地清冊_匯入!$A$6:$A$1005,0)),""))</f>
        <v/>
      </c>
      <c r="F318" s="13">
        <f>IF($A318="","",IFERROR(INDEX(建物清冊_匯入!$N$6:$N$1005,MATCH($A318,建物清冊_匯入!$A$6:$A$1005,0)),""))</f>
        <v/>
      </c>
      <c r="G318" s="9">
        <f>IF($A318="","",IFERROR(INDEX(建物清冊_匯入!$S$6:$S$1005,MATCH($A318,建物清冊_匯入!$A$6:$A$1005,0)),""))</f>
        <v/>
      </c>
      <c r="H318" s="7" t="n"/>
      <c r="I318" s="15" t="n"/>
      <c r="J318" s="16" t="n"/>
      <c r="K318" s="17">
        <f>IF(J318="","",1-J318)</f>
        <v/>
      </c>
      <c r="L318" s="15" t="n"/>
      <c r="M318" s="7" t="n"/>
      <c r="N318" s="7" t="n"/>
      <c r="O318" s="7" t="n"/>
      <c r="P318" s="11" t="n"/>
      <c r="Q318" s="7" t="n"/>
      <c r="R318" s="7" t="n"/>
      <c r="S318" s="7" t="n"/>
      <c r="T318" s="7" t="n"/>
      <c r="U318" s="12">
        <f>IF(A318="","",IF(H318="","建議填分配模式",""))</f>
        <v/>
      </c>
    </row>
    <row r="319" ht="24" customHeight="1">
      <c r="A319" s="7" t="n"/>
      <c r="B319" s="7" t="n"/>
      <c r="C319" s="7" t="n"/>
      <c r="D319" s="12">
        <f>IF($A319="","",IFERROR(INDEX(土地清冊_匯入!$B$6:$B$1005,MATCH($A319,土地清冊_匯入!$A$6:$A$1005,0)),"查無資料"))</f>
        <v/>
      </c>
      <c r="E319" s="9">
        <f>IF($A319="","",IFERROR(INDEX(土地清冊_匯入!$I$6:$I$1005,MATCH($A319,土地清冊_匯入!$A$6:$A$1005,0)),""))</f>
        <v/>
      </c>
      <c r="F319" s="13">
        <f>IF($A319="","",IFERROR(INDEX(建物清冊_匯入!$N$6:$N$1005,MATCH($A319,建物清冊_匯入!$A$6:$A$1005,0)),""))</f>
        <v/>
      </c>
      <c r="G319" s="9">
        <f>IF($A319="","",IFERROR(INDEX(建物清冊_匯入!$S$6:$S$1005,MATCH($A319,建物清冊_匯入!$A$6:$A$1005,0)),""))</f>
        <v/>
      </c>
      <c r="H319" s="7" t="n"/>
      <c r="I319" s="15" t="n"/>
      <c r="J319" s="16" t="n"/>
      <c r="K319" s="17">
        <f>IF(J319="","",1-J319)</f>
        <v/>
      </c>
      <c r="L319" s="15" t="n"/>
      <c r="M319" s="7" t="n"/>
      <c r="N319" s="7" t="n"/>
      <c r="O319" s="7" t="n"/>
      <c r="P319" s="11" t="n"/>
      <c r="Q319" s="7" t="n"/>
      <c r="R319" s="7" t="n"/>
      <c r="S319" s="7" t="n"/>
      <c r="T319" s="7" t="n"/>
      <c r="U319" s="12">
        <f>IF(A319="","",IF(H319="","建議填分配模式",""))</f>
        <v/>
      </c>
    </row>
    <row r="320" ht="24" customHeight="1">
      <c r="A320" s="7" t="n"/>
      <c r="B320" s="7" t="n"/>
      <c r="C320" s="7" t="n"/>
      <c r="D320" s="12">
        <f>IF($A320="","",IFERROR(INDEX(土地清冊_匯入!$B$6:$B$1005,MATCH($A320,土地清冊_匯入!$A$6:$A$1005,0)),"查無資料"))</f>
        <v/>
      </c>
      <c r="E320" s="9">
        <f>IF($A320="","",IFERROR(INDEX(土地清冊_匯入!$I$6:$I$1005,MATCH($A320,土地清冊_匯入!$A$6:$A$1005,0)),""))</f>
        <v/>
      </c>
      <c r="F320" s="13">
        <f>IF($A320="","",IFERROR(INDEX(建物清冊_匯入!$N$6:$N$1005,MATCH($A320,建物清冊_匯入!$A$6:$A$1005,0)),""))</f>
        <v/>
      </c>
      <c r="G320" s="9">
        <f>IF($A320="","",IFERROR(INDEX(建物清冊_匯入!$S$6:$S$1005,MATCH($A320,建物清冊_匯入!$A$6:$A$1005,0)),""))</f>
        <v/>
      </c>
      <c r="H320" s="7" t="n"/>
      <c r="I320" s="15" t="n"/>
      <c r="J320" s="16" t="n"/>
      <c r="K320" s="17">
        <f>IF(J320="","",1-J320)</f>
        <v/>
      </c>
      <c r="L320" s="15" t="n"/>
      <c r="M320" s="7" t="n"/>
      <c r="N320" s="7" t="n"/>
      <c r="O320" s="7" t="n"/>
      <c r="P320" s="11" t="n"/>
      <c r="Q320" s="7" t="n"/>
      <c r="R320" s="7" t="n"/>
      <c r="S320" s="7" t="n"/>
      <c r="T320" s="7" t="n"/>
      <c r="U320" s="12">
        <f>IF(A320="","",IF(H320="","建議填分配模式",""))</f>
        <v/>
      </c>
    </row>
    <row r="321" ht="24" customHeight="1">
      <c r="A321" s="7" t="n"/>
      <c r="B321" s="7" t="n"/>
      <c r="C321" s="7" t="n"/>
      <c r="D321" s="12">
        <f>IF($A321="","",IFERROR(INDEX(土地清冊_匯入!$B$6:$B$1005,MATCH($A321,土地清冊_匯入!$A$6:$A$1005,0)),"查無資料"))</f>
        <v/>
      </c>
      <c r="E321" s="9">
        <f>IF($A321="","",IFERROR(INDEX(土地清冊_匯入!$I$6:$I$1005,MATCH($A321,土地清冊_匯入!$A$6:$A$1005,0)),""))</f>
        <v/>
      </c>
      <c r="F321" s="13">
        <f>IF($A321="","",IFERROR(INDEX(建物清冊_匯入!$N$6:$N$1005,MATCH($A321,建物清冊_匯入!$A$6:$A$1005,0)),""))</f>
        <v/>
      </c>
      <c r="G321" s="9">
        <f>IF($A321="","",IFERROR(INDEX(建物清冊_匯入!$S$6:$S$1005,MATCH($A321,建物清冊_匯入!$A$6:$A$1005,0)),""))</f>
        <v/>
      </c>
      <c r="H321" s="7" t="n"/>
      <c r="I321" s="15" t="n"/>
      <c r="J321" s="16" t="n"/>
      <c r="K321" s="17">
        <f>IF(J321="","",1-J321)</f>
        <v/>
      </c>
      <c r="L321" s="15" t="n"/>
      <c r="M321" s="7" t="n"/>
      <c r="N321" s="7" t="n"/>
      <c r="O321" s="7" t="n"/>
      <c r="P321" s="11" t="n"/>
      <c r="Q321" s="7" t="n"/>
      <c r="R321" s="7" t="n"/>
      <c r="S321" s="7" t="n"/>
      <c r="T321" s="7" t="n"/>
      <c r="U321" s="12">
        <f>IF(A321="","",IF(H321="","建議填分配模式",""))</f>
        <v/>
      </c>
    </row>
    <row r="322" ht="24" customHeight="1">
      <c r="A322" s="7" t="n"/>
      <c r="B322" s="7" t="n"/>
      <c r="C322" s="7" t="n"/>
      <c r="D322" s="12">
        <f>IF($A322="","",IFERROR(INDEX(土地清冊_匯入!$B$6:$B$1005,MATCH($A322,土地清冊_匯入!$A$6:$A$1005,0)),"查無資料"))</f>
        <v/>
      </c>
      <c r="E322" s="9">
        <f>IF($A322="","",IFERROR(INDEX(土地清冊_匯入!$I$6:$I$1005,MATCH($A322,土地清冊_匯入!$A$6:$A$1005,0)),""))</f>
        <v/>
      </c>
      <c r="F322" s="13">
        <f>IF($A322="","",IFERROR(INDEX(建物清冊_匯入!$N$6:$N$1005,MATCH($A322,建物清冊_匯入!$A$6:$A$1005,0)),""))</f>
        <v/>
      </c>
      <c r="G322" s="9">
        <f>IF($A322="","",IFERROR(INDEX(建物清冊_匯入!$S$6:$S$1005,MATCH($A322,建物清冊_匯入!$A$6:$A$1005,0)),""))</f>
        <v/>
      </c>
      <c r="H322" s="7" t="n"/>
      <c r="I322" s="15" t="n"/>
      <c r="J322" s="16" t="n"/>
      <c r="K322" s="17">
        <f>IF(J322="","",1-J322)</f>
        <v/>
      </c>
      <c r="L322" s="15" t="n"/>
      <c r="M322" s="7" t="n"/>
      <c r="N322" s="7" t="n"/>
      <c r="O322" s="7" t="n"/>
      <c r="P322" s="11" t="n"/>
      <c r="Q322" s="7" t="n"/>
      <c r="R322" s="7" t="n"/>
      <c r="S322" s="7" t="n"/>
      <c r="T322" s="7" t="n"/>
      <c r="U322" s="12">
        <f>IF(A322="","",IF(H322="","建議填分配模式",""))</f>
        <v/>
      </c>
    </row>
    <row r="323" ht="24" customHeight="1">
      <c r="A323" s="7" t="n"/>
      <c r="B323" s="7" t="n"/>
      <c r="C323" s="7" t="n"/>
      <c r="D323" s="12">
        <f>IF($A323="","",IFERROR(INDEX(土地清冊_匯入!$B$6:$B$1005,MATCH($A323,土地清冊_匯入!$A$6:$A$1005,0)),"查無資料"))</f>
        <v/>
      </c>
      <c r="E323" s="9">
        <f>IF($A323="","",IFERROR(INDEX(土地清冊_匯入!$I$6:$I$1005,MATCH($A323,土地清冊_匯入!$A$6:$A$1005,0)),""))</f>
        <v/>
      </c>
      <c r="F323" s="13">
        <f>IF($A323="","",IFERROR(INDEX(建物清冊_匯入!$N$6:$N$1005,MATCH($A323,建物清冊_匯入!$A$6:$A$1005,0)),""))</f>
        <v/>
      </c>
      <c r="G323" s="9">
        <f>IF($A323="","",IFERROR(INDEX(建物清冊_匯入!$S$6:$S$1005,MATCH($A323,建物清冊_匯入!$A$6:$A$1005,0)),""))</f>
        <v/>
      </c>
      <c r="H323" s="7" t="n"/>
      <c r="I323" s="15" t="n"/>
      <c r="J323" s="16" t="n"/>
      <c r="K323" s="17">
        <f>IF(J323="","",1-J323)</f>
        <v/>
      </c>
      <c r="L323" s="15" t="n"/>
      <c r="M323" s="7" t="n"/>
      <c r="N323" s="7" t="n"/>
      <c r="O323" s="7" t="n"/>
      <c r="P323" s="11" t="n"/>
      <c r="Q323" s="7" t="n"/>
      <c r="R323" s="7" t="n"/>
      <c r="S323" s="7" t="n"/>
      <c r="T323" s="7" t="n"/>
      <c r="U323" s="12">
        <f>IF(A323="","",IF(H323="","建議填分配模式",""))</f>
        <v/>
      </c>
    </row>
    <row r="324" ht="24" customHeight="1">
      <c r="A324" s="7" t="n"/>
      <c r="B324" s="7" t="n"/>
      <c r="C324" s="7" t="n"/>
      <c r="D324" s="12">
        <f>IF($A324="","",IFERROR(INDEX(土地清冊_匯入!$B$6:$B$1005,MATCH($A324,土地清冊_匯入!$A$6:$A$1005,0)),"查無資料"))</f>
        <v/>
      </c>
      <c r="E324" s="9">
        <f>IF($A324="","",IFERROR(INDEX(土地清冊_匯入!$I$6:$I$1005,MATCH($A324,土地清冊_匯入!$A$6:$A$1005,0)),""))</f>
        <v/>
      </c>
      <c r="F324" s="13">
        <f>IF($A324="","",IFERROR(INDEX(建物清冊_匯入!$N$6:$N$1005,MATCH($A324,建物清冊_匯入!$A$6:$A$1005,0)),""))</f>
        <v/>
      </c>
      <c r="G324" s="9">
        <f>IF($A324="","",IFERROR(INDEX(建物清冊_匯入!$S$6:$S$1005,MATCH($A324,建物清冊_匯入!$A$6:$A$1005,0)),""))</f>
        <v/>
      </c>
      <c r="H324" s="7" t="n"/>
      <c r="I324" s="15" t="n"/>
      <c r="J324" s="16" t="n"/>
      <c r="K324" s="17">
        <f>IF(J324="","",1-J324)</f>
        <v/>
      </c>
      <c r="L324" s="15" t="n"/>
      <c r="M324" s="7" t="n"/>
      <c r="N324" s="7" t="n"/>
      <c r="O324" s="7" t="n"/>
      <c r="P324" s="11" t="n"/>
      <c r="Q324" s="7" t="n"/>
      <c r="R324" s="7" t="n"/>
      <c r="S324" s="7" t="n"/>
      <c r="T324" s="7" t="n"/>
      <c r="U324" s="12">
        <f>IF(A324="","",IF(H324="","建議填分配模式",""))</f>
        <v/>
      </c>
    </row>
    <row r="325" ht="24" customHeight="1">
      <c r="A325" s="7" t="n"/>
      <c r="B325" s="7" t="n"/>
      <c r="C325" s="7" t="n"/>
      <c r="D325" s="12">
        <f>IF($A325="","",IFERROR(INDEX(土地清冊_匯入!$B$6:$B$1005,MATCH($A325,土地清冊_匯入!$A$6:$A$1005,0)),"查無資料"))</f>
        <v/>
      </c>
      <c r="E325" s="9">
        <f>IF($A325="","",IFERROR(INDEX(土地清冊_匯入!$I$6:$I$1005,MATCH($A325,土地清冊_匯入!$A$6:$A$1005,0)),""))</f>
        <v/>
      </c>
      <c r="F325" s="13">
        <f>IF($A325="","",IFERROR(INDEX(建物清冊_匯入!$N$6:$N$1005,MATCH($A325,建物清冊_匯入!$A$6:$A$1005,0)),""))</f>
        <v/>
      </c>
      <c r="G325" s="9">
        <f>IF($A325="","",IFERROR(INDEX(建物清冊_匯入!$S$6:$S$1005,MATCH($A325,建物清冊_匯入!$A$6:$A$1005,0)),""))</f>
        <v/>
      </c>
      <c r="H325" s="7" t="n"/>
      <c r="I325" s="15" t="n"/>
      <c r="J325" s="16" t="n"/>
      <c r="K325" s="17">
        <f>IF(J325="","",1-J325)</f>
        <v/>
      </c>
      <c r="L325" s="15" t="n"/>
      <c r="M325" s="7" t="n"/>
      <c r="N325" s="7" t="n"/>
      <c r="O325" s="7" t="n"/>
      <c r="P325" s="11" t="n"/>
      <c r="Q325" s="7" t="n"/>
      <c r="R325" s="7" t="n"/>
      <c r="S325" s="7" t="n"/>
      <c r="T325" s="7" t="n"/>
      <c r="U325" s="12">
        <f>IF(A325="","",IF(H325="","建議填分配模式",""))</f>
        <v/>
      </c>
    </row>
    <row r="326" ht="24" customHeight="1">
      <c r="A326" s="7" t="n"/>
      <c r="B326" s="7" t="n"/>
      <c r="C326" s="7" t="n"/>
      <c r="D326" s="12">
        <f>IF($A326="","",IFERROR(INDEX(土地清冊_匯入!$B$6:$B$1005,MATCH($A326,土地清冊_匯入!$A$6:$A$1005,0)),"查無資料"))</f>
        <v/>
      </c>
      <c r="E326" s="9">
        <f>IF($A326="","",IFERROR(INDEX(土地清冊_匯入!$I$6:$I$1005,MATCH($A326,土地清冊_匯入!$A$6:$A$1005,0)),""))</f>
        <v/>
      </c>
      <c r="F326" s="13">
        <f>IF($A326="","",IFERROR(INDEX(建物清冊_匯入!$N$6:$N$1005,MATCH($A326,建物清冊_匯入!$A$6:$A$1005,0)),""))</f>
        <v/>
      </c>
      <c r="G326" s="9">
        <f>IF($A326="","",IFERROR(INDEX(建物清冊_匯入!$S$6:$S$1005,MATCH($A326,建物清冊_匯入!$A$6:$A$1005,0)),""))</f>
        <v/>
      </c>
      <c r="H326" s="7" t="n"/>
      <c r="I326" s="15" t="n"/>
      <c r="J326" s="16" t="n"/>
      <c r="K326" s="17">
        <f>IF(J326="","",1-J326)</f>
        <v/>
      </c>
      <c r="L326" s="15" t="n"/>
      <c r="M326" s="7" t="n"/>
      <c r="N326" s="7" t="n"/>
      <c r="O326" s="7" t="n"/>
      <c r="P326" s="11" t="n"/>
      <c r="Q326" s="7" t="n"/>
      <c r="R326" s="7" t="n"/>
      <c r="S326" s="7" t="n"/>
      <c r="T326" s="7" t="n"/>
      <c r="U326" s="12">
        <f>IF(A326="","",IF(H326="","建議填分配模式",""))</f>
        <v/>
      </c>
    </row>
    <row r="327" ht="24" customHeight="1">
      <c r="A327" s="7" t="n"/>
      <c r="B327" s="7" t="n"/>
      <c r="C327" s="7" t="n"/>
      <c r="D327" s="12">
        <f>IF($A327="","",IFERROR(INDEX(土地清冊_匯入!$B$6:$B$1005,MATCH($A327,土地清冊_匯入!$A$6:$A$1005,0)),"查無資料"))</f>
        <v/>
      </c>
      <c r="E327" s="9">
        <f>IF($A327="","",IFERROR(INDEX(土地清冊_匯入!$I$6:$I$1005,MATCH($A327,土地清冊_匯入!$A$6:$A$1005,0)),""))</f>
        <v/>
      </c>
      <c r="F327" s="13">
        <f>IF($A327="","",IFERROR(INDEX(建物清冊_匯入!$N$6:$N$1005,MATCH($A327,建物清冊_匯入!$A$6:$A$1005,0)),""))</f>
        <v/>
      </c>
      <c r="G327" s="9">
        <f>IF($A327="","",IFERROR(INDEX(建物清冊_匯入!$S$6:$S$1005,MATCH($A327,建物清冊_匯入!$A$6:$A$1005,0)),""))</f>
        <v/>
      </c>
      <c r="H327" s="7" t="n"/>
      <c r="I327" s="15" t="n"/>
      <c r="J327" s="16" t="n"/>
      <c r="K327" s="17">
        <f>IF(J327="","",1-J327)</f>
        <v/>
      </c>
      <c r="L327" s="15" t="n"/>
      <c r="M327" s="7" t="n"/>
      <c r="N327" s="7" t="n"/>
      <c r="O327" s="7" t="n"/>
      <c r="P327" s="11" t="n"/>
      <c r="Q327" s="7" t="n"/>
      <c r="R327" s="7" t="n"/>
      <c r="S327" s="7" t="n"/>
      <c r="T327" s="7" t="n"/>
      <c r="U327" s="12">
        <f>IF(A327="","",IF(H327="","建議填分配模式",""))</f>
        <v/>
      </c>
    </row>
    <row r="328" ht="24" customHeight="1">
      <c r="A328" s="7" t="n"/>
      <c r="B328" s="7" t="n"/>
      <c r="C328" s="7" t="n"/>
      <c r="D328" s="12">
        <f>IF($A328="","",IFERROR(INDEX(土地清冊_匯入!$B$6:$B$1005,MATCH($A328,土地清冊_匯入!$A$6:$A$1005,0)),"查無資料"))</f>
        <v/>
      </c>
      <c r="E328" s="9">
        <f>IF($A328="","",IFERROR(INDEX(土地清冊_匯入!$I$6:$I$1005,MATCH($A328,土地清冊_匯入!$A$6:$A$1005,0)),""))</f>
        <v/>
      </c>
      <c r="F328" s="13">
        <f>IF($A328="","",IFERROR(INDEX(建物清冊_匯入!$N$6:$N$1005,MATCH($A328,建物清冊_匯入!$A$6:$A$1005,0)),""))</f>
        <v/>
      </c>
      <c r="G328" s="9">
        <f>IF($A328="","",IFERROR(INDEX(建物清冊_匯入!$S$6:$S$1005,MATCH($A328,建物清冊_匯入!$A$6:$A$1005,0)),""))</f>
        <v/>
      </c>
      <c r="H328" s="7" t="n"/>
      <c r="I328" s="15" t="n"/>
      <c r="J328" s="16" t="n"/>
      <c r="K328" s="17">
        <f>IF(J328="","",1-J328)</f>
        <v/>
      </c>
      <c r="L328" s="15" t="n"/>
      <c r="M328" s="7" t="n"/>
      <c r="N328" s="7" t="n"/>
      <c r="O328" s="7" t="n"/>
      <c r="P328" s="11" t="n"/>
      <c r="Q328" s="7" t="n"/>
      <c r="R328" s="7" t="n"/>
      <c r="S328" s="7" t="n"/>
      <c r="T328" s="7" t="n"/>
      <c r="U328" s="12">
        <f>IF(A328="","",IF(H328="","建議填分配模式",""))</f>
        <v/>
      </c>
    </row>
    <row r="329" ht="24" customHeight="1">
      <c r="A329" s="7" t="n"/>
      <c r="B329" s="7" t="n"/>
      <c r="C329" s="7" t="n"/>
      <c r="D329" s="12">
        <f>IF($A329="","",IFERROR(INDEX(土地清冊_匯入!$B$6:$B$1005,MATCH($A329,土地清冊_匯入!$A$6:$A$1005,0)),"查無資料"))</f>
        <v/>
      </c>
      <c r="E329" s="9">
        <f>IF($A329="","",IFERROR(INDEX(土地清冊_匯入!$I$6:$I$1005,MATCH($A329,土地清冊_匯入!$A$6:$A$1005,0)),""))</f>
        <v/>
      </c>
      <c r="F329" s="13">
        <f>IF($A329="","",IFERROR(INDEX(建物清冊_匯入!$N$6:$N$1005,MATCH($A329,建物清冊_匯入!$A$6:$A$1005,0)),""))</f>
        <v/>
      </c>
      <c r="G329" s="9">
        <f>IF($A329="","",IFERROR(INDEX(建物清冊_匯入!$S$6:$S$1005,MATCH($A329,建物清冊_匯入!$A$6:$A$1005,0)),""))</f>
        <v/>
      </c>
      <c r="H329" s="7" t="n"/>
      <c r="I329" s="15" t="n"/>
      <c r="J329" s="16" t="n"/>
      <c r="K329" s="17">
        <f>IF(J329="","",1-J329)</f>
        <v/>
      </c>
      <c r="L329" s="15" t="n"/>
      <c r="M329" s="7" t="n"/>
      <c r="N329" s="7" t="n"/>
      <c r="O329" s="7" t="n"/>
      <c r="P329" s="11" t="n"/>
      <c r="Q329" s="7" t="n"/>
      <c r="R329" s="7" t="n"/>
      <c r="S329" s="7" t="n"/>
      <c r="T329" s="7" t="n"/>
      <c r="U329" s="12">
        <f>IF(A329="","",IF(H329="","建議填分配模式",""))</f>
        <v/>
      </c>
    </row>
    <row r="330" ht="24" customHeight="1">
      <c r="A330" s="7" t="n"/>
      <c r="B330" s="7" t="n"/>
      <c r="C330" s="7" t="n"/>
      <c r="D330" s="12">
        <f>IF($A330="","",IFERROR(INDEX(土地清冊_匯入!$B$6:$B$1005,MATCH($A330,土地清冊_匯入!$A$6:$A$1005,0)),"查無資料"))</f>
        <v/>
      </c>
      <c r="E330" s="9">
        <f>IF($A330="","",IFERROR(INDEX(土地清冊_匯入!$I$6:$I$1005,MATCH($A330,土地清冊_匯入!$A$6:$A$1005,0)),""))</f>
        <v/>
      </c>
      <c r="F330" s="13">
        <f>IF($A330="","",IFERROR(INDEX(建物清冊_匯入!$N$6:$N$1005,MATCH($A330,建物清冊_匯入!$A$6:$A$1005,0)),""))</f>
        <v/>
      </c>
      <c r="G330" s="9">
        <f>IF($A330="","",IFERROR(INDEX(建物清冊_匯入!$S$6:$S$1005,MATCH($A330,建物清冊_匯入!$A$6:$A$1005,0)),""))</f>
        <v/>
      </c>
      <c r="H330" s="7" t="n"/>
      <c r="I330" s="15" t="n"/>
      <c r="J330" s="16" t="n"/>
      <c r="K330" s="17">
        <f>IF(J330="","",1-J330)</f>
        <v/>
      </c>
      <c r="L330" s="15" t="n"/>
      <c r="M330" s="7" t="n"/>
      <c r="N330" s="7" t="n"/>
      <c r="O330" s="7" t="n"/>
      <c r="P330" s="11" t="n"/>
      <c r="Q330" s="7" t="n"/>
      <c r="R330" s="7" t="n"/>
      <c r="S330" s="7" t="n"/>
      <c r="T330" s="7" t="n"/>
      <c r="U330" s="12">
        <f>IF(A330="","",IF(H330="","建議填分配模式",""))</f>
        <v/>
      </c>
    </row>
    <row r="331" ht="24" customHeight="1">
      <c r="A331" s="7" t="n"/>
      <c r="B331" s="7" t="n"/>
      <c r="C331" s="7" t="n"/>
      <c r="D331" s="12">
        <f>IF($A331="","",IFERROR(INDEX(土地清冊_匯入!$B$6:$B$1005,MATCH($A331,土地清冊_匯入!$A$6:$A$1005,0)),"查無資料"))</f>
        <v/>
      </c>
      <c r="E331" s="9">
        <f>IF($A331="","",IFERROR(INDEX(土地清冊_匯入!$I$6:$I$1005,MATCH($A331,土地清冊_匯入!$A$6:$A$1005,0)),""))</f>
        <v/>
      </c>
      <c r="F331" s="13">
        <f>IF($A331="","",IFERROR(INDEX(建物清冊_匯入!$N$6:$N$1005,MATCH($A331,建物清冊_匯入!$A$6:$A$1005,0)),""))</f>
        <v/>
      </c>
      <c r="G331" s="9">
        <f>IF($A331="","",IFERROR(INDEX(建物清冊_匯入!$S$6:$S$1005,MATCH($A331,建物清冊_匯入!$A$6:$A$1005,0)),""))</f>
        <v/>
      </c>
      <c r="H331" s="7" t="n"/>
      <c r="I331" s="15" t="n"/>
      <c r="J331" s="16" t="n"/>
      <c r="K331" s="17">
        <f>IF(J331="","",1-J331)</f>
        <v/>
      </c>
      <c r="L331" s="15" t="n"/>
      <c r="M331" s="7" t="n"/>
      <c r="N331" s="7" t="n"/>
      <c r="O331" s="7" t="n"/>
      <c r="P331" s="11" t="n"/>
      <c r="Q331" s="7" t="n"/>
      <c r="R331" s="7" t="n"/>
      <c r="S331" s="7" t="n"/>
      <c r="T331" s="7" t="n"/>
      <c r="U331" s="12">
        <f>IF(A331="","",IF(H331="","建議填分配模式",""))</f>
        <v/>
      </c>
    </row>
    <row r="332" ht="24" customHeight="1">
      <c r="A332" s="7" t="n"/>
      <c r="B332" s="7" t="n"/>
      <c r="C332" s="7" t="n"/>
      <c r="D332" s="12">
        <f>IF($A332="","",IFERROR(INDEX(土地清冊_匯入!$B$6:$B$1005,MATCH($A332,土地清冊_匯入!$A$6:$A$1005,0)),"查無資料"))</f>
        <v/>
      </c>
      <c r="E332" s="9">
        <f>IF($A332="","",IFERROR(INDEX(土地清冊_匯入!$I$6:$I$1005,MATCH($A332,土地清冊_匯入!$A$6:$A$1005,0)),""))</f>
        <v/>
      </c>
      <c r="F332" s="13">
        <f>IF($A332="","",IFERROR(INDEX(建物清冊_匯入!$N$6:$N$1005,MATCH($A332,建物清冊_匯入!$A$6:$A$1005,0)),""))</f>
        <v/>
      </c>
      <c r="G332" s="9">
        <f>IF($A332="","",IFERROR(INDEX(建物清冊_匯入!$S$6:$S$1005,MATCH($A332,建物清冊_匯入!$A$6:$A$1005,0)),""))</f>
        <v/>
      </c>
      <c r="H332" s="7" t="n"/>
      <c r="I332" s="15" t="n"/>
      <c r="J332" s="16" t="n"/>
      <c r="K332" s="17">
        <f>IF(J332="","",1-J332)</f>
        <v/>
      </c>
      <c r="L332" s="15" t="n"/>
      <c r="M332" s="7" t="n"/>
      <c r="N332" s="7" t="n"/>
      <c r="O332" s="7" t="n"/>
      <c r="P332" s="11" t="n"/>
      <c r="Q332" s="7" t="n"/>
      <c r="R332" s="7" t="n"/>
      <c r="S332" s="7" t="n"/>
      <c r="T332" s="7" t="n"/>
      <c r="U332" s="12">
        <f>IF(A332="","",IF(H332="","建議填分配模式",""))</f>
        <v/>
      </c>
    </row>
    <row r="333" ht="24" customHeight="1">
      <c r="A333" s="7" t="n"/>
      <c r="B333" s="7" t="n"/>
      <c r="C333" s="7" t="n"/>
      <c r="D333" s="12">
        <f>IF($A333="","",IFERROR(INDEX(土地清冊_匯入!$B$6:$B$1005,MATCH($A333,土地清冊_匯入!$A$6:$A$1005,0)),"查無資料"))</f>
        <v/>
      </c>
      <c r="E333" s="9">
        <f>IF($A333="","",IFERROR(INDEX(土地清冊_匯入!$I$6:$I$1005,MATCH($A333,土地清冊_匯入!$A$6:$A$1005,0)),""))</f>
        <v/>
      </c>
      <c r="F333" s="13">
        <f>IF($A333="","",IFERROR(INDEX(建物清冊_匯入!$N$6:$N$1005,MATCH($A333,建物清冊_匯入!$A$6:$A$1005,0)),""))</f>
        <v/>
      </c>
      <c r="G333" s="9">
        <f>IF($A333="","",IFERROR(INDEX(建物清冊_匯入!$S$6:$S$1005,MATCH($A333,建物清冊_匯入!$A$6:$A$1005,0)),""))</f>
        <v/>
      </c>
      <c r="H333" s="7" t="n"/>
      <c r="I333" s="15" t="n"/>
      <c r="J333" s="16" t="n"/>
      <c r="K333" s="17">
        <f>IF(J333="","",1-J333)</f>
        <v/>
      </c>
      <c r="L333" s="15" t="n"/>
      <c r="M333" s="7" t="n"/>
      <c r="N333" s="7" t="n"/>
      <c r="O333" s="7" t="n"/>
      <c r="P333" s="11" t="n"/>
      <c r="Q333" s="7" t="n"/>
      <c r="R333" s="7" t="n"/>
      <c r="S333" s="7" t="n"/>
      <c r="T333" s="7" t="n"/>
      <c r="U333" s="12">
        <f>IF(A333="","",IF(H333="","建議填分配模式",""))</f>
        <v/>
      </c>
    </row>
    <row r="334" ht="24" customHeight="1">
      <c r="A334" s="7" t="n"/>
      <c r="B334" s="7" t="n"/>
      <c r="C334" s="7" t="n"/>
      <c r="D334" s="12">
        <f>IF($A334="","",IFERROR(INDEX(土地清冊_匯入!$B$6:$B$1005,MATCH($A334,土地清冊_匯入!$A$6:$A$1005,0)),"查無資料"))</f>
        <v/>
      </c>
      <c r="E334" s="9">
        <f>IF($A334="","",IFERROR(INDEX(土地清冊_匯入!$I$6:$I$1005,MATCH($A334,土地清冊_匯入!$A$6:$A$1005,0)),""))</f>
        <v/>
      </c>
      <c r="F334" s="13">
        <f>IF($A334="","",IFERROR(INDEX(建物清冊_匯入!$N$6:$N$1005,MATCH($A334,建物清冊_匯入!$A$6:$A$1005,0)),""))</f>
        <v/>
      </c>
      <c r="G334" s="9">
        <f>IF($A334="","",IFERROR(INDEX(建物清冊_匯入!$S$6:$S$1005,MATCH($A334,建物清冊_匯入!$A$6:$A$1005,0)),""))</f>
        <v/>
      </c>
      <c r="H334" s="7" t="n"/>
      <c r="I334" s="15" t="n"/>
      <c r="J334" s="16" t="n"/>
      <c r="K334" s="17">
        <f>IF(J334="","",1-J334)</f>
        <v/>
      </c>
      <c r="L334" s="15" t="n"/>
      <c r="M334" s="7" t="n"/>
      <c r="N334" s="7" t="n"/>
      <c r="O334" s="7" t="n"/>
      <c r="P334" s="11" t="n"/>
      <c r="Q334" s="7" t="n"/>
      <c r="R334" s="7" t="n"/>
      <c r="S334" s="7" t="n"/>
      <c r="T334" s="7" t="n"/>
      <c r="U334" s="12">
        <f>IF(A334="","",IF(H334="","建議填分配模式",""))</f>
        <v/>
      </c>
    </row>
    <row r="335" ht="24" customHeight="1">
      <c r="A335" s="7" t="n"/>
      <c r="B335" s="7" t="n"/>
      <c r="C335" s="7" t="n"/>
      <c r="D335" s="12">
        <f>IF($A335="","",IFERROR(INDEX(土地清冊_匯入!$B$6:$B$1005,MATCH($A335,土地清冊_匯入!$A$6:$A$1005,0)),"查無資料"))</f>
        <v/>
      </c>
      <c r="E335" s="9">
        <f>IF($A335="","",IFERROR(INDEX(土地清冊_匯入!$I$6:$I$1005,MATCH($A335,土地清冊_匯入!$A$6:$A$1005,0)),""))</f>
        <v/>
      </c>
      <c r="F335" s="13">
        <f>IF($A335="","",IFERROR(INDEX(建物清冊_匯入!$N$6:$N$1005,MATCH($A335,建物清冊_匯入!$A$6:$A$1005,0)),""))</f>
        <v/>
      </c>
      <c r="G335" s="9">
        <f>IF($A335="","",IFERROR(INDEX(建物清冊_匯入!$S$6:$S$1005,MATCH($A335,建物清冊_匯入!$A$6:$A$1005,0)),""))</f>
        <v/>
      </c>
      <c r="H335" s="7" t="n"/>
      <c r="I335" s="15" t="n"/>
      <c r="J335" s="16" t="n"/>
      <c r="K335" s="17">
        <f>IF(J335="","",1-J335)</f>
        <v/>
      </c>
      <c r="L335" s="15" t="n"/>
      <c r="M335" s="7" t="n"/>
      <c r="N335" s="7" t="n"/>
      <c r="O335" s="7" t="n"/>
      <c r="P335" s="11" t="n"/>
      <c r="Q335" s="7" t="n"/>
      <c r="R335" s="7" t="n"/>
      <c r="S335" s="7" t="n"/>
      <c r="T335" s="7" t="n"/>
      <c r="U335" s="12">
        <f>IF(A335="","",IF(H335="","建議填分配模式",""))</f>
        <v/>
      </c>
    </row>
    <row r="336" ht="24" customHeight="1">
      <c r="A336" s="7" t="n"/>
      <c r="B336" s="7" t="n"/>
      <c r="C336" s="7" t="n"/>
      <c r="D336" s="12">
        <f>IF($A336="","",IFERROR(INDEX(土地清冊_匯入!$B$6:$B$1005,MATCH($A336,土地清冊_匯入!$A$6:$A$1005,0)),"查無資料"))</f>
        <v/>
      </c>
      <c r="E336" s="9">
        <f>IF($A336="","",IFERROR(INDEX(土地清冊_匯入!$I$6:$I$1005,MATCH($A336,土地清冊_匯入!$A$6:$A$1005,0)),""))</f>
        <v/>
      </c>
      <c r="F336" s="13">
        <f>IF($A336="","",IFERROR(INDEX(建物清冊_匯入!$N$6:$N$1005,MATCH($A336,建物清冊_匯入!$A$6:$A$1005,0)),""))</f>
        <v/>
      </c>
      <c r="G336" s="9">
        <f>IF($A336="","",IFERROR(INDEX(建物清冊_匯入!$S$6:$S$1005,MATCH($A336,建物清冊_匯入!$A$6:$A$1005,0)),""))</f>
        <v/>
      </c>
      <c r="H336" s="7" t="n"/>
      <c r="I336" s="15" t="n"/>
      <c r="J336" s="16" t="n"/>
      <c r="K336" s="17">
        <f>IF(J336="","",1-J336)</f>
        <v/>
      </c>
      <c r="L336" s="15" t="n"/>
      <c r="M336" s="7" t="n"/>
      <c r="N336" s="7" t="n"/>
      <c r="O336" s="7" t="n"/>
      <c r="P336" s="11" t="n"/>
      <c r="Q336" s="7" t="n"/>
      <c r="R336" s="7" t="n"/>
      <c r="S336" s="7" t="n"/>
      <c r="T336" s="7" t="n"/>
      <c r="U336" s="12">
        <f>IF(A336="","",IF(H336="","建議填分配模式",""))</f>
        <v/>
      </c>
    </row>
    <row r="337" ht="24" customHeight="1">
      <c r="A337" s="7" t="n"/>
      <c r="B337" s="7" t="n"/>
      <c r="C337" s="7" t="n"/>
      <c r="D337" s="12">
        <f>IF($A337="","",IFERROR(INDEX(土地清冊_匯入!$B$6:$B$1005,MATCH($A337,土地清冊_匯入!$A$6:$A$1005,0)),"查無資料"))</f>
        <v/>
      </c>
      <c r="E337" s="9">
        <f>IF($A337="","",IFERROR(INDEX(土地清冊_匯入!$I$6:$I$1005,MATCH($A337,土地清冊_匯入!$A$6:$A$1005,0)),""))</f>
        <v/>
      </c>
      <c r="F337" s="13">
        <f>IF($A337="","",IFERROR(INDEX(建物清冊_匯入!$N$6:$N$1005,MATCH($A337,建物清冊_匯入!$A$6:$A$1005,0)),""))</f>
        <v/>
      </c>
      <c r="G337" s="9">
        <f>IF($A337="","",IFERROR(INDEX(建物清冊_匯入!$S$6:$S$1005,MATCH($A337,建物清冊_匯入!$A$6:$A$1005,0)),""))</f>
        <v/>
      </c>
      <c r="H337" s="7" t="n"/>
      <c r="I337" s="15" t="n"/>
      <c r="J337" s="16" t="n"/>
      <c r="K337" s="17">
        <f>IF(J337="","",1-J337)</f>
        <v/>
      </c>
      <c r="L337" s="15" t="n"/>
      <c r="M337" s="7" t="n"/>
      <c r="N337" s="7" t="n"/>
      <c r="O337" s="7" t="n"/>
      <c r="P337" s="11" t="n"/>
      <c r="Q337" s="7" t="n"/>
      <c r="R337" s="7" t="n"/>
      <c r="S337" s="7" t="n"/>
      <c r="T337" s="7" t="n"/>
      <c r="U337" s="12">
        <f>IF(A337="","",IF(H337="","建議填分配模式",""))</f>
        <v/>
      </c>
    </row>
    <row r="338" ht="24" customHeight="1">
      <c r="A338" s="7" t="n"/>
      <c r="B338" s="7" t="n"/>
      <c r="C338" s="7" t="n"/>
      <c r="D338" s="12">
        <f>IF($A338="","",IFERROR(INDEX(土地清冊_匯入!$B$6:$B$1005,MATCH($A338,土地清冊_匯入!$A$6:$A$1005,0)),"查無資料"))</f>
        <v/>
      </c>
      <c r="E338" s="9">
        <f>IF($A338="","",IFERROR(INDEX(土地清冊_匯入!$I$6:$I$1005,MATCH($A338,土地清冊_匯入!$A$6:$A$1005,0)),""))</f>
        <v/>
      </c>
      <c r="F338" s="13">
        <f>IF($A338="","",IFERROR(INDEX(建物清冊_匯入!$N$6:$N$1005,MATCH($A338,建物清冊_匯入!$A$6:$A$1005,0)),""))</f>
        <v/>
      </c>
      <c r="G338" s="9">
        <f>IF($A338="","",IFERROR(INDEX(建物清冊_匯入!$S$6:$S$1005,MATCH($A338,建物清冊_匯入!$A$6:$A$1005,0)),""))</f>
        <v/>
      </c>
      <c r="H338" s="7" t="n"/>
      <c r="I338" s="15" t="n"/>
      <c r="J338" s="16" t="n"/>
      <c r="K338" s="17">
        <f>IF(J338="","",1-J338)</f>
        <v/>
      </c>
      <c r="L338" s="15" t="n"/>
      <c r="M338" s="7" t="n"/>
      <c r="N338" s="7" t="n"/>
      <c r="O338" s="7" t="n"/>
      <c r="P338" s="11" t="n"/>
      <c r="Q338" s="7" t="n"/>
      <c r="R338" s="7" t="n"/>
      <c r="S338" s="7" t="n"/>
      <c r="T338" s="7" t="n"/>
      <c r="U338" s="12">
        <f>IF(A338="","",IF(H338="","建議填分配模式",""))</f>
        <v/>
      </c>
    </row>
    <row r="339" ht="24" customHeight="1">
      <c r="A339" s="7" t="n"/>
      <c r="B339" s="7" t="n"/>
      <c r="C339" s="7" t="n"/>
      <c r="D339" s="12">
        <f>IF($A339="","",IFERROR(INDEX(土地清冊_匯入!$B$6:$B$1005,MATCH($A339,土地清冊_匯入!$A$6:$A$1005,0)),"查無資料"))</f>
        <v/>
      </c>
      <c r="E339" s="9">
        <f>IF($A339="","",IFERROR(INDEX(土地清冊_匯入!$I$6:$I$1005,MATCH($A339,土地清冊_匯入!$A$6:$A$1005,0)),""))</f>
        <v/>
      </c>
      <c r="F339" s="13">
        <f>IF($A339="","",IFERROR(INDEX(建物清冊_匯入!$N$6:$N$1005,MATCH($A339,建物清冊_匯入!$A$6:$A$1005,0)),""))</f>
        <v/>
      </c>
      <c r="G339" s="9">
        <f>IF($A339="","",IFERROR(INDEX(建物清冊_匯入!$S$6:$S$1005,MATCH($A339,建物清冊_匯入!$A$6:$A$1005,0)),""))</f>
        <v/>
      </c>
      <c r="H339" s="7" t="n"/>
      <c r="I339" s="15" t="n"/>
      <c r="J339" s="16" t="n"/>
      <c r="K339" s="17">
        <f>IF(J339="","",1-J339)</f>
        <v/>
      </c>
      <c r="L339" s="15" t="n"/>
      <c r="M339" s="7" t="n"/>
      <c r="N339" s="7" t="n"/>
      <c r="O339" s="7" t="n"/>
      <c r="P339" s="11" t="n"/>
      <c r="Q339" s="7" t="n"/>
      <c r="R339" s="7" t="n"/>
      <c r="S339" s="7" t="n"/>
      <c r="T339" s="7" t="n"/>
      <c r="U339" s="12">
        <f>IF(A339="","",IF(H339="","建議填分配模式",""))</f>
        <v/>
      </c>
    </row>
    <row r="340" ht="24" customHeight="1">
      <c r="A340" s="7" t="n"/>
      <c r="B340" s="7" t="n"/>
      <c r="C340" s="7" t="n"/>
      <c r="D340" s="12">
        <f>IF($A340="","",IFERROR(INDEX(土地清冊_匯入!$B$6:$B$1005,MATCH($A340,土地清冊_匯入!$A$6:$A$1005,0)),"查無資料"))</f>
        <v/>
      </c>
      <c r="E340" s="9">
        <f>IF($A340="","",IFERROR(INDEX(土地清冊_匯入!$I$6:$I$1005,MATCH($A340,土地清冊_匯入!$A$6:$A$1005,0)),""))</f>
        <v/>
      </c>
      <c r="F340" s="13">
        <f>IF($A340="","",IFERROR(INDEX(建物清冊_匯入!$N$6:$N$1005,MATCH($A340,建物清冊_匯入!$A$6:$A$1005,0)),""))</f>
        <v/>
      </c>
      <c r="G340" s="9">
        <f>IF($A340="","",IFERROR(INDEX(建物清冊_匯入!$S$6:$S$1005,MATCH($A340,建物清冊_匯入!$A$6:$A$1005,0)),""))</f>
        <v/>
      </c>
      <c r="H340" s="7" t="n"/>
      <c r="I340" s="15" t="n"/>
      <c r="J340" s="16" t="n"/>
      <c r="K340" s="17">
        <f>IF(J340="","",1-J340)</f>
        <v/>
      </c>
      <c r="L340" s="15" t="n"/>
      <c r="M340" s="7" t="n"/>
      <c r="N340" s="7" t="n"/>
      <c r="O340" s="7" t="n"/>
      <c r="P340" s="11" t="n"/>
      <c r="Q340" s="7" t="n"/>
      <c r="R340" s="7" t="n"/>
      <c r="S340" s="7" t="n"/>
      <c r="T340" s="7" t="n"/>
      <c r="U340" s="12">
        <f>IF(A340="","",IF(H340="","建議填分配模式",""))</f>
        <v/>
      </c>
    </row>
    <row r="341" ht="24" customHeight="1">
      <c r="A341" s="7" t="n"/>
      <c r="B341" s="7" t="n"/>
      <c r="C341" s="7" t="n"/>
      <c r="D341" s="12">
        <f>IF($A341="","",IFERROR(INDEX(土地清冊_匯入!$B$6:$B$1005,MATCH($A341,土地清冊_匯入!$A$6:$A$1005,0)),"查無資料"))</f>
        <v/>
      </c>
      <c r="E341" s="9">
        <f>IF($A341="","",IFERROR(INDEX(土地清冊_匯入!$I$6:$I$1005,MATCH($A341,土地清冊_匯入!$A$6:$A$1005,0)),""))</f>
        <v/>
      </c>
      <c r="F341" s="13">
        <f>IF($A341="","",IFERROR(INDEX(建物清冊_匯入!$N$6:$N$1005,MATCH($A341,建物清冊_匯入!$A$6:$A$1005,0)),""))</f>
        <v/>
      </c>
      <c r="G341" s="9">
        <f>IF($A341="","",IFERROR(INDEX(建物清冊_匯入!$S$6:$S$1005,MATCH($A341,建物清冊_匯入!$A$6:$A$1005,0)),""))</f>
        <v/>
      </c>
      <c r="H341" s="7" t="n"/>
      <c r="I341" s="15" t="n"/>
      <c r="J341" s="16" t="n"/>
      <c r="K341" s="17">
        <f>IF(J341="","",1-J341)</f>
        <v/>
      </c>
      <c r="L341" s="15" t="n"/>
      <c r="M341" s="7" t="n"/>
      <c r="N341" s="7" t="n"/>
      <c r="O341" s="7" t="n"/>
      <c r="P341" s="11" t="n"/>
      <c r="Q341" s="7" t="n"/>
      <c r="R341" s="7" t="n"/>
      <c r="S341" s="7" t="n"/>
      <c r="T341" s="7" t="n"/>
      <c r="U341" s="12">
        <f>IF(A341="","",IF(H341="","建議填分配模式",""))</f>
        <v/>
      </c>
    </row>
    <row r="342" ht="24" customHeight="1">
      <c r="A342" s="7" t="n"/>
      <c r="B342" s="7" t="n"/>
      <c r="C342" s="7" t="n"/>
      <c r="D342" s="12">
        <f>IF($A342="","",IFERROR(INDEX(土地清冊_匯入!$B$6:$B$1005,MATCH($A342,土地清冊_匯入!$A$6:$A$1005,0)),"查無資料"))</f>
        <v/>
      </c>
      <c r="E342" s="9">
        <f>IF($A342="","",IFERROR(INDEX(土地清冊_匯入!$I$6:$I$1005,MATCH($A342,土地清冊_匯入!$A$6:$A$1005,0)),""))</f>
        <v/>
      </c>
      <c r="F342" s="13">
        <f>IF($A342="","",IFERROR(INDEX(建物清冊_匯入!$N$6:$N$1005,MATCH($A342,建物清冊_匯入!$A$6:$A$1005,0)),""))</f>
        <v/>
      </c>
      <c r="G342" s="9">
        <f>IF($A342="","",IFERROR(INDEX(建物清冊_匯入!$S$6:$S$1005,MATCH($A342,建物清冊_匯入!$A$6:$A$1005,0)),""))</f>
        <v/>
      </c>
      <c r="H342" s="7" t="n"/>
      <c r="I342" s="15" t="n"/>
      <c r="J342" s="16" t="n"/>
      <c r="K342" s="17">
        <f>IF(J342="","",1-J342)</f>
        <v/>
      </c>
      <c r="L342" s="15" t="n"/>
      <c r="M342" s="7" t="n"/>
      <c r="N342" s="7" t="n"/>
      <c r="O342" s="7" t="n"/>
      <c r="P342" s="11" t="n"/>
      <c r="Q342" s="7" t="n"/>
      <c r="R342" s="7" t="n"/>
      <c r="S342" s="7" t="n"/>
      <c r="T342" s="7" t="n"/>
      <c r="U342" s="12">
        <f>IF(A342="","",IF(H342="","建議填分配模式",""))</f>
        <v/>
      </c>
    </row>
    <row r="343" ht="24" customHeight="1">
      <c r="A343" s="7" t="n"/>
      <c r="B343" s="7" t="n"/>
      <c r="C343" s="7" t="n"/>
      <c r="D343" s="12">
        <f>IF($A343="","",IFERROR(INDEX(土地清冊_匯入!$B$6:$B$1005,MATCH($A343,土地清冊_匯入!$A$6:$A$1005,0)),"查無資料"))</f>
        <v/>
      </c>
      <c r="E343" s="9">
        <f>IF($A343="","",IFERROR(INDEX(土地清冊_匯入!$I$6:$I$1005,MATCH($A343,土地清冊_匯入!$A$6:$A$1005,0)),""))</f>
        <v/>
      </c>
      <c r="F343" s="13">
        <f>IF($A343="","",IFERROR(INDEX(建物清冊_匯入!$N$6:$N$1005,MATCH($A343,建物清冊_匯入!$A$6:$A$1005,0)),""))</f>
        <v/>
      </c>
      <c r="G343" s="9">
        <f>IF($A343="","",IFERROR(INDEX(建物清冊_匯入!$S$6:$S$1005,MATCH($A343,建物清冊_匯入!$A$6:$A$1005,0)),""))</f>
        <v/>
      </c>
      <c r="H343" s="7" t="n"/>
      <c r="I343" s="15" t="n"/>
      <c r="J343" s="16" t="n"/>
      <c r="K343" s="17">
        <f>IF(J343="","",1-J343)</f>
        <v/>
      </c>
      <c r="L343" s="15" t="n"/>
      <c r="M343" s="7" t="n"/>
      <c r="N343" s="7" t="n"/>
      <c r="O343" s="7" t="n"/>
      <c r="P343" s="11" t="n"/>
      <c r="Q343" s="7" t="n"/>
      <c r="R343" s="7" t="n"/>
      <c r="S343" s="7" t="n"/>
      <c r="T343" s="7" t="n"/>
      <c r="U343" s="12">
        <f>IF(A343="","",IF(H343="","建議填分配模式",""))</f>
        <v/>
      </c>
    </row>
    <row r="344" ht="24" customHeight="1">
      <c r="A344" s="7" t="n"/>
      <c r="B344" s="7" t="n"/>
      <c r="C344" s="7" t="n"/>
      <c r="D344" s="12">
        <f>IF($A344="","",IFERROR(INDEX(土地清冊_匯入!$B$6:$B$1005,MATCH($A344,土地清冊_匯入!$A$6:$A$1005,0)),"查無資料"))</f>
        <v/>
      </c>
      <c r="E344" s="9">
        <f>IF($A344="","",IFERROR(INDEX(土地清冊_匯入!$I$6:$I$1005,MATCH($A344,土地清冊_匯入!$A$6:$A$1005,0)),""))</f>
        <v/>
      </c>
      <c r="F344" s="13">
        <f>IF($A344="","",IFERROR(INDEX(建物清冊_匯入!$N$6:$N$1005,MATCH($A344,建物清冊_匯入!$A$6:$A$1005,0)),""))</f>
        <v/>
      </c>
      <c r="G344" s="9">
        <f>IF($A344="","",IFERROR(INDEX(建物清冊_匯入!$S$6:$S$1005,MATCH($A344,建物清冊_匯入!$A$6:$A$1005,0)),""))</f>
        <v/>
      </c>
      <c r="H344" s="7" t="n"/>
      <c r="I344" s="15" t="n"/>
      <c r="J344" s="16" t="n"/>
      <c r="K344" s="17">
        <f>IF(J344="","",1-J344)</f>
        <v/>
      </c>
      <c r="L344" s="15" t="n"/>
      <c r="M344" s="7" t="n"/>
      <c r="N344" s="7" t="n"/>
      <c r="O344" s="7" t="n"/>
      <c r="P344" s="11" t="n"/>
      <c r="Q344" s="7" t="n"/>
      <c r="R344" s="7" t="n"/>
      <c r="S344" s="7" t="n"/>
      <c r="T344" s="7" t="n"/>
      <c r="U344" s="12">
        <f>IF(A344="","",IF(H344="","建議填分配模式",""))</f>
        <v/>
      </c>
    </row>
    <row r="345" ht="24" customHeight="1">
      <c r="A345" s="7" t="n"/>
      <c r="B345" s="7" t="n"/>
      <c r="C345" s="7" t="n"/>
      <c r="D345" s="12">
        <f>IF($A345="","",IFERROR(INDEX(土地清冊_匯入!$B$6:$B$1005,MATCH($A345,土地清冊_匯入!$A$6:$A$1005,0)),"查無資料"))</f>
        <v/>
      </c>
      <c r="E345" s="9">
        <f>IF($A345="","",IFERROR(INDEX(土地清冊_匯入!$I$6:$I$1005,MATCH($A345,土地清冊_匯入!$A$6:$A$1005,0)),""))</f>
        <v/>
      </c>
      <c r="F345" s="13">
        <f>IF($A345="","",IFERROR(INDEX(建物清冊_匯入!$N$6:$N$1005,MATCH($A345,建物清冊_匯入!$A$6:$A$1005,0)),""))</f>
        <v/>
      </c>
      <c r="G345" s="9">
        <f>IF($A345="","",IFERROR(INDEX(建物清冊_匯入!$S$6:$S$1005,MATCH($A345,建物清冊_匯入!$A$6:$A$1005,0)),""))</f>
        <v/>
      </c>
      <c r="H345" s="7" t="n"/>
      <c r="I345" s="15" t="n"/>
      <c r="J345" s="16" t="n"/>
      <c r="K345" s="17">
        <f>IF(J345="","",1-J345)</f>
        <v/>
      </c>
      <c r="L345" s="15" t="n"/>
      <c r="M345" s="7" t="n"/>
      <c r="N345" s="7" t="n"/>
      <c r="O345" s="7" t="n"/>
      <c r="P345" s="11" t="n"/>
      <c r="Q345" s="7" t="n"/>
      <c r="R345" s="7" t="n"/>
      <c r="S345" s="7" t="n"/>
      <c r="T345" s="7" t="n"/>
      <c r="U345" s="12">
        <f>IF(A345="","",IF(H345="","建議填分配模式",""))</f>
        <v/>
      </c>
    </row>
    <row r="346" ht="24" customHeight="1">
      <c r="A346" s="7" t="n"/>
      <c r="B346" s="7" t="n"/>
      <c r="C346" s="7" t="n"/>
      <c r="D346" s="12">
        <f>IF($A346="","",IFERROR(INDEX(土地清冊_匯入!$B$6:$B$1005,MATCH($A346,土地清冊_匯入!$A$6:$A$1005,0)),"查無資料"))</f>
        <v/>
      </c>
      <c r="E346" s="9">
        <f>IF($A346="","",IFERROR(INDEX(土地清冊_匯入!$I$6:$I$1005,MATCH($A346,土地清冊_匯入!$A$6:$A$1005,0)),""))</f>
        <v/>
      </c>
      <c r="F346" s="13">
        <f>IF($A346="","",IFERROR(INDEX(建物清冊_匯入!$N$6:$N$1005,MATCH($A346,建物清冊_匯入!$A$6:$A$1005,0)),""))</f>
        <v/>
      </c>
      <c r="G346" s="9">
        <f>IF($A346="","",IFERROR(INDEX(建物清冊_匯入!$S$6:$S$1005,MATCH($A346,建物清冊_匯入!$A$6:$A$1005,0)),""))</f>
        <v/>
      </c>
      <c r="H346" s="7" t="n"/>
      <c r="I346" s="15" t="n"/>
      <c r="J346" s="16" t="n"/>
      <c r="K346" s="17">
        <f>IF(J346="","",1-J346)</f>
        <v/>
      </c>
      <c r="L346" s="15" t="n"/>
      <c r="M346" s="7" t="n"/>
      <c r="N346" s="7" t="n"/>
      <c r="O346" s="7" t="n"/>
      <c r="P346" s="11" t="n"/>
      <c r="Q346" s="7" t="n"/>
      <c r="R346" s="7" t="n"/>
      <c r="S346" s="7" t="n"/>
      <c r="T346" s="7" t="n"/>
      <c r="U346" s="12">
        <f>IF(A346="","",IF(H346="","建議填分配模式",""))</f>
        <v/>
      </c>
    </row>
    <row r="347" ht="24" customHeight="1">
      <c r="A347" s="7" t="n"/>
      <c r="B347" s="7" t="n"/>
      <c r="C347" s="7" t="n"/>
      <c r="D347" s="12">
        <f>IF($A347="","",IFERROR(INDEX(土地清冊_匯入!$B$6:$B$1005,MATCH($A347,土地清冊_匯入!$A$6:$A$1005,0)),"查無資料"))</f>
        <v/>
      </c>
      <c r="E347" s="9">
        <f>IF($A347="","",IFERROR(INDEX(土地清冊_匯入!$I$6:$I$1005,MATCH($A347,土地清冊_匯入!$A$6:$A$1005,0)),""))</f>
        <v/>
      </c>
      <c r="F347" s="13">
        <f>IF($A347="","",IFERROR(INDEX(建物清冊_匯入!$N$6:$N$1005,MATCH($A347,建物清冊_匯入!$A$6:$A$1005,0)),""))</f>
        <v/>
      </c>
      <c r="G347" s="9">
        <f>IF($A347="","",IFERROR(INDEX(建物清冊_匯入!$S$6:$S$1005,MATCH($A347,建物清冊_匯入!$A$6:$A$1005,0)),""))</f>
        <v/>
      </c>
      <c r="H347" s="7" t="n"/>
      <c r="I347" s="15" t="n"/>
      <c r="J347" s="16" t="n"/>
      <c r="K347" s="17">
        <f>IF(J347="","",1-J347)</f>
        <v/>
      </c>
      <c r="L347" s="15" t="n"/>
      <c r="M347" s="7" t="n"/>
      <c r="N347" s="7" t="n"/>
      <c r="O347" s="7" t="n"/>
      <c r="P347" s="11" t="n"/>
      <c r="Q347" s="7" t="n"/>
      <c r="R347" s="7" t="n"/>
      <c r="S347" s="7" t="n"/>
      <c r="T347" s="7" t="n"/>
      <c r="U347" s="12">
        <f>IF(A347="","",IF(H347="","建議填分配模式",""))</f>
        <v/>
      </c>
    </row>
    <row r="348" ht="24" customHeight="1">
      <c r="A348" s="7" t="n"/>
      <c r="B348" s="7" t="n"/>
      <c r="C348" s="7" t="n"/>
      <c r="D348" s="12">
        <f>IF($A348="","",IFERROR(INDEX(土地清冊_匯入!$B$6:$B$1005,MATCH($A348,土地清冊_匯入!$A$6:$A$1005,0)),"查無資料"))</f>
        <v/>
      </c>
      <c r="E348" s="9">
        <f>IF($A348="","",IFERROR(INDEX(土地清冊_匯入!$I$6:$I$1005,MATCH($A348,土地清冊_匯入!$A$6:$A$1005,0)),""))</f>
        <v/>
      </c>
      <c r="F348" s="13">
        <f>IF($A348="","",IFERROR(INDEX(建物清冊_匯入!$N$6:$N$1005,MATCH($A348,建物清冊_匯入!$A$6:$A$1005,0)),""))</f>
        <v/>
      </c>
      <c r="G348" s="9">
        <f>IF($A348="","",IFERROR(INDEX(建物清冊_匯入!$S$6:$S$1005,MATCH($A348,建物清冊_匯入!$A$6:$A$1005,0)),""))</f>
        <v/>
      </c>
      <c r="H348" s="7" t="n"/>
      <c r="I348" s="15" t="n"/>
      <c r="J348" s="16" t="n"/>
      <c r="K348" s="17">
        <f>IF(J348="","",1-J348)</f>
        <v/>
      </c>
      <c r="L348" s="15" t="n"/>
      <c r="M348" s="7" t="n"/>
      <c r="N348" s="7" t="n"/>
      <c r="O348" s="7" t="n"/>
      <c r="P348" s="11" t="n"/>
      <c r="Q348" s="7" t="n"/>
      <c r="R348" s="7" t="n"/>
      <c r="S348" s="7" t="n"/>
      <c r="T348" s="7" t="n"/>
      <c r="U348" s="12">
        <f>IF(A348="","",IF(H348="","建議填分配模式",""))</f>
        <v/>
      </c>
    </row>
    <row r="349" ht="24" customHeight="1">
      <c r="A349" s="7" t="n"/>
      <c r="B349" s="7" t="n"/>
      <c r="C349" s="7" t="n"/>
      <c r="D349" s="12">
        <f>IF($A349="","",IFERROR(INDEX(土地清冊_匯入!$B$6:$B$1005,MATCH($A349,土地清冊_匯入!$A$6:$A$1005,0)),"查無資料"))</f>
        <v/>
      </c>
      <c r="E349" s="9">
        <f>IF($A349="","",IFERROR(INDEX(土地清冊_匯入!$I$6:$I$1005,MATCH($A349,土地清冊_匯入!$A$6:$A$1005,0)),""))</f>
        <v/>
      </c>
      <c r="F349" s="13">
        <f>IF($A349="","",IFERROR(INDEX(建物清冊_匯入!$N$6:$N$1005,MATCH($A349,建物清冊_匯入!$A$6:$A$1005,0)),""))</f>
        <v/>
      </c>
      <c r="G349" s="9">
        <f>IF($A349="","",IFERROR(INDEX(建物清冊_匯入!$S$6:$S$1005,MATCH($A349,建物清冊_匯入!$A$6:$A$1005,0)),""))</f>
        <v/>
      </c>
      <c r="H349" s="7" t="n"/>
      <c r="I349" s="15" t="n"/>
      <c r="J349" s="16" t="n"/>
      <c r="K349" s="17">
        <f>IF(J349="","",1-J349)</f>
        <v/>
      </c>
      <c r="L349" s="15" t="n"/>
      <c r="M349" s="7" t="n"/>
      <c r="N349" s="7" t="n"/>
      <c r="O349" s="7" t="n"/>
      <c r="P349" s="11" t="n"/>
      <c r="Q349" s="7" t="n"/>
      <c r="R349" s="7" t="n"/>
      <c r="S349" s="7" t="n"/>
      <c r="T349" s="7" t="n"/>
      <c r="U349" s="12">
        <f>IF(A349="","",IF(H349="","建議填分配模式",""))</f>
        <v/>
      </c>
    </row>
    <row r="350" ht="24" customHeight="1">
      <c r="A350" s="7" t="n"/>
      <c r="B350" s="7" t="n"/>
      <c r="C350" s="7" t="n"/>
      <c r="D350" s="12">
        <f>IF($A350="","",IFERROR(INDEX(土地清冊_匯入!$B$6:$B$1005,MATCH($A350,土地清冊_匯入!$A$6:$A$1005,0)),"查無資料"))</f>
        <v/>
      </c>
      <c r="E350" s="9">
        <f>IF($A350="","",IFERROR(INDEX(土地清冊_匯入!$I$6:$I$1005,MATCH($A350,土地清冊_匯入!$A$6:$A$1005,0)),""))</f>
        <v/>
      </c>
      <c r="F350" s="13">
        <f>IF($A350="","",IFERROR(INDEX(建物清冊_匯入!$N$6:$N$1005,MATCH($A350,建物清冊_匯入!$A$6:$A$1005,0)),""))</f>
        <v/>
      </c>
      <c r="G350" s="9">
        <f>IF($A350="","",IFERROR(INDEX(建物清冊_匯入!$S$6:$S$1005,MATCH($A350,建物清冊_匯入!$A$6:$A$1005,0)),""))</f>
        <v/>
      </c>
      <c r="H350" s="7" t="n"/>
      <c r="I350" s="15" t="n"/>
      <c r="J350" s="16" t="n"/>
      <c r="K350" s="17">
        <f>IF(J350="","",1-J350)</f>
        <v/>
      </c>
      <c r="L350" s="15" t="n"/>
      <c r="M350" s="7" t="n"/>
      <c r="N350" s="7" t="n"/>
      <c r="O350" s="7" t="n"/>
      <c r="P350" s="11" t="n"/>
      <c r="Q350" s="7" t="n"/>
      <c r="R350" s="7" t="n"/>
      <c r="S350" s="7" t="n"/>
      <c r="T350" s="7" t="n"/>
      <c r="U350" s="12">
        <f>IF(A350="","",IF(H350="","建議填分配模式",""))</f>
        <v/>
      </c>
    </row>
    <row r="351" ht="24" customHeight="1">
      <c r="A351" s="7" t="n"/>
      <c r="B351" s="7" t="n"/>
      <c r="C351" s="7" t="n"/>
      <c r="D351" s="12">
        <f>IF($A351="","",IFERROR(INDEX(土地清冊_匯入!$B$6:$B$1005,MATCH($A351,土地清冊_匯入!$A$6:$A$1005,0)),"查無資料"))</f>
        <v/>
      </c>
      <c r="E351" s="9">
        <f>IF($A351="","",IFERROR(INDEX(土地清冊_匯入!$I$6:$I$1005,MATCH($A351,土地清冊_匯入!$A$6:$A$1005,0)),""))</f>
        <v/>
      </c>
      <c r="F351" s="13">
        <f>IF($A351="","",IFERROR(INDEX(建物清冊_匯入!$N$6:$N$1005,MATCH($A351,建物清冊_匯入!$A$6:$A$1005,0)),""))</f>
        <v/>
      </c>
      <c r="G351" s="9">
        <f>IF($A351="","",IFERROR(INDEX(建物清冊_匯入!$S$6:$S$1005,MATCH($A351,建物清冊_匯入!$A$6:$A$1005,0)),""))</f>
        <v/>
      </c>
      <c r="H351" s="7" t="n"/>
      <c r="I351" s="15" t="n"/>
      <c r="J351" s="16" t="n"/>
      <c r="K351" s="17">
        <f>IF(J351="","",1-J351)</f>
        <v/>
      </c>
      <c r="L351" s="15" t="n"/>
      <c r="M351" s="7" t="n"/>
      <c r="N351" s="7" t="n"/>
      <c r="O351" s="7" t="n"/>
      <c r="P351" s="11" t="n"/>
      <c r="Q351" s="7" t="n"/>
      <c r="R351" s="7" t="n"/>
      <c r="S351" s="7" t="n"/>
      <c r="T351" s="7" t="n"/>
      <c r="U351" s="12">
        <f>IF(A351="","",IF(H351="","建議填分配模式",""))</f>
        <v/>
      </c>
    </row>
    <row r="352" ht="24" customHeight="1">
      <c r="A352" s="7" t="n"/>
      <c r="B352" s="7" t="n"/>
      <c r="C352" s="7" t="n"/>
      <c r="D352" s="12">
        <f>IF($A352="","",IFERROR(INDEX(土地清冊_匯入!$B$6:$B$1005,MATCH($A352,土地清冊_匯入!$A$6:$A$1005,0)),"查無資料"))</f>
        <v/>
      </c>
      <c r="E352" s="9">
        <f>IF($A352="","",IFERROR(INDEX(土地清冊_匯入!$I$6:$I$1005,MATCH($A352,土地清冊_匯入!$A$6:$A$1005,0)),""))</f>
        <v/>
      </c>
      <c r="F352" s="13">
        <f>IF($A352="","",IFERROR(INDEX(建物清冊_匯入!$N$6:$N$1005,MATCH($A352,建物清冊_匯入!$A$6:$A$1005,0)),""))</f>
        <v/>
      </c>
      <c r="G352" s="9">
        <f>IF($A352="","",IFERROR(INDEX(建物清冊_匯入!$S$6:$S$1005,MATCH($A352,建物清冊_匯入!$A$6:$A$1005,0)),""))</f>
        <v/>
      </c>
      <c r="H352" s="7" t="n"/>
      <c r="I352" s="15" t="n"/>
      <c r="J352" s="16" t="n"/>
      <c r="K352" s="17">
        <f>IF(J352="","",1-J352)</f>
        <v/>
      </c>
      <c r="L352" s="15" t="n"/>
      <c r="M352" s="7" t="n"/>
      <c r="N352" s="7" t="n"/>
      <c r="O352" s="7" t="n"/>
      <c r="P352" s="11" t="n"/>
      <c r="Q352" s="7" t="n"/>
      <c r="R352" s="7" t="n"/>
      <c r="S352" s="7" t="n"/>
      <c r="T352" s="7" t="n"/>
      <c r="U352" s="12">
        <f>IF(A352="","",IF(H352="","建議填分配模式",""))</f>
        <v/>
      </c>
    </row>
    <row r="353" ht="24" customHeight="1">
      <c r="A353" s="7" t="n"/>
      <c r="B353" s="7" t="n"/>
      <c r="C353" s="7" t="n"/>
      <c r="D353" s="12">
        <f>IF($A353="","",IFERROR(INDEX(土地清冊_匯入!$B$6:$B$1005,MATCH($A353,土地清冊_匯入!$A$6:$A$1005,0)),"查無資料"))</f>
        <v/>
      </c>
      <c r="E353" s="9">
        <f>IF($A353="","",IFERROR(INDEX(土地清冊_匯入!$I$6:$I$1005,MATCH($A353,土地清冊_匯入!$A$6:$A$1005,0)),""))</f>
        <v/>
      </c>
      <c r="F353" s="13">
        <f>IF($A353="","",IFERROR(INDEX(建物清冊_匯入!$N$6:$N$1005,MATCH($A353,建物清冊_匯入!$A$6:$A$1005,0)),""))</f>
        <v/>
      </c>
      <c r="G353" s="9">
        <f>IF($A353="","",IFERROR(INDEX(建物清冊_匯入!$S$6:$S$1005,MATCH($A353,建物清冊_匯入!$A$6:$A$1005,0)),""))</f>
        <v/>
      </c>
      <c r="H353" s="7" t="n"/>
      <c r="I353" s="15" t="n"/>
      <c r="J353" s="16" t="n"/>
      <c r="K353" s="17">
        <f>IF(J353="","",1-J353)</f>
        <v/>
      </c>
      <c r="L353" s="15" t="n"/>
      <c r="M353" s="7" t="n"/>
      <c r="N353" s="7" t="n"/>
      <c r="O353" s="7" t="n"/>
      <c r="P353" s="11" t="n"/>
      <c r="Q353" s="7" t="n"/>
      <c r="R353" s="7" t="n"/>
      <c r="S353" s="7" t="n"/>
      <c r="T353" s="7" t="n"/>
      <c r="U353" s="12">
        <f>IF(A353="","",IF(H353="","建議填分配模式",""))</f>
        <v/>
      </c>
    </row>
    <row r="354" ht="24" customHeight="1">
      <c r="A354" s="7" t="n"/>
      <c r="B354" s="7" t="n"/>
      <c r="C354" s="7" t="n"/>
      <c r="D354" s="12">
        <f>IF($A354="","",IFERROR(INDEX(土地清冊_匯入!$B$6:$B$1005,MATCH($A354,土地清冊_匯入!$A$6:$A$1005,0)),"查無資料"))</f>
        <v/>
      </c>
      <c r="E354" s="9">
        <f>IF($A354="","",IFERROR(INDEX(土地清冊_匯入!$I$6:$I$1005,MATCH($A354,土地清冊_匯入!$A$6:$A$1005,0)),""))</f>
        <v/>
      </c>
      <c r="F354" s="13">
        <f>IF($A354="","",IFERROR(INDEX(建物清冊_匯入!$N$6:$N$1005,MATCH($A354,建物清冊_匯入!$A$6:$A$1005,0)),""))</f>
        <v/>
      </c>
      <c r="G354" s="9">
        <f>IF($A354="","",IFERROR(INDEX(建物清冊_匯入!$S$6:$S$1005,MATCH($A354,建物清冊_匯入!$A$6:$A$1005,0)),""))</f>
        <v/>
      </c>
      <c r="H354" s="7" t="n"/>
      <c r="I354" s="15" t="n"/>
      <c r="J354" s="16" t="n"/>
      <c r="K354" s="17">
        <f>IF(J354="","",1-J354)</f>
        <v/>
      </c>
      <c r="L354" s="15" t="n"/>
      <c r="M354" s="7" t="n"/>
      <c r="N354" s="7" t="n"/>
      <c r="O354" s="7" t="n"/>
      <c r="P354" s="11" t="n"/>
      <c r="Q354" s="7" t="n"/>
      <c r="R354" s="7" t="n"/>
      <c r="S354" s="7" t="n"/>
      <c r="T354" s="7" t="n"/>
      <c r="U354" s="12">
        <f>IF(A354="","",IF(H354="","建議填分配模式",""))</f>
        <v/>
      </c>
    </row>
    <row r="355" ht="24" customHeight="1">
      <c r="A355" s="7" t="n"/>
      <c r="B355" s="7" t="n"/>
      <c r="C355" s="7" t="n"/>
      <c r="D355" s="12">
        <f>IF($A355="","",IFERROR(INDEX(土地清冊_匯入!$B$6:$B$1005,MATCH($A355,土地清冊_匯入!$A$6:$A$1005,0)),"查無資料"))</f>
        <v/>
      </c>
      <c r="E355" s="9">
        <f>IF($A355="","",IFERROR(INDEX(土地清冊_匯入!$I$6:$I$1005,MATCH($A355,土地清冊_匯入!$A$6:$A$1005,0)),""))</f>
        <v/>
      </c>
      <c r="F355" s="13">
        <f>IF($A355="","",IFERROR(INDEX(建物清冊_匯入!$N$6:$N$1005,MATCH($A355,建物清冊_匯入!$A$6:$A$1005,0)),""))</f>
        <v/>
      </c>
      <c r="G355" s="9">
        <f>IF($A355="","",IFERROR(INDEX(建物清冊_匯入!$S$6:$S$1005,MATCH($A355,建物清冊_匯入!$A$6:$A$1005,0)),""))</f>
        <v/>
      </c>
      <c r="H355" s="7" t="n"/>
      <c r="I355" s="15" t="n"/>
      <c r="J355" s="16" t="n"/>
      <c r="K355" s="17">
        <f>IF(J355="","",1-J355)</f>
        <v/>
      </c>
      <c r="L355" s="15" t="n"/>
      <c r="M355" s="7" t="n"/>
      <c r="N355" s="7" t="n"/>
      <c r="O355" s="7" t="n"/>
      <c r="P355" s="11" t="n"/>
      <c r="Q355" s="7" t="n"/>
      <c r="R355" s="7" t="n"/>
      <c r="S355" s="7" t="n"/>
      <c r="T355" s="7" t="n"/>
      <c r="U355" s="12">
        <f>IF(A355="","",IF(H355="","建議填分配模式",""))</f>
        <v/>
      </c>
    </row>
    <row r="356" ht="24" customHeight="1">
      <c r="A356" s="7" t="n"/>
      <c r="B356" s="7" t="n"/>
      <c r="C356" s="7" t="n"/>
      <c r="D356" s="12">
        <f>IF($A356="","",IFERROR(INDEX(土地清冊_匯入!$B$6:$B$1005,MATCH($A356,土地清冊_匯入!$A$6:$A$1005,0)),"查無資料"))</f>
        <v/>
      </c>
      <c r="E356" s="9">
        <f>IF($A356="","",IFERROR(INDEX(土地清冊_匯入!$I$6:$I$1005,MATCH($A356,土地清冊_匯入!$A$6:$A$1005,0)),""))</f>
        <v/>
      </c>
      <c r="F356" s="13">
        <f>IF($A356="","",IFERROR(INDEX(建物清冊_匯入!$N$6:$N$1005,MATCH($A356,建物清冊_匯入!$A$6:$A$1005,0)),""))</f>
        <v/>
      </c>
      <c r="G356" s="9">
        <f>IF($A356="","",IFERROR(INDEX(建物清冊_匯入!$S$6:$S$1005,MATCH($A356,建物清冊_匯入!$A$6:$A$1005,0)),""))</f>
        <v/>
      </c>
      <c r="H356" s="7" t="n"/>
      <c r="I356" s="15" t="n"/>
      <c r="J356" s="16" t="n"/>
      <c r="K356" s="17">
        <f>IF(J356="","",1-J356)</f>
        <v/>
      </c>
      <c r="L356" s="15" t="n"/>
      <c r="M356" s="7" t="n"/>
      <c r="N356" s="7" t="n"/>
      <c r="O356" s="7" t="n"/>
      <c r="P356" s="11" t="n"/>
      <c r="Q356" s="7" t="n"/>
      <c r="R356" s="7" t="n"/>
      <c r="S356" s="7" t="n"/>
      <c r="T356" s="7" t="n"/>
      <c r="U356" s="12">
        <f>IF(A356="","",IF(H356="","建議填分配模式",""))</f>
        <v/>
      </c>
    </row>
    <row r="357" ht="24" customHeight="1">
      <c r="A357" s="7" t="n"/>
      <c r="B357" s="7" t="n"/>
      <c r="C357" s="7" t="n"/>
      <c r="D357" s="12">
        <f>IF($A357="","",IFERROR(INDEX(土地清冊_匯入!$B$6:$B$1005,MATCH($A357,土地清冊_匯入!$A$6:$A$1005,0)),"查無資料"))</f>
        <v/>
      </c>
      <c r="E357" s="9">
        <f>IF($A357="","",IFERROR(INDEX(土地清冊_匯入!$I$6:$I$1005,MATCH($A357,土地清冊_匯入!$A$6:$A$1005,0)),""))</f>
        <v/>
      </c>
      <c r="F357" s="13">
        <f>IF($A357="","",IFERROR(INDEX(建物清冊_匯入!$N$6:$N$1005,MATCH($A357,建物清冊_匯入!$A$6:$A$1005,0)),""))</f>
        <v/>
      </c>
      <c r="G357" s="9">
        <f>IF($A357="","",IFERROR(INDEX(建物清冊_匯入!$S$6:$S$1005,MATCH($A357,建物清冊_匯入!$A$6:$A$1005,0)),""))</f>
        <v/>
      </c>
      <c r="H357" s="7" t="n"/>
      <c r="I357" s="15" t="n"/>
      <c r="J357" s="16" t="n"/>
      <c r="K357" s="17">
        <f>IF(J357="","",1-J357)</f>
        <v/>
      </c>
      <c r="L357" s="15" t="n"/>
      <c r="M357" s="7" t="n"/>
      <c r="N357" s="7" t="n"/>
      <c r="O357" s="7" t="n"/>
      <c r="P357" s="11" t="n"/>
      <c r="Q357" s="7" t="n"/>
      <c r="R357" s="7" t="n"/>
      <c r="S357" s="7" t="n"/>
      <c r="T357" s="7" t="n"/>
      <c r="U357" s="12">
        <f>IF(A357="","",IF(H357="","建議填分配模式",""))</f>
        <v/>
      </c>
    </row>
    <row r="358" ht="24" customHeight="1">
      <c r="A358" s="7" t="n"/>
      <c r="B358" s="7" t="n"/>
      <c r="C358" s="7" t="n"/>
      <c r="D358" s="12">
        <f>IF($A358="","",IFERROR(INDEX(土地清冊_匯入!$B$6:$B$1005,MATCH($A358,土地清冊_匯入!$A$6:$A$1005,0)),"查無資料"))</f>
        <v/>
      </c>
      <c r="E358" s="9">
        <f>IF($A358="","",IFERROR(INDEX(土地清冊_匯入!$I$6:$I$1005,MATCH($A358,土地清冊_匯入!$A$6:$A$1005,0)),""))</f>
        <v/>
      </c>
      <c r="F358" s="13">
        <f>IF($A358="","",IFERROR(INDEX(建物清冊_匯入!$N$6:$N$1005,MATCH($A358,建物清冊_匯入!$A$6:$A$1005,0)),""))</f>
        <v/>
      </c>
      <c r="G358" s="9">
        <f>IF($A358="","",IFERROR(INDEX(建物清冊_匯入!$S$6:$S$1005,MATCH($A358,建物清冊_匯入!$A$6:$A$1005,0)),""))</f>
        <v/>
      </c>
      <c r="H358" s="7" t="n"/>
      <c r="I358" s="15" t="n"/>
      <c r="J358" s="16" t="n"/>
      <c r="K358" s="17">
        <f>IF(J358="","",1-J358)</f>
        <v/>
      </c>
      <c r="L358" s="15" t="n"/>
      <c r="M358" s="7" t="n"/>
      <c r="N358" s="7" t="n"/>
      <c r="O358" s="7" t="n"/>
      <c r="P358" s="11" t="n"/>
      <c r="Q358" s="7" t="n"/>
      <c r="R358" s="7" t="n"/>
      <c r="S358" s="7" t="n"/>
      <c r="T358" s="7" t="n"/>
      <c r="U358" s="12">
        <f>IF(A358="","",IF(H358="","建議填分配模式",""))</f>
        <v/>
      </c>
    </row>
    <row r="359" ht="24" customHeight="1">
      <c r="A359" s="7" t="n"/>
      <c r="B359" s="7" t="n"/>
      <c r="C359" s="7" t="n"/>
      <c r="D359" s="12">
        <f>IF($A359="","",IFERROR(INDEX(土地清冊_匯入!$B$6:$B$1005,MATCH($A359,土地清冊_匯入!$A$6:$A$1005,0)),"查無資料"))</f>
        <v/>
      </c>
      <c r="E359" s="9">
        <f>IF($A359="","",IFERROR(INDEX(土地清冊_匯入!$I$6:$I$1005,MATCH($A359,土地清冊_匯入!$A$6:$A$1005,0)),""))</f>
        <v/>
      </c>
      <c r="F359" s="13">
        <f>IF($A359="","",IFERROR(INDEX(建物清冊_匯入!$N$6:$N$1005,MATCH($A359,建物清冊_匯入!$A$6:$A$1005,0)),""))</f>
        <v/>
      </c>
      <c r="G359" s="9">
        <f>IF($A359="","",IFERROR(INDEX(建物清冊_匯入!$S$6:$S$1005,MATCH($A359,建物清冊_匯入!$A$6:$A$1005,0)),""))</f>
        <v/>
      </c>
      <c r="H359" s="7" t="n"/>
      <c r="I359" s="15" t="n"/>
      <c r="J359" s="16" t="n"/>
      <c r="K359" s="17">
        <f>IF(J359="","",1-J359)</f>
        <v/>
      </c>
      <c r="L359" s="15" t="n"/>
      <c r="M359" s="7" t="n"/>
      <c r="N359" s="7" t="n"/>
      <c r="O359" s="7" t="n"/>
      <c r="P359" s="11" t="n"/>
      <c r="Q359" s="7" t="n"/>
      <c r="R359" s="7" t="n"/>
      <c r="S359" s="7" t="n"/>
      <c r="T359" s="7" t="n"/>
      <c r="U359" s="12">
        <f>IF(A359="","",IF(H359="","建議填分配模式",""))</f>
        <v/>
      </c>
    </row>
    <row r="360" ht="24" customHeight="1">
      <c r="A360" s="7" t="n"/>
      <c r="B360" s="7" t="n"/>
      <c r="C360" s="7" t="n"/>
      <c r="D360" s="12">
        <f>IF($A360="","",IFERROR(INDEX(土地清冊_匯入!$B$6:$B$1005,MATCH($A360,土地清冊_匯入!$A$6:$A$1005,0)),"查無資料"))</f>
        <v/>
      </c>
      <c r="E360" s="9">
        <f>IF($A360="","",IFERROR(INDEX(土地清冊_匯入!$I$6:$I$1005,MATCH($A360,土地清冊_匯入!$A$6:$A$1005,0)),""))</f>
        <v/>
      </c>
      <c r="F360" s="13">
        <f>IF($A360="","",IFERROR(INDEX(建物清冊_匯入!$N$6:$N$1005,MATCH($A360,建物清冊_匯入!$A$6:$A$1005,0)),""))</f>
        <v/>
      </c>
      <c r="G360" s="9">
        <f>IF($A360="","",IFERROR(INDEX(建物清冊_匯入!$S$6:$S$1005,MATCH($A360,建物清冊_匯入!$A$6:$A$1005,0)),""))</f>
        <v/>
      </c>
      <c r="H360" s="7" t="n"/>
      <c r="I360" s="15" t="n"/>
      <c r="J360" s="16" t="n"/>
      <c r="K360" s="17">
        <f>IF(J360="","",1-J360)</f>
        <v/>
      </c>
      <c r="L360" s="15" t="n"/>
      <c r="M360" s="7" t="n"/>
      <c r="N360" s="7" t="n"/>
      <c r="O360" s="7" t="n"/>
      <c r="P360" s="11" t="n"/>
      <c r="Q360" s="7" t="n"/>
      <c r="R360" s="7" t="n"/>
      <c r="S360" s="7" t="n"/>
      <c r="T360" s="7" t="n"/>
      <c r="U360" s="12">
        <f>IF(A360="","",IF(H360="","建議填分配模式",""))</f>
        <v/>
      </c>
    </row>
    <row r="361" ht="24" customHeight="1">
      <c r="A361" s="7" t="n"/>
      <c r="B361" s="7" t="n"/>
      <c r="C361" s="7" t="n"/>
      <c r="D361" s="12">
        <f>IF($A361="","",IFERROR(INDEX(土地清冊_匯入!$B$6:$B$1005,MATCH($A361,土地清冊_匯入!$A$6:$A$1005,0)),"查無資料"))</f>
        <v/>
      </c>
      <c r="E361" s="9">
        <f>IF($A361="","",IFERROR(INDEX(土地清冊_匯入!$I$6:$I$1005,MATCH($A361,土地清冊_匯入!$A$6:$A$1005,0)),""))</f>
        <v/>
      </c>
      <c r="F361" s="13">
        <f>IF($A361="","",IFERROR(INDEX(建物清冊_匯入!$N$6:$N$1005,MATCH($A361,建物清冊_匯入!$A$6:$A$1005,0)),""))</f>
        <v/>
      </c>
      <c r="G361" s="9">
        <f>IF($A361="","",IFERROR(INDEX(建物清冊_匯入!$S$6:$S$1005,MATCH($A361,建物清冊_匯入!$A$6:$A$1005,0)),""))</f>
        <v/>
      </c>
      <c r="H361" s="7" t="n"/>
      <c r="I361" s="15" t="n"/>
      <c r="J361" s="16" t="n"/>
      <c r="K361" s="17">
        <f>IF(J361="","",1-J361)</f>
        <v/>
      </c>
      <c r="L361" s="15" t="n"/>
      <c r="M361" s="7" t="n"/>
      <c r="N361" s="7" t="n"/>
      <c r="O361" s="7" t="n"/>
      <c r="P361" s="11" t="n"/>
      <c r="Q361" s="7" t="n"/>
      <c r="R361" s="7" t="n"/>
      <c r="S361" s="7" t="n"/>
      <c r="T361" s="7" t="n"/>
      <c r="U361" s="12">
        <f>IF(A361="","",IF(H361="","建議填分配模式",""))</f>
        <v/>
      </c>
    </row>
    <row r="362" ht="24" customHeight="1">
      <c r="A362" s="7" t="n"/>
      <c r="B362" s="7" t="n"/>
      <c r="C362" s="7" t="n"/>
      <c r="D362" s="12">
        <f>IF($A362="","",IFERROR(INDEX(土地清冊_匯入!$B$6:$B$1005,MATCH($A362,土地清冊_匯入!$A$6:$A$1005,0)),"查無資料"))</f>
        <v/>
      </c>
      <c r="E362" s="9">
        <f>IF($A362="","",IFERROR(INDEX(土地清冊_匯入!$I$6:$I$1005,MATCH($A362,土地清冊_匯入!$A$6:$A$1005,0)),""))</f>
        <v/>
      </c>
      <c r="F362" s="13">
        <f>IF($A362="","",IFERROR(INDEX(建物清冊_匯入!$N$6:$N$1005,MATCH($A362,建物清冊_匯入!$A$6:$A$1005,0)),""))</f>
        <v/>
      </c>
      <c r="G362" s="9">
        <f>IF($A362="","",IFERROR(INDEX(建物清冊_匯入!$S$6:$S$1005,MATCH($A362,建物清冊_匯入!$A$6:$A$1005,0)),""))</f>
        <v/>
      </c>
      <c r="H362" s="7" t="n"/>
      <c r="I362" s="15" t="n"/>
      <c r="J362" s="16" t="n"/>
      <c r="K362" s="17">
        <f>IF(J362="","",1-J362)</f>
        <v/>
      </c>
      <c r="L362" s="15" t="n"/>
      <c r="M362" s="7" t="n"/>
      <c r="N362" s="7" t="n"/>
      <c r="O362" s="7" t="n"/>
      <c r="P362" s="11" t="n"/>
      <c r="Q362" s="7" t="n"/>
      <c r="R362" s="7" t="n"/>
      <c r="S362" s="7" t="n"/>
      <c r="T362" s="7" t="n"/>
      <c r="U362" s="12">
        <f>IF(A362="","",IF(H362="","建議填分配模式",""))</f>
        <v/>
      </c>
    </row>
    <row r="363" ht="24" customHeight="1">
      <c r="A363" s="7" t="n"/>
      <c r="B363" s="7" t="n"/>
      <c r="C363" s="7" t="n"/>
      <c r="D363" s="12">
        <f>IF($A363="","",IFERROR(INDEX(土地清冊_匯入!$B$6:$B$1005,MATCH($A363,土地清冊_匯入!$A$6:$A$1005,0)),"查無資料"))</f>
        <v/>
      </c>
      <c r="E363" s="9">
        <f>IF($A363="","",IFERROR(INDEX(土地清冊_匯入!$I$6:$I$1005,MATCH($A363,土地清冊_匯入!$A$6:$A$1005,0)),""))</f>
        <v/>
      </c>
      <c r="F363" s="13">
        <f>IF($A363="","",IFERROR(INDEX(建物清冊_匯入!$N$6:$N$1005,MATCH($A363,建物清冊_匯入!$A$6:$A$1005,0)),""))</f>
        <v/>
      </c>
      <c r="G363" s="9">
        <f>IF($A363="","",IFERROR(INDEX(建物清冊_匯入!$S$6:$S$1005,MATCH($A363,建物清冊_匯入!$A$6:$A$1005,0)),""))</f>
        <v/>
      </c>
      <c r="H363" s="7" t="n"/>
      <c r="I363" s="15" t="n"/>
      <c r="J363" s="16" t="n"/>
      <c r="K363" s="17">
        <f>IF(J363="","",1-J363)</f>
        <v/>
      </c>
      <c r="L363" s="15" t="n"/>
      <c r="M363" s="7" t="n"/>
      <c r="N363" s="7" t="n"/>
      <c r="O363" s="7" t="n"/>
      <c r="P363" s="11" t="n"/>
      <c r="Q363" s="7" t="n"/>
      <c r="R363" s="7" t="n"/>
      <c r="S363" s="7" t="n"/>
      <c r="T363" s="7" t="n"/>
      <c r="U363" s="12">
        <f>IF(A363="","",IF(H363="","建議填分配模式",""))</f>
        <v/>
      </c>
    </row>
    <row r="364" ht="24" customHeight="1">
      <c r="A364" s="7" t="n"/>
      <c r="B364" s="7" t="n"/>
      <c r="C364" s="7" t="n"/>
      <c r="D364" s="12">
        <f>IF($A364="","",IFERROR(INDEX(土地清冊_匯入!$B$6:$B$1005,MATCH($A364,土地清冊_匯入!$A$6:$A$1005,0)),"查無資料"))</f>
        <v/>
      </c>
      <c r="E364" s="9">
        <f>IF($A364="","",IFERROR(INDEX(土地清冊_匯入!$I$6:$I$1005,MATCH($A364,土地清冊_匯入!$A$6:$A$1005,0)),""))</f>
        <v/>
      </c>
      <c r="F364" s="13">
        <f>IF($A364="","",IFERROR(INDEX(建物清冊_匯入!$N$6:$N$1005,MATCH($A364,建物清冊_匯入!$A$6:$A$1005,0)),""))</f>
        <v/>
      </c>
      <c r="G364" s="9">
        <f>IF($A364="","",IFERROR(INDEX(建物清冊_匯入!$S$6:$S$1005,MATCH($A364,建物清冊_匯入!$A$6:$A$1005,0)),""))</f>
        <v/>
      </c>
      <c r="H364" s="7" t="n"/>
      <c r="I364" s="15" t="n"/>
      <c r="J364" s="16" t="n"/>
      <c r="K364" s="17">
        <f>IF(J364="","",1-J364)</f>
        <v/>
      </c>
      <c r="L364" s="15" t="n"/>
      <c r="M364" s="7" t="n"/>
      <c r="N364" s="7" t="n"/>
      <c r="O364" s="7" t="n"/>
      <c r="P364" s="11" t="n"/>
      <c r="Q364" s="7" t="n"/>
      <c r="R364" s="7" t="n"/>
      <c r="S364" s="7" t="n"/>
      <c r="T364" s="7" t="n"/>
      <c r="U364" s="12">
        <f>IF(A364="","",IF(H364="","建議填分配模式",""))</f>
        <v/>
      </c>
    </row>
    <row r="365" ht="24" customHeight="1">
      <c r="A365" s="7" t="n"/>
      <c r="B365" s="7" t="n"/>
      <c r="C365" s="7" t="n"/>
      <c r="D365" s="12">
        <f>IF($A365="","",IFERROR(INDEX(土地清冊_匯入!$B$6:$B$1005,MATCH($A365,土地清冊_匯入!$A$6:$A$1005,0)),"查無資料"))</f>
        <v/>
      </c>
      <c r="E365" s="9">
        <f>IF($A365="","",IFERROR(INDEX(土地清冊_匯入!$I$6:$I$1005,MATCH($A365,土地清冊_匯入!$A$6:$A$1005,0)),""))</f>
        <v/>
      </c>
      <c r="F365" s="13">
        <f>IF($A365="","",IFERROR(INDEX(建物清冊_匯入!$N$6:$N$1005,MATCH($A365,建物清冊_匯入!$A$6:$A$1005,0)),""))</f>
        <v/>
      </c>
      <c r="G365" s="9">
        <f>IF($A365="","",IFERROR(INDEX(建物清冊_匯入!$S$6:$S$1005,MATCH($A365,建物清冊_匯入!$A$6:$A$1005,0)),""))</f>
        <v/>
      </c>
      <c r="H365" s="7" t="n"/>
      <c r="I365" s="15" t="n"/>
      <c r="J365" s="16" t="n"/>
      <c r="K365" s="17">
        <f>IF(J365="","",1-J365)</f>
        <v/>
      </c>
      <c r="L365" s="15" t="n"/>
      <c r="M365" s="7" t="n"/>
      <c r="N365" s="7" t="n"/>
      <c r="O365" s="7" t="n"/>
      <c r="P365" s="11" t="n"/>
      <c r="Q365" s="7" t="n"/>
      <c r="R365" s="7" t="n"/>
      <c r="S365" s="7" t="n"/>
      <c r="T365" s="7" t="n"/>
      <c r="U365" s="12">
        <f>IF(A365="","",IF(H365="","建議填分配模式",""))</f>
        <v/>
      </c>
    </row>
    <row r="366" ht="24" customHeight="1">
      <c r="A366" s="7" t="n"/>
      <c r="B366" s="7" t="n"/>
      <c r="C366" s="7" t="n"/>
      <c r="D366" s="12">
        <f>IF($A366="","",IFERROR(INDEX(土地清冊_匯入!$B$6:$B$1005,MATCH($A366,土地清冊_匯入!$A$6:$A$1005,0)),"查無資料"))</f>
        <v/>
      </c>
      <c r="E366" s="9">
        <f>IF($A366="","",IFERROR(INDEX(土地清冊_匯入!$I$6:$I$1005,MATCH($A366,土地清冊_匯入!$A$6:$A$1005,0)),""))</f>
        <v/>
      </c>
      <c r="F366" s="13">
        <f>IF($A366="","",IFERROR(INDEX(建物清冊_匯入!$N$6:$N$1005,MATCH($A366,建物清冊_匯入!$A$6:$A$1005,0)),""))</f>
        <v/>
      </c>
      <c r="G366" s="9">
        <f>IF($A366="","",IFERROR(INDEX(建物清冊_匯入!$S$6:$S$1005,MATCH($A366,建物清冊_匯入!$A$6:$A$1005,0)),""))</f>
        <v/>
      </c>
      <c r="H366" s="7" t="n"/>
      <c r="I366" s="15" t="n"/>
      <c r="J366" s="16" t="n"/>
      <c r="K366" s="17">
        <f>IF(J366="","",1-J366)</f>
        <v/>
      </c>
      <c r="L366" s="15" t="n"/>
      <c r="M366" s="7" t="n"/>
      <c r="N366" s="7" t="n"/>
      <c r="O366" s="7" t="n"/>
      <c r="P366" s="11" t="n"/>
      <c r="Q366" s="7" t="n"/>
      <c r="R366" s="7" t="n"/>
      <c r="S366" s="7" t="n"/>
      <c r="T366" s="7" t="n"/>
      <c r="U366" s="12">
        <f>IF(A366="","",IF(H366="","建議填分配模式",""))</f>
        <v/>
      </c>
    </row>
    <row r="367" ht="24" customHeight="1">
      <c r="A367" s="7" t="n"/>
      <c r="B367" s="7" t="n"/>
      <c r="C367" s="7" t="n"/>
      <c r="D367" s="12">
        <f>IF($A367="","",IFERROR(INDEX(土地清冊_匯入!$B$6:$B$1005,MATCH($A367,土地清冊_匯入!$A$6:$A$1005,0)),"查無資料"))</f>
        <v/>
      </c>
      <c r="E367" s="9">
        <f>IF($A367="","",IFERROR(INDEX(土地清冊_匯入!$I$6:$I$1005,MATCH($A367,土地清冊_匯入!$A$6:$A$1005,0)),""))</f>
        <v/>
      </c>
      <c r="F367" s="13">
        <f>IF($A367="","",IFERROR(INDEX(建物清冊_匯入!$N$6:$N$1005,MATCH($A367,建物清冊_匯入!$A$6:$A$1005,0)),""))</f>
        <v/>
      </c>
      <c r="G367" s="9">
        <f>IF($A367="","",IFERROR(INDEX(建物清冊_匯入!$S$6:$S$1005,MATCH($A367,建物清冊_匯入!$A$6:$A$1005,0)),""))</f>
        <v/>
      </c>
      <c r="H367" s="7" t="n"/>
      <c r="I367" s="15" t="n"/>
      <c r="J367" s="16" t="n"/>
      <c r="K367" s="17">
        <f>IF(J367="","",1-J367)</f>
        <v/>
      </c>
      <c r="L367" s="15" t="n"/>
      <c r="M367" s="7" t="n"/>
      <c r="N367" s="7" t="n"/>
      <c r="O367" s="7" t="n"/>
      <c r="P367" s="11" t="n"/>
      <c r="Q367" s="7" t="n"/>
      <c r="R367" s="7" t="n"/>
      <c r="S367" s="7" t="n"/>
      <c r="T367" s="7" t="n"/>
      <c r="U367" s="12">
        <f>IF(A367="","",IF(H367="","建議填分配模式",""))</f>
        <v/>
      </c>
    </row>
    <row r="368" ht="24" customHeight="1">
      <c r="A368" s="7" t="n"/>
      <c r="B368" s="7" t="n"/>
      <c r="C368" s="7" t="n"/>
      <c r="D368" s="12">
        <f>IF($A368="","",IFERROR(INDEX(土地清冊_匯入!$B$6:$B$1005,MATCH($A368,土地清冊_匯入!$A$6:$A$1005,0)),"查無資料"))</f>
        <v/>
      </c>
      <c r="E368" s="9">
        <f>IF($A368="","",IFERROR(INDEX(土地清冊_匯入!$I$6:$I$1005,MATCH($A368,土地清冊_匯入!$A$6:$A$1005,0)),""))</f>
        <v/>
      </c>
      <c r="F368" s="13">
        <f>IF($A368="","",IFERROR(INDEX(建物清冊_匯入!$N$6:$N$1005,MATCH($A368,建物清冊_匯入!$A$6:$A$1005,0)),""))</f>
        <v/>
      </c>
      <c r="G368" s="9">
        <f>IF($A368="","",IFERROR(INDEX(建物清冊_匯入!$S$6:$S$1005,MATCH($A368,建物清冊_匯入!$A$6:$A$1005,0)),""))</f>
        <v/>
      </c>
      <c r="H368" s="7" t="n"/>
      <c r="I368" s="15" t="n"/>
      <c r="J368" s="16" t="n"/>
      <c r="K368" s="17">
        <f>IF(J368="","",1-J368)</f>
        <v/>
      </c>
      <c r="L368" s="15" t="n"/>
      <c r="M368" s="7" t="n"/>
      <c r="N368" s="7" t="n"/>
      <c r="O368" s="7" t="n"/>
      <c r="P368" s="11" t="n"/>
      <c r="Q368" s="7" t="n"/>
      <c r="R368" s="7" t="n"/>
      <c r="S368" s="7" t="n"/>
      <c r="T368" s="7" t="n"/>
      <c r="U368" s="12">
        <f>IF(A368="","",IF(H368="","建議填分配模式",""))</f>
        <v/>
      </c>
    </row>
    <row r="369" ht="24" customHeight="1">
      <c r="A369" s="7" t="n"/>
      <c r="B369" s="7" t="n"/>
      <c r="C369" s="7" t="n"/>
      <c r="D369" s="12">
        <f>IF($A369="","",IFERROR(INDEX(土地清冊_匯入!$B$6:$B$1005,MATCH($A369,土地清冊_匯入!$A$6:$A$1005,0)),"查無資料"))</f>
        <v/>
      </c>
      <c r="E369" s="9">
        <f>IF($A369="","",IFERROR(INDEX(土地清冊_匯入!$I$6:$I$1005,MATCH($A369,土地清冊_匯入!$A$6:$A$1005,0)),""))</f>
        <v/>
      </c>
      <c r="F369" s="13">
        <f>IF($A369="","",IFERROR(INDEX(建物清冊_匯入!$N$6:$N$1005,MATCH($A369,建物清冊_匯入!$A$6:$A$1005,0)),""))</f>
        <v/>
      </c>
      <c r="G369" s="9">
        <f>IF($A369="","",IFERROR(INDEX(建物清冊_匯入!$S$6:$S$1005,MATCH($A369,建物清冊_匯入!$A$6:$A$1005,0)),""))</f>
        <v/>
      </c>
      <c r="H369" s="7" t="n"/>
      <c r="I369" s="15" t="n"/>
      <c r="J369" s="16" t="n"/>
      <c r="K369" s="17">
        <f>IF(J369="","",1-J369)</f>
        <v/>
      </c>
      <c r="L369" s="15" t="n"/>
      <c r="M369" s="7" t="n"/>
      <c r="N369" s="7" t="n"/>
      <c r="O369" s="7" t="n"/>
      <c r="P369" s="11" t="n"/>
      <c r="Q369" s="7" t="n"/>
      <c r="R369" s="7" t="n"/>
      <c r="S369" s="7" t="n"/>
      <c r="T369" s="7" t="n"/>
      <c r="U369" s="12">
        <f>IF(A369="","",IF(H369="","建議填分配模式",""))</f>
        <v/>
      </c>
    </row>
    <row r="370" ht="24" customHeight="1">
      <c r="A370" s="7" t="n"/>
      <c r="B370" s="7" t="n"/>
      <c r="C370" s="7" t="n"/>
      <c r="D370" s="12">
        <f>IF($A370="","",IFERROR(INDEX(土地清冊_匯入!$B$6:$B$1005,MATCH($A370,土地清冊_匯入!$A$6:$A$1005,0)),"查無資料"))</f>
        <v/>
      </c>
      <c r="E370" s="9">
        <f>IF($A370="","",IFERROR(INDEX(土地清冊_匯入!$I$6:$I$1005,MATCH($A370,土地清冊_匯入!$A$6:$A$1005,0)),""))</f>
        <v/>
      </c>
      <c r="F370" s="13">
        <f>IF($A370="","",IFERROR(INDEX(建物清冊_匯入!$N$6:$N$1005,MATCH($A370,建物清冊_匯入!$A$6:$A$1005,0)),""))</f>
        <v/>
      </c>
      <c r="G370" s="9">
        <f>IF($A370="","",IFERROR(INDEX(建物清冊_匯入!$S$6:$S$1005,MATCH($A370,建物清冊_匯入!$A$6:$A$1005,0)),""))</f>
        <v/>
      </c>
      <c r="H370" s="7" t="n"/>
      <c r="I370" s="15" t="n"/>
      <c r="J370" s="16" t="n"/>
      <c r="K370" s="17">
        <f>IF(J370="","",1-J370)</f>
        <v/>
      </c>
      <c r="L370" s="15" t="n"/>
      <c r="M370" s="7" t="n"/>
      <c r="N370" s="7" t="n"/>
      <c r="O370" s="7" t="n"/>
      <c r="P370" s="11" t="n"/>
      <c r="Q370" s="7" t="n"/>
      <c r="R370" s="7" t="n"/>
      <c r="S370" s="7" t="n"/>
      <c r="T370" s="7" t="n"/>
      <c r="U370" s="12">
        <f>IF(A370="","",IF(H370="","建議填分配模式",""))</f>
        <v/>
      </c>
    </row>
    <row r="371" ht="24" customHeight="1">
      <c r="A371" s="7" t="n"/>
      <c r="B371" s="7" t="n"/>
      <c r="C371" s="7" t="n"/>
      <c r="D371" s="12">
        <f>IF($A371="","",IFERROR(INDEX(土地清冊_匯入!$B$6:$B$1005,MATCH($A371,土地清冊_匯入!$A$6:$A$1005,0)),"查無資料"))</f>
        <v/>
      </c>
      <c r="E371" s="9">
        <f>IF($A371="","",IFERROR(INDEX(土地清冊_匯入!$I$6:$I$1005,MATCH($A371,土地清冊_匯入!$A$6:$A$1005,0)),""))</f>
        <v/>
      </c>
      <c r="F371" s="13">
        <f>IF($A371="","",IFERROR(INDEX(建物清冊_匯入!$N$6:$N$1005,MATCH($A371,建物清冊_匯入!$A$6:$A$1005,0)),""))</f>
        <v/>
      </c>
      <c r="G371" s="9">
        <f>IF($A371="","",IFERROR(INDEX(建物清冊_匯入!$S$6:$S$1005,MATCH($A371,建物清冊_匯入!$A$6:$A$1005,0)),""))</f>
        <v/>
      </c>
      <c r="H371" s="7" t="n"/>
      <c r="I371" s="15" t="n"/>
      <c r="J371" s="16" t="n"/>
      <c r="K371" s="17">
        <f>IF(J371="","",1-J371)</f>
        <v/>
      </c>
      <c r="L371" s="15" t="n"/>
      <c r="M371" s="7" t="n"/>
      <c r="N371" s="7" t="n"/>
      <c r="O371" s="7" t="n"/>
      <c r="P371" s="11" t="n"/>
      <c r="Q371" s="7" t="n"/>
      <c r="R371" s="7" t="n"/>
      <c r="S371" s="7" t="n"/>
      <c r="T371" s="7" t="n"/>
      <c r="U371" s="12">
        <f>IF(A371="","",IF(H371="","建議填分配模式",""))</f>
        <v/>
      </c>
    </row>
    <row r="372" ht="24" customHeight="1">
      <c r="A372" s="7" t="n"/>
      <c r="B372" s="7" t="n"/>
      <c r="C372" s="7" t="n"/>
      <c r="D372" s="12">
        <f>IF($A372="","",IFERROR(INDEX(土地清冊_匯入!$B$6:$B$1005,MATCH($A372,土地清冊_匯入!$A$6:$A$1005,0)),"查無資料"))</f>
        <v/>
      </c>
      <c r="E372" s="9">
        <f>IF($A372="","",IFERROR(INDEX(土地清冊_匯入!$I$6:$I$1005,MATCH($A372,土地清冊_匯入!$A$6:$A$1005,0)),""))</f>
        <v/>
      </c>
      <c r="F372" s="13">
        <f>IF($A372="","",IFERROR(INDEX(建物清冊_匯入!$N$6:$N$1005,MATCH($A372,建物清冊_匯入!$A$6:$A$1005,0)),""))</f>
        <v/>
      </c>
      <c r="G372" s="9">
        <f>IF($A372="","",IFERROR(INDEX(建物清冊_匯入!$S$6:$S$1005,MATCH($A372,建物清冊_匯入!$A$6:$A$1005,0)),""))</f>
        <v/>
      </c>
      <c r="H372" s="7" t="n"/>
      <c r="I372" s="15" t="n"/>
      <c r="J372" s="16" t="n"/>
      <c r="K372" s="17">
        <f>IF(J372="","",1-J372)</f>
        <v/>
      </c>
      <c r="L372" s="15" t="n"/>
      <c r="M372" s="7" t="n"/>
      <c r="N372" s="7" t="n"/>
      <c r="O372" s="7" t="n"/>
      <c r="P372" s="11" t="n"/>
      <c r="Q372" s="7" t="n"/>
      <c r="R372" s="7" t="n"/>
      <c r="S372" s="7" t="n"/>
      <c r="T372" s="7" t="n"/>
      <c r="U372" s="12">
        <f>IF(A372="","",IF(H372="","建議填分配模式",""))</f>
        <v/>
      </c>
    </row>
    <row r="373" ht="24" customHeight="1">
      <c r="A373" s="7" t="n"/>
      <c r="B373" s="7" t="n"/>
      <c r="C373" s="7" t="n"/>
      <c r="D373" s="12">
        <f>IF($A373="","",IFERROR(INDEX(土地清冊_匯入!$B$6:$B$1005,MATCH($A373,土地清冊_匯入!$A$6:$A$1005,0)),"查無資料"))</f>
        <v/>
      </c>
      <c r="E373" s="9">
        <f>IF($A373="","",IFERROR(INDEX(土地清冊_匯入!$I$6:$I$1005,MATCH($A373,土地清冊_匯入!$A$6:$A$1005,0)),""))</f>
        <v/>
      </c>
      <c r="F373" s="13">
        <f>IF($A373="","",IFERROR(INDEX(建物清冊_匯入!$N$6:$N$1005,MATCH($A373,建物清冊_匯入!$A$6:$A$1005,0)),""))</f>
        <v/>
      </c>
      <c r="G373" s="9">
        <f>IF($A373="","",IFERROR(INDEX(建物清冊_匯入!$S$6:$S$1005,MATCH($A373,建物清冊_匯入!$A$6:$A$1005,0)),""))</f>
        <v/>
      </c>
      <c r="H373" s="7" t="n"/>
      <c r="I373" s="15" t="n"/>
      <c r="J373" s="16" t="n"/>
      <c r="K373" s="17">
        <f>IF(J373="","",1-J373)</f>
        <v/>
      </c>
      <c r="L373" s="15" t="n"/>
      <c r="M373" s="7" t="n"/>
      <c r="N373" s="7" t="n"/>
      <c r="O373" s="7" t="n"/>
      <c r="P373" s="11" t="n"/>
      <c r="Q373" s="7" t="n"/>
      <c r="R373" s="7" t="n"/>
      <c r="S373" s="7" t="n"/>
      <c r="T373" s="7" t="n"/>
      <c r="U373" s="12">
        <f>IF(A373="","",IF(H373="","建議填分配模式",""))</f>
        <v/>
      </c>
    </row>
    <row r="374" ht="24" customHeight="1">
      <c r="A374" s="7" t="n"/>
      <c r="B374" s="7" t="n"/>
      <c r="C374" s="7" t="n"/>
      <c r="D374" s="12">
        <f>IF($A374="","",IFERROR(INDEX(土地清冊_匯入!$B$6:$B$1005,MATCH($A374,土地清冊_匯入!$A$6:$A$1005,0)),"查無資料"))</f>
        <v/>
      </c>
      <c r="E374" s="9">
        <f>IF($A374="","",IFERROR(INDEX(土地清冊_匯入!$I$6:$I$1005,MATCH($A374,土地清冊_匯入!$A$6:$A$1005,0)),""))</f>
        <v/>
      </c>
      <c r="F374" s="13">
        <f>IF($A374="","",IFERROR(INDEX(建物清冊_匯入!$N$6:$N$1005,MATCH($A374,建物清冊_匯入!$A$6:$A$1005,0)),""))</f>
        <v/>
      </c>
      <c r="G374" s="9">
        <f>IF($A374="","",IFERROR(INDEX(建物清冊_匯入!$S$6:$S$1005,MATCH($A374,建物清冊_匯入!$A$6:$A$1005,0)),""))</f>
        <v/>
      </c>
      <c r="H374" s="7" t="n"/>
      <c r="I374" s="15" t="n"/>
      <c r="J374" s="16" t="n"/>
      <c r="K374" s="17">
        <f>IF(J374="","",1-J374)</f>
        <v/>
      </c>
      <c r="L374" s="15" t="n"/>
      <c r="M374" s="7" t="n"/>
      <c r="N374" s="7" t="n"/>
      <c r="O374" s="7" t="n"/>
      <c r="P374" s="11" t="n"/>
      <c r="Q374" s="7" t="n"/>
      <c r="R374" s="7" t="n"/>
      <c r="S374" s="7" t="n"/>
      <c r="T374" s="7" t="n"/>
      <c r="U374" s="12">
        <f>IF(A374="","",IF(H374="","建議填分配模式",""))</f>
        <v/>
      </c>
    </row>
    <row r="375" ht="24" customHeight="1">
      <c r="A375" s="7" t="n"/>
      <c r="B375" s="7" t="n"/>
      <c r="C375" s="7" t="n"/>
      <c r="D375" s="12">
        <f>IF($A375="","",IFERROR(INDEX(土地清冊_匯入!$B$6:$B$1005,MATCH($A375,土地清冊_匯入!$A$6:$A$1005,0)),"查無資料"))</f>
        <v/>
      </c>
      <c r="E375" s="9">
        <f>IF($A375="","",IFERROR(INDEX(土地清冊_匯入!$I$6:$I$1005,MATCH($A375,土地清冊_匯入!$A$6:$A$1005,0)),""))</f>
        <v/>
      </c>
      <c r="F375" s="13">
        <f>IF($A375="","",IFERROR(INDEX(建物清冊_匯入!$N$6:$N$1005,MATCH($A375,建物清冊_匯入!$A$6:$A$1005,0)),""))</f>
        <v/>
      </c>
      <c r="G375" s="9">
        <f>IF($A375="","",IFERROR(INDEX(建物清冊_匯入!$S$6:$S$1005,MATCH($A375,建物清冊_匯入!$A$6:$A$1005,0)),""))</f>
        <v/>
      </c>
      <c r="H375" s="7" t="n"/>
      <c r="I375" s="15" t="n"/>
      <c r="J375" s="16" t="n"/>
      <c r="K375" s="17">
        <f>IF(J375="","",1-J375)</f>
        <v/>
      </c>
      <c r="L375" s="15" t="n"/>
      <c r="M375" s="7" t="n"/>
      <c r="N375" s="7" t="n"/>
      <c r="O375" s="7" t="n"/>
      <c r="P375" s="11" t="n"/>
      <c r="Q375" s="7" t="n"/>
      <c r="R375" s="7" t="n"/>
      <c r="S375" s="7" t="n"/>
      <c r="T375" s="7" t="n"/>
      <c r="U375" s="12">
        <f>IF(A375="","",IF(H375="","建議填分配模式",""))</f>
        <v/>
      </c>
    </row>
    <row r="376" ht="24" customHeight="1">
      <c r="A376" s="7" t="n"/>
      <c r="B376" s="7" t="n"/>
      <c r="C376" s="7" t="n"/>
      <c r="D376" s="12">
        <f>IF($A376="","",IFERROR(INDEX(土地清冊_匯入!$B$6:$B$1005,MATCH($A376,土地清冊_匯入!$A$6:$A$1005,0)),"查無資料"))</f>
        <v/>
      </c>
      <c r="E376" s="9">
        <f>IF($A376="","",IFERROR(INDEX(土地清冊_匯入!$I$6:$I$1005,MATCH($A376,土地清冊_匯入!$A$6:$A$1005,0)),""))</f>
        <v/>
      </c>
      <c r="F376" s="13">
        <f>IF($A376="","",IFERROR(INDEX(建物清冊_匯入!$N$6:$N$1005,MATCH($A376,建物清冊_匯入!$A$6:$A$1005,0)),""))</f>
        <v/>
      </c>
      <c r="G376" s="9">
        <f>IF($A376="","",IFERROR(INDEX(建物清冊_匯入!$S$6:$S$1005,MATCH($A376,建物清冊_匯入!$A$6:$A$1005,0)),""))</f>
        <v/>
      </c>
      <c r="H376" s="7" t="n"/>
      <c r="I376" s="15" t="n"/>
      <c r="J376" s="16" t="n"/>
      <c r="K376" s="17">
        <f>IF(J376="","",1-J376)</f>
        <v/>
      </c>
      <c r="L376" s="15" t="n"/>
      <c r="M376" s="7" t="n"/>
      <c r="N376" s="7" t="n"/>
      <c r="O376" s="7" t="n"/>
      <c r="P376" s="11" t="n"/>
      <c r="Q376" s="7" t="n"/>
      <c r="R376" s="7" t="n"/>
      <c r="S376" s="7" t="n"/>
      <c r="T376" s="7" t="n"/>
      <c r="U376" s="12">
        <f>IF(A376="","",IF(H376="","建議填分配模式",""))</f>
        <v/>
      </c>
    </row>
    <row r="377" ht="24" customHeight="1">
      <c r="A377" s="7" t="n"/>
      <c r="B377" s="7" t="n"/>
      <c r="C377" s="7" t="n"/>
      <c r="D377" s="12">
        <f>IF($A377="","",IFERROR(INDEX(土地清冊_匯入!$B$6:$B$1005,MATCH($A377,土地清冊_匯入!$A$6:$A$1005,0)),"查無資料"))</f>
        <v/>
      </c>
      <c r="E377" s="9">
        <f>IF($A377="","",IFERROR(INDEX(土地清冊_匯入!$I$6:$I$1005,MATCH($A377,土地清冊_匯入!$A$6:$A$1005,0)),""))</f>
        <v/>
      </c>
      <c r="F377" s="13">
        <f>IF($A377="","",IFERROR(INDEX(建物清冊_匯入!$N$6:$N$1005,MATCH($A377,建物清冊_匯入!$A$6:$A$1005,0)),""))</f>
        <v/>
      </c>
      <c r="G377" s="9">
        <f>IF($A377="","",IFERROR(INDEX(建物清冊_匯入!$S$6:$S$1005,MATCH($A377,建物清冊_匯入!$A$6:$A$1005,0)),""))</f>
        <v/>
      </c>
      <c r="H377" s="7" t="n"/>
      <c r="I377" s="15" t="n"/>
      <c r="J377" s="16" t="n"/>
      <c r="K377" s="17">
        <f>IF(J377="","",1-J377)</f>
        <v/>
      </c>
      <c r="L377" s="15" t="n"/>
      <c r="M377" s="7" t="n"/>
      <c r="N377" s="7" t="n"/>
      <c r="O377" s="7" t="n"/>
      <c r="P377" s="11" t="n"/>
      <c r="Q377" s="7" t="n"/>
      <c r="R377" s="7" t="n"/>
      <c r="S377" s="7" t="n"/>
      <c r="T377" s="7" t="n"/>
      <c r="U377" s="12">
        <f>IF(A377="","",IF(H377="","建議填分配模式",""))</f>
        <v/>
      </c>
    </row>
    <row r="378" ht="24" customHeight="1">
      <c r="A378" s="7" t="n"/>
      <c r="B378" s="7" t="n"/>
      <c r="C378" s="7" t="n"/>
      <c r="D378" s="12">
        <f>IF($A378="","",IFERROR(INDEX(土地清冊_匯入!$B$6:$B$1005,MATCH($A378,土地清冊_匯入!$A$6:$A$1005,0)),"查無資料"))</f>
        <v/>
      </c>
      <c r="E378" s="9">
        <f>IF($A378="","",IFERROR(INDEX(土地清冊_匯入!$I$6:$I$1005,MATCH($A378,土地清冊_匯入!$A$6:$A$1005,0)),""))</f>
        <v/>
      </c>
      <c r="F378" s="13">
        <f>IF($A378="","",IFERROR(INDEX(建物清冊_匯入!$N$6:$N$1005,MATCH($A378,建物清冊_匯入!$A$6:$A$1005,0)),""))</f>
        <v/>
      </c>
      <c r="G378" s="9">
        <f>IF($A378="","",IFERROR(INDEX(建物清冊_匯入!$S$6:$S$1005,MATCH($A378,建物清冊_匯入!$A$6:$A$1005,0)),""))</f>
        <v/>
      </c>
      <c r="H378" s="7" t="n"/>
      <c r="I378" s="15" t="n"/>
      <c r="J378" s="16" t="n"/>
      <c r="K378" s="17">
        <f>IF(J378="","",1-J378)</f>
        <v/>
      </c>
      <c r="L378" s="15" t="n"/>
      <c r="M378" s="7" t="n"/>
      <c r="N378" s="7" t="n"/>
      <c r="O378" s="7" t="n"/>
      <c r="P378" s="11" t="n"/>
      <c r="Q378" s="7" t="n"/>
      <c r="R378" s="7" t="n"/>
      <c r="S378" s="7" t="n"/>
      <c r="T378" s="7" t="n"/>
      <c r="U378" s="12">
        <f>IF(A378="","",IF(H378="","建議填分配模式",""))</f>
        <v/>
      </c>
    </row>
    <row r="379" ht="24" customHeight="1">
      <c r="A379" s="7" t="n"/>
      <c r="B379" s="7" t="n"/>
      <c r="C379" s="7" t="n"/>
      <c r="D379" s="12">
        <f>IF($A379="","",IFERROR(INDEX(土地清冊_匯入!$B$6:$B$1005,MATCH($A379,土地清冊_匯入!$A$6:$A$1005,0)),"查無資料"))</f>
        <v/>
      </c>
      <c r="E379" s="9">
        <f>IF($A379="","",IFERROR(INDEX(土地清冊_匯入!$I$6:$I$1005,MATCH($A379,土地清冊_匯入!$A$6:$A$1005,0)),""))</f>
        <v/>
      </c>
      <c r="F379" s="13">
        <f>IF($A379="","",IFERROR(INDEX(建物清冊_匯入!$N$6:$N$1005,MATCH($A379,建物清冊_匯入!$A$6:$A$1005,0)),""))</f>
        <v/>
      </c>
      <c r="G379" s="9">
        <f>IF($A379="","",IFERROR(INDEX(建物清冊_匯入!$S$6:$S$1005,MATCH($A379,建物清冊_匯入!$A$6:$A$1005,0)),""))</f>
        <v/>
      </c>
      <c r="H379" s="7" t="n"/>
      <c r="I379" s="15" t="n"/>
      <c r="J379" s="16" t="n"/>
      <c r="K379" s="17">
        <f>IF(J379="","",1-J379)</f>
        <v/>
      </c>
      <c r="L379" s="15" t="n"/>
      <c r="M379" s="7" t="n"/>
      <c r="N379" s="7" t="n"/>
      <c r="O379" s="7" t="n"/>
      <c r="P379" s="11" t="n"/>
      <c r="Q379" s="7" t="n"/>
      <c r="R379" s="7" t="n"/>
      <c r="S379" s="7" t="n"/>
      <c r="T379" s="7" t="n"/>
      <c r="U379" s="12">
        <f>IF(A379="","",IF(H379="","建議填分配模式",""))</f>
        <v/>
      </c>
    </row>
    <row r="380" ht="24" customHeight="1">
      <c r="A380" s="7" t="n"/>
      <c r="B380" s="7" t="n"/>
      <c r="C380" s="7" t="n"/>
      <c r="D380" s="12">
        <f>IF($A380="","",IFERROR(INDEX(土地清冊_匯入!$B$6:$B$1005,MATCH($A380,土地清冊_匯入!$A$6:$A$1005,0)),"查無資料"))</f>
        <v/>
      </c>
      <c r="E380" s="9">
        <f>IF($A380="","",IFERROR(INDEX(土地清冊_匯入!$I$6:$I$1005,MATCH($A380,土地清冊_匯入!$A$6:$A$1005,0)),""))</f>
        <v/>
      </c>
      <c r="F380" s="13">
        <f>IF($A380="","",IFERROR(INDEX(建物清冊_匯入!$N$6:$N$1005,MATCH($A380,建物清冊_匯入!$A$6:$A$1005,0)),""))</f>
        <v/>
      </c>
      <c r="G380" s="9">
        <f>IF($A380="","",IFERROR(INDEX(建物清冊_匯入!$S$6:$S$1005,MATCH($A380,建物清冊_匯入!$A$6:$A$1005,0)),""))</f>
        <v/>
      </c>
      <c r="H380" s="7" t="n"/>
      <c r="I380" s="15" t="n"/>
      <c r="J380" s="16" t="n"/>
      <c r="K380" s="17">
        <f>IF(J380="","",1-J380)</f>
        <v/>
      </c>
      <c r="L380" s="15" t="n"/>
      <c r="M380" s="7" t="n"/>
      <c r="N380" s="7" t="n"/>
      <c r="O380" s="7" t="n"/>
      <c r="P380" s="11" t="n"/>
      <c r="Q380" s="7" t="n"/>
      <c r="R380" s="7" t="n"/>
      <c r="S380" s="7" t="n"/>
      <c r="T380" s="7" t="n"/>
      <c r="U380" s="12">
        <f>IF(A380="","",IF(H380="","建議填分配模式",""))</f>
        <v/>
      </c>
    </row>
    <row r="381" ht="24" customHeight="1">
      <c r="A381" s="7" t="n"/>
      <c r="B381" s="7" t="n"/>
      <c r="C381" s="7" t="n"/>
      <c r="D381" s="12">
        <f>IF($A381="","",IFERROR(INDEX(土地清冊_匯入!$B$6:$B$1005,MATCH($A381,土地清冊_匯入!$A$6:$A$1005,0)),"查無資料"))</f>
        <v/>
      </c>
      <c r="E381" s="9">
        <f>IF($A381="","",IFERROR(INDEX(土地清冊_匯入!$I$6:$I$1005,MATCH($A381,土地清冊_匯入!$A$6:$A$1005,0)),""))</f>
        <v/>
      </c>
      <c r="F381" s="13">
        <f>IF($A381="","",IFERROR(INDEX(建物清冊_匯入!$N$6:$N$1005,MATCH($A381,建物清冊_匯入!$A$6:$A$1005,0)),""))</f>
        <v/>
      </c>
      <c r="G381" s="9">
        <f>IF($A381="","",IFERROR(INDEX(建物清冊_匯入!$S$6:$S$1005,MATCH($A381,建物清冊_匯入!$A$6:$A$1005,0)),""))</f>
        <v/>
      </c>
      <c r="H381" s="7" t="n"/>
      <c r="I381" s="15" t="n"/>
      <c r="J381" s="16" t="n"/>
      <c r="K381" s="17">
        <f>IF(J381="","",1-J381)</f>
        <v/>
      </c>
      <c r="L381" s="15" t="n"/>
      <c r="M381" s="7" t="n"/>
      <c r="N381" s="7" t="n"/>
      <c r="O381" s="7" t="n"/>
      <c r="P381" s="11" t="n"/>
      <c r="Q381" s="7" t="n"/>
      <c r="R381" s="7" t="n"/>
      <c r="S381" s="7" t="n"/>
      <c r="T381" s="7" t="n"/>
      <c r="U381" s="12">
        <f>IF(A381="","",IF(H381="","建議填分配模式",""))</f>
        <v/>
      </c>
    </row>
    <row r="382" ht="24" customHeight="1">
      <c r="A382" s="7" t="n"/>
      <c r="B382" s="7" t="n"/>
      <c r="C382" s="7" t="n"/>
      <c r="D382" s="12">
        <f>IF($A382="","",IFERROR(INDEX(土地清冊_匯入!$B$6:$B$1005,MATCH($A382,土地清冊_匯入!$A$6:$A$1005,0)),"查無資料"))</f>
        <v/>
      </c>
      <c r="E382" s="9">
        <f>IF($A382="","",IFERROR(INDEX(土地清冊_匯入!$I$6:$I$1005,MATCH($A382,土地清冊_匯入!$A$6:$A$1005,0)),""))</f>
        <v/>
      </c>
      <c r="F382" s="13">
        <f>IF($A382="","",IFERROR(INDEX(建物清冊_匯入!$N$6:$N$1005,MATCH($A382,建物清冊_匯入!$A$6:$A$1005,0)),""))</f>
        <v/>
      </c>
      <c r="G382" s="9">
        <f>IF($A382="","",IFERROR(INDEX(建物清冊_匯入!$S$6:$S$1005,MATCH($A382,建物清冊_匯入!$A$6:$A$1005,0)),""))</f>
        <v/>
      </c>
      <c r="H382" s="7" t="n"/>
      <c r="I382" s="15" t="n"/>
      <c r="J382" s="16" t="n"/>
      <c r="K382" s="17">
        <f>IF(J382="","",1-J382)</f>
        <v/>
      </c>
      <c r="L382" s="15" t="n"/>
      <c r="M382" s="7" t="n"/>
      <c r="N382" s="7" t="n"/>
      <c r="O382" s="7" t="n"/>
      <c r="P382" s="11" t="n"/>
      <c r="Q382" s="7" t="n"/>
      <c r="R382" s="7" t="n"/>
      <c r="S382" s="7" t="n"/>
      <c r="T382" s="7" t="n"/>
      <c r="U382" s="12">
        <f>IF(A382="","",IF(H382="","建議填分配模式",""))</f>
        <v/>
      </c>
    </row>
    <row r="383" ht="24" customHeight="1">
      <c r="A383" s="7" t="n"/>
      <c r="B383" s="7" t="n"/>
      <c r="C383" s="7" t="n"/>
      <c r="D383" s="12">
        <f>IF($A383="","",IFERROR(INDEX(土地清冊_匯入!$B$6:$B$1005,MATCH($A383,土地清冊_匯入!$A$6:$A$1005,0)),"查無資料"))</f>
        <v/>
      </c>
      <c r="E383" s="9">
        <f>IF($A383="","",IFERROR(INDEX(土地清冊_匯入!$I$6:$I$1005,MATCH($A383,土地清冊_匯入!$A$6:$A$1005,0)),""))</f>
        <v/>
      </c>
      <c r="F383" s="13">
        <f>IF($A383="","",IFERROR(INDEX(建物清冊_匯入!$N$6:$N$1005,MATCH($A383,建物清冊_匯入!$A$6:$A$1005,0)),""))</f>
        <v/>
      </c>
      <c r="G383" s="9">
        <f>IF($A383="","",IFERROR(INDEX(建物清冊_匯入!$S$6:$S$1005,MATCH($A383,建物清冊_匯入!$A$6:$A$1005,0)),""))</f>
        <v/>
      </c>
      <c r="H383" s="7" t="n"/>
      <c r="I383" s="15" t="n"/>
      <c r="J383" s="16" t="n"/>
      <c r="K383" s="17">
        <f>IF(J383="","",1-J383)</f>
        <v/>
      </c>
      <c r="L383" s="15" t="n"/>
      <c r="M383" s="7" t="n"/>
      <c r="N383" s="7" t="n"/>
      <c r="O383" s="7" t="n"/>
      <c r="P383" s="11" t="n"/>
      <c r="Q383" s="7" t="n"/>
      <c r="R383" s="7" t="n"/>
      <c r="S383" s="7" t="n"/>
      <c r="T383" s="7" t="n"/>
      <c r="U383" s="12">
        <f>IF(A383="","",IF(H383="","建議填分配模式",""))</f>
        <v/>
      </c>
    </row>
    <row r="384" ht="24" customHeight="1">
      <c r="A384" s="7" t="n"/>
      <c r="B384" s="7" t="n"/>
      <c r="C384" s="7" t="n"/>
      <c r="D384" s="12">
        <f>IF($A384="","",IFERROR(INDEX(土地清冊_匯入!$B$6:$B$1005,MATCH($A384,土地清冊_匯入!$A$6:$A$1005,0)),"查無資料"))</f>
        <v/>
      </c>
      <c r="E384" s="9">
        <f>IF($A384="","",IFERROR(INDEX(土地清冊_匯入!$I$6:$I$1005,MATCH($A384,土地清冊_匯入!$A$6:$A$1005,0)),""))</f>
        <v/>
      </c>
      <c r="F384" s="13">
        <f>IF($A384="","",IFERROR(INDEX(建物清冊_匯入!$N$6:$N$1005,MATCH($A384,建物清冊_匯入!$A$6:$A$1005,0)),""))</f>
        <v/>
      </c>
      <c r="G384" s="9">
        <f>IF($A384="","",IFERROR(INDEX(建物清冊_匯入!$S$6:$S$1005,MATCH($A384,建物清冊_匯入!$A$6:$A$1005,0)),""))</f>
        <v/>
      </c>
      <c r="H384" s="7" t="n"/>
      <c r="I384" s="15" t="n"/>
      <c r="J384" s="16" t="n"/>
      <c r="K384" s="17">
        <f>IF(J384="","",1-J384)</f>
        <v/>
      </c>
      <c r="L384" s="15" t="n"/>
      <c r="M384" s="7" t="n"/>
      <c r="N384" s="7" t="n"/>
      <c r="O384" s="7" t="n"/>
      <c r="P384" s="11" t="n"/>
      <c r="Q384" s="7" t="n"/>
      <c r="R384" s="7" t="n"/>
      <c r="S384" s="7" t="n"/>
      <c r="T384" s="7" t="n"/>
      <c r="U384" s="12">
        <f>IF(A384="","",IF(H384="","建議填分配模式",""))</f>
        <v/>
      </c>
    </row>
    <row r="385" ht="24" customHeight="1">
      <c r="A385" s="7" t="n"/>
      <c r="B385" s="7" t="n"/>
      <c r="C385" s="7" t="n"/>
      <c r="D385" s="12">
        <f>IF($A385="","",IFERROR(INDEX(土地清冊_匯入!$B$6:$B$1005,MATCH($A385,土地清冊_匯入!$A$6:$A$1005,0)),"查無資料"))</f>
        <v/>
      </c>
      <c r="E385" s="9">
        <f>IF($A385="","",IFERROR(INDEX(土地清冊_匯入!$I$6:$I$1005,MATCH($A385,土地清冊_匯入!$A$6:$A$1005,0)),""))</f>
        <v/>
      </c>
      <c r="F385" s="13">
        <f>IF($A385="","",IFERROR(INDEX(建物清冊_匯入!$N$6:$N$1005,MATCH($A385,建物清冊_匯入!$A$6:$A$1005,0)),""))</f>
        <v/>
      </c>
      <c r="G385" s="9">
        <f>IF($A385="","",IFERROR(INDEX(建物清冊_匯入!$S$6:$S$1005,MATCH($A385,建物清冊_匯入!$A$6:$A$1005,0)),""))</f>
        <v/>
      </c>
      <c r="H385" s="7" t="n"/>
      <c r="I385" s="15" t="n"/>
      <c r="J385" s="16" t="n"/>
      <c r="K385" s="17">
        <f>IF(J385="","",1-J385)</f>
        <v/>
      </c>
      <c r="L385" s="15" t="n"/>
      <c r="M385" s="7" t="n"/>
      <c r="N385" s="7" t="n"/>
      <c r="O385" s="7" t="n"/>
      <c r="P385" s="11" t="n"/>
      <c r="Q385" s="7" t="n"/>
      <c r="R385" s="7" t="n"/>
      <c r="S385" s="7" t="n"/>
      <c r="T385" s="7" t="n"/>
      <c r="U385" s="12">
        <f>IF(A385="","",IF(H385="","建議填分配模式",""))</f>
        <v/>
      </c>
    </row>
    <row r="386" ht="24" customHeight="1">
      <c r="A386" s="7" t="n"/>
      <c r="B386" s="7" t="n"/>
      <c r="C386" s="7" t="n"/>
      <c r="D386" s="12">
        <f>IF($A386="","",IFERROR(INDEX(土地清冊_匯入!$B$6:$B$1005,MATCH($A386,土地清冊_匯入!$A$6:$A$1005,0)),"查無資料"))</f>
        <v/>
      </c>
      <c r="E386" s="9">
        <f>IF($A386="","",IFERROR(INDEX(土地清冊_匯入!$I$6:$I$1005,MATCH($A386,土地清冊_匯入!$A$6:$A$1005,0)),""))</f>
        <v/>
      </c>
      <c r="F386" s="13">
        <f>IF($A386="","",IFERROR(INDEX(建物清冊_匯入!$N$6:$N$1005,MATCH($A386,建物清冊_匯入!$A$6:$A$1005,0)),""))</f>
        <v/>
      </c>
      <c r="G386" s="9">
        <f>IF($A386="","",IFERROR(INDEX(建物清冊_匯入!$S$6:$S$1005,MATCH($A386,建物清冊_匯入!$A$6:$A$1005,0)),""))</f>
        <v/>
      </c>
      <c r="H386" s="7" t="n"/>
      <c r="I386" s="15" t="n"/>
      <c r="J386" s="16" t="n"/>
      <c r="K386" s="17">
        <f>IF(J386="","",1-J386)</f>
        <v/>
      </c>
      <c r="L386" s="15" t="n"/>
      <c r="M386" s="7" t="n"/>
      <c r="N386" s="7" t="n"/>
      <c r="O386" s="7" t="n"/>
      <c r="P386" s="11" t="n"/>
      <c r="Q386" s="7" t="n"/>
      <c r="R386" s="7" t="n"/>
      <c r="S386" s="7" t="n"/>
      <c r="T386" s="7" t="n"/>
      <c r="U386" s="12">
        <f>IF(A386="","",IF(H386="","建議填分配模式",""))</f>
        <v/>
      </c>
    </row>
    <row r="387" ht="24" customHeight="1">
      <c r="A387" s="7" t="n"/>
      <c r="B387" s="7" t="n"/>
      <c r="C387" s="7" t="n"/>
      <c r="D387" s="12">
        <f>IF($A387="","",IFERROR(INDEX(土地清冊_匯入!$B$6:$B$1005,MATCH($A387,土地清冊_匯入!$A$6:$A$1005,0)),"查無資料"))</f>
        <v/>
      </c>
      <c r="E387" s="9">
        <f>IF($A387="","",IFERROR(INDEX(土地清冊_匯入!$I$6:$I$1005,MATCH($A387,土地清冊_匯入!$A$6:$A$1005,0)),""))</f>
        <v/>
      </c>
      <c r="F387" s="13">
        <f>IF($A387="","",IFERROR(INDEX(建物清冊_匯入!$N$6:$N$1005,MATCH($A387,建物清冊_匯入!$A$6:$A$1005,0)),""))</f>
        <v/>
      </c>
      <c r="G387" s="9">
        <f>IF($A387="","",IFERROR(INDEX(建物清冊_匯入!$S$6:$S$1005,MATCH($A387,建物清冊_匯入!$A$6:$A$1005,0)),""))</f>
        <v/>
      </c>
      <c r="H387" s="7" t="n"/>
      <c r="I387" s="15" t="n"/>
      <c r="J387" s="16" t="n"/>
      <c r="K387" s="17">
        <f>IF(J387="","",1-J387)</f>
        <v/>
      </c>
      <c r="L387" s="15" t="n"/>
      <c r="M387" s="7" t="n"/>
      <c r="N387" s="7" t="n"/>
      <c r="O387" s="7" t="n"/>
      <c r="P387" s="11" t="n"/>
      <c r="Q387" s="7" t="n"/>
      <c r="R387" s="7" t="n"/>
      <c r="S387" s="7" t="n"/>
      <c r="T387" s="7" t="n"/>
      <c r="U387" s="12">
        <f>IF(A387="","",IF(H387="","建議填分配模式",""))</f>
        <v/>
      </c>
    </row>
    <row r="388" ht="24" customHeight="1">
      <c r="A388" s="7" t="n"/>
      <c r="B388" s="7" t="n"/>
      <c r="C388" s="7" t="n"/>
      <c r="D388" s="12">
        <f>IF($A388="","",IFERROR(INDEX(土地清冊_匯入!$B$6:$B$1005,MATCH($A388,土地清冊_匯入!$A$6:$A$1005,0)),"查無資料"))</f>
        <v/>
      </c>
      <c r="E388" s="9">
        <f>IF($A388="","",IFERROR(INDEX(土地清冊_匯入!$I$6:$I$1005,MATCH($A388,土地清冊_匯入!$A$6:$A$1005,0)),""))</f>
        <v/>
      </c>
      <c r="F388" s="13">
        <f>IF($A388="","",IFERROR(INDEX(建物清冊_匯入!$N$6:$N$1005,MATCH($A388,建物清冊_匯入!$A$6:$A$1005,0)),""))</f>
        <v/>
      </c>
      <c r="G388" s="9">
        <f>IF($A388="","",IFERROR(INDEX(建物清冊_匯入!$S$6:$S$1005,MATCH($A388,建物清冊_匯入!$A$6:$A$1005,0)),""))</f>
        <v/>
      </c>
      <c r="H388" s="7" t="n"/>
      <c r="I388" s="15" t="n"/>
      <c r="J388" s="16" t="n"/>
      <c r="K388" s="17">
        <f>IF(J388="","",1-J388)</f>
        <v/>
      </c>
      <c r="L388" s="15" t="n"/>
      <c r="M388" s="7" t="n"/>
      <c r="N388" s="7" t="n"/>
      <c r="O388" s="7" t="n"/>
      <c r="P388" s="11" t="n"/>
      <c r="Q388" s="7" t="n"/>
      <c r="R388" s="7" t="n"/>
      <c r="S388" s="7" t="n"/>
      <c r="T388" s="7" t="n"/>
      <c r="U388" s="12">
        <f>IF(A388="","",IF(H388="","建議填分配模式",""))</f>
        <v/>
      </c>
    </row>
    <row r="389" ht="24" customHeight="1">
      <c r="A389" s="7" t="n"/>
      <c r="B389" s="7" t="n"/>
      <c r="C389" s="7" t="n"/>
      <c r="D389" s="12">
        <f>IF($A389="","",IFERROR(INDEX(土地清冊_匯入!$B$6:$B$1005,MATCH($A389,土地清冊_匯入!$A$6:$A$1005,0)),"查無資料"))</f>
        <v/>
      </c>
      <c r="E389" s="9">
        <f>IF($A389="","",IFERROR(INDEX(土地清冊_匯入!$I$6:$I$1005,MATCH($A389,土地清冊_匯入!$A$6:$A$1005,0)),""))</f>
        <v/>
      </c>
      <c r="F389" s="13">
        <f>IF($A389="","",IFERROR(INDEX(建物清冊_匯入!$N$6:$N$1005,MATCH($A389,建物清冊_匯入!$A$6:$A$1005,0)),""))</f>
        <v/>
      </c>
      <c r="G389" s="9">
        <f>IF($A389="","",IFERROR(INDEX(建物清冊_匯入!$S$6:$S$1005,MATCH($A389,建物清冊_匯入!$A$6:$A$1005,0)),""))</f>
        <v/>
      </c>
      <c r="H389" s="7" t="n"/>
      <c r="I389" s="15" t="n"/>
      <c r="J389" s="16" t="n"/>
      <c r="K389" s="17">
        <f>IF(J389="","",1-J389)</f>
        <v/>
      </c>
      <c r="L389" s="15" t="n"/>
      <c r="M389" s="7" t="n"/>
      <c r="N389" s="7" t="n"/>
      <c r="O389" s="7" t="n"/>
      <c r="P389" s="11" t="n"/>
      <c r="Q389" s="7" t="n"/>
      <c r="R389" s="7" t="n"/>
      <c r="S389" s="7" t="n"/>
      <c r="T389" s="7" t="n"/>
      <c r="U389" s="12">
        <f>IF(A389="","",IF(H389="","建議填分配模式",""))</f>
        <v/>
      </c>
    </row>
    <row r="390" ht="24" customHeight="1">
      <c r="A390" s="7" t="n"/>
      <c r="B390" s="7" t="n"/>
      <c r="C390" s="7" t="n"/>
      <c r="D390" s="12">
        <f>IF($A390="","",IFERROR(INDEX(土地清冊_匯入!$B$6:$B$1005,MATCH($A390,土地清冊_匯入!$A$6:$A$1005,0)),"查無資料"))</f>
        <v/>
      </c>
      <c r="E390" s="9">
        <f>IF($A390="","",IFERROR(INDEX(土地清冊_匯入!$I$6:$I$1005,MATCH($A390,土地清冊_匯入!$A$6:$A$1005,0)),""))</f>
        <v/>
      </c>
      <c r="F390" s="13">
        <f>IF($A390="","",IFERROR(INDEX(建物清冊_匯入!$N$6:$N$1005,MATCH($A390,建物清冊_匯入!$A$6:$A$1005,0)),""))</f>
        <v/>
      </c>
      <c r="G390" s="9">
        <f>IF($A390="","",IFERROR(INDEX(建物清冊_匯入!$S$6:$S$1005,MATCH($A390,建物清冊_匯入!$A$6:$A$1005,0)),""))</f>
        <v/>
      </c>
      <c r="H390" s="7" t="n"/>
      <c r="I390" s="15" t="n"/>
      <c r="J390" s="16" t="n"/>
      <c r="K390" s="17">
        <f>IF(J390="","",1-J390)</f>
        <v/>
      </c>
      <c r="L390" s="15" t="n"/>
      <c r="M390" s="7" t="n"/>
      <c r="N390" s="7" t="n"/>
      <c r="O390" s="7" t="n"/>
      <c r="P390" s="11" t="n"/>
      <c r="Q390" s="7" t="n"/>
      <c r="R390" s="7" t="n"/>
      <c r="S390" s="7" t="n"/>
      <c r="T390" s="7" t="n"/>
      <c r="U390" s="12">
        <f>IF(A390="","",IF(H390="","建議填分配模式",""))</f>
        <v/>
      </c>
    </row>
    <row r="391" ht="24" customHeight="1">
      <c r="A391" s="7" t="n"/>
      <c r="B391" s="7" t="n"/>
      <c r="C391" s="7" t="n"/>
      <c r="D391" s="12">
        <f>IF($A391="","",IFERROR(INDEX(土地清冊_匯入!$B$6:$B$1005,MATCH($A391,土地清冊_匯入!$A$6:$A$1005,0)),"查無資料"))</f>
        <v/>
      </c>
      <c r="E391" s="9">
        <f>IF($A391="","",IFERROR(INDEX(土地清冊_匯入!$I$6:$I$1005,MATCH($A391,土地清冊_匯入!$A$6:$A$1005,0)),""))</f>
        <v/>
      </c>
      <c r="F391" s="13">
        <f>IF($A391="","",IFERROR(INDEX(建物清冊_匯入!$N$6:$N$1005,MATCH($A391,建物清冊_匯入!$A$6:$A$1005,0)),""))</f>
        <v/>
      </c>
      <c r="G391" s="9">
        <f>IF($A391="","",IFERROR(INDEX(建物清冊_匯入!$S$6:$S$1005,MATCH($A391,建物清冊_匯入!$A$6:$A$1005,0)),""))</f>
        <v/>
      </c>
      <c r="H391" s="7" t="n"/>
      <c r="I391" s="15" t="n"/>
      <c r="J391" s="16" t="n"/>
      <c r="K391" s="17">
        <f>IF(J391="","",1-J391)</f>
        <v/>
      </c>
      <c r="L391" s="15" t="n"/>
      <c r="M391" s="7" t="n"/>
      <c r="N391" s="7" t="n"/>
      <c r="O391" s="7" t="n"/>
      <c r="P391" s="11" t="n"/>
      <c r="Q391" s="7" t="n"/>
      <c r="R391" s="7" t="n"/>
      <c r="S391" s="7" t="n"/>
      <c r="T391" s="7" t="n"/>
      <c r="U391" s="12">
        <f>IF(A391="","",IF(H391="","建議填分配模式",""))</f>
        <v/>
      </c>
    </row>
    <row r="392" ht="24" customHeight="1">
      <c r="A392" s="7" t="n"/>
      <c r="B392" s="7" t="n"/>
      <c r="C392" s="7" t="n"/>
      <c r="D392" s="12">
        <f>IF($A392="","",IFERROR(INDEX(土地清冊_匯入!$B$6:$B$1005,MATCH($A392,土地清冊_匯入!$A$6:$A$1005,0)),"查無資料"))</f>
        <v/>
      </c>
      <c r="E392" s="9">
        <f>IF($A392="","",IFERROR(INDEX(土地清冊_匯入!$I$6:$I$1005,MATCH($A392,土地清冊_匯入!$A$6:$A$1005,0)),""))</f>
        <v/>
      </c>
      <c r="F392" s="13">
        <f>IF($A392="","",IFERROR(INDEX(建物清冊_匯入!$N$6:$N$1005,MATCH($A392,建物清冊_匯入!$A$6:$A$1005,0)),""))</f>
        <v/>
      </c>
      <c r="G392" s="9">
        <f>IF($A392="","",IFERROR(INDEX(建物清冊_匯入!$S$6:$S$1005,MATCH($A392,建物清冊_匯入!$A$6:$A$1005,0)),""))</f>
        <v/>
      </c>
      <c r="H392" s="7" t="n"/>
      <c r="I392" s="15" t="n"/>
      <c r="J392" s="16" t="n"/>
      <c r="K392" s="17">
        <f>IF(J392="","",1-J392)</f>
        <v/>
      </c>
      <c r="L392" s="15" t="n"/>
      <c r="M392" s="7" t="n"/>
      <c r="N392" s="7" t="n"/>
      <c r="O392" s="7" t="n"/>
      <c r="P392" s="11" t="n"/>
      <c r="Q392" s="7" t="n"/>
      <c r="R392" s="7" t="n"/>
      <c r="S392" s="7" t="n"/>
      <c r="T392" s="7" t="n"/>
      <c r="U392" s="12">
        <f>IF(A392="","",IF(H392="","建議填分配模式",""))</f>
        <v/>
      </c>
    </row>
    <row r="393" ht="24" customHeight="1">
      <c r="A393" s="7" t="n"/>
      <c r="B393" s="7" t="n"/>
      <c r="C393" s="7" t="n"/>
      <c r="D393" s="12">
        <f>IF($A393="","",IFERROR(INDEX(土地清冊_匯入!$B$6:$B$1005,MATCH($A393,土地清冊_匯入!$A$6:$A$1005,0)),"查無資料"))</f>
        <v/>
      </c>
      <c r="E393" s="9">
        <f>IF($A393="","",IFERROR(INDEX(土地清冊_匯入!$I$6:$I$1005,MATCH($A393,土地清冊_匯入!$A$6:$A$1005,0)),""))</f>
        <v/>
      </c>
      <c r="F393" s="13">
        <f>IF($A393="","",IFERROR(INDEX(建物清冊_匯入!$N$6:$N$1005,MATCH($A393,建物清冊_匯入!$A$6:$A$1005,0)),""))</f>
        <v/>
      </c>
      <c r="G393" s="9">
        <f>IF($A393="","",IFERROR(INDEX(建物清冊_匯入!$S$6:$S$1005,MATCH($A393,建物清冊_匯入!$A$6:$A$1005,0)),""))</f>
        <v/>
      </c>
      <c r="H393" s="7" t="n"/>
      <c r="I393" s="15" t="n"/>
      <c r="J393" s="16" t="n"/>
      <c r="K393" s="17">
        <f>IF(J393="","",1-J393)</f>
        <v/>
      </c>
      <c r="L393" s="15" t="n"/>
      <c r="M393" s="7" t="n"/>
      <c r="N393" s="7" t="n"/>
      <c r="O393" s="7" t="n"/>
      <c r="P393" s="11" t="n"/>
      <c r="Q393" s="7" t="n"/>
      <c r="R393" s="7" t="n"/>
      <c r="S393" s="7" t="n"/>
      <c r="T393" s="7" t="n"/>
      <c r="U393" s="12">
        <f>IF(A393="","",IF(H393="","建議填分配模式",""))</f>
        <v/>
      </c>
    </row>
    <row r="394" ht="24" customHeight="1">
      <c r="A394" s="7" t="n"/>
      <c r="B394" s="7" t="n"/>
      <c r="C394" s="7" t="n"/>
      <c r="D394" s="12">
        <f>IF($A394="","",IFERROR(INDEX(土地清冊_匯入!$B$6:$B$1005,MATCH($A394,土地清冊_匯入!$A$6:$A$1005,0)),"查無資料"))</f>
        <v/>
      </c>
      <c r="E394" s="9">
        <f>IF($A394="","",IFERROR(INDEX(土地清冊_匯入!$I$6:$I$1005,MATCH($A394,土地清冊_匯入!$A$6:$A$1005,0)),""))</f>
        <v/>
      </c>
      <c r="F394" s="13">
        <f>IF($A394="","",IFERROR(INDEX(建物清冊_匯入!$N$6:$N$1005,MATCH($A394,建物清冊_匯入!$A$6:$A$1005,0)),""))</f>
        <v/>
      </c>
      <c r="G394" s="9">
        <f>IF($A394="","",IFERROR(INDEX(建物清冊_匯入!$S$6:$S$1005,MATCH($A394,建物清冊_匯入!$A$6:$A$1005,0)),""))</f>
        <v/>
      </c>
      <c r="H394" s="7" t="n"/>
      <c r="I394" s="15" t="n"/>
      <c r="J394" s="16" t="n"/>
      <c r="K394" s="17">
        <f>IF(J394="","",1-J394)</f>
        <v/>
      </c>
      <c r="L394" s="15" t="n"/>
      <c r="M394" s="7" t="n"/>
      <c r="N394" s="7" t="n"/>
      <c r="O394" s="7" t="n"/>
      <c r="P394" s="11" t="n"/>
      <c r="Q394" s="7" t="n"/>
      <c r="R394" s="7" t="n"/>
      <c r="S394" s="7" t="n"/>
      <c r="T394" s="7" t="n"/>
      <c r="U394" s="12">
        <f>IF(A394="","",IF(H394="","建議填分配模式",""))</f>
        <v/>
      </c>
    </row>
    <row r="395" ht="24" customHeight="1">
      <c r="A395" s="7" t="n"/>
      <c r="B395" s="7" t="n"/>
      <c r="C395" s="7" t="n"/>
      <c r="D395" s="12">
        <f>IF($A395="","",IFERROR(INDEX(土地清冊_匯入!$B$6:$B$1005,MATCH($A395,土地清冊_匯入!$A$6:$A$1005,0)),"查無資料"))</f>
        <v/>
      </c>
      <c r="E395" s="9">
        <f>IF($A395="","",IFERROR(INDEX(土地清冊_匯入!$I$6:$I$1005,MATCH($A395,土地清冊_匯入!$A$6:$A$1005,0)),""))</f>
        <v/>
      </c>
      <c r="F395" s="13">
        <f>IF($A395="","",IFERROR(INDEX(建物清冊_匯入!$N$6:$N$1005,MATCH($A395,建物清冊_匯入!$A$6:$A$1005,0)),""))</f>
        <v/>
      </c>
      <c r="G395" s="9">
        <f>IF($A395="","",IFERROR(INDEX(建物清冊_匯入!$S$6:$S$1005,MATCH($A395,建物清冊_匯入!$A$6:$A$1005,0)),""))</f>
        <v/>
      </c>
      <c r="H395" s="7" t="n"/>
      <c r="I395" s="15" t="n"/>
      <c r="J395" s="16" t="n"/>
      <c r="K395" s="17">
        <f>IF(J395="","",1-J395)</f>
        <v/>
      </c>
      <c r="L395" s="15" t="n"/>
      <c r="M395" s="7" t="n"/>
      <c r="N395" s="7" t="n"/>
      <c r="O395" s="7" t="n"/>
      <c r="P395" s="11" t="n"/>
      <c r="Q395" s="7" t="n"/>
      <c r="R395" s="7" t="n"/>
      <c r="S395" s="7" t="n"/>
      <c r="T395" s="7" t="n"/>
      <c r="U395" s="12">
        <f>IF(A395="","",IF(H395="","建議填分配模式",""))</f>
        <v/>
      </c>
    </row>
    <row r="396" ht="24" customHeight="1">
      <c r="A396" s="7" t="n"/>
      <c r="B396" s="7" t="n"/>
      <c r="C396" s="7" t="n"/>
      <c r="D396" s="12">
        <f>IF($A396="","",IFERROR(INDEX(土地清冊_匯入!$B$6:$B$1005,MATCH($A396,土地清冊_匯入!$A$6:$A$1005,0)),"查無資料"))</f>
        <v/>
      </c>
      <c r="E396" s="9">
        <f>IF($A396="","",IFERROR(INDEX(土地清冊_匯入!$I$6:$I$1005,MATCH($A396,土地清冊_匯入!$A$6:$A$1005,0)),""))</f>
        <v/>
      </c>
      <c r="F396" s="13">
        <f>IF($A396="","",IFERROR(INDEX(建物清冊_匯入!$N$6:$N$1005,MATCH($A396,建物清冊_匯入!$A$6:$A$1005,0)),""))</f>
        <v/>
      </c>
      <c r="G396" s="9">
        <f>IF($A396="","",IFERROR(INDEX(建物清冊_匯入!$S$6:$S$1005,MATCH($A396,建物清冊_匯入!$A$6:$A$1005,0)),""))</f>
        <v/>
      </c>
      <c r="H396" s="7" t="n"/>
      <c r="I396" s="15" t="n"/>
      <c r="J396" s="16" t="n"/>
      <c r="K396" s="17">
        <f>IF(J396="","",1-J396)</f>
        <v/>
      </c>
      <c r="L396" s="15" t="n"/>
      <c r="M396" s="7" t="n"/>
      <c r="N396" s="7" t="n"/>
      <c r="O396" s="7" t="n"/>
      <c r="P396" s="11" t="n"/>
      <c r="Q396" s="7" t="n"/>
      <c r="R396" s="7" t="n"/>
      <c r="S396" s="7" t="n"/>
      <c r="T396" s="7" t="n"/>
      <c r="U396" s="12">
        <f>IF(A396="","",IF(H396="","建議填分配模式",""))</f>
        <v/>
      </c>
    </row>
    <row r="397" ht="24" customHeight="1">
      <c r="A397" s="7" t="n"/>
      <c r="B397" s="7" t="n"/>
      <c r="C397" s="7" t="n"/>
      <c r="D397" s="12">
        <f>IF($A397="","",IFERROR(INDEX(土地清冊_匯入!$B$6:$B$1005,MATCH($A397,土地清冊_匯入!$A$6:$A$1005,0)),"查無資料"))</f>
        <v/>
      </c>
      <c r="E397" s="9">
        <f>IF($A397="","",IFERROR(INDEX(土地清冊_匯入!$I$6:$I$1005,MATCH($A397,土地清冊_匯入!$A$6:$A$1005,0)),""))</f>
        <v/>
      </c>
      <c r="F397" s="13">
        <f>IF($A397="","",IFERROR(INDEX(建物清冊_匯入!$N$6:$N$1005,MATCH($A397,建物清冊_匯入!$A$6:$A$1005,0)),""))</f>
        <v/>
      </c>
      <c r="G397" s="9">
        <f>IF($A397="","",IFERROR(INDEX(建物清冊_匯入!$S$6:$S$1005,MATCH($A397,建物清冊_匯入!$A$6:$A$1005,0)),""))</f>
        <v/>
      </c>
      <c r="H397" s="7" t="n"/>
      <c r="I397" s="15" t="n"/>
      <c r="J397" s="16" t="n"/>
      <c r="K397" s="17">
        <f>IF(J397="","",1-J397)</f>
        <v/>
      </c>
      <c r="L397" s="15" t="n"/>
      <c r="M397" s="7" t="n"/>
      <c r="N397" s="7" t="n"/>
      <c r="O397" s="7" t="n"/>
      <c r="P397" s="11" t="n"/>
      <c r="Q397" s="7" t="n"/>
      <c r="R397" s="7" t="n"/>
      <c r="S397" s="7" t="n"/>
      <c r="T397" s="7" t="n"/>
      <c r="U397" s="12">
        <f>IF(A397="","",IF(H397="","建議填分配模式",""))</f>
        <v/>
      </c>
    </row>
    <row r="398" ht="24" customHeight="1">
      <c r="A398" s="7" t="n"/>
      <c r="B398" s="7" t="n"/>
      <c r="C398" s="7" t="n"/>
      <c r="D398" s="12">
        <f>IF($A398="","",IFERROR(INDEX(土地清冊_匯入!$B$6:$B$1005,MATCH($A398,土地清冊_匯入!$A$6:$A$1005,0)),"查無資料"))</f>
        <v/>
      </c>
      <c r="E398" s="9">
        <f>IF($A398="","",IFERROR(INDEX(土地清冊_匯入!$I$6:$I$1005,MATCH($A398,土地清冊_匯入!$A$6:$A$1005,0)),""))</f>
        <v/>
      </c>
      <c r="F398" s="13">
        <f>IF($A398="","",IFERROR(INDEX(建物清冊_匯入!$N$6:$N$1005,MATCH($A398,建物清冊_匯入!$A$6:$A$1005,0)),""))</f>
        <v/>
      </c>
      <c r="G398" s="9">
        <f>IF($A398="","",IFERROR(INDEX(建物清冊_匯入!$S$6:$S$1005,MATCH($A398,建物清冊_匯入!$A$6:$A$1005,0)),""))</f>
        <v/>
      </c>
      <c r="H398" s="7" t="n"/>
      <c r="I398" s="15" t="n"/>
      <c r="J398" s="16" t="n"/>
      <c r="K398" s="17">
        <f>IF(J398="","",1-J398)</f>
        <v/>
      </c>
      <c r="L398" s="15" t="n"/>
      <c r="M398" s="7" t="n"/>
      <c r="N398" s="7" t="n"/>
      <c r="O398" s="7" t="n"/>
      <c r="P398" s="11" t="n"/>
      <c r="Q398" s="7" t="n"/>
      <c r="R398" s="7" t="n"/>
      <c r="S398" s="7" t="n"/>
      <c r="T398" s="7" t="n"/>
      <c r="U398" s="12">
        <f>IF(A398="","",IF(H398="","建議填分配模式",""))</f>
        <v/>
      </c>
    </row>
    <row r="399" ht="24" customHeight="1">
      <c r="A399" s="7" t="n"/>
      <c r="B399" s="7" t="n"/>
      <c r="C399" s="7" t="n"/>
      <c r="D399" s="12">
        <f>IF($A399="","",IFERROR(INDEX(土地清冊_匯入!$B$6:$B$1005,MATCH($A399,土地清冊_匯入!$A$6:$A$1005,0)),"查無資料"))</f>
        <v/>
      </c>
      <c r="E399" s="9">
        <f>IF($A399="","",IFERROR(INDEX(土地清冊_匯入!$I$6:$I$1005,MATCH($A399,土地清冊_匯入!$A$6:$A$1005,0)),""))</f>
        <v/>
      </c>
      <c r="F399" s="13">
        <f>IF($A399="","",IFERROR(INDEX(建物清冊_匯入!$N$6:$N$1005,MATCH($A399,建物清冊_匯入!$A$6:$A$1005,0)),""))</f>
        <v/>
      </c>
      <c r="G399" s="9">
        <f>IF($A399="","",IFERROR(INDEX(建物清冊_匯入!$S$6:$S$1005,MATCH($A399,建物清冊_匯入!$A$6:$A$1005,0)),""))</f>
        <v/>
      </c>
      <c r="H399" s="7" t="n"/>
      <c r="I399" s="15" t="n"/>
      <c r="J399" s="16" t="n"/>
      <c r="K399" s="17">
        <f>IF(J399="","",1-J399)</f>
        <v/>
      </c>
      <c r="L399" s="15" t="n"/>
      <c r="M399" s="7" t="n"/>
      <c r="N399" s="7" t="n"/>
      <c r="O399" s="7" t="n"/>
      <c r="P399" s="11" t="n"/>
      <c r="Q399" s="7" t="n"/>
      <c r="R399" s="7" t="n"/>
      <c r="S399" s="7" t="n"/>
      <c r="T399" s="7" t="n"/>
      <c r="U399" s="12">
        <f>IF(A399="","",IF(H399="","建議填分配模式",""))</f>
        <v/>
      </c>
    </row>
    <row r="400" ht="24" customHeight="1">
      <c r="A400" s="7" t="n"/>
      <c r="B400" s="7" t="n"/>
      <c r="C400" s="7" t="n"/>
      <c r="D400" s="12">
        <f>IF($A400="","",IFERROR(INDEX(土地清冊_匯入!$B$6:$B$1005,MATCH($A400,土地清冊_匯入!$A$6:$A$1005,0)),"查無資料"))</f>
        <v/>
      </c>
      <c r="E400" s="9">
        <f>IF($A400="","",IFERROR(INDEX(土地清冊_匯入!$I$6:$I$1005,MATCH($A400,土地清冊_匯入!$A$6:$A$1005,0)),""))</f>
        <v/>
      </c>
      <c r="F400" s="13">
        <f>IF($A400="","",IFERROR(INDEX(建物清冊_匯入!$N$6:$N$1005,MATCH($A400,建物清冊_匯入!$A$6:$A$1005,0)),""))</f>
        <v/>
      </c>
      <c r="G400" s="9">
        <f>IF($A400="","",IFERROR(INDEX(建物清冊_匯入!$S$6:$S$1005,MATCH($A400,建物清冊_匯入!$A$6:$A$1005,0)),""))</f>
        <v/>
      </c>
      <c r="H400" s="7" t="n"/>
      <c r="I400" s="15" t="n"/>
      <c r="J400" s="16" t="n"/>
      <c r="K400" s="17">
        <f>IF(J400="","",1-J400)</f>
        <v/>
      </c>
      <c r="L400" s="15" t="n"/>
      <c r="M400" s="7" t="n"/>
      <c r="N400" s="7" t="n"/>
      <c r="O400" s="7" t="n"/>
      <c r="P400" s="11" t="n"/>
      <c r="Q400" s="7" t="n"/>
      <c r="R400" s="7" t="n"/>
      <c r="S400" s="7" t="n"/>
      <c r="T400" s="7" t="n"/>
      <c r="U400" s="12">
        <f>IF(A400="","",IF(H400="","建議填分配模式",""))</f>
        <v/>
      </c>
    </row>
    <row r="401" ht="24" customHeight="1">
      <c r="A401" s="7" t="n"/>
      <c r="B401" s="7" t="n"/>
      <c r="C401" s="7" t="n"/>
      <c r="D401" s="12">
        <f>IF($A401="","",IFERROR(INDEX(土地清冊_匯入!$B$6:$B$1005,MATCH($A401,土地清冊_匯入!$A$6:$A$1005,0)),"查無資料"))</f>
        <v/>
      </c>
      <c r="E401" s="9">
        <f>IF($A401="","",IFERROR(INDEX(土地清冊_匯入!$I$6:$I$1005,MATCH($A401,土地清冊_匯入!$A$6:$A$1005,0)),""))</f>
        <v/>
      </c>
      <c r="F401" s="13">
        <f>IF($A401="","",IFERROR(INDEX(建物清冊_匯入!$N$6:$N$1005,MATCH($A401,建物清冊_匯入!$A$6:$A$1005,0)),""))</f>
        <v/>
      </c>
      <c r="G401" s="9">
        <f>IF($A401="","",IFERROR(INDEX(建物清冊_匯入!$S$6:$S$1005,MATCH($A401,建物清冊_匯入!$A$6:$A$1005,0)),""))</f>
        <v/>
      </c>
      <c r="H401" s="7" t="n"/>
      <c r="I401" s="15" t="n"/>
      <c r="J401" s="16" t="n"/>
      <c r="K401" s="17">
        <f>IF(J401="","",1-J401)</f>
        <v/>
      </c>
      <c r="L401" s="15" t="n"/>
      <c r="M401" s="7" t="n"/>
      <c r="N401" s="7" t="n"/>
      <c r="O401" s="7" t="n"/>
      <c r="P401" s="11" t="n"/>
      <c r="Q401" s="7" t="n"/>
      <c r="R401" s="7" t="n"/>
      <c r="S401" s="7" t="n"/>
      <c r="T401" s="7" t="n"/>
      <c r="U401" s="12">
        <f>IF(A401="","",IF(H401="","建議填分配模式",""))</f>
        <v/>
      </c>
    </row>
    <row r="402" ht="24" customHeight="1">
      <c r="A402" s="7" t="n"/>
      <c r="B402" s="7" t="n"/>
      <c r="C402" s="7" t="n"/>
      <c r="D402" s="12">
        <f>IF($A402="","",IFERROR(INDEX(土地清冊_匯入!$B$6:$B$1005,MATCH($A402,土地清冊_匯入!$A$6:$A$1005,0)),"查無資料"))</f>
        <v/>
      </c>
      <c r="E402" s="9">
        <f>IF($A402="","",IFERROR(INDEX(土地清冊_匯入!$I$6:$I$1005,MATCH($A402,土地清冊_匯入!$A$6:$A$1005,0)),""))</f>
        <v/>
      </c>
      <c r="F402" s="13">
        <f>IF($A402="","",IFERROR(INDEX(建物清冊_匯入!$N$6:$N$1005,MATCH($A402,建物清冊_匯入!$A$6:$A$1005,0)),""))</f>
        <v/>
      </c>
      <c r="G402" s="9">
        <f>IF($A402="","",IFERROR(INDEX(建物清冊_匯入!$S$6:$S$1005,MATCH($A402,建物清冊_匯入!$A$6:$A$1005,0)),""))</f>
        <v/>
      </c>
      <c r="H402" s="7" t="n"/>
      <c r="I402" s="15" t="n"/>
      <c r="J402" s="16" t="n"/>
      <c r="K402" s="17">
        <f>IF(J402="","",1-J402)</f>
        <v/>
      </c>
      <c r="L402" s="15" t="n"/>
      <c r="M402" s="7" t="n"/>
      <c r="N402" s="7" t="n"/>
      <c r="O402" s="7" t="n"/>
      <c r="P402" s="11" t="n"/>
      <c r="Q402" s="7" t="n"/>
      <c r="R402" s="7" t="n"/>
      <c r="S402" s="7" t="n"/>
      <c r="T402" s="7" t="n"/>
      <c r="U402" s="12">
        <f>IF(A402="","",IF(H402="","建議填分配模式",""))</f>
        <v/>
      </c>
    </row>
    <row r="403" ht="24" customHeight="1">
      <c r="A403" s="7" t="n"/>
      <c r="B403" s="7" t="n"/>
      <c r="C403" s="7" t="n"/>
      <c r="D403" s="12">
        <f>IF($A403="","",IFERROR(INDEX(土地清冊_匯入!$B$6:$B$1005,MATCH($A403,土地清冊_匯入!$A$6:$A$1005,0)),"查無資料"))</f>
        <v/>
      </c>
      <c r="E403" s="9">
        <f>IF($A403="","",IFERROR(INDEX(土地清冊_匯入!$I$6:$I$1005,MATCH($A403,土地清冊_匯入!$A$6:$A$1005,0)),""))</f>
        <v/>
      </c>
      <c r="F403" s="13">
        <f>IF($A403="","",IFERROR(INDEX(建物清冊_匯入!$N$6:$N$1005,MATCH($A403,建物清冊_匯入!$A$6:$A$1005,0)),""))</f>
        <v/>
      </c>
      <c r="G403" s="9">
        <f>IF($A403="","",IFERROR(INDEX(建物清冊_匯入!$S$6:$S$1005,MATCH($A403,建物清冊_匯入!$A$6:$A$1005,0)),""))</f>
        <v/>
      </c>
      <c r="H403" s="7" t="n"/>
      <c r="I403" s="15" t="n"/>
      <c r="J403" s="16" t="n"/>
      <c r="K403" s="17">
        <f>IF(J403="","",1-J403)</f>
        <v/>
      </c>
      <c r="L403" s="15" t="n"/>
      <c r="M403" s="7" t="n"/>
      <c r="N403" s="7" t="n"/>
      <c r="O403" s="7" t="n"/>
      <c r="P403" s="11" t="n"/>
      <c r="Q403" s="7" t="n"/>
      <c r="R403" s="7" t="n"/>
      <c r="S403" s="7" t="n"/>
      <c r="T403" s="7" t="n"/>
      <c r="U403" s="12">
        <f>IF(A403="","",IF(H403="","建議填分配模式",""))</f>
        <v/>
      </c>
    </row>
    <row r="404" ht="24" customHeight="1">
      <c r="A404" s="7" t="n"/>
      <c r="B404" s="7" t="n"/>
      <c r="C404" s="7" t="n"/>
      <c r="D404" s="12">
        <f>IF($A404="","",IFERROR(INDEX(土地清冊_匯入!$B$6:$B$1005,MATCH($A404,土地清冊_匯入!$A$6:$A$1005,0)),"查無資料"))</f>
        <v/>
      </c>
      <c r="E404" s="9">
        <f>IF($A404="","",IFERROR(INDEX(土地清冊_匯入!$I$6:$I$1005,MATCH($A404,土地清冊_匯入!$A$6:$A$1005,0)),""))</f>
        <v/>
      </c>
      <c r="F404" s="13">
        <f>IF($A404="","",IFERROR(INDEX(建物清冊_匯入!$N$6:$N$1005,MATCH($A404,建物清冊_匯入!$A$6:$A$1005,0)),""))</f>
        <v/>
      </c>
      <c r="G404" s="9">
        <f>IF($A404="","",IFERROR(INDEX(建物清冊_匯入!$S$6:$S$1005,MATCH($A404,建物清冊_匯入!$A$6:$A$1005,0)),""))</f>
        <v/>
      </c>
      <c r="H404" s="7" t="n"/>
      <c r="I404" s="15" t="n"/>
      <c r="J404" s="16" t="n"/>
      <c r="K404" s="17">
        <f>IF(J404="","",1-J404)</f>
        <v/>
      </c>
      <c r="L404" s="15" t="n"/>
      <c r="M404" s="7" t="n"/>
      <c r="N404" s="7" t="n"/>
      <c r="O404" s="7" t="n"/>
      <c r="P404" s="11" t="n"/>
      <c r="Q404" s="7" t="n"/>
      <c r="R404" s="7" t="n"/>
      <c r="S404" s="7" t="n"/>
      <c r="T404" s="7" t="n"/>
      <c r="U404" s="12">
        <f>IF(A404="","",IF(H404="","建議填分配模式",""))</f>
        <v/>
      </c>
    </row>
    <row r="405" ht="24" customHeight="1">
      <c r="A405" s="7" t="n"/>
      <c r="B405" s="7" t="n"/>
      <c r="C405" s="7" t="n"/>
      <c r="D405" s="12">
        <f>IF($A405="","",IFERROR(INDEX(土地清冊_匯入!$B$6:$B$1005,MATCH($A405,土地清冊_匯入!$A$6:$A$1005,0)),"查無資料"))</f>
        <v/>
      </c>
      <c r="E405" s="9">
        <f>IF($A405="","",IFERROR(INDEX(土地清冊_匯入!$I$6:$I$1005,MATCH($A405,土地清冊_匯入!$A$6:$A$1005,0)),""))</f>
        <v/>
      </c>
      <c r="F405" s="13">
        <f>IF($A405="","",IFERROR(INDEX(建物清冊_匯入!$N$6:$N$1005,MATCH($A405,建物清冊_匯入!$A$6:$A$1005,0)),""))</f>
        <v/>
      </c>
      <c r="G405" s="9">
        <f>IF($A405="","",IFERROR(INDEX(建物清冊_匯入!$S$6:$S$1005,MATCH($A405,建物清冊_匯入!$A$6:$A$1005,0)),""))</f>
        <v/>
      </c>
      <c r="H405" s="7" t="n"/>
      <c r="I405" s="15" t="n"/>
      <c r="J405" s="16" t="n"/>
      <c r="K405" s="17">
        <f>IF(J405="","",1-J405)</f>
        <v/>
      </c>
      <c r="L405" s="15" t="n"/>
      <c r="M405" s="7" t="n"/>
      <c r="N405" s="7" t="n"/>
      <c r="O405" s="7" t="n"/>
      <c r="P405" s="11" t="n"/>
      <c r="Q405" s="7" t="n"/>
      <c r="R405" s="7" t="n"/>
      <c r="S405" s="7" t="n"/>
      <c r="T405" s="7" t="n"/>
      <c r="U405" s="12">
        <f>IF(A405="","",IF(H405="","建議填分配模式",""))</f>
        <v/>
      </c>
    </row>
    <row r="406" ht="24" customHeight="1">
      <c r="A406" s="7" t="n"/>
      <c r="B406" s="7" t="n"/>
      <c r="C406" s="7" t="n"/>
      <c r="D406" s="12">
        <f>IF($A406="","",IFERROR(INDEX(土地清冊_匯入!$B$6:$B$1005,MATCH($A406,土地清冊_匯入!$A$6:$A$1005,0)),"查無資料"))</f>
        <v/>
      </c>
      <c r="E406" s="9">
        <f>IF($A406="","",IFERROR(INDEX(土地清冊_匯入!$I$6:$I$1005,MATCH($A406,土地清冊_匯入!$A$6:$A$1005,0)),""))</f>
        <v/>
      </c>
      <c r="F406" s="13">
        <f>IF($A406="","",IFERROR(INDEX(建物清冊_匯入!$N$6:$N$1005,MATCH($A406,建物清冊_匯入!$A$6:$A$1005,0)),""))</f>
        <v/>
      </c>
      <c r="G406" s="9">
        <f>IF($A406="","",IFERROR(INDEX(建物清冊_匯入!$S$6:$S$1005,MATCH($A406,建物清冊_匯入!$A$6:$A$1005,0)),""))</f>
        <v/>
      </c>
      <c r="H406" s="7" t="n"/>
      <c r="I406" s="15" t="n"/>
      <c r="J406" s="16" t="n"/>
      <c r="K406" s="17">
        <f>IF(J406="","",1-J406)</f>
        <v/>
      </c>
      <c r="L406" s="15" t="n"/>
      <c r="M406" s="7" t="n"/>
      <c r="N406" s="7" t="n"/>
      <c r="O406" s="7" t="n"/>
      <c r="P406" s="11" t="n"/>
      <c r="Q406" s="7" t="n"/>
      <c r="R406" s="7" t="n"/>
      <c r="S406" s="7" t="n"/>
      <c r="T406" s="7" t="n"/>
      <c r="U406" s="12">
        <f>IF(A406="","",IF(H406="","建議填分配模式",""))</f>
        <v/>
      </c>
    </row>
    <row r="407" ht="24" customHeight="1">
      <c r="A407" s="7" t="n"/>
      <c r="B407" s="7" t="n"/>
      <c r="C407" s="7" t="n"/>
      <c r="D407" s="12">
        <f>IF($A407="","",IFERROR(INDEX(土地清冊_匯入!$B$6:$B$1005,MATCH($A407,土地清冊_匯入!$A$6:$A$1005,0)),"查無資料"))</f>
        <v/>
      </c>
      <c r="E407" s="9">
        <f>IF($A407="","",IFERROR(INDEX(土地清冊_匯入!$I$6:$I$1005,MATCH($A407,土地清冊_匯入!$A$6:$A$1005,0)),""))</f>
        <v/>
      </c>
      <c r="F407" s="13">
        <f>IF($A407="","",IFERROR(INDEX(建物清冊_匯入!$N$6:$N$1005,MATCH($A407,建物清冊_匯入!$A$6:$A$1005,0)),""))</f>
        <v/>
      </c>
      <c r="G407" s="9">
        <f>IF($A407="","",IFERROR(INDEX(建物清冊_匯入!$S$6:$S$1005,MATCH($A407,建物清冊_匯入!$A$6:$A$1005,0)),""))</f>
        <v/>
      </c>
      <c r="H407" s="7" t="n"/>
      <c r="I407" s="15" t="n"/>
      <c r="J407" s="16" t="n"/>
      <c r="K407" s="17">
        <f>IF(J407="","",1-J407)</f>
        <v/>
      </c>
      <c r="L407" s="15" t="n"/>
      <c r="M407" s="7" t="n"/>
      <c r="N407" s="7" t="n"/>
      <c r="O407" s="7" t="n"/>
      <c r="P407" s="11" t="n"/>
      <c r="Q407" s="7" t="n"/>
      <c r="R407" s="7" t="n"/>
      <c r="S407" s="7" t="n"/>
      <c r="T407" s="7" t="n"/>
      <c r="U407" s="12">
        <f>IF(A407="","",IF(H407="","建議填分配模式",""))</f>
        <v/>
      </c>
    </row>
    <row r="408" ht="24" customHeight="1">
      <c r="A408" s="7" t="n"/>
      <c r="B408" s="7" t="n"/>
      <c r="C408" s="7" t="n"/>
      <c r="D408" s="12">
        <f>IF($A408="","",IFERROR(INDEX(土地清冊_匯入!$B$6:$B$1005,MATCH($A408,土地清冊_匯入!$A$6:$A$1005,0)),"查無資料"))</f>
        <v/>
      </c>
      <c r="E408" s="9">
        <f>IF($A408="","",IFERROR(INDEX(土地清冊_匯入!$I$6:$I$1005,MATCH($A408,土地清冊_匯入!$A$6:$A$1005,0)),""))</f>
        <v/>
      </c>
      <c r="F408" s="13">
        <f>IF($A408="","",IFERROR(INDEX(建物清冊_匯入!$N$6:$N$1005,MATCH($A408,建物清冊_匯入!$A$6:$A$1005,0)),""))</f>
        <v/>
      </c>
      <c r="G408" s="9">
        <f>IF($A408="","",IFERROR(INDEX(建物清冊_匯入!$S$6:$S$1005,MATCH($A408,建物清冊_匯入!$A$6:$A$1005,0)),""))</f>
        <v/>
      </c>
      <c r="H408" s="7" t="n"/>
      <c r="I408" s="15" t="n"/>
      <c r="J408" s="16" t="n"/>
      <c r="K408" s="17">
        <f>IF(J408="","",1-J408)</f>
        <v/>
      </c>
      <c r="L408" s="15" t="n"/>
      <c r="M408" s="7" t="n"/>
      <c r="N408" s="7" t="n"/>
      <c r="O408" s="7" t="n"/>
      <c r="P408" s="11" t="n"/>
      <c r="Q408" s="7" t="n"/>
      <c r="R408" s="7" t="n"/>
      <c r="S408" s="7" t="n"/>
      <c r="T408" s="7" t="n"/>
      <c r="U408" s="12">
        <f>IF(A408="","",IF(H408="","建議填分配模式",""))</f>
        <v/>
      </c>
    </row>
    <row r="409" ht="24" customHeight="1">
      <c r="A409" s="7" t="n"/>
      <c r="B409" s="7" t="n"/>
      <c r="C409" s="7" t="n"/>
      <c r="D409" s="12">
        <f>IF($A409="","",IFERROR(INDEX(土地清冊_匯入!$B$6:$B$1005,MATCH($A409,土地清冊_匯入!$A$6:$A$1005,0)),"查無資料"))</f>
        <v/>
      </c>
      <c r="E409" s="9">
        <f>IF($A409="","",IFERROR(INDEX(土地清冊_匯入!$I$6:$I$1005,MATCH($A409,土地清冊_匯入!$A$6:$A$1005,0)),""))</f>
        <v/>
      </c>
      <c r="F409" s="13">
        <f>IF($A409="","",IFERROR(INDEX(建物清冊_匯入!$N$6:$N$1005,MATCH($A409,建物清冊_匯入!$A$6:$A$1005,0)),""))</f>
        <v/>
      </c>
      <c r="G409" s="9">
        <f>IF($A409="","",IFERROR(INDEX(建物清冊_匯入!$S$6:$S$1005,MATCH($A409,建物清冊_匯入!$A$6:$A$1005,0)),""))</f>
        <v/>
      </c>
      <c r="H409" s="7" t="n"/>
      <c r="I409" s="15" t="n"/>
      <c r="J409" s="16" t="n"/>
      <c r="K409" s="17">
        <f>IF(J409="","",1-J409)</f>
        <v/>
      </c>
      <c r="L409" s="15" t="n"/>
      <c r="M409" s="7" t="n"/>
      <c r="N409" s="7" t="n"/>
      <c r="O409" s="7" t="n"/>
      <c r="P409" s="11" t="n"/>
      <c r="Q409" s="7" t="n"/>
      <c r="R409" s="7" t="n"/>
      <c r="S409" s="7" t="n"/>
      <c r="T409" s="7" t="n"/>
      <c r="U409" s="12">
        <f>IF(A409="","",IF(H409="","建議填分配模式",""))</f>
        <v/>
      </c>
    </row>
    <row r="410" ht="24" customHeight="1">
      <c r="A410" s="7" t="n"/>
      <c r="B410" s="7" t="n"/>
      <c r="C410" s="7" t="n"/>
      <c r="D410" s="12">
        <f>IF($A410="","",IFERROR(INDEX(土地清冊_匯入!$B$6:$B$1005,MATCH($A410,土地清冊_匯入!$A$6:$A$1005,0)),"查無資料"))</f>
        <v/>
      </c>
      <c r="E410" s="9">
        <f>IF($A410="","",IFERROR(INDEX(土地清冊_匯入!$I$6:$I$1005,MATCH($A410,土地清冊_匯入!$A$6:$A$1005,0)),""))</f>
        <v/>
      </c>
      <c r="F410" s="13">
        <f>IF($A410="","",IFERROR(INDEX(建物清冊_匯入!$N$6:$N$1005,MATCH($A410,建物清冊_匯入!$A$6:$A$1005,0)),""))</f>
        <v/>
      </c>
      <c r="G410" s="9">
        <f>IF($A410="","",IFERROR(INDEX(建物清冊_匯入!$S$6:$S$1005,MATCH($A410,建物清冊_匯入!$A$6:$A$1005,0)),""))</f>
        <v/>
      </c>
      <c r="H410" s="7" t="n"/>
      <c r="I410" s="15" t="n"/>
      <c r="J410" s="16" t="n"/>
      <c r="K410" s="17">
        <f>IF(J410="","",1-J410)</f>
        <v/>
      </c>
      <c r="L410" s="15" t="n"/>
      <c r="M410" s="7" t="n"/>
      <c r="N410" s="7" t="n"/>
      <c r="O410" s="7" t="n"/>
      <c r="P410" s="11" t="n"/>
      <c r="Q410" s="7" t="n"/>
      <c r="R410" s="7" t="n"/>
      <c r="S410" s="7" t="n"/>
      <c r="T410" s="7" t="n"/>
      <c r="U410" s="12">
        <f>IF(A410="","",IF(H410="","建議填分配模式",""))</f>
        <v/>
      </c>
    </row>
    <row r="411" ht="24" customHeight="1">
      <c r="A411" s="7" t="n"/>
      <c r="B411" s="7" t="n"/>
      <c r="C411" s="7" t="n"/>
      <c r="D411" s="12">
        <f>IF($A411="","",IFERROR(INDEX(土地清冊_匯入!$B$6:$B$1005,MATCH($A411,土地清冊_匯入!$A$6:$A$1005,0)),"查無資料"))</f>
        <v/>
      </c>
      <c r="E411" s="9">
        <f>IF($A411="","",IFERROR(INDEX(土地清冊_匯入!$I$6:$I$1005,MATCH($A411,土地清冊_匯入!$A$6:$A$1005,0)),""))</f>
        <v/>
      </c>
      <c r="F411" s="13">
        <f>IF($A411="","",IFERROR(INDEX(建物清冊_匯入!$N$6:$N$1005,MATCH($A411,建物清冊_匯入!$A$6:$A$1005,0)),""))</f>
        <v/>
      </c>
      <c r="G411" s="9">
        <f>IF($A411="","",IFERROR(INDEX(建物清冊_匯入!$S$6:$S$1005,MATCH($A411,建物清冊_匯入!$A$6:$A$1005,0)),""))</f>
        <v/>
      </c>
      <c r="H411" s="7" t="n"/>
      <c r="I411" s="15" t="n"/>
      <c r="J411" s="16" t="n"/>
      <c r="K411" s="17">
        <f>IF(J411="","",1-J411)</f>
        <v/>
      </c>
      <c r="L411" s="15" t="n"/>
      <c r="M411" s="7" t="n"/>
      <c r="N411" s="7" t="n"/>
      <c r="O411" s="7" t="n"/>
      <c r="P411" s="11" t="n"/>
      <c r="Q411" s="7" t="n"/>
      <c r="R411" s="7" t="n"/>
      <c r="S411" s="7" t="n"/>
      <c r="T411" s="7" t="n"/>
      <c r="U411" s="12">
        <f>IF(A411="","",IF(H411="","建議填分配模式",""))</f>
        <v/>
      </c>
    </row>
    <row r="412" ht="24" customHeight="1">
      <c r="A412" s="7" t="n"/>
      <c r="B412" s="7" t="n"/>
      <c r="C412" s="7" t="n"/>
      <c r="D412" s="12">
        <f>IF($A412="","",IFERROR(INDEX(土地清冊_匯入!$B$6:$B$1005,MATCH($A412,土地清冊_匯入!$A$6:$A$1005,0)),"查無資料"))</f>
        <v/>
      </c>
      <c r="E412" s="9">
        <f>IF($A412="","",IFERROR(INDEX(土地清冊_匯入!$I$6:$I$1005,MATCH($A412,土地清冊_匯入!$A$6:$A$1005,0)),""))</f>
        <v/>
      </c>
      <c r="F412" s="13">
        <f>IF($A412="","",IFERROR(INDEX(建物清冊_匯入!$N$6:$N$1005,MATCH($A412,建物清冊_匯入!$A$6:$A$1005,0)),""))</f>
        <v/>
      </c>
      <c r="G412" s="9">
        <f>IF($A412="","",IFERROR(INDEX(建物清冊_匯入!$S$6:$S$1005,MATCH($A412,建物清冊_匯入!$A$6:$A$1005,0)),""))</f>
        <v/>
      </c>
      <c r="H412" s="7" t="n"/>
      <c r="I412" s="15" t="n"/>
      <c r="J412" s="16" t="n"/>
      <c r="K412" s="17">
        <f>IF(J412="","",1-J412)</f>
        <v/>
      </c>
      <c r="L412" s="15" t="n"/>
      <c r="M412" s="7" t="n"/>
      <c r="N412" s="7" t="n"/>
      <c r="O412" s="7" t="n"/>
      <c r="P412" s="11" t="n"/>
      <c r="Q412" s="7" t="n"/>
      <c r="R412" s="7" t="n"/>
      <c r="S412" s="7" t="n"/>
      <c r="T412" s="7" t="n"/>
      <c r="U412" s="12">
        <f>IF(A412="","",IF(H412="","建議填分配模式",""))</f>
        <v/>
      </c>
    </row>
    <row r="413" ht="24" customHeight="1">
      <c r="A413" s="7" t="n"/>
      <c r="B413" s="7" t="n"/>
      <c r="C413" s="7" t="n"/>
      <c r="D413" s="12">
        <f>IF($A413="","",IFERROR(INDEX(土地清冊_匯入!$B$6:$B$1005,MATCH($A413,土地清冊_匯入!$A$6:$A$1005,0)),"查無資料"))</f>
        <v/>
      </c>
      <c r="E413" s="9">
        <f>IF($A413="","",IFERROR(INDEX(土地清冊_匯入!$I$6:$I$1005,MATCH($A413,土地清冊_匯入!$A$6:$A$1005,0)),""))</f>
        <v/>
      </c>
      <c r="F413" s="13">
        <f>IF($A413="","",IFERROR(INDEX(建物清冊_匯入!$N$6:$N$1005,MATCH($A413,建物清冊_匯入!$A$6:$A$1005,0)),""))</f>
        <v/>
      </c>
      <c r="G413" s="9">
        <f>IF($A413="","",IFERROR(INDEX(建物清冊_匯入!$S$6:$S$1005,MATCH($A413,建物清冊_匯入!$A$6:$A$1005,0)),""))</f>
        <v/>
      </c>
      <c r="H413" s="7" t="n"/>
      <c r="I413" s="15" t="n"/>
      <c r="J413" s="16" t="n"/>
      <c r="K413" s="17">
        <f>IF(J413="","",1-J413)</f>
        <v/>
      </c>
      <c r="L413" s="15" t="n"/>
      <c r="M413" s="7" t="n"/>
      <c r="N413" s="7" t="n"/>
      <c r="O413" s="7" t="n"/>
      <c r="P413" s="11" t="n"/>
      <c r="Q413" s="7" t="n"/>
      <c r="R413" s="7" t="n"/>
      <c r="S413" s="7" t="n"/>
      <c r="T413" s="7" t="n"/>
      <c r="U413" s="12">
        <f>IF(A413="","",IF(H413="","建議填分配模式",""))</f>
        <v/>
      </c>
    </row>
    <row r="414" ht="24" customHeight="1">
      <c r="A414" s="7" t="n"/>
      <c r="B414" s="7" t="n"/>
      <c r="C414" s="7" t="n"/>
      <c r="D414" s="12">
        <f>IF($A414="","",IFERROR(INDEX(土地清冊_匯入!$B$6:$B$1005,MATCH($A414,土地清冊_匯入!$A$6:$A$1005,0)),"查無資料"))</f>
        <v/>
      </c>
      <c r="E414" s="9">
        <f>IF($A414="","",IFERROR(INDEX(土地清冊_匯入!$I$6:$I$1005,MATCH($A414,土地清冊_匯入!$A$6:$A$1005,0)),""))</f>
        <v/>
      </c>
      <c r="F414" s="13">
        <f>IF($A414="","",IFERROR(INDEX(建物清冊_匯入!$N$6:$N$1005,MATCH($A414,建物清冊_匯入!$A$6:$A$1005,0)),""))</f>
        <v/>
      </c>
      <c r="G414" s="9">
        <f>IF($A414="","",IFERROR(INDEX(建物清冊_匯入!$S$6:$S$1005,MATCH($A414,建物清冊_匯入!$A$6:$A$1005,0)),""))</f>
        <v/>
      </c>
      <c r="H414" s="7" t="n"/>
      <c r="I414" s="15" t="n"/>
      <c r="J414" s="16" t="n"/>
      <c r="K414" s="17">
        <f>IF(J414="","",1-J414)</f>
        <v/>
      </c>
      <c r="L414" s="15" t="n"/>
      <c r="M414" s="7" t="n"/>
      <c r="N414" s="7" t="n"/>
      <c r="O414" s="7" t="n"/>
      <c r="P414" s="11" t="n"/>
      <c r="Q414" s="7" t="n"/>
      <c r="R414" s="7" t="n"/>
      <c r="S414" s="7" t="n"/>
      <c r="T414" s="7" t="n"/>
      <c r="U414" s="12">
        <f>IF(A414="","",IF(H414="","建議填分配模式",""))</f>
        <v/>
      </c>
    </row>
    <row r="415" ht="24" customHeight="1">
      <c r="A415" s="7" t="n"/>
      <c r="B415" s="7" t="n"/>
      <c r="C415" s="7" t="n"/>
      <c r="D415" s="12">
        <f>IF($A415="","",IFERROR(INDEX(土地清冊_匯入!$B$6:$B$1005,MATCH($A415,土地清冊_匯入!$A$6:$A$1005,0)),"查無資料"))</f>
        <v/>
      </c>
      <c r="E415" s="9">
        <f>IF($A415="","",IFERROR(INDEX(土地清冊_匯入!$I$6:$I$1005,MATCH($A415,土地清冊_匯入!$A$6:$A$1005,0)),""))</f>
        <v/>
      </c>
      <c r="F415" s="13">
        <f>IF($A415="","",IFERROR(INDEX(建物清冊_匯入!$N$6:$N$1005,MATCH($A415,建物清冊_匯入!$A$6:$A$1005,0)),""))</f>
        <v/>
      </c>
      <c r="G415" s="9">
        <f>IF($A415="","",IFERROR(INDEX(建物清冊_匯入!$S$6:$S$1005,MATCH($A415,建物清冊_匯入!$A$6:$A$1005,0)),""))</f>
        <v/>
      </c>
      <c r="H415" s="7" t="n"/>
      <c r="I415" s="15" t="n"/>
      <c r="J415" s="16" t="n"/>
      <c r="K415" s="17">
        <f>IF(J415="","",1-J415)</f>
        <v/>
      </c>
      <c r="L415" s="15" t="n"/>
      <c r="M415" s="7" t="n"/>
      <c r="N415" s="7" t="n"/>
      <c r="O415" s="7" t="n"/>
      <c r="P415" s="11" t="n"/>
      <c r="Q415" s="7" t="n"/>
      <c r="R415" s="7" t="n"/>
      <c r="S415" s="7" t="n"/>
      <c r="T415" s="7" t="n"/>
      <c r="U415" s="12">
        <f>IF(A415="","",IF(H415="","建議填分配模式",""))</f>
        <v/>
      </c>
    </row>
    <row r="416" ht="24" customHeight="1">
      <c r="A416" s="7" t="n"/>
      <c r="B416" s="7" t="n"/>
      <c r="C416" s="7" t="n"/>
      <c r="D416" s="12">
        <f>IF($A416="","",IFERROR(INDEX(土地清冊_匯入!$B$6:$B$1005,MATCH($A416,土地清冊_匯入!$A$6:$A$1005,0)),"查無資料"))</f>
        <v/>
      </c>
      <c r="E416" s="9">
        <f>IF($A416="","",IFERROR(INDEX(土地清冊_匯入!$I$6:$I$1005,MATCH($A416,土地清冊_匯入!$A$6:$A$1005,0)),""))</f>
        <v/>
      </c>
      <c r="F416" s="13">
        <f>IF($A416="","",IFERROR(INDEX(建物清冊_匯入!$N$6:$N$1005,MATCH($A416,建物清冊_匯入!$A$6:$A$1005,0)),""))</f>
        <v/>
      </c>
      <c r="G416" s="9">
        <f>IF($A416="","",IFERROR(INDEX(建物清冊_匯入!$S$6:$S$1005,MATCH($A416,建物清冊_匯入!$A$6:$A$1005,0)),""))</f>
        <v/>
      </c>
      <c r="H416" s="7" t="n"/>
      <c r="I416" s="15" t="n"/>
      <c r="J416" s="16" t="n"/>
      <c r="K416" s="17">
        <f>IF(J416="","",1-J416)</f>
        <v/>
      </c>
      <c r="L416" s="15" t="n"/>
      <c r="M416" s="7" t="n"/>
      <c r="N416" s="7" t="n"/>
      <c r="O416" s="7" t="n"/>
      <c r="P416" s="11" t="n"/>
      <c r="Q416" s="7" t="n"/>
      <c r="R416" s="7" t="n"/>
      <c r="S416" s="7" t="n"/>
      <c r="T416" s="7" t="n"/>
      <c r="U416" s="12">
        <f>IF(A416="","",IF(H416="","建議填分配模式",""))</f>
        <v/>
      </c>
    </row>
    <row r="417" ht="24" customHeight="1">
      <c r="A417" s="7" t="n"/>
      <c r="B417" s="7" t="n"/>
      <c r="C417" s="7" t="n"/>
      <c r="D417" s="12">
        <f>IF($A417="","",IFERROR(INDEX(土地清冊_匯入!$B$6:$B$1005,MATCH($A417,土地清冊_匯入!$A$6:$A$1005,0)),"查無資料"))</f>
        <v/>
      </c>
      <c r="E417" s="9">
        <f>IF($A417="","",IFERROR(INDEX(土地清冊_匯入!$I$6:$I$1005,MATCH($A417,土地清冊_匯入!$A$6:$A$1005,0)),""))</f>
        <v/>
      </c>
      <c r="F417" s="13">
        <f>IF($A417="","",IFERROR(INDEX(建物清冊_匯入!$N$6:$N$1005,MATCH($A417,建物清冊_匯入!$A$6:$A$1005,0)),""))</f>
        <v/>
      </c>
      <c r="G417" s="9">
        <f>IF($A417="","",IFERROR(INDEX(建物清冊_匯入!$S$6:$S$1005,MATCH($A417,建物清冊_匯入!$A$6:$A$1005,0)),""))</f>
        <v/>
      </c>
      <c r="H417" s="7" t="n"/>
      <c r="I417" s="15" t="n"/>
      <c r="J417" s="16" t="n"/>
      <c r="K417" s="17">
        <f>IF(J417="","",1-J417)</f>
        <v/>
      </c>
      <c r="L417" s="15" t="n"/>
      <c r="M417" s="7" t="n"/>
      <c r="N417" s="7" t="n"/>
      <c r="O417" s="7" t="n"/>
      <c r="P417" s="11" t="n"/>
      <c r="Q417" s="7" t="n"/>
      <c r="R417" s="7" t="n"/>
      <c r="S417" s="7" t="n"/>
      <c r="T417" s="7" t="n"/>
      <c r="U417" s="12">
        <f>IF(A417="","",IF(H417="","建議填分配模式",""))</f>
        <v/>
      </c>
    </row>
    <row r="418" ht="24" customHeight="1">
      <c r="A418" s="7" t="n"/>
      <c r="B418" s="7" t="n"/>
      <c r="C418" s="7" t="n"/>
      <c r="D418" s="12">
        <f>IF($A418="","",IFERROR(INDEX(土地清冊_匯入!$B$6:$B$1005,MATCH($A418,土地清冊_匯入!$A$6:$A$1005,0)),"查無資料"))</f>
        <v/>
      </c>
      <c r="E418" s="9">
        <f>IF($A418="","",IFERROR(INDEX(土地清冊_匯入!$I$6:$I$1005,MATCH($A418,土地清冊_匯入!$A$6:$A$1005,0)),""))</f>
        <v/>
      </c>
      <c r="F418" s="13">
        <f>IF($A418="","",IFERROR(INDEX(建物清冊_匯入!$N$6:$N$1005,MATCH($A418,建物清冊_匯入!$A$6:$A$1005,0)),""))</f>
        <v/>
      </c>
      <c r="G418" s="9">
        <f>IF($A418="","",IFERROR(INDEX(建物清冊_匯入!$S$6:$S$1005,MATCH($A418,建物清冊_匯入!$A$6:$A$1005,0)),""))</f>
        <v/>
      </c>
      <c r="H418" s="7" t="n"/>
      <c r="I418" s="15" t="n"/>
      <c r="J418" s="16" t="n"/>
      <c r="K418" s="17">
        <f>IF(J418="","",1-J418)</f>
        <v/>
      </c>
      <c r="L418" s="15" t="n"/>
      <c r="M418" s="7" t="n"/>
      <c r="N418" s="7" t="n"/>
      <c r="O418" s="7" t="n"/>
      <c r="P418" s="11" t="n"/>
      <c r="Q418" s="7" t="n"/>
      <c r="R418" s="7" t="n"/>
      <c r="S418" s="7" t="n"/>
      <c r="T418" s="7" t="n"/>
      <c r="U418" s="12">
        <f>IF(A418="","",IF(H418="","建議填分配模式",""))</f>
        <v/>
      </c>
    </row>
    <row r="419" ht="24" customHeight="1">
      <c r="A419" s="7" t="n"/>
      <c r="B419" s="7" t="n"/>
      <c r="C419" s="7" t="n"/>
      <c r="D419" s="12">
        <f>IF($A419="","",IFERROR(INDEX(土地清冊_匯入!$B$6:$B$1005,MATCH($A419,土地清冊_匯入!$A$6:$A$1005,0)),"查無資料"))</f>
        <v/>
      </c>
      <c r="E419" s="9">
        <f>IF($A419="","",IFERROR(INDEX(土地清冊_匯入!$I$6:$I$1005,MATCH($A419,土地清冊_匯入!$A$6:$A$1005,0)),""))</f>
        <v/>
      </c>
      <c r="F419" s="13">
        <f>IF($A419="","",IFERROR(INDEX(建物清冊_匯入!$N$6:$N$1005,MATCH($A419,建物清冊_匯入!$A$6:$A$1005,0)),""))</f>
        <v/>
      </c>
      <c r="G419" s="9">
        <f>IF($A419="","",IFERROR(INDEX(建物清冊_匯入!$S$6:$S$1005,MATCH($A419,建物清冊_匯入!$A$6:$A$1005,0)),""))</f>
        <v/>
      </c>
      <c r="H419" s="7" t="n"/>
      <c r="I419" s="15" t="n"/>
      <c r="J419" s="16" t="n"/>
      <c r="K419" s="17">
        <f>IF(J419="","",1-J419)</f>
        <v/>
      </c>
      <c r="L419" s="15" t="n"/>
      <c r="M419" s="7" t="n"/>
      <c r="N419" s="7" t="n"/>
      <c r="O419" s="7" t="n"/>
      <c r="P419" s="11" t="n"/>
      <c r="Q419" s="7" t="n"/>
      <c r="R419" s="7" t="n"/>
      <c r="S419" s="7" t="n"/>
      <c r="T419" s="7" t="n"/>
      <c r="U419" s="12">
        <f>IF(A419="","",IF(H419="","建議填分配模式",""))</f>
        <v/>
      </c>
    </row>
    <row r="420" ht="24" customHeight="1">
      <c r="A420" s="7" t="n"/>
      <c r="B420" s="7" t="n"/>
      <c r="C420" s="7" t="n"/>
      <c r="D420" s="12">
        <f>IF($A420="","",IFERROR(INDEX(土地清冊_匯入!$B$6:$B$1005,MATCH($A420,土地清冊_匯入!$A$6:$A$1005,0)),"查無資料"))</f>
        <v/>
      </c>
      <c r="E420" s="9">
        <f>IF($A420="","",IFERROR(INDEX(土地清冊_匯入!$I$6:$I$1005,MATCH($A420,土地清冊_匯入!$A$6:$A$1005,0)),""))</f>
        <v/>
      </c>
      <c r="F420" s="13">
        <f>IF($A420="","",IFERROR(INDEX(建物清冊_匯入!$N$6:$N$1005,MATCH($A420,建物清冊_匯入!$A$6:$A$1005,0)),""))</f>
        <v/>
      </c>
      <c r="G420" s="9">
        <f>IF($A420="","",IFERROR(INDEX(建物清冊_匯入!$S$6:$S$1005,MATCH($A420,建物清冊_匯入!$A$6:$A$1005,0)),""))</f>
        <v/>
      </c>
      <c r="H420" s="7" t="n"/>
      <c r="I420" s="15" t="n"/>
      <c r="J420" s="16" t="n"/>
      <c r="K420" s="17">
        <f>IF(J420="","",1-J420)</f>
        <v/>
      </c>
      <c r="L420" s="15" t="n"/>
      <c r="M420" s="7" t="n"/>
      <c r="N420" s="7" t="n"/>
      <c r="O420" s="7" t="n"/>
      <c r="P420" s="11" t="n"/>
      <c r="Q420" s="7" t="n"/>
      <c r="R420" s="7" t="n"/>
      <c r="S420" s="7" t="n"/>
      <c r="T420" s="7" t="n"/>
      <c r="U420" s="12">
        <f>IF(A420="","",IF(H420="","建議填分配模式",""))</f>
        <v/>
      </c>
    </row>
    <row r="421" ht="24" customHeight="1">
      <c r="A421" s="7" t="n"/>
      <c r="B421" s="7" t="n"/>
      <c r="C421" s="7" t="n"/>
      <c r="D421" s="12">
        <f>IF($A421="","",IFERROR(INDEX(土地清冊_匯入!$B$6:$B$1005,MATCH($A421,土地清冊_匯入!$A$6:$A$1005,0)),"查無資料"))</f>
        <v/>
      </c>
      <c r="E421" s="9">
        <f>IF($A421="","",IFERROR(INDEX(土地清冊_匯入!$I$6:$I$1005,MATCH($A421,土地清冊_匯入!$A$6:$A$1005,0)),""))</f>
        <v/>
      </c>
      <c r="F421" s="13">
        <f>IF($A421="","",IFERROR(INDEX(建物清冊_匯入!$N$6:$N$1005,MATCH($A421,建物清冊_匯入!$A$6:$A$1005,0)),""))</f>
        <v/>
      </c>
      <c r="G421" s="9">
        <f>IF($A421="","",IFERROR(INDEX(建物清冊_匯入!$S$6:$S$1005,MATCH($A421,建物清冊_匯入!$A$6:$A$1005,0)),""))</f>
        <v/>
      </c>
      <c r="H421" s="7" t="n"/>
      <c r="I421" s="15" t="n"/>
      <c r="J421" s="16" t="n"/>
      <c r="K421" s="17">
        <f>IF(J421="","",1-J421)</f>
        <v/>
      </c>
      <c r="L421" s="15" t="n"/>
      <c r="M421" s="7" t="n"/>
      <c r="N421" s="7" t="n"/>
      <c r="O421" s="7" t="n"/>
      <c r="P421" s="11" t="n"/>
      <c r="Q421" s="7" t="n"/>
      <c r="R421" s="7" t="n"/>
      <c r="S421" s="7" t="n"/>
      <c r="T421" s="7" t="n"/>
      <c r="U421" s="12">
        <f>IF(A421="","",IF(H421="","建議填分配模式",""))</f>
        <v/>
      </c>
    </row>
    <row r="422" ht="24" customHeight="1">
      <c r="A422" s="7" t="n"/>
      <c r="B422" s="7" t="n"/>
      <c r="C422" s="7" t="n"/>
      <c r="D422" s="12">
        <f>IF($A422="","",IFERROR(INDEX(土地清冊_匯入!$B$6:$B$1005,MATCH($A422,土地清冊_匯入!$A$6:$A$1005,0)),"查無資料"))</f>
        <v/>
      </c>
      <c r="E422" s="9">
        <f>IF($A422="","",IFERROR(INDEX(土地清冊_匯入!$I$6:$I$1005,MATCH($A422,土地清冊_匯入!$A$6:$A$1005,0)),""))</f>
        <v/>
      </c>
      <c r="F422" s="13">
        <f>IF($A422="","",IFERROR(INDEX(建物清冊_匯入!$N$6:$N$1005,MATCH($A422,建物清冊_匯入!$A$6:$A$1005,0)),""))</f>
        <v/>
      </c>
      <c r="G422" s="9">
        <f>IF($A422="","",IFERROR(INDEX(建物清冊_匯入!$S$6:$S$1005,MATCH($A422,建物清冊_匯入!$A$6:$A$1005,0)),""))</f>
        <v/>
      </c>
      <c r="H422" s="7" t="n"/>
      <c r="I422" s="15" t="n"/>
      <c r="J422" s="16" t="n"/>
      <c r="K422" s="17">
        <f>IF(J422="","",1-J422)</f>
        <v/>
      </c>
      <c r="L422" s="15" t="n"/>
      <c r="M422" s="7" t="n"/>
      <c r="N422" s="7" t="n"/>
      <c r="O422" s="7" t="n"/>
      <c r="P422" s="11" t="n"/>
      <c r="Q422" s="7" t="n"/>
      <c r="R422" s="7" t="n"/>
      <c r="S422" s="7" t="n"/>
      <c r="T422" s="7" t="n"/>
      <c r="U422" s="12">
        <f>IF(A422="","",IF(H422="","建議填分配模式",""))</f>
        <v/>
      </c>
    </row>
    <row r="423" ht="24" customHeight="1">
      <c r="A423" s="7" t="n"/>
      <c r="B423" s="7" t="n"/>
      <c r="C423" s="7" t="n"/>
      <c r="D423" s="12">
        <f>IF($A423="","",IFERROR(INDEX(土地清冊_匯入!$B$6:$B$1005,MATCH($A423,土地清冊_匯入!$A$6:$A$1005,0)),"查無資料"))</f>
        <v/>
      </c>
      <c r="E423" s="9">
        <f>IF($A423="","",IFERROR(INDEX(土地清冊_匯入!$I$6:$I$1005,MATCH($A423,土地清冊_匯入!$A$6:$A$1005,0)),""))</f>
        <v/>
      </c>
      <c r="F423" s="13">
        <f>IF($A423="","",IFERROR(INDEX(建物清冊_匯入!$N$6:$N$1005,MATCH($A423,建物清冊_匯入!$A$6:$A$1005,0)),""))</f>
        <v/>
      </c>
      <c r="G423" s="9">
        <f>IF($A423="","",IFERROR(INDEX(建物清冊_匯入!$S$6:$S$1005,MATCH($A423,建物清冊_匯入!$A$6:$A$1005,0)),""))</f>
        <v/>
      </c>
      <c r="H423" s="7" t="n"/>
      <c r="I423" s="15" t="n"/>
      <c r="J423" s="16" t="n"/>
      <c r="K423" s="17">
        <f>IF(J423="","",1-J423)</f>
        <v/>
      </c>
      <c r="L423" s="15" t="n"/>
      <c r="M423" s="7" t="n"/>
      <c r="N423" s="7" t="n"/>
      <c r="O423" s="7" t="n"/>
      <c r="P423" s="11" t="n"/>
      <c r="Q423" s="7" t="n"/>
      <c r="R423" s="7" t="n"/>
      <c r="S423" s="7" t="n"/>
      <c r="T423" s="7" t="n"/>
      <c r="U423" s="12">
        <f>IF(A423="","",IF(H423="","建議填分配模式",""))</f>
        <v/>
      </c>
    </row>
    <row r="424" ht="24" customHeight="1">
      <c r="A424" s="7" t="n"/>
      <c r="B424" s="7" t="n"/>
      <c r="C424" s="7" t="n"/>
      <c r="D424" s="12">
        <f>IF($A424="","",IFERROR(INDEX(土地清冊_匯入!$B$6:$B$1005,MATCH($A424,土地清冊_匯入!$A$6:$A$1005,0)),"查無資料"))</f>
        <v/>
      </c>
      <c r="E424" s="9">
        <f>IF($A424="","",IFERROR(INDEX(土地清冊_匯入!$I$6:$I$1005,MATCH($A424,土地清冊_匯入!$A$6:$A$1005,0)),""))</f>
        <v/>
      </c>
      <c r="F424" s="13">
        <f>IF($A424="","",IFERROR(INDEX(建物清冊_匯入!$N$6:$N$1005,MATCH($A424,建物清冊_匯入!$A$6:$A$1005,0)),""))</f>
        <v/>
      </c>
      <c r="G424" s="9">
        <f>IF($A424="","",IFERROR(INDEX(建物清冊_匯入!$S$6:$S$1005,MATCH($A424,建物清冊_匯入!$A$6:$A$1005,0)),""))</f>
        <v/>
      </c>
      <c r="H424" s="7" t="n"/>
      <c r="I424" s="15" t="n"/>
      <c r="J424" s="16" t="n"/>
      <c r="K424" s="17">
        <f>IF(J424="","",1-J424)</f>
        <v/>
      </c>
      <c r="L424" s="15" t="n"/>
      <c r="M424" s="7" t="n"/>
      <c r="N424" s="7" t="n"/>
      <c r="O424" s="7" t="n"/>
      <c r="P424" s="11" t="n"/>
      <c r="Q424" s="7" t="n"/>
      <c r="R424" s="7" t="n"/>
      <c r="S424" s="7" t="n"/>
      <c r="T424" s="7" t="n"/>
      <c r="U424" s="12">
        <f>IF(A424="","",IF(H424="","建議填分配模式",""))</f>
        <v/>
      </c>
    </row>
    <row r="425" ht="24" customHeight="1">
      <c r="A425" s="7" t="n"/>
      <c r="B425" s="7" t="n"/>
      <c r="C425" s="7" t="n"/>
      <c r="D425" s="12">
        <f>IF($A425="","",IFERROR(INDEX(土地清冊_匯入!$B$6:$B$1005,MATCH($A425,土地清冊_匯入!$A$6:$A$1005,0)),"查無資料"))</f>
        <v/>
      </c>
      <c r="E425" s="9">
        <f>IF($A425="","",IFERROR(INDEX(土地清冊_匯入!$I$6:$I$1005,MATCH($A425,土地清冊_匯入!$A$6:$A$1005,0)),""))</f>
        <v/>
      </c>
      <c r="F425" s="13">
        <f>IF($A425="","",IFERROR(INDEX(建物清冊_匯入!$N$6:$N$1005,MATCH($A425,建物清冊_匯入!$A$6:$A$1005,0)),""))</f>
        <v/>
      </c>
      <c r="G425" s="9">
        <f>IF($A425="","",IFERROR(INDEX(建物清冊_匯入!$S$6:$S$1005,MATCH($A425,建物清冊_匯入!$A$6:$A$1005,0)),""))</f>
        <v/>
      </c>
      <c r="H425" s="7" t="n"/>
      <c r="I425" s="15" t="n"/>
      <c r="J425" s="16" t="n"/>
      <c r="K425" s="17">
        <f>IF(J425="","",1-J425)</f>
        <v/>
      </c>
      <c r="L425" s="15" t="n"/>
      <c r="M425" s="7" t="n"/>
      <c r="N425" s="7" t="n"/>
      <c r="O425" s="7" t="n"/>
      <c r="P425" s="11" t="n"/>
      <c r="Q425" s="7" t="n"/>
      <c r="R425" s="7" t="n"/>
      <c r="S425" s="7" t="n"/>
      <c r="T425" s="7" t="n"/>
      <c r="U425" s="12">
        <f>IF(A425="","",IF(H425="","建議填分配模式",""))</f>
        <v/>
      </c>
    </row>
    <row r="426" ht="24" customHeight="1">
      <c r="A426" s="7" t="n"/>
      <c r="B426" s="7" t="n"/>
      <c r="C426" s="7" t="n"/>
      <c r="D426" s="12">
        <f>IF($A426="","",IFERROR(INDEX(土地清冊_匯入!$B$6:$B$1005,MATCH($A426,土地清冊_匯入!$A$6:$A$1005,0)),"查無資料"))</f>
        <v/>
      </c>
      <c r="E426" s="9">
        <f>IF($A426="","",IFERROR(INDEX(土地清冊_匯入!$I$6:$I$1005,MATCH($A426,土地清冊_匯入!$A$6:$A$1005,0)),""))</f>
        <v/>
      </c>
      <c r="F426" s="13">
        <f>IF($A426="","",IFERROR(INDEX(建物清冊_匯入!$N$6:$N$1005,MATCH($A426,建物清冊_匯入!$A$6:$A$1005,0)),""))</f>
        <v/>
      </c>
      <c r="G426" s="9">
        <f>IF($A426="","",IFERROR(INDEX(建物清冊_匯入!$S$6:$S$1005,MATCH($A426,建物清冊_匯入!$A$6:$A$1005,0)),""))</f>
        <v/>
      </c>
      <c r="H426" s="7" t="n"/>
      <c r="I426" s="15" t="n"/>
      <c r="J426" s="16" t="n"/>
      <c r="K426" s="17">
        <f>IF(J426="","",1-J426)</f>
        <v/>
      </c>
      <c r="L426" s="15" t="n"/>
      <c r="M426" s="7" t="n"/>
      <c r="N426" s="7" t="n"/>
      <c r="O426" s="7" t="n"/>
      <c r="P426" s="11" t="n"/>
      <c r="Q426" s="7" t="n"/>
      <c r="R426" s="7" t="n"/>
      <c r="S426" s="7" t="n"/>
      <c r="T426" s="7" t="n"/>
      <c r="U426" s="12">
        <f>IF(A426="","",IF(H426="","建議填分配模式",""))</f>
        <v/>
      </c>
    </row>
    <row r="427" ht="24" customHeight="1">
      <c r="A427" s="7" t="n"/>
      <c r="B427" s="7" t="n"/>
      <c r="C427" s="7" t="n"/>
      <c r="D427" s="12">
        <f>IF($A427="","",IFERROR(INDEX(土地清冊_匯入!$B$6:$B$1005,MATCH($A427,土地清冊_匯入!$A$6:$A$1005,0)),"查無資料"))</f>
        <v/>
      </c>
      <c r="E427" s="9">
        <f>IF($A427="","",IFERROR(INDEX(土地清冊_匯入!$I$6:$I$1005,MATCH($A427,土地清冊_匯入!$A$6:$A$1005,0)),""))</f>
        <v/>
      </c>
      <c r="F427" s="13">
        <f>IF($A427="","",IFERROR(INDEX(建物清冊_匯入!$N$6:$N$1005,MATCH($A427,建物清冊_匯入!$A$6:$A$1005,0)),""))</f>
        <v/>
      </c>
      <c r="G427" s="9">
        <f>IF($A427="","",IFERROR(INDEX(建物清冊_匯入!$S$6:$S$1005,MATCH($A427,建物清冊_匯入!$A$6:$A$1005,0)),""))</f>
        <v/>
      </c>
      <c r="H427" s="7" t="n"/>
      <c r="I427" s="15" t="n"/>
      <c r="J427" s="16" t="n"/>
      <c r="K427" s="17">
        <f>IF(J427="","",1-J427)</f>
        <v/>
      </c>
      <c r="L427" s="15" t="n"/>
      <c r="M427" s="7" t="n"/>
      <c r="N427" s="7" t="n"/>
      <c r="O427" s="7" t="n"/>
      <c r="P427" s="11" t="n"/>
      <c r="Q427" s="7" t="n"/>
      <c r="R427" s="7" t="n"/>
      <c r="S427" s="7" t="n"/>
      <c r="T427" s="7" t="n"/>
      <c r="U427" s="12">
        <f>IF(A427="","",IF(H427="","建議填分配模式",""))</f>
        <v/>
      </c>
    </row>
    <row r="428" ht="24" customHeight="1">
      <c r="A428" s="7" t="n"/>
      <c r="B428" s="7" t="n"/>
      <c r="C428" s="7" t="n"/>
      <c r="D428" s="12">
        <f>IF($A428="","",IFERROR(INDEX(土地清冊_匯入!$B$6:$B$1005,MATCH($A428,土地清冊_匯入!$A$6:$A$1005,0)),"查無資料"))</f>
        <v/>
      </c>
      <c r="E428" s="9">
        <f>IF($A428="","",IFERROR(INDEX(土地清冊_匯入!$I$6:$I$1005,MATCH($A428,土地清冊_匯入!$A$6:$A$1005,0)),""))</f>
        <v/>
      </c>
      <c r="F428" s="13">
        <f>IF($A428="","",IFERROR(INDEX(建物清冊_匯入!$N$6:$N$1005,MATCH($A428,建物清冊_匯入!$A$6:$A$1005,0)),""))</f>
        <v/>
      </c>
      <c r="G428" s="9">
        <f>IF($A428="","",IFERROR(INDEX(建物清冊_匯入!$S$6:$S$1005,MATCH($A428,建物清冊_匯入!$A$6:$A$1005,0)),""))</f>
        <v/>
      </c>
      <c r="H428" s="7" t="n"/>
      <c r="I428" s="15" t="n"/>
      <c r="J428" s="16" t="n"/>
      <c r="K428" s="17">
        <f>IF(J428="","",1-J428)</f>
        <v/>
      </c>
      <c r="L428" s="15" t="n"/>
      <c r="M428" s="7" t="n"/>
      <c r="N428" s="7" t="n"/>
      <c r="O428" s="7" t="n"/>
      <c r="P428" s="11" t="n"/>
      <c r="Q428" s="7" t="n"/>
      <c r="R428" s="7" t="n"/>
      <c r="S428" s="7" t="n"/>
      <c r="T428" s="7" t="n"/>
      <c r="U428" s="12">
        <f>IF(A428="","",IF(H428="","建議填分配模式",""))</f>
        <v/>
      </c>
    </row>
    <row r="429" ht="24" customHeight="1">
      <c r="A429" s="7" t="n"/>
      <c r="B429" s="7" t="n"/>
      <c r="C429" s="7" t="n"/>
      <c r="D429" s="12">
        <f>IF($A429="","",IFERROR(INDEX(土地清冊_匯入!$B$6:$B$1005,MATCH($A429,土地清冊_匯入!$A$6:$A$1005,0)),"查無資料"))</f>
        <v/>
      </c>
      <c r="E429" s="9">
        <f>IF($A429="","",IFERROR(INDEX(土地清冊_匯入!$I$6:$I$1005,MATCH($A429,土地清冊_匯入!$A$6:$A$1005,0)),""))</f>
        <v/>
      </c>
      <c r="F429" s="13">
        <f>IF($A429="","",IFERROR(INDEX(建物清冊_匯入!$N$6:$N$1005,MATCH($A429,建物清冊_匯入!$A$6:$A$1005,0)),""))</f>
        <v/>
      </c>
      <c r="G429" s="9">
        <f>IF($A429="","",IFERROR(INDEX(建物清冊_匯入!$S$6:$S$1005,MATCH($A429,建物清冊_匯入!$A$6:$A$1005,0)),""))</f>
        <v/>
      </c>
      <c r="H429" s="7" t="n"/>
      <c r="I429" s="15" t="n"/>
      <c r="J429" s="16" t="n"/>
      <c r="K429" s="17">
        <f>IF(J429="","",1-J429)</f>
        <v/>
      </c>
      <c r="L429" s="15" t="n"/>
      <c r="M429" s="7" t="n"/>
      <c r="N429" s="7" t="n"/>
      <c r="O429" s="7" t="n"/>
      <c r="P429" s="11" t="n"/>
      <c r="Q429" s="7" t="n"/>
      <c r="R429" s="7" t="n"/>
      <c r="S429" s="7" t="n"/>
      <c r="T429" s="7" t="n"/>
      <c r="U429" s="12">
        <f>IF(A429="","",IF(H429="","建議填分配模式",""))</f>
        <v/>
      </c>
    </row>
    <row r="430" ht="24" customHeight="1">
      <c r="A430" s="7" t="n"/>
      <c r="B430" s="7" t="n"/>
      <c r="C430" s="7" t="n"/>
      <c r="D430" s="12">
        <f>IF($A430="","",IFERROR(INDEX(土地清冊_匯入!$B$6:$B$1005,MATCH($A430,土地清冊_匯入!$A$6:$A$1005,0)),"查無資料"))</f>
        <v/>
      </c>
      <c r="E430" s="9">
        <f>IF($A430="","",IFERROR(INDEX(土地清冊_匯入!$I$6:$I$1005,MATCH($A430,土地清冊_匯入!$A$6:$A$1005,0)),""))</f>
        <v/>
      </c>
      <c r="F430" s="13">
        <f>IF($A430="","",IFERROR(INDEX(建物清冊_匯入!$N$6:$N$1005,MATCH($A430,建物清冊_匯入!$A$6:$A$1005,0)),""))</f>
        <v/>
      </c>
      <c r="G430" s="9">
        <f>IF($A430="","",IFERROR(INDEX(建物清冊_匯入!$S$6:$S$1005,MATCH($A430,建物清冊_匯入!$A$6:$A$1005,0)),""))</f>
        <v/>
      </c>
      <c r="H430" s="7" t="n"/>
      <c r="I430" s="15" t="n"/>
      <c r="J430" s="16" t="n"/>
      <c r="K430" s="17">
        <f>IF(J430="","",1-J430)</f>
        <v/>
      </c>
      <c r="L430" s="15" t="n"/>
      <c r="M430" s="7" t="n"/>
      <c r="N430" s="7" t="n"/>
      <c r="O430" s="7" t="n"/>
      <c r="P430" s="11" t="n"/>
      <c r="Q430" s="7" t="n"/>
      <c r="R430" s="7" t="n"/>
      <c r="S430" s="7" t="n"/>
      <c r="T430" s="7" t="n"/>
      <c r="U430" s="12">
        <f>IF(A430="","",IF(H430="","建議填分配模式",""))</f>
        <v/>
      </c>
    </row>
    <row r="431" ht="24" customHeight="1">
      <c r="A431" s="7" t="n"/>
      <c r="B431" s="7" t="n"/>
      <c r="C431" s="7" t="n"/>
      <c r="D431" s="12">
        <f>IF($A431="","",IFERROR(INDEX(土地清冊_匯入!$B$6:$B$1005,MATCH($A431,土地清冊_匯入!$A$6:$A$1005,0)),"查無資料"))</f>
        <v/>
      </c>
      <c r="E431" s="9">
        <f>IF($A431="","",IFERROR(INDEX(土地清冊_匯入!$I$6:$I$1005,MATCH($A431,土地清冊_匯入!$A$6:$A$1005,0)),""))</f>
        <v/>
      </c>
      <c r="F431" s="13">
        <f>IF($A431="","",IFERROR(INDEX(建物清冊_匯入!$N$6:$N$1005,MATCH($A431,建物清冊_匯入!$A$6:$A$1005,0)),""))</f>
        <v/>
      </c>
      <c r="G431" s="9">
        <f>IF($A431="","",IFERROR(INDEX(建物清冊_匯入!$S$6:$S$1005,MATCH($A431,建物清冊_匯入!$A$6:$A$1005,0)),""))</f>
        <v/>
      </c>
      <c r="H431" s="7" t="n"/>
      <c r="I431" s="15" t="n"/>
      <c r="J431" s="16" t="n"/>
      <c r="K431" s="17">
        <f>IF(J431="","",1-J431)</f>
        <v/>
      </c>
      <c r="L431" s="15" t="n"/>
      <c r="M431" s="7" t="n"/>
      <c r="N431" s="7" t="n"/>
      <c r="O431" s="7" t="n"/>
      <c r="P431" s="11" t="n"/>
      <c r="Q431" s="7" t="n"/>
      <c r="R431" s="7" t="n"/>
      <c r="S431" s="7" t="n"/>
      <c r="T431" s="7" t="n"/>
      <c r="U431" s="12">
        <f>IF(A431="","",IF(H431="","建議填分配模式",""))</f>
        <v/>
      </c>
    </row>
    <row r="432" ht="24" customHeight="1">
      <c r="A432" s="7" t="n"/>
      <c r="B432" s="7" t="n"/>
      <c r="C432" s="7" t="n"/>
      <c r="D432" s="12">
        <f>IF($A432="","",IFERROR(INDEX(土地清冊_匯入!$B$6:$B$1005,MATCH($A432,土地清冊_匯入!$A$6:$A$1005,0)),"查無資料"))</f>
        <v/>
      </c>
      <c r="E432" s="9">
        <f>IF($A432="","",IFERROR(INDEX(土地清冊_匯入!$I$6:$I$1005,MATCH($A432,土地清冊_匯入!$A$6:$A$1005,0)),""))</f>
        <v/>
      </c>
      <c r="F432" s="13">
        <f>IF($A432="","",IFERROR(INDEX(建物清冊_匯入!$N$6:$N$1005,MATCH($A432,建物清冊_匯入!$A$6:$A$1005,0)),""))</f>
        <v/>
      </c>
      <c r="G432" s="9">
        <f>IF($A432="","",IFERROR(INDEX(建物清冊_匯入!$S$6:$S$1005,MATCH($A432,建物清冊_匯入!$A$6:$A$1005,0)),""))</f>
        <v/>
      </c>
      <c r="H432" s="7" t="n"/>
      <c r="I432" s="15" t="n"/>
      <c r="J432" s="16" t="n"/>
      <c r="K432" s="17">
        <f>IF(J432="","",1-J432)</f>
        <v/>
      </c>
      <c r="L432" s="15" t="n"/>
      <c r="M432" s="7" t="n"/>
      <c r="N432" s="7" t="n"/>
      <c r="O432" s="7" t="n"/>
      <c r="P432" s="11" t="n"/>
      <c r="Q432" s="7" t="n"/>
      <c r="R432" s="7" t="n"/>
      <c r="S432" s="7" t="n"/>
      <c r="T432" s="7" t="n"/>
      <c r="U432" s="12">
        <f>IF(A432="","",IF(H432="","建議填分配模式",""))</f>
        <v/>
      </c>
    </row>
    <row r="433" ht="24" customHeight="1">
      <c r="A433" s="7" t="n"/>
      <c r="B433" s="7" t="n"/>
      <c r="C433" s="7" t="n"/>
      <c r="D433" s="12">
        <f>IF($A433="","",IFERROR(INDEX(土地清冊_匯入!$B$6:$B$1005,MATCH($A433,土地清冊_匯入!$A$6:$A$1005,0)),"查無資料"))</f>
        <v/>
      </c>
      <c r="E433" s="9">
        <f>IF($A433="","",IFERROR(INDEX(土地清冊_匯入!$I$6:$I$1005,MATCH($A433,土地清冊_匯入!$A$6:$A$1005,0)),""))</f>
        <v/>
      </c>
      <c r="F433" s="13">
        <f>IF($A433="","",IFERROR(INDEX(建物清冊_匯入!$N$6:$N$1005,MATCH($A433,建物清冊_匯入!$A$6:$A$1005,0)),""))</f>
        <v/>
      </c>
      <c r="G433" s="9">
        <f>IF($A433="","",IFERROR(INDEX(建物清冊_匯入!$S$6:$S$1005,MATCH($A433,建物清冊_匯入!$A$6:$A$1005,0)),""))</f>
        <v/>
      </c>
      <c r="H433" s="7" t="n"/>
      <c r="I433" s="15" t="n"/>
      <c r="J433" s="16" t="n"/>
      <c r="K433" s="17">
        <f>IF(J433="","",1-J433)</f>
        <v/>
      </c>
      <c r="L433" s="15" t="n"/>
      <c r="M433" s="7" t="n"/>
      <c r="N433" s="7" t="n"/>
      <c r="O433" s="7" t="n"/>
      <c r="P433" s="11" t="n"/>
      <c r="Q433" s="7" t="n"/>
      <c r="R433" s="7" t="n"/>
      <c r="S433" s="7" t="n"/>
      <c r="T433" s="7" t="n"/>
      <c r="U433" s="12">
        <f>IF(A433="","",IF(H433="","建議填分配模式",""))</f>
        <v/>
      </c>
    </row>
    <row r="434" ht="24" customHeight="1">
      <c r="A434" s="7" t="n"/>
      <c r="B434" s="7" t="n"/>
      <c r="C434" s="7" t="n"/>
      <c r="D434" s="12">
        <f>IF($A434="","",IFERROR(INDEX(土地清冊_匯入!$B$6:$B$1005,MATCH($A434,土地清冊_匯入!$A$6:$A$1005,0)),"查無資料"))</f>
        <v/>
      </c>
      <c r="E434" s="9">
        <f>IF($A434="","",IFERROR(INDEX(土地清冊_匯入!$I$6:$I$1005,MATCH($A434,土地清冊_匯入!$A$6:$A$1005,0)),""))</f>
        <v/>
      </c>
      <c r="F434" s="13">
        <f>IF($A434="","",IFERROR(INDEX(建物清冊_匯入!$N$6:$N$1005,MATCH($A434,建物清冊_匯入!$A$6:$A$1005,0)),""))</f>
        <v/>
      </c>
      <c r="G434" s="9">
        <f>IF($A434="","",IFERROR(INDEX(建物清冊_匯入!$S$6:$S$1005,MATCH($A434,建物清冊_匯入!$A$6:$A$1005,0)),""))</f>
        <v/>
      </c>
      <c r="H434" s="7" t="n"/>
      <c r="I434" s="15" t="n"/>
      <c r="J434" s="16" t="n"/>
      <c r="K434" s="17">
        <f>IF(J434="","",1-J434)</f>
        <v/>
      </c>
      <c r="L434" s="15" t="n"/>
      <c r="M434" s="7" t="n"/>
      <c r="N434" s="7" t="n"/>
      <c r="O434" s="7" t="n"/>
      <c r="P434" s="11" t="n"/>
      <c r="Q434" s="7" t="n"/>
      <c r="R434" s="7" t="n"/>
      <c r="S434" s="7" t="n"/>
      <c r="T434" s="7" t="n"/>
      <c r="U434" s="12">
        <f>IF(A434="","",IF(H434="","建議填分配模式",""))</f>
        <v/>
      </c>
    </row>
    <row r="435" ht="24" customHeight="1">
      <c r="A435" s="7" t="n"/>
      <c r="B435" s="7" t="n"/>
      <c r="C435" s="7" t="n"/>
      <c r="D435" s="12">
        <f>IF($A435="","",IFERROR(INDEX(土地清冊_匯入!$B$6:$B$1005,MATCH($A435,土地清冊_匯入!$A$6:$A$1005,0)),"查無資料"))</f>
        <v/>
      </c>
      <c r="E435" s="9">
        <f>IF($A435="","",IFERROR(INDEX(土地清冊_匯入!$I$6:$I$1005,MATCH($A435,土地清冊_匯入!$A$6:$A$1005,0)),""))</f>
        <v/>
      </c>
      <c r="F435" s="13">
        <f>IF($A435="","",IFERROR(INDEX(建物清冊_匯入!$N$6:$N$1005,MATCH($A435,建物清冊_匯入!$A$6:$A$1005,0)),""))</f>
        <v/>
      </c>
      <c r="G435" s="9">
        <f>IF($A435="","",IFERROR(INDEX(建物清冊_匯入!$S$6:$S$1005,MATCH($A435,建物清冊_匯入!$A$6:$A$1005,0)),""))</f>
        <v/>
      </c>
      <c r="H435" s="7" t="n"/>
      <c r="I435" s="15" t="n"/>
      <c r="J435" s="16" t="n"/>
      <c r="K435" s="17">
        <f>IF(J435="","",1-J435)</f>
        <v/>
      </c>
      <c r="L435" s="15" t="n"/>
      <c r="M435" s="7" t="n"/>
      <c r="N435" s="7" t="n"/>
      <c r="O435" s="7" t="n"/>
      <c r="P435" s="11" t="n"/>
      <c r="Q435" s="7" t="n"/>
      <c r="R435" s="7" t="n"/>
      <c r="S435" s="7" t="n"/>
      <c r="T435" s="7" t="n"/>
      <c r="U435" s="12">
        <f>IF(A435="","",IF(H435="","建議填分配模式",""))</f>
        <v/>
      </c>
    </row>
    <row r="436" ht="24" customHeight="1">
      <c r="A436" s="7" t="n"/>
      <c r="B436" s="7" t="n"/>
      <c r="C436" s="7" t="n"/>
      <c r="D436" s="12">
        <f>IF($A436="","",IFERROR(INDEX(土地清冊_匯入!$B$6:$B$1005,MATCH($A436,土地清冊_匯入!$A$6:$A$1005,0)),"查無資料"))</f>
        <v/>
      </c>
      <c r="E436" s="9">
        <f>IF($A436="","",IFERROR(INDEX(土地清冊_匯入!$I$6:$I$1005,MATCH($A436,土地清冊_匯入!$A$6:$A$1005,0)),""))</f>
        <v/>
      </c>
      <c r="F436" s="13">
        <f>IF($A436="","",IFERROR(INDEX(建物清冊_匯入!$N$6:$N$1005,MATCH($A436,建物清冊_匯入!$A$6:$A$1005,0)),""))</f>
        <v/>
      </c>
      <c r="G436" s="9">
        <f>IF($A436="","",IFERROR(INDEX(建物清冊_匯入!$S$6:$S$1005,MATCH($A436,建物清冊_匯入!$A$6:$A$1005,0)),""))</f>
        <v/>
      </c>
      <c r="H436" s="7" t="n"/>
      <c r="I436" s="15" t="n"/>
      <c r="J436" s="16" t="n"/>
      <c r="K436" s="17">
        <f>IF(J436="","",1-J436)</f>
        <v/>
      </c>
      <c r="L436" s="15" t="n"/>
      <c r="M436" s="7" t="n"/>
      <c r="N436" s="7" t="n"/>
      <c r="O436" s="7" t="n"/>
      <c r="P436" s="11" t="n"/>
      <c r="Q436" s="7" t="n"/>
      <c r="R436" s="7" t="n"/>
      <c r="S436" s="7" t="n"/>
      <c r="T436" s="7" t="n"/>
      <c r="U436" s="12">
        <f>IF(A436="","",IF(H436="","建議填分配模式",""))</f>
        <v/>
      </c>
    </row>
    <row r="437" ht="24" customHeight="1">
      <c r="A437" s="7" t="n"/>
      <c r="B437" s="7" t="n"/>
      <c r="C437" s="7" t="n"/>
      <c r="D437" s="12">
        <f>IF($A437="","",IFERROR(INDEX(土地清冊_匯入!$B$6:$B$1005,MATCH($A437,土地清冊_匯入!$A$6:$A$1005,0)),"查無資料"))</f>
        <v/>
      </c>
      <c r="E437" s="9">
        <f>IF($A437="","",IFERROR(INDEX(土地清冊_匯入!$I$6:$I$1005,MATCH($A437,土地清冊_匯入!$A$6:$A$1005,0)),""))</f>
        <v/>
      </c>
      <c r="F437" s="13">
        <f>IF($A437="","",IFERROR(INDEX(建物清冊_匯入!$N$6:$N$1005,MATCH($A437,建物清冊_匯入!$A$6:$A$1005,0)),""))</f>
        <v/>
      </c>
      <c r="G437" s="9">
        <f>IF($A437="","",IFERROR(INDEX(建物清冊_匯入!$S$6:$S$1005,MATCH($A437,建物清冊_匯入!$A$6:$A$1005,0)),""))</f>
        <v/>
      </c>
      <c r="H437" s="7" t="n"/>
      <c r="I437" s="15" t="n"/>
      <c r="J437" s="16" t="n"/>
      <c r="K437" s="17">
        <f>IF(J437="","",1-J437)</f>
        <v/>
      </c>
      <c r="L437" s="15" t="n"/>
      <c r="M437" s="7" t="n"/>
      <c r="N437" s="7" t="n"/>
      <c r="O437" s="7" t="n"/>
      <c r="P437" s="11" t="n"/>
      <c r="Q437" s="7" t="n"/>
      <c r="R437" s="7" t="n"/>
      <c r="S437" s="7" t="n"/>
      <c r="T437" s="7" t="n"/>
      <c r="U437" s="12">
        <f>IF(A437="","",IF(H437="","建議填分配模式",""))</f>
        <v/>
      </c>
    </row>
    <row r="438" ht="24" customHeight="1">
      <c r="A438" s="7" t="n"/>
      <c r="B438" s="7" t="n"/>
      <c r="C438" s="7" t="n"/>
      <c r="D438" s="12">
        <f>IF($A438="","",IFERROR(INDEX(土地清冊_匯入!$B$6:$B$1005,MATCH($A438,土地清冊_匯入!$A$6:$A$1005,0)),"查無資料"))</f>
        <v/>
      </c>
      <c r="E438" s="9">
        <f>IF($A438="","",IFERROR(INDEX(土地清冊_匯入!$I$6:$I$1005,MATCH($A438,土地清冊_匯入!$A$6:$A$1005,0)),""))</f>
        <v/>
      </c>
      <c r="F438" s="13">
        <f>IF($A438="","",IFERROR(INDEX(建物清冊_匯入!$N$6:$N$1005,MATCH($A438,建物清冊_匯入!$A$6:$A$1005,0)),""))</f>
        <v/>
      </c>
      <c r="G438" s="9">
        <f>IF($A438="","",IFERROR(INDEX(建物清冊_匯入!$S$6:$S$1005,MATCH($A438,建物清冊_匯入!$A$6:$A$1005,0)),""))</f>
        <v/>
      </c>
      <c r="H438" s="7" t="n"/>
      <c r="I438" s="15" t="n"/>
      <c r="J438" s="16" t="n"/>
      <c r="K438" s="17">
        <f>IF(J438="","",1-J438)</f>
        <v/>
      </c>
      <c r="L438" s="15" t="n"/>
      <c r="M438" s="7" t="n"/>
      <c r="N438" s="7" t="n"/>
      <c r="O438" s="7" t="n"/>
      <c r="P438" s="11" t="n"/>
      <c r="Q438" s="7" t="n"/>
      <c r="R438" s="7" t="n"/>
      <c r="S438" s="7" t="n"/>
      <c r="T438" s="7" t="n"/>
      <c r="U438" s="12">
        <f>IF(A438="","",IF(H438="","建議填分配模式",""))</f>
        <v/>
      </c>
    </row>
    <row r="439" ht="24" customHeight="1">
      <c r="A439" s="7" t="n"/>
      <c r="B439" s="7" t="n"/>
      <c r="C439" s="7" t="n"/>
      <c r="D439" s="12">
        <f>IF($A439="","",IFERROR(INDEX(土地清冊_匯入!$B$6:$B$1005,MATCH($A439,土地清冊_匯入!$A$6:$A$1005,0)),"查無資料"))</f>
        <v/>
      </c>
      <c r="E439" s="9">
        <f>IF($A439="","",IFERROR(INDEX(土地清冊_匯入!$I$6:$I$1005,MATCH($A439,土地清冊_匯入!$A$6:$A$1005,0)),""))</f>
        <v/>
      </c>
      <c r="F439" s="13">
        <f>IF($A439="","",IFERROR(INDEX(建物清冊_匯入!$N$6:$N$1005,MATCH($A439,建物清冊_匯入!$A$6:$A$1005,0)),""))</f>
        <v/>
      </c>
      <c r="G439" s="9">
        <f>IF($A439="","",IFERROR(INDEX(建物清冊_匯入!$S$6:$S$1005,MATCH($A439,建物清冊_匯入!$A$6:$A$1005,0)),""))</f>
        <v/>
      </c>
      <c r="H439" s="7" t="n"/>
      <c r="I439" s="15" t="n"/>
      <c r="J439" s="16" t="n"/>
      <c r="K439" s="17">
        <f>IF(J439="","",1-J439)</f>
        <v/>
      </c>
      <c r="L439" s="15" t="n"/>
      <c r="M439" s="7" t="n"/>
      <c r="N439" s="7" t="n"/>
      <c r="O439" s="7" t="n"/>
      <c r="P439" s="11" t="n"/>
      <c r="Q439" s="7" t="n"/>
      <c r="R439" s="7" t="n"/>
      <c r="S439" s="7" t="n"/>
      <c r="T439" s="7" t="n"/>
      <c r="U439" s="12">
        <f>IF(A439="","",IF(H439="","建議填分配模式",""))</f>
        <v/>
      </c>
    </row>
    <row r="440" ht="24" customHeight="1">
      <c r="A440" s="7" t="n"/>
      <c r="B440" s="7" t="n"/>
      <c r="C440" s="7" t="n"/>
      <c r="D440" s="12">
        <f>IF($A440="","",IFERROR(INDEX(土地清冊_匯入!$B$6:$B$1005,MATCH($A440,土地清冊_匯入!$A$6:$A$1005,0)),"查無資料"))</f>
        <v/>
      </c>
      <c r="E440" s="9">
        <f>IF($A440="","",IFERROR(INDEX(土地清冊_匯入!$I$6:$I$1005,MATCH($A440,土地清冊_匯入!$A$6:$A$1005,0)),""))</f>
        <v/>
      </c>
      <c r="F440" s="13">
        <f>IF($A440="","",IFERROR(INDEX(建物清冊_匯入!$N$6:$N$1005,MATCH($A440,建物清冊_匯入!$A$6:$A$1005,0)),""))</f>
        <v/>
      </c>
      <c r="G440" s="9">
        <f>IF($A440="","",IFERROR(INDEX(建物清冊_匯入!$S$6:$S$1005,MATCH($A440,建物清冊_匯入!$A$6:$A$1005,0)),""))</f>
        <v/>
      </c>
      <c r="H440" s="7" t="n"/>
      <c r="I440" s="15" t="n"/>
      <c r="J440" s="16" t="n"/>
      <c r="K440" s="17">
        <f>IF(J440="","",1-J440)</f>
        <v/>
      </c>
      <c r="L440" s="15" t="n"/>
      <c r="M440" s="7" t="n"/>
      <c r="N440" s="7" t="n"/>
      <c r="O440" s="7" t="n"/>
      <c r="P440" s="11" t="n"/>
      <c r="Q440" s="7" t="n"/>
      <c r="R440" s="7" t="n"/>
      <c r="S440" s="7" t="n"/>
      <c r="T440" s="7" t="n"/>
      <c r="U440" s="12">
        <f>IF(A440="","",IF(H440="","建議填分配模式",""))</f>
        <v/>
      </c>
    </row>
    <row r="441" ht="24" customHeight="1">
      <c r="A441" s="7" t="n"/>
      <c r="B441" s="7" t="n"/>
      <c r="C441" s="7" t="n"/>
      <c r="D441" s="12">
        <f>IF($A441="","",IFERROR(INDEX(土地清冊_匯入!$B$6:$B$1005,MATCH($A441,土地清冊_匯入!$A$6:$A$1005,0)),"查無資料"))</f>
        <v/>
      </c>
      <c r="E441" s="9">
        <f>IF($A441="","",IFERROR(INDEX(土地清冊_匯入!$I$6:$I$1005,MATCH($A441,土地清冊_匯入!$A$6:$A$1005,0)),""))</f>
        <v/>
      </c>
      <c r="F441" s="13">
        <f>IF($A441="","",IFERROR(INDEX(建物清冊_匯入!$N$6:$N$1005,MATCH($A441,建物清冊_匯入!$A$6:$A$1005,0)),""))</f>
        <v/>
      </c>
      <c r="G441" s="9">
        <f>IF($A441="","",IFERROR(INDEX(建物清冊_匯入!$S$6:$S$1005,MATCH($A441,建物清冊_匯入!$A$6:$A$1005,0)),""))</f>
        <v/>
      </c>
      <c r="H441" s="7" t="n"/>
      <c r="I441" s="15" t="n"/>
      <c r="J441" s="16" t="n"/>
      <c r="K441" s="17">
        <f>IF(J441="","",1-J441)</f>
        <v/>
      </c>
      <c r="L441" s="15" t="n"/>
      <c r="M441" s="7" t="n"/>
      <c r="N441" s="7" t="n"/>
      <c r="O441" s="7" t="n"/>
      <c r="P441" s="11" t="n"/>
      <c r="Q441" s="7" t="n"/>
      <c r="R441" s="7" t="n"/>
      <c r="S441" s="7" t="n"/>
      <c r="T441" s="7" t="n"/>
      <c r="U441" s="12">
        <f>IF(A441="","",IF(H441="","建議填分配模式",""))</f>
        <v/>
      </c>
    </row>
    <row r="442" ht="24" customHeight="1">
      <c r="A442" s="7" t="n"/>
      <c r="B442" s="7" t="n"/>
      <c r="C442" s="7" t="n"/>
      <c r="D442" s="12">
        <f>IF($A442="","",IFERROR(INDEX(土地清冊_匯入!$B$6:$B$1005,MATCH($A442,土地清冊_匯入!$A$6:$A$1005,0)),"查無資料"))</f>
        <v/>
      </c>
      <c r="E442" s="9">
        <f>IF($A442="","",IFERROR(INDEX(土地清冊_匯入!$I$6:$I$1005,MATCH($A442,土地清冊_匯入!$A$6:$A$1005,0)),""))</f>
        <v/>
      </c>
      <c r="F442" s="13">
        <f>IF($A442="","",IFERROR(INDEX(建物清冊_匯入!$N$6:$N$1005,MATCH($A442,建物清冊_匯入!$A$6:$A$1005,0)),""))</f>
        <v/>
      </c>
      <c r="G442" s="9">
        <f>IF($A442="","",IFERROR(INDEX(建物清冊_匯入!$S$6:$S$1005,MATCH($A442,建物清冊_匯入!$A$6:$A$1005,0)),""))</f>
        <v/>
      </c>
      <c r="H442" s="7" t="n"/>
      <c r="I442" s="15" t="n"/>
      <c r="J442" s="16" t="n"/>
      <c r="K442" s="17">
        <f>IF(J442="","",1-J442)</f>
        <v/>
      </c>
      <c r="L442" s="15" t="n"/>
      <c r="M442" s="7" t="n"/>
      <c r="N442" s="7" t="n"/>
      <c r="O442" s="7" t="n"/>
      <c r="P442" s="11" t="n"/>
      <c r="Q442" s="7" t="n"/>
      <c r="R442" s="7" t="n"/>
      <c r="S442" s="7" t="n"/>
      <c r="T442" s="7" t="n"/>
      <c r="U442" s="12">
        <f>IF(A442="","",IF(H442="","建議填分配模式",""))</f>
        <v/>
      </c>
    </row>
    <row r="443" ht="24" customHeight="1">
      <c r="A443" s="7" t="n"/>
      <c r="B443" s="7" t="n"/>
      <c r="C443" s="7" t="n"/>
      <c r="D443" s="12">
        <f>IF($A443="","",IFERROR(INDEX(土地清冊_匯入!$B$6:$B$1005,MATCH($A443,土地清冊_匯入!$A$6:$A$1005,0)),"查無資料"))</f>
        <v/>
      </c>
      <c r="E443" s="9">
        <f>IF($A443="","",IFERROR(INDEX(土地清冊_匯入!$I$6:$I$1005,MATCH($A443,土地清冊_匯入!$A$6:$A$1005,0)),""))</f>
        <v/>
      </c>
      <c r="F443" s="13">
        <f>IF($A443="","",IFERROR(INDEX(建物清冊_匯入!$N$6:$N$1005,MATCH($A443,建物清冊_匯入!$A$6:$A$1005,0)),""))</f>
        <v/>
      </c>
      <c r="G443" s="9">
        <f>IF($A443="","",IFERROR(INDEX(建物清冊_匯入!$S$6:$S$1005,MATCH($A443,建物清冊_匯入!$A$6:$A$1005,0)),""))</f>
        <v/>
      </c>
      <c r="H443" s="7" t="n"/>
      <c r="I443" s="15" t="n"/>
      <c r="J443" s="16" t="n"/>
      <c r="K443" s="17">
        <f>IF(J443="","",1-J443)</f>
        <v/>
      </c>
      <c r="L443" s="15" t="n"/>
      <c r="M443" s="7" t="n"/>
      <c r="N443" s="7" t="n"/>
      <c r="O443" s="7" t="n"/>
      <c r="P443" s="11" t="n"/>
      <c r="Q443" s="7" t="n"/>
      <c r="R443" s="7" t="n"/>
      <c r="S443" s="7" t="n"/>
      <c r="T443" s="7" t="n"/>
      <c r="U443" s="12">
        <f>IF(A443="","",IF(H443="","建議填分配模式",""))</f>
        <v/>
      </c>
    </row>
    <row r="444" ht="24" customHeight="1">
      <c r="A444" s="7" t="n"/>
      <c r="B444" s="7" t="n"/>
      <c r="C444" s="7" t="n"/>
      <c r="D444" s="12">
        <f>IF($A444="","",IFERROR(INDEX(土地清冊_匯入!$B$6:$B$1005,MATCH($A444,土地清冊_匯入!$A$6:$A$1005,0)),"查無資料"))</f>
        <v/>
      </c>
      <c r="E444" s="9">
        <f>IF($A444="","",IFERROR(INDEX(土地清冊_匯入!$I$6:$I$1005,MATCH($A444,土地清冊_匯入!$A$6:$A$1005,0)),""))</f>
        <v/>
      </c>
      <c r="F444" s="13">
        <f>IF($A444="","",IFERROR(INDEX(建物清冊_匯入!$N$6:$N$1005,MATCH($A444,建物清冊_匯入!$A$6:$A$1005,0)),""))</f>
        <v/>
      </c>
      <c r="G444" s="9">
        <f>IF($A444="","",IFERROR(INDEX(建物清冊_匯入!$S$6:$S$1005,MATCH($A444,建物清冊_匯入!$A$6:$A$1005,0)),""))</f>
        <v/>
      </c>
      <c r="H444" s="7" t="n"/>
      <c r="I444" s="15" t="n"/>
      <c r="J444" s="16" t="n"/>
      <c r="K444" s="17">
        <f>IF(J444="","",1-J444)</f>
        <v/>
      </c>
      <c r="L444" s="15" t="n"/>
      <c r="M444" s="7" t="n"/>
      <c r="N444" s="7" t="n"/>
      <c r="O444" s="7" t="n"/>
      <c r="P444" s="11" t="n"/>
      <c r="Q444" s="7" t="n"/>
      <c r="R444" s="7" t="n"/>
      <c r="S444" s="7" t="n"/>
      <c r="T444" s="7" t="n"/>
      <c r="U444" s="12">
        <f>IF(A444="","",IF(H444="","建議填分配模式",""))</f>
        <v/>
      </c>
    </row>
    <row r="445" ht="24" customHeight="1">
      <c r="A445" s="7" t="n"/>
      <c r="B445" s="7" t="n"/>
      <c r="C445" s="7" t="n"/>
      <c r="D445" s="12">
        <f>IF($A445="","",IFERROR(INDEX(土地清冊_匯入!$B$6:$B$1005,MATCH($A445,土地清冊_匯入!$A$6:$A$1005,0)),"查無資料"))</f>
        <v/>
      </c>
      <c r="E445" s="9">
        <f>IF($A445="","",IFERROR(INDEX(土地清冊_匯入!$I$6:$I$1005,MATCH($A445,土地清冊_匯入!$A$6:$A$1005,0)),""))</f>
        <v/>
      </c>
      <c r="F445" s="13">
        <f>IF($A445="","",IFERROR(INDEX(建物清冊_匯入!$N$6:$N$1005,MATCH($A445,建物清冊_匯入!$A$6:$A$1005,0)),""))</f>
        <v/>
      </c>
      <c r="G445" s="9">
        <f>IF($A445="","",IFERROR(INDEX(建物清冊_匯入!$S$6:$S$1005,MATCH($A445,建物清冊_匯入!$A$6:$A$1005,0)),""))</f>
        <v/>
      </c>
      <c r="H445" s="7" t="n"/>
      <c r="I445" s="15" t="n"/>
      <c r="J445" s="16" t="n"/>
      <c r="K445" s="17">
        <f>IF(J445="","",1-J445)</f>
        <v/>
      </c>
      <c r="L445" s="15" t="n"/>
      <c r="M445" s="7" t="n"/>
      <c r="N445" s="7" t="n"/>
      <c r="O445" s="7" t="n"/>
      <c r="P445" s="11" t="n"/>
      <c r="Q445" s="7" t="n"/>
      <c r="R445" s="7" t="n"/>
      <c r="S445" s="7" t="n"/>
      <c r="T445" s="7" t="n"/>
      <c r="U445" s="12">
        <f>IF(A445="","",IF(H445="","建議填分配模式",""))</f>
        <v/>
      </c>
    </row>
    <row r="446" ht="24" customHeight="1">
      <c r="A446" s="7" t="n"/>
      <c r="B446" s="7" t="n"/>
      <c r="C446" s="7" t="n"/>
      <c r="D446" s="12">
        <f>IF($A446="","",IFERROR(INDEX(土地清冊_匯入!$B$6:$B$1005,MATCH($A446,土地清冊_匯入!$A$6:$A$1005,0)),"查無資料"))</f>
        <v/>
      </c>
      <c r="E446" s="9">
        <f>IF($A446="","",IFERROR(INDEX(土地清冊_匯入!$I$6:$I$1005,MATCH($A446,土地清冊_匯入!$A$6:$A$1005,0)),""))</f>
        <v/>
      </c>
      <c r="F446" s="13">
        <f>IF($A446="","",IFERROR(INDEX(建物清冊_匯入!$N$6:$N$1005,MATCH($A446,建物清冊_匯入!$A$6:$A$1005,0)),""))</f>
        <v/>
      </c>
      <c r="G446" s="9">
        <f>IF($A446="","",IFERROR(INDEX(建物清冊_匯入!$S$6:$S$1005,MATCH($A446,建物清冊_匯入!$A$6:$A$1005,0)),""))</f>
        <v/>
      </c>
      <c r="H446" s="7" t="n"/>
      <c r="I446" s="15" t="n"/>
      <c r="J446" s="16" t="n"/>
      <c r="K446" s="17">
        <f>IF(J446="","",1-J446)</f>
        <v/>
      </c>
      <c r="L446" s="15" t="n"/>
      <c r="M446" s="7" t="n"/>
      <c r="N446" s="7" t="n"/>
      <c r="O446" s="7" t="n"/>
      <c r="P446" s="11" t="n"/>
      <c r="Q446" s="7" t="n"/>
      <c r="R446" s="7" t="n"/>
      <c r="S446" s="7" t="n"/>
      <c r="T446" s="7" t="n"/>
      <c r="U446" s="12">
        <f>IF(A446="","",IF(H446="","建議填分配模式",""))</f>
        <v/>
      </c>
    </row>
    <row r="447" ht="24" customHeight="1">
      <c r="A447" s="7" t="n"/>
      <c r="B447" s="7" t="n"/>
      <c r="C447" s="7" t="n"/>
      <c r="D447" s="12">
        <f>IF($A447="","",IFERROR(INDEX(土地清冊_匯入!$B$6:$B$1005,MATCH($A447,土地清冊_匯入!$A$6:$A$1005,0)),"查無資料"))</f>
        <v/>
      </c>
      <c r="E447" s="9">
        <f>IF($A447="","",IFERROR(INDEX(土地清冊_匯入!$I$6:$I$1005,MATCH($A447,土地清冊_匯入!$A$6:$A$1005,0)),""))</f>
        <v/>
      </c>
      <c r="F447" s="13">
        <f>IF($A447="","",IFERROR(INDEX(建物清冊_匯入!$N$6:$N$1005,MATCH($A447,建物清冊_匯入!$A$6:$A$1005,0)),""))</f>
        <v/>
      </c>
      <c r="G447" s="9">
        <f>IF($A447="","",IFERROR(INDEX(建物清冊_匯入!$S$6:$S$1005,MATCH($A447,建物清冊_匯入!$A$6:$A$1005,0)),""))</f>
        <v/>
      </c>
      <c r="H447" s="7" t="n"/>
      <c r="I447" s="15" t="n"/>
      <c r="J447" s="16" t="n"/>
      <c r="K447" s="17">
        <f>IF(J447="","",1-J447)</f>
        <v/>
      </c>
      <c r="L447" s="15" t="n"/>
      <c r="M447" s="7" t="n"/>
      <c r="N447" s="7" t="n"/>
      <c r="O447" s="7" t="n"/>
      <c r="P447" s="11" t="n"/>
      <c r="Q447" s="7" t="n"/>
      <c r="R447" s="7" t="n"/>
      <c r="S447" s="7" t="n"/>
      <c r="T447" s="7" t="n"/>
      <c r="U447" s="12">
        <f>IF(A447="","",IF(H447="","建議填分配模式",""))</f>
        <v/>
      </c>
    </row>
    <row r="448" ht="24" customHeight="1">
      <c r="A448" s="7" t="n"/>
      <c r="B448" s="7" t="n"/>
      <c r="C448" s="7" t="n"/>
      <c r="D448" s="12">
        <f>IF($A448="","",IFERROR(INDEX(土地清冊_匯入!$B$6:$B$1005,MATCH($A448,土地清冊_匯入!$A$6:$A$1005,0)),"查無資料"))</f>
        <v/>
      </c>
      <c r="E448" s="9">
        <f>IF($A448="","",IFERROR(INDEX(土地清冊_匯入!$I$6:$I$1005,MATCH($A448,土地清冊_匯入!$A$6:$A$1005,0)),""))</f>
        <v/>
      </c>
      <c r="F448" s="13">
        <f>IF($A448="","",IFERROR(INDEX(建物清冊_匯入!$N$6:$N$1005,MATCH($A448,建物清冊_匯入!$A$6:$A$1005,0)),""))</f>
        <v/>
      </c>
      <c r="G448" s="9">
        <f>IF($A448="","",IFERROR(INDEX(建物清冊_匯入!$S$6:$S$1005,MATCH($A448,建物清冊_匯入!$A$6:$A$1005,0)),""))</f>
        <v/>
      </c>
      <c r="H448" s="7" t="n"/>
      <c r="I448" s="15" t="n"/>
      <c r="J448" s="16" t="n"/>
      <c r="K448" s="17">
        <f>IF(J448="","",1-J448)</f>
        <v/>
      </c>
      <c r="L448" s="15" t="n"/>
      <c r="M448" s="7" t="n"/>
      <c r="N448" s="7" t="n"/>
      <c r="O448" s="7" t="n"/>
      <c r="P448" s="11" t="n"/>
      <c r="Q448" s="7" t="n"/>
      <c r="R448" s="7" t="n"/>
      <c r="S448" s="7" t="n"/>
      <c r="T448" s="7" t="n"/>
      <c r="U448" s="12">
        <f>IF(A448="","",IF(H448="","建議填分配模式",""))</f>
        <v/>
      </c>
    </row>
    <row r="449" ht="24" customHeight="1">
      <c r="A449" s="7" t="n"/>
      <c r="B449" s="7" t="n"/>
      <c r="C449" s="7" t="n"/>
      <c r="D449" s="12">
        <f>IF($A449="","",IFERROR(INDEX(土地清冊_匯入!$B$6:$B$1005,MATCH($A449,土地清冊_匯入!$A$6:$A$1005,0)),"查無資料"))</f>
        <v/>
      </c>
      <c r="E449" s="9">
        <f>IF($A449="","",IFERROR(INDEX(土地清冊_匯入!$I$6:$I$1005,MATCH($A449,土地清冊_匯入!$A$6:$A$1005,0)),""))</f>
        <v/>
      </c>
      <c r="F449" s="13">
        <f>IF($A449="","",IFERROR(INDEX(建物清冊_匯入!$N$6:$N$1005,MATCH($A449,建物清冊_匯入!$A$6:$A$1005,0)),""))</f>
        <v/>
      </c>
      <c r="G449" s="9">
        <f>IF($A449="","",IFERROR(INDEX(建物清冊_匯入!$S$6:$S$1005,MATCH($A449,建物清冊_匯入!$A$6:$A$1005,0)),""))</f>
        <v/>
      </c>
      <c r="H449" s="7" t="n"/>
      <c r="I449" s="15" t="n"/>
      <c r="J449" s="16" t="n"/>
      <c r="K449" s="17">
        <f>IF(J449="","",1-J449)</f>
        <v/>
      </c>
      <c r="L449" s="15" t="n"/>
      <c r="M449" s="7" t="n"/>
      <c r="N449" s="7" t="n"/>
      <c r="O449" s="7" t="n"/>
      <c r="P449" s="11" t="n"/>
      <c r="Q449" s="7" t="n"/>
      <c r="R449" s="7" t="n"/>
      <c r="S449" s="7" t="n"/>
      <c r="T449" s="7" t="n"/>
      <c r="U449" s="12">
        <f>IF(A449="","",IF(H449="","建議填分配模式",""))</f>
        <v/>
      </c>
    </row>
    <row r="450" ht="24" customHeight="1">
      <c r="A450" s="7" t="n"/>
      <c r="B450" s="7" t="n"/>
      <c r="C450" s="7" t="n"/>
      <c r="D450" s="12">
        <f>IF($A450="","",IFERROR(INDEX(土地清冊_匯入!$B$6:$B$1005,MATCH($A450,土地清冊_匯入!$A$6:$A$1005,0)),"查無資料"))</f>
        <v/>
      </c>
      <c r="E450" s="9">
        <f>IF($A450="","",IFERROR(INDEX(土地清冊_匯入!$I$6:$I$1005,MATCH($A450,土地清冊_匯入!$A$6:$A$1005,0)),""))</f>
        <v/>
      </c>
      <c r="F450" s="13">
        <f>IF($A450="","",IFERROR(INDEX(建物清冊_匯入!$N$6:$N$1005,MATCH($A450,建物清冊_匯入!$A$6:$A$1005,0)),""))</f>
        <v/>
      </c>
      <c r="G450" s="9">
        <f>IF($A450="","",IFERROR(INDEX(建物清冊_匯入!$S$6:$S$1005,MATCH($A450,建物清冊_匯入!$A$6:$A$1005,0)),""))</f>
        <v/>
      </c>
      <c r="H450" s="7" t="n"/>
      <c r="I450" s="15" t="n"/>
      <c r="J450" s="16" t="n"/>
      <c r="K450" s="17">
        <f>IF(J450="","",1-J450)</f>
        <v/>
      </c>
      <c r="L450" s="15" t="n"/>
      <c r="M450" s="7" t="n"/>
      <c r="N450" s="7" t="n"/>
      <c r="O450" s="7" t="n"/>
      <c r="P450" s="11" t="n"/>
      <c r="Q450" s="7" t="n"/>
      <c r="R450" s="7" t="n"/>
      <c r="S450" s="7" t="n"/>
      <c r="T450" s="7" t="n"/>
      <c r="U450" s="12">
        <f>IF(A450="","",IF(H450="","建議填分配模式",""))</f>
        <v/>
      </c>
    </row>
    <row r="451" ht="24" customHeight="1">
      <c r="A451" s="7" t="n"/>
      <c r="B451" s="7" t="n"/>
      <c r="C451" s="7" t="n"/>
      <c r="D451" s="12">
        <f>IF($A451="","",IFERROR(INDEX(土地清冊_匯入!$B$6:$B$1005,MATCH($A451,土地清冊_匯入!$A$6:$A$1005,0)),"查無資料"))</f>
        <v/>
      </c>
      <c r="E451" s="9">
        <f>IF($A451="","",IFERROR(INDEX(土地清冊_匯入!$I$6:$I$1005,MATCH($A451,土地清冊_匯入!$A$6:$A$1005,0)),""))</f>
        <v/>
      </c>
      <c r="F451" s="13">
        <f>IF($A451="","",IFERROR(INDEX(建物清冊_匯入!$N$6:$N$1005,MATCH($A451,建物清冊_匯入!$A$6:$A$1005,0)),""))</f>
        <v/>
      </c>
      <c r="G451" s="9">
        <f>IF($A451="","",IFERROR(INDEX(建物清冊_匯入!$S$6:$S$1005,MATCH($A451,建物清冊_匯入!$A$6:$A$1005,0)),""))</f>
        <v/>
      </c>
      <c r="H451" s="7" t="n"/>
      <c r="I451" s="15" t="n"/>
      <c r="J451" s="16" t="n"/>
      <c r="K451" s="17">
        <f>IF(J451="","",1-J451)</f>
        <v/>
      </c>
      <c r="L451" s="15" t="n"/>
      <c r="M451" s="7" t="n"/>
      <c r="N451" s="7" t="n"/>
      <c r="O451" s="7" t="n"/>
      <c r="P451" s="11" t="n"/>
      <c r="Q451" s="7" t="n"/>
      <c r="R451" s="7" t="n"/>
      <c r="S451" s="7" t="n"/>
      <c r="T451" s="7" t="n"/>
      <c r="U451" s="12">
        <f>IF(A451="","",IF(H451="","建議填分配模式",""))</f>
        <v/>
      </c>
    </row>
    <row r="452" ht="24" customHeight="1">
      <c r="A452" s="7" t="n"/>
      <c r="B452" s="7" t="n"/>
      <c r="C452" s="7" t="n"/>
      <c r="D452" s="12">
        <f>IF($A452="","",IFERROR(INDEX(土地清冊_匯入!$B$6:$B$1005,MATCH($A452,土地清冊_匯入!$A$6:$A$1005,0)),"查無資料"))</f>
        <v/>
      </c>
      <c r="E452" s="9">
        <f>IF($A452="","",IFERROR(INDEX(土地清冊_匯入!$I$6:$I$1005,MATCH($A452,土地清冊_匯入!$A$6:$A$1005,0)),""))</f>
        <v/>
      </c>
      <c r="F452" s="13">
        <f>IF($A452="","",IFERROR(INDEX(建物清冊_匯入!$N$6:$N$1005,MATCH($A452,建物清冊_匯入!$A$6:$A$1005,0)),""))</f>
        <v/>
      </c>
      <c r="G452" s="9">
        <f>IF($A452="","",IFERROR(INDEX(建物清冊_匯入!$S$6:$S$1005,MATCH($A452,建物清冊_匯入!$A$6:$A$1005,0)),""))</f>
        <v/>
      </c>
      <c r="H452" s="7" t="n"/>
      <c r="I452" s="15" t="n"/>
      <c r="J452" s="16" t="n"/>
      <c r="K452" s="17">
        <f>IF(J452="","",1-J452)</f>
        <v/>
      </c>
      <c r="L452" s="15" t="n"/>
      <c r="M452" s="7" t="n"/>
      <c r="N452" s="7" t="n"/>
      <c r="O452" s="7" t="n"/>
      <c r="P452" s="11" t="n"/>
      <c r="Q452" s="7" t="n"/>
      <c r="R452" s="7" t="n"/>
      <c r="S452" s="7" t="n"/>
      <c r="T452" s="7" t="n"/>
      <c r="U452" s="12">
        <f>IF(A452="","",IF(H452="","建議填分配模式",""))</f>
        <v/>
      </c>
    </row>
    <row r="453" ht="24" customHeight="1">
      <c r="A453" s="7" t="n"/>
      <c r="B453" s="7" t="n"/>
      <c r="C453" s="7" t="n"/>
      <c r="D453" s="12">
        <f>IF($A453="","",IFERROR(INDEX(土地清冊_匯入!$B$6:$B$1005,MATCH($A453,土地清冊_匯入!$A$6:$A$1005,0)),"查無資料"))</f>
        <v/>
      </c>
      <c r="E453" s="9">
        <f>IF($A453="","",IFERROR(INDEX(土地清冊_匯入!$I$6:$I$1005,MATCH($A453,土地清冊_匯入!$A$6:$A$1005,0)),""))</f>
        <v/>
      </c>
      <c r="F453" s="13">
        <f>IF($A453="","",IFERROR(INDEX(建物清冊_匯入!$N$6:$N$1005,MATCH($A453,建物清冊_匯入!$A$6:$A$1005,0)),""))</f>
        <v/>
      </c>
      <c r="G453" s="9">
        <f>IF($A453="","",IFERROR(INDEX(建物清冊_匯入!$S$6:$S$1005,MATCH($A453,建物清冊_匯入!$A$6:$A$1005,0)),""))</f>
        <v/>
      </c>
      <c r="H453" s="7" t="n"/>
      <c r="I453" s="15" t="n"/>
      <c r="J453" s="16" t="n"/>
      <c r="K453" s="17">
        <f>IF(J453="","",1-J453)</f>
        <v/>
      </c>
      <c r="L453" s="15" t="n"/>
      <c r="M453" s="7" t="n"/>
      <c r="N453" s="7" t="n"/>
      <c r="O453" s="7" t="n"/>
      <c r="P453" s="11" t="n"/>
      <c r="Q453" s="7" t="n"/>
      <c r="R453" s="7" t="n"/>
      <c r="S453" s="7" t="n"/>
      <c r="T453" s="7" t="n"/>
      <c r="U453" s="12">
        <f>IF(A453="","",IF(H453="","建議填分配模式",""))</f>
        <v/>
      </c>
    </row>
    <row r="454" ht="24" customHeight="1">
      <c r="A454" s="7" t="n"/>
      <c r="B454" s="7" t="n"/>
      <c r="C454" s="7" t="n"/>
      <c r="D454" s="12">
        <f>IF($A454="","",IFERROR(INDEX(土地清冊_匯入!$B$6:$B$1005,MATCH($A454,土地清冊_匯入!$A$6:$A$1005,0)),"查無資料"))</f>
        <v/>
      </c>
      <c r="E454" s="9">
        <f>IF($A454="","",IFERROR(INDEX(土地清冊_匯入!$I$6:$I$1005,MATCH($A454,土地清冊_匯入!$A$6:$A$1005,0)),""))</f>
        <v/>
      </c>
      <c r="F454" s="13">
        <f>IF($A454="","",IFERROR(INDEX(建物清冊_匯入!$N$6:$N$1005,MATCH($A454,建物清冊_匯入!$A$6:$A$1005,0)),""))</f>
        <v/>
      </c>
      <c r="G454" s="9">
        <f>IF($A454="","",IFERROR(INDEX(建物清冊_匯入!$S$6:$S$1005,MATCH($A454,建物清冊_匯入!$A$6:$A$1005,0)),""))</f>
        <v/>
      </c>
      <c r="H454" s="7" t="n"/>
      <c r="I454" s="15" t="n"/>
      <c r="J454" s="16" t="n"/>
      <c r="K454" s="17">
        <f>IF(J454="","",1-J454)</f>
        <v/>
      </c>
      <c r="L454" s="15" t="n"/>
      <c r="M454" s="7" t="n"/>
      <c r="N454" s="7" t="n"/>
      <c r="O454" s="7" t="n"/>
      <c r="P454" s="11" t="n"/>
      <c r="Q454" s="7" t="n"/>
      <c r="R454" s="7" t="n"/>
      <c r="S454" s="7" t="n"/>
      <c r="T454" s="7" t="n"/>
      <c r="U454" s="12">
        <f>IF(A454="","",IF(H454="","建議填分配模式",""))</f>
        <v/>
      </c>
    </row>
    <row r="455" ht="24" customHeight="1">
      <c r="A455" s="7" t="n"/>
      <c r="B455" s="7" t="n"/>
      <c r="C455" s="7" t="n"/>
      <c r="D455" s="12">
        <f>IF($A455="","",IFERROR(INDEX(土地清冊_匯入!$B$6:$B$1005,MATCH($A455,土地清冊_匯入!$A$6:$A$1005,0)),"查無資料"))</f>
        <v/>
      </c>
      <c r="E455" s="9">
        <f>IF($A455="","",IFERROR(INDEX(土地清冊_匯入!$I$6:$I$1005,MATCH($A455,土地清冊_匯入!$A$6:$A$1005,0)),""))</f>
        <v/>
      </c>
      <c r="F455" s="13">
        <f>IF($A455="","",IFERROR(INDEX(建物清冊_匯入!$N$6:$N$1005,MATCH($A455,建物清冊_匯入!$A$6:$A$1005,0)),""))</f>
        <v/>
      </c>
      <c r="G455" s="9">
        <f>IF($A455="","",IFERROR(INDEX(建物清冊_匯入!$S$6:$S$1005,MATCH($A455,建物清冊_匯入!$A$6:$A$1005,0)),""))</f>
        <v/>
      </c>
      <c r="H455" s="7" t="n"/>
      <c r="I455" s="15" t="n"/>
      <c r="J455" s="16" t="n"/>
      <c r="K455" s="17">
        <f>IF(J455="","",1-J455)</f>
        <v/>
      </c>
      <c r="L455" s="15" t="n"/>
      <c r="M455" s="7" t="n"/>
      <c r="N455" s="7" t="n"/>
      <c r="O455" s="7" t="n"/>
      <c r="P455" s="11" t="n"/>
      <c r="Q455" s="7" t="n"/>
      <c r="R455" s="7" t="n"/>
      <c r="S455" s="7" t="n"/>
      <c r="T455" s="7" t="n"/>
      <c r="U455" s="12">
        <f>IF(A455="","",IF(H455="","建議填分配模式",""))</f>
        <v/>
      </c>
    </row>
    <row r="456" ht="24" customHeight="1">
      <c r="A456" s="7" t="n"/>
      <c r="B456" s="7" t="n"/>
      <c r="C456" s="7" t="n"/>
      <c r="D456" s="12">
        <f>IF($A456="","",IFERROR(INDEX(土地清冊_匯入!$B$6:$B$1005,MATCH($A456,土地清冊_匯入!$A$6:$A$1005,0)),"查無資料"))</f>
        <v/>
      </c>
      <c r="E456" s="9">
        <f>IF($A456="","",IFERROR(INDEX(土地清冊_匯入!$I$6:$I$1005,MATCH($A456,土地清冊_匯入!$A$6:$A$1005,0)),""))</f>
        <v/>
      </c>
      <c r="F456" s="13">
        <f>IF($A456="","",IFERROR(INDEX(建物清冊_匯入!$N$6:$N$1005,MATCH($A456,建物清冊_匯入!$A$6:$A$1005,0)),""))</f>
        <v/>
      </c>
      <c r="G456" s="9">
        <f>IF($A456="","",IFERROR(INDEX(建物清冊_匯入!$S$6:$S$1005,MATCH($A456,建物清冊_匯入!$A$6:$A$1005,0)),""))</f>
        <v/>
      </c>
      <c r="H456" s="7" t="n"/>
      <c r="I456" s="15" t="n"/>
      <c r="J456" s="16" t="n"/>
      <c r="K456" s="17">
        <f>IF(J456="","",1-J456)</f>
        <v/>
      </c>
      <c r="L456" s="15" t="n"/>
      <c r="M456" s="7" t="n"/>
      <c r="N456" s="7" t="n"/>
      <c r="O456" s="7" t="n"/>
      <c r="P456" s="11" t="n"/>
      <c r="Q456" s="7" t="n"/>
      <c r="R456" s="7" t="n"/>
      <c r="S456" s="7" t="n"/>
      <c r="T456" s="7" t="n"/>
      <c r="U456" s="12">
        <f>IF(A456="","",IF(H456="","建議填分配模式",""))</f>
        <v/>
      </c>
    </row>
    <row r="457" ht="24" customHeight="1">
      <c r="A457" s="7" t="n"/>
      <c r="B457" s="7" t="n"/>
      <c r="C457" s="7" t="n"/>
      <c r="D457" s="12">
        <f>IF($A457="","",IFERROR(INDEX(土地清冊_匯入!$B$6:$B$1005,MATCH($A457,土地清冊_匯入!$A$6:$A$1005,0)),"查無資料"))</f>
        <v/>
      </c>
      <c r="E457" s="9">
        <f>IF($A457="","",IFERROR(INDEX(土地清冊_匯入!$I$6:$I$1005,MATCH($A457,土地清冊_匯入!$A$6:$A$1005,0)),""))</f>
        <v/>
      </c>
      <c r="F457" s="13">
        <f>IF($A457="","",IFERROR(INDEX(建物清冊_匯入!$N$6:$N$1005,MATCH($A457,建物清冊_匯入!$A$6:$A$1005,0)),""))</f>
        <v/>
      </c>
      <c r="G457" s="9">
        <f>IF($A457="","",IFERROR(INDEX(建物清冊_匯入!$S$6:$S$1005,MATCH($A457,建物清冊_匯入!$A$6:$A$1005,0)),""))</f>
        <v/>
      </c>
      <c r="H457" s="7" t="n"/>
      <c r="I457" s="15" t="n"/>
      <c r="J457" s="16" t="n"/>
      <c r="K457" s="17">
        <f>IF(J457="","",1-J457)</f>
        <v/>
      </c>
      <c r="L457" s="15" t="n"/>
      <c r="M457" s="7" t="n"/>
      <c r="N457" s="7" t="n"/>
      <c r="O457" s="7" t="n"/>
      <c r="P457" s="11" t="n"/>
      <c r="Q457" s="7" t="n"/>
      <c r="R457" s="7" t="n"/>
      <c r="S457" s="7" t="n"/>
      <c r="T457" s="7" t="n"/>
      <c r="U457" s="12">
        <f>IF(A457="","",IF(H457="","建議填分配模式",""))</f>
        <v/>
      </c>
    </row>
    <row r="458" ht="24" customHeight="1">
      <c r="A458" s="7" t="n"/>
      <c r="B458" s="7" t="n"/>
      <c r="C458" s="7" t="n"/>
      <c r="D458" s="12">
        <f>IF($A458="","",IFERROR(INDEX(土地清冊_匯入!$B$6:$B$1005,MATCH($A458,土地清冊_匯入!$A$6:$A$1005,0)),"查無資料"))</f>
        <v/>
      </c>
      <c r="E458" s="9">
        <f>IF($A458="","",IFERROR(INDEX(土地清冊_匯入!$I$6:$I$1005,MATCH($A458,土地清冊_匯入!$A$6:$A$1005,0)),""))</f>
        <v/>
      </c>
      <c r="F458" s="13">
        <f>IF($A458="","",IFERROR(INDEX(建物清冊_匯入!$N$6:$N$1005,MATCH($A458,建物清冊_匯入!$A$6:$A$1005,0)),""))</f>
        <v/>
      </c>
      <c r="G458" s="9">
        <f>IF($A458="","",IFERROR(INDEX(建物清冊_匯入!$S$6:$S$1005,MATCH($A458,建物清冊_匯入!$A$6:$A$1005,0)),""))</f>
        <v/>
      </c>
      <c r="H458" s="7" t="n"/>
      <c r="I458" s="15" t="n"/>
      <c r="J458" s="16" t="n"/>
      <c r="K458" s="17">
        <f>IF(J458="","",1-J458)</f>
        <v/>
      </c>
      <c r="L458" s="15" t="n"/>
      <c r="M458" s="7" t="n"/>
      <c r="N458" s="7" t="n"/>
      <c r="O458" s="7" t="n"/>
      <c r="P458" s="11" t="n"/>
      <c r="Q458" s="7" t="n"/>
      <c r="R458" s="7" t="n"/>
      <c r="S458" s="7" t="n"/>
      <c r="T458" s="7" t="n"/>
      <c r="U458" s="12">
        <f>IF(A458="","",IF(H458="","建議填分配模式",""))</f>
        <v/>
      </c>
    </row>
    <row r="459" ht="24" customHeight="1">
      <c r="A459" s="7" t="n"/>
      <c r="B459" s="7" t="n"/>
      <c r="C459" s="7" t="n"/>
      <c r="D459" s="12">
        <f>IF($A459="","",IFERROR(INDEX(土地清冊_匯入!$B$6:$B$1005,MATCH($A459,土地清冊_匯入!$A$6:$A$1005,0)),"查無資料"))</f>
        <v/>
      </c>
      <c r="E459" s="9">
        <f>IF($A459="","",IFERROR(INDEX(土地清冊_匯入!$I$6:$I$1005,MATCH($A459,土地清冊_匯入!$A$6:$A$1005,0)),""))</f>
        <v/>
      </c>
      <c r="F459" s="13">
        <f>IF($A459="","",IFERROR(INDEX(建物清冊_匯入!$N$6:$N$1005,MATCH($A459,建物清冊_匯入!$A$6:$A$1005,0)),""))</f>
        <v/>
      </c>
      <c r="G459" s="9">
        <f>IF($A459="","",IFERROR(INDEX(建物清冊_匯入!$S$6:$S$1005,MATCH($A459,建物清冊_匯入!$A$6:$A$1005,0)),""))</f>
        <v/>
      </c>
      <c r="H459" s="7" t="n"/>
      <c r="I459" s="15" t="n"/>
      <c r="J459" s="16" t="n"/>
      <c r="K459" s="17">
        <f>IF(J459="","",1-J459)</f>
        <v/>
      </c>
      <c r="L459" s="15" t="n"/>
      <c r="M459" s="7" t="n"/>
      <c r="N459" s="7" t="n"/>
      <c r="O459" s="7" t="n"/>
      <c r="P459" s="11" t="n"/>
      <c r="Q459" s="7" t="n"/>
      <c r="R459" s="7" t="n"/>
      <c r="S459" s="7" t="n"/>
      <c r="T459" s="7" t="n"/>
      <c r="U459" s="12">
        <f>IF(A459="","",IF(H459="","建議填分配模式",""))</f>
        <v/>
      </c>
    </row>
    <row r="460" ht="24" customHeight="1">
      <c r="A460" s="7" t="n"/>
      <c r="B460" s="7" t="n"/>
      <c r="C460" s="7" t="n"/>
      <c r="D460" s="12">
        <f>IF($A460="","",IFERROR(INDEX(土地清冊_匯入!$B$6:$B$1005,MATCH($A460,土地清冊_匯入!$A$6:$A$1005,0)),"查無資料"))</f>
        <v/>
      </c>
      <c r="E460" s="9">
        <f>IF($A460="","",IFERROR(INDEX(土地清冊_匯入!$I$6:$I$1005,MATCH($A460,土地清冊_匯入!$A$6:$A$1005,0)),""))</f>
        <v/>
      </c>
      <c r="F460" s="13">
        <f>IF($A460="","",IFERROR(INDEX(建物清冊_匯入!$N$6:$N$1005,MATCH($A460,建物清冊_匯入!$A$6:$A$1005,0)),""))</f>
        <v/>
      </c>
      <c r="G460" s="9">
        <f>IF($A460="","",IFERROR(INDEX(建物清冊_匯入!$S$6:$S$1005,MATCH($A460,建物清冊_匯入!$A$6:$A$1005,0)),""))</f>
        <v/>
      </c>
      <c r="H460" s="7" t="n"/>
      <c r="I460" s="15" t="n"/>
      <c r="J460" s="16" t="n"/>
      <c r="K460" s="17">
        <f>IF(J460="","",1-J460)</f>
        <v/>
      </c>
      <c r="L460" s="15" t="n"/>
      <c r="M460" s="7" t="n"/>
      <c r="N460" s="7" t="n"/>
      <c r="O460" s="7" t="n"/>
      <c r="P460" s="11" t="n"/>
      <c r="Q460" s="7" t="n"/>
      <c r="R460" s="7" t="n"/>
      <c r="S460" s="7" t="n"/>
      <c r="T460" s="7" t="n"/>
      <c r="U460" s="12">
        <f>IF(A460="","",IF(H460="","建議填分配模式",""))</f>
        <v/>
      </c>
    </row>
    <row r="461" ht="24" customHeight="1">
      <c r="A461" s="7" t="n"/>
      <c r="B461" s="7" t="n"/>
      <c r="C461" s="7" t="n"/>
      <c r="D461" s="12">
        <f>IF($A461="","",IFERROR(INDEX(土地清冊_匯入!$B$6:$B$1005,MATCH($A461,土地清冊_匯入!$A$6:$A$1005,0)),"查無資料"))</f>
        <v/>
      </c>
      <c r="E461" s="9">
        <f>IF($A461="","",IFERROR(INDEX(土地清冊_匯入!$I$6:$I$1005,MATCH($A461,土地清冊_匯入!$A$6:$A$1005,0)),""))</f>
        <v/>
      </c>
      <c r="F461" s="13">
        <f>IF($A461="","",IFERROR(INDEX(建物清冊_匯入!$N$6:$N$1005,MATCH($A461,建物清冊_匯入!$A$6:$A$1005,0)),""))</f>
        <v/>
      </c>
      <c r="G461" s="9">
        <f>IF($A461="","",IFERROR(INDEX(建物清冊_匯入!$S$6:$S$1005,MATCH($A461,建物清冊_匯入!$A$6:$A$1005,0)),""))</f>
        <v/>
      </c>
      <c r="H461" s="7" t="n"/>
      <c r="I461" s="15" t="n"/>
      <c r="J461" s="16" t="n"/>
      <c r="K461" s="17">
        <f>IF(J461="","",1-J461)</f>
        <v/>
      </c>
      <c r="L461" s="15" t="n"/>
      <c r="M461" s="7" t="n"/>
      <c r="N461" s="7" t="n"/>
      <c r="O461" s="7" t="n"/>
      <c r="P461" s="11" t="n"/>
      <c r="Q461" s="7" t="n"/>
      <c r="R461" s="7" t="n"/>
      <c r="S461" s="7" t="n"/>
      <c r="T461" s="7" t="n"/>
      <c r="U461" s="12">
        <f>IF(A461="","",IF(H461="","建議填分配模式",""))</f>
        <v/>
      </c>
    </row>
    <row r="462" ht="24" customHeight="1">
      <c r="A462" s="7" t="n"/>
      <c r="B462" s="7" t="n"/>
      <c r="C462" s="7" t="n"/>
      <c r="D462" s="12">
        <f>IF($A462="","",IFERROR(INDEX(土地清冊_匯入!$B$6:$B$1005,MATCH($A462,土地清冊_匯入!$A$6:$A$1005,0)),"查無資料"))</f>
        <v/>
      </c>
      <c r="E462" s="9">
        <f>IF($A462="","",IFERROR(INDEX(土地清冊_匯入!$I$6:$I$1005,MATCH($A462,土地清冊_匯入!$A$6:$A$1005,0)),""))</f>
        <v/>
      </c>
      <c r="F462" s="13">
        <f>IF($A462="","",IFERROR(INDEX(建物清冊_匯入!$N$6:$N$1005,MATCH($A462,建物清冊_匯入!$A$6:$A$1005,0)),""))</f>
        <v/>
      </c>
      <c r="G462" s="9">
        <f>IF($A462="","",IFERROR(INDEX(建物清冊_匯入!$S$6:$S$1005,MATCH($A462,建物清冊_匯入!$A$6:$A$1005,0)),""))</f>
        <v/>
      </c>
      <c r="H462" s="7" t="n"/>
      <c r="I462" s="15" t="n"/>
      <c r="J462" s="16" t="n"/>
      <c r="K462" s="17">
        <f>IF(J462="","",1-J462)</f>
        <v/>
      </c>
      <c r="L462" s="15" t="n"/>
      <c r="M462" s="7" t="n"/>
      <c r="N462" s="7" t="n"/>
      <c r="O462" s="7" t="n"/>
      <c r="P462" s="11" t="n"/>
      <c r="Q462" s="7" t="n"/>
      <c r="R462" s="7" t="n"/>
      <c r="S462" s="7" t="n"/>
      <c r="T462" s="7" t="n"/>
      <c r="U462" s="12">
        <f>IF(A462="","",IF(H462="","建議填分配模式",""))</f>
        <v/>
      </c>
    </row>
    <row r="463" ht="24" customHeight="1">
      <c r="A463" s="7" t="n"/>
      <c r="B463" s="7" t="n"/>
      <c r="C463" s="7" t="n"/>
      <c r="D463" s="12">
        <f>IF($A463="","",IFERROR(INDEX(土地清冊_匯入!$B$6:$B$1005,MATCH($A463,土地清冊_匯入!$A$6:$A$1005,0)),"查無資料"))</f>
        <v/>
      </c>
      <c r="E463" s="9">
        <f>IF($A463="","",IFERROR(INDEX(土地清冊_匯入!$I$6:$I$1005,MATCH($A463,土地清冊_匯入!$A$6:$A$1005,0)),""))</f>
        <v/>
      </c>
      <c r="F463" s="13">
        <f>IF($A463="","",IFERROR(INDEX(建物清冊_匯入!$N$6:$N$1005,MATCH($A463,建物清冊_匯入!$A$6:$A$1005,0)),""))</f>
        <v/>
      </c>
      <c r="G463" s="9">
        <f>IF($A463="","",IFERROR(INDEX(建物清冊_匯入!$S$6:$S$1005,MATCH($A463,建物清冊_匯入!$A$6:$A$1005,0)),""))</f>
        <v/>
      </c>
      <c r="H463" s="7" t="n"/>
      <c r="I463" s="15" t="n"/>
      <c r="J463" s="16" t="n"/>
      <c r="K463" s="17">
        <f>IF(J463="","",1-J463)</f>
        <v/>
      </c>
      <c r="L463" s="15" t="n"/>
      <c r="M463" s="7" t="n"/>
      <c r="N463" s="7" t="n"/>
      <c r="O463" s="7" t="n"/>
      <c r="P463" s="11" t="n"/>
      <c r="Q463" s="7" t="n"/>
      <c r="R463" s="7" t="n"/>
      <c r="S463" s="7" t="n"/>
      <c r="T463" s="7" t="n"/>
      <c r="U463" s="12">
        <f>IF(A463="","",IF(H463="","建議填分配模式",""))</f>
        <v/>
      </c>
    </row>
    <row r="464" ht="24" customHeight="1">
      <c r="A464" s="7" t="n"/>
      <c r="B464" s="7" t="n"/>
      <c r="C464" s="7" t="n"/>
      <c r="D464" s="12">
        <f>IF($A464="","",IFERROR(INDEX(土地清冊_匯入!$B$6:$B$1005,MATCH($A464,土地清冊_匯入!$A$6:$A$1005,0)),"查無資料"))</f>
        <v/>
      </c>
      <c r="E464" s="9">
        <f>IF($A464="","",IFERROR(INDEX(土地清冊_匯入!$I$6:$I$1005,MATCH($A464,土地清冊_匯入!$A$6:$A$1005,0)),""))</f>
        <v/>
      </c>
      <c r="F464" s="13">
        <f>IF($A464="","",IFERROR(INDEX(建物清冊_匯入!$N$6:$N$1005,MATCH($A464,建物清冊_匯入!$A$6:$A$1005,0)),""))</f>
        <v/>
      </c>
      <c r="G464" s="9">
        <f>IF($A464="","",IFERROR(INDEX(建物清冊_匯入!$S$6:$S$1005,MATCH($A464,建物清冊_匯入!$A$6:$A$1005,0)),""))</f>
        <v/>
      </c>
      <c r="H464" s="7" t="n"/>
      <c r="I464" s="15" t="n"/>
      <c r="J464" s="16" t="n"/>
      <c r="K464" s="17">
        <f>IF(J464="","",1-J464)</f>
        <v/>
      </c>
      <c r="L464" s="15" t="n"/>
      <c r="M464" s="7" t="n"/>
      <c r="N464" s="7" t="n"/>
      <c r="O464" s="7" t="n"/>
      <c r="P464" s="11" t="n"/>
      <c r="Q464" s="7" t="n"/>
      <c r="R464" s="7" t="n"/>
      <c r="S464" s="7" t="n"/>
      <c r="T464" s="7" t="n"/>
      <c r="U464" s="12">
        <f>IF(A464="","",IF(H464="","建議填分配模式",""))</f>
        <v/>
      </c>
    </row>
    <row r="465" ht="24" customHeight="1">
      <c r="A465" s="7" t="n"/>
      <c r="B465" s="7" t="n"/>
      <c r="C465" s="7" t="n"/>
      <c r="D465" s="12">
        <f>IF($A465="","",IFERROR(INDEX(土地清冊_匯入!$B$6:$B$1005,MATCH($A465,土地清冊_匯入!$A$6:$A$1005,0)),"查無資料"))</f>
        <v/>
      </c>
      <c r="E465" s="9">
        <f>IF($A465="","",IFERROR(INDEX(土地清冊_匯入!$I$6:$I$1005,MATCH($A465,土地清冊_匯入!$A$6:$A$1005,0)),""))</f>
        <v/>
      </c>
      <c r="F465" s="13">
        <f>IF($A465="","",IFERROR(INDEX(建物清冊_匯入!$N$6:$N$1005,MATCH($A465,建物清冊_匯入!$A$6:$A$1005,0)),""))</f>
        <v/>
      </c>
      <c r="G465" s="9">
        <f>IF($A465="","",IFERROR(INDEX(建物清冊_匯入!$S$6:$S$1005,MATCH($A465,建物清冊_匯入!$A$6:$A$1005,0)),""))</f>
        <v/>
      </c>
      <c r="H465" s="7" t="n"/>
      <c r="I465" s="15" t="n"/>
      <c r="J465" s="16" t="n"/>
      <c r="K465" s="17">
        <f>IF(J465="","",1-J465)</f>
        <v/>
      </c>
      <c r="L465" s="15" t="n"/>
      <c r="M465" s="7" t="n"/>
      <c r="N465" s="7" t="n"/>
      <c r="O465" s="7" t="n"/>
      <c r="P465" s="11" t="n"/>
      <c r="Q465" s="7" t="n"/>
      <c r="R465" s="7" t="n"/>
      <c r="S465" s="7" t="n"/>
      <c r="T465" s="7" t="n"/>
      <c r="U465" s="12">
        <f>IF(A465="","",IF(H465="","建議填分配模式",""))</f>
        <v/>
      </c>
    </row>
    <row r="466" ht="24" customHeight="1">
      <c r="A466" s="7" t="n"/>
      <c r="B466" s="7" t="n"/>
      <c r="C466" s="7" t="n"/>
      <c r="D466" s="12">
        <f>IF($A466="","",IFERROR(INDEX(土地清冊_匯入!$B$6:$B$1005,MATCH($A466,土地清冊_匯入!$A$6:$A$1005,0)),"查無資料"))</f>
        <v/>
      </c>
      <c r="E466" s="9">
        <f>IF($A466="","",IFERROR(INDEX(土地清冊_匯入!$I$6:$I$1005,MATCH($A466,土地清冊_匯入!$A$6:$A$1005,0)),""))</f>
        <v/>
      </c>
      <c r="F466" s="13">
        <f>IF($A466="","",IFERROR(INDEX(建物清冊_匯入!$N$6:$N$1005,MATCH($A466,建物清冊_匯入!$A$6:$A$1005,0)),""))</f>
        <v/>
      </c>
      <c r="G466" s="9">
        <f>IF($A466="","",IFERROR(INDEX(建物清冊_匯入!$S$6:$S$1005,MATCH($A466,建物清冊_匯入!$A$6:$A$1005,0)),""))</f>
        <v/>
      </c>
      <c r="H466" s="7" t="n"/>
      <c r="I466" s="15" t="n"/>
      <c r="J466" s="16" t="n"/>
      <c r="K466" s="17">
        <f>IF(J466="","",1-J466)</f>
        <v/>
      </c>
      <c r="L466" s="15" t="n"/>
      <c r="M466" s="7" t="n"/>
      <c r="N466" s="7" t="n"/>
      <c r="O466" s="7" t="n"/>
      <c r="P466" s="11" t="n"/>
      <c r="Q466" s="7" t="n"/>
      <c r="R466" s="7" t="n"/>
      <c r="S466" s="7" t="n"/>
      <c r="T466" s="7" t="n"/>
      <c r="U466" s="12">
        <f>IF(A466="","",IF(H466="","建議填分配模式",""))</f>
        <v/>
      </c>
    </row>
    <row r="467" ht="24" customHeight="1">
      <c r="A467" s="7" t="n"/>
      <c r="B467" s="7" t="n"/>
      <c r="C467" s="7" t="n"/>
      <c r="D467" s="12">
        <f>IF($A467="","",IFERROR(INDEX(土地清冊_匯入!$B$6:$B$1005,MATCH($A467,土地清冊_匯入!$A$6:$A$1005,0)),"查無資料"))</f>
        <v/>
      </c>
      <c r="E467" s="9">
        <f>IF($A467="","",IFERROR(INDEX(土地清冊_匯入!$I$6:$I$1005,MATCH($A467,土地清冊_匯入!$A$6:$A$1005,0)),""))</f>
        <v/>
      </c>
      <c r="F467" s="13">
        <f>IF($A467="","",IFERROR(INDEX(建物清冊_匯入!$N$6:$N$1005,MATCH($A467,建物清冊_匯入!$A$6:$A$1005,0)),""))</f>
        <v/>
      </c>
      <c r="G467" s="9">
        <f>IF($A467="","",IFERROR(INDEX(建物清冊_匯入!$S$6:$S$1005,MATCH($A467,建物清冊_匯入!$A$6:$A$1005,0)),""))</f>
        <v/>
      </c>
      <c r="H467" s="7" t="n"/>
      <c r="I467" s="15" t="n"/>
      <c r="J467" s="16" t="n"/>
      <c r="K467" s="17">
        <f>IF(J467="","",1-J467)</f>
        <v/>
      </c>
      <c r="L467" s="15" t="n"/>
      <c r="M467" s="7" t="n"/>
      <c r="N467" s="7" t="n"/>
      <c r="O467" s="7" t="n"/>
      <c r="P467" s="11" t="n"/>
      <c r="Q467" s="7" t="n"/>
      <c r="R467" s="7" t="n"/>
      <c r="S467" s="7" t="n"/>
      <c r="T467" s="7" t="n"/>
      <c r="U467" s="12">
        <f>IF(A467="","",IF(H467="","建議填分配模式",""))</f>
        <v/>
      </c>
    </row>
    <row r="468" ht="24" customHeight="1">
      <c r="A468" s="7" t="n"/>
      <c r="B468" s="7" t="n"/>
      <c r="C468" s="7" t="n"/>
      <c r="D468" s="12">
        <f>IF($A468="","",IFERROR(INDEX(土地清冊_匯入!$B$6:$B$1005,MATCH($A468,土地清冊_匯入!$A$6:$A$1005,0)),"查無資料"))</f>
        <v/>
      </c>
      <c r="E468" s="9">
        <f>IF($A468="","",IFERROR(INDEX(土地清冊_匯入!$I$6:$I$1005,MATCH($A468,土地清冊_匯入!$A$6:$A$1005,0)),""))</f>
        <v/>
      </c>
      <c r="F468" s="13">
        <f>IF($A468="","",IFERROR(INDEX(建物清冊_匯入!$N$6:$N$1005,MATCH($A468,建物清冊_匯入!$A$6:$A$1005,0)),""))</f>
        <v/>
      </c>
      <c r="G468" s="9">
        <f>IF($A468="","",IFERROR(INDEX(建物清冊_匯入!$S$6:$S$1005,MATCH($A468,建物清冊_匯入!$A$6:$A$1005,0)),""))</f>
        <v/>
      </c>
      <c r="H468" s="7" t="n"/>
      <c r="I468" s="15" t="n"/>
      <c r="J468" s="16" t="n"/>
      <c r="K468" s="17">
        <f>IF(J468="","",1-J468)</f>
        <v/>
      </c>
      <c r="L468" s="15" t="n"/>
      <c r="M468" s="7" t="n"/>
      <c r="N468" s="7" t="n"/>
      <c r="O468" s="7" t="n"/>
      <c r="P468" s="11" t="n"/>
      <c r="Q468" s="7" t="n"/>
      <c r="R468" s="7" t="n"/>
      <c r="S468" s="7" t="n"/>
      <c r="T468" s="7" t="n"/>
      <c r="U468" s="12">
        <f>IF(A468="","",IF(H468="","建議填分配模式",""))</f>
        <v/>
      </c>
    </row>
    <row r="469" ht="24" customHeight="1">
      <c r="A469" s="7" t="n"/>
      <c r="B469" s="7" t="n"/>
      <c r="C469" s="7" t="n"/>
      <c r="D469" s="12">
        <f>IF($A469="","",IFERROR(INDEX(土地清冊_匯入!$B$6:$B$1005,MATCH($A469,土地清冊_匯入!$A$6:$A$1005,0)),"查無資料"))</f>
        <v/>
      </c>
      <c r="E469" s="9">
        <f>IF($A469="","",IFERROR(INDEX(土地清冊_匯入!$I$6:$I$1005,MATCH($A469,土地清冊_匯入!$A$6:$A$1005,0)),""))</f>
        <v/>
      </c>
      <c r="F469" s="13">
        <f>IF($A469="","",IFERROR(INDEX(建物清冊_匯入!$N$6:$N$1005,MATCH($A469,建物清冊_匯入!$A$6:$A$1005,0)),""))</f>
        <v/>
      </c>
      <c r="G469" s="9">
        <f>IF($A469="","",IFERROR(INDEX(建物清冊_匯入!$S$6:$S$1005,MATCH($A469,建物清冊_匯入!$A$6:$A$1005,0)),""))</f>
        <v/>
      </c>
      <c r="H469" s="7" t="n"/>
      <c r="I469" s="15" t="n"/>
      <c r="J469" s="16" t="n"/>
      <c r="K469" s="17">
        <f>IF(J469="","",1-J469)</f>
        <v/>
      </c>
      <c r="L469" s="15" t="n"/>
      <c r="M469" s="7" t="n"/>
      <c r="N469" s="7" t="n"/>
      <c r="O469" s="7" t="n"/>
      <c r="P469" s="11" t="n"/>
      <c r="Q469" s="7" t="n"/>
      <c r="R469" s="7" t="n"/>
      <c r="S469" s="7" t="n"/>
      <c r="T469" s="7" t="n"/>
      <c r="U469" s="12">
        <f>IF(A469="","",IF(H469="","建議填分配模式",""))</f>
        <v/>
      </c>
    </row>
    <row r="470" ht="24" customHeight="1">
      <c r="A470" s="7" t="n"/>
      <c r="B470" s="7" t="n"/>
      <c r="C470" s="7" t="n"/>
      <c r="D470" s="12">
        <f>IF($A470="","",IFERROR(INDEX(土地清冊_匯入!$B$6:$B$1005,MATCH($A470,土地清冊_匯入!$A$6:$A$1005,0)),"查無資料"))</f>
        <v/>
      </c>
      <c r="E470" s="9">
        <f>IF($A470="","",IFERROR(INDEX(土地清冊_匯入!$I$6:$I$1005,MATCH($A470,土地清冊_匯入!$A$6:$A$1005,0)),""))</f>
        <v/>
      </c>
      <c r="F470" s="13">
        <f>IF($A470="","",IFERROR(INDEX(建物清冊_匯入!$N$6:$N$1005,MATCH($A470,建物清冊_匯入!$A$6:$A$1005,0)),""))</f>
        <v/>
      </c>
      <c r="G470" s="9">
        <f>IF($A470="","",IFERROR(INDEX(建物清冊_匯入!$S$6:$S$1005,MATCH($A470,建物清冊_匯入!$A$6:$A$1005,0)),""))</f>
        <v/>
      </c>
      <c r="H470" s="7" t="n"/>
      <c r="I470" s="15" t="n"/>
      <c r="J470" s="16" t="n"/>
      <c r="K470" s="17">
        <f>IF(J470="","",1-J470)</f>
        <v/>
      </c>
      <c r="L470" s="15" t="n"/>
      <c r="M470" s="7" t="n"/>
      <c r="N470" s="7" t="n"/>
      <c r="O470" s="7" t="n"/>
      <c r="P470" s="11" t="n"/>
      <c r="Q470" s="7" t="n"/>
      <c r="R470" s="7" t="n"/>
      <c r="S470" s="7" t="n"/>
      <c r="T470" s="7" t="n"/>
      <c r="U470" s="12">
        <f>IF(A470="","",IF(H470="","建議填分配模式",""))</f>
        <v/>
      </c>
    </row>
    <row r="471" ht="24" customHeight="1">
      <c r="A471" s="7" t="n"/>
      <c r="B471" s="7" t="n"/>
      <c r="C471" s="7" t="n"/>
      <c r="D471" s="12">
        <f>IF($A471="","",IFERROR(INDEX(土地清冊_匯入!$B$6:$B$1005,MATCH($A471,土地清冊_匯入!$A$6:$A$1005,0)),"查無資料"))</f>
        <v/>
      </c>
      <c r="E471" s="9">
        <f>IF($A471="","",IFERROR(INDEX(土地清冊_匯入!$I$6:$I$1005,MATCH($A471,土地清冊_匯入!$A$6:$A$1005,0)),""))</f>
        <v/>
      </c>
      <c r="F471" s="13">
        <f>IF($A471="","",IFERROR(INDEX(建物清冊_匯入!$N$6:$N$1005,MATCH($A471,建物清冊_匯入!$A$6:$A$1005,0)),""))</f>
        <v/>
      </c>
      <c r="G471" s="9">
        <f>IF($A471="","",IFERROR(INDEX(建物清冊_匯入!$S$6:$S$1005,MATCH($A471,建物清冊_匯入!$A$6:$A$1005,0)),""))</f>
        <v/>
      </c>
      <c r="H471" s="7" t="n"/>
      <c r="I471" s="15" t="n"/>
      <c r="J471" s="16" t="n"/>
      <c r="K471" s="17">
        <f>IF(J471="","",1-J471)</f>
        <v/>
      </c>
      <c r="L471" s="15" t="n"/>
      <c r="M471" s="7" t="n"/>
      <c r="N471" s="7" t="n"/>
      <c r="O471" s="7" t="n"/>
      <c r="P471" s="11" t="n"/>
      <c r="Q471" s="7" t="n"/>
      <c r="R471" s="7" t="n"/>
      <c r="S471" s="7" t="n"/>
      <c r="T471" s="7" t="n"/>
      <c r="U471" s="12">
        <f>IF(A471="","",IF(H471="","建議填分配模式",""))</f>
        <v/>
      </c>
    </row>
    <row r="472" ht="24" customHeight="1">
      <c r="A472" s="7" t="n"/>
      <c r="B472" s="7" t="n"/>
      <c r="C472" s="7" t="n"/>
      <c r="D472" s="12">
        <f>IF($A472="","",IFERROR(INDEX(土地清冊_匯入!$B$6:$B$1005,MATCH($A472,土地清冊_匯入!$A$6:$A$1005,0)),"查無資料"))</f>
        <v/>
      </c>
      <c r="E472" s="9">
        <f>IF($A472="","",IFERROR(INDEX(土地清冊_匯入!$I$6:$I$1005,MATCH($A472,土地清冊_匯入!$A$6:$A$1005,0)),""))</f>
        <v/>
      </c>
      <c r="F472" s="13">
        <f>IF($A472="","",IFERROR(INDEX(建物清冊_匯入!$N$6:$N$1005,MATCH($A472,建物清冊_匯入!$A$6:$A$1005,0)),""))</f>
        <v/>
      </c>
      <c r="G472" s="9">
        <f>IF($A472="","",IFERROR(INDEX(建物清冊_匯入!$S$6:$S$1005,MATCH($A472,建物清冊_匯入!$A$6:$A$1005,0)),""))</f>
        <v/>
      </c>
      <c r="H472" s="7" t="n"/>
      <c r="I472" s="15" t="n"/>
      <c r="J472" s="16" t="n"/>
      <c r="K472" s="17">
        <f>IF(J472="","",1-J472)</f>
        <v/>
      </c>
      <c r="L472" s="15" t="n"/>
      <c r="M472" s="7" t="n"/>
      <c r="N472" s="7" t="n"/>
      <c r="O472" s="7" t="n"/>
      <c r="P472" s="11" t="n"/>
      <c r="Q472" s="7" t="n"/>
      <c r="R472" s="7" t="n"/>
      <c r="S472" s="7" t="n"/>
      <c r="T472" s="7" t="n"/>
      <c r="U472" s="12">
        <f>IF(A472="","",IF(H472="","建議填分配模式",""))</f>
        <v/>
      </c>
    </row>
    <row r="473" ht="24" customHeight="1">
      <c r="A473" s="7" t="n"/>
      <c r="B473" s="7" t="n"/>
      <c r="C473" s="7" t="n"/>
      <c r="D473" s="12">
        <f>IF($A473="","",IFERROR(INDEX(土地清冊_匯入!$B$6:$B$1005,MATCH($A473,土地清冊_匯入!$A$6:$A$1005,0)),"查無資料"))</f>
        <v/>
      </c>
      <c r="E473" s="9">
        <f>IF($A473="","",IFERROR(INDEX(土地清冊_匯入!$I$6:$I$1005,MATCH($A473,土地清冊_匯入!$A$6:$A$1005,0)),""))</f>
        <v/>
      </c>
      <c r="F473" s="13">
        <f>IF($A473="","",IFERROR(INDEX(建物清冊_匯入!$N$6:$N$1005,MATCH($A473,建物清冊_匯入!$A$6:$A$1005,0)),""))</f>
        <v/>
      </c>
      <c r="G473" s="9">
        <f>IF($A473="","",IFERROR(INDEX(建物清冊_匯入!$S$6:$S$1005,MATCH($A473,建物清冊_匯入!$A$6:$A$1005,0)),""))</f>
        <v/>
      </c>
      <c r="H473" s="7" t="n"/>
      <c r="I473" s="15" t="n"/>
      <c r="J473" s="16" t="n"/>
      <c r="K473" s="17">
        <f>IF(J473="","",1-J473)</f>
        <v/>
      </c>
      <c r="L473" s="15" t="n"/>
      <c r="M473" s="7" t="n"/>
      <c r="N473" s="7" t="n"/>
      <c r="O473" s="7" t="n"/>
      <c r="P473" s="11" t="n"/>
      <c r="Q473" s="7" t="n"/>
      <c r="R473" s="7" t="n"/>
      <c r="S473" s="7" t="n"/>
      <c r="T473" s="7" t="n"/>
      <c r="U473" s="12">
        <f>IF(A473="","",IF(H473="","建議填分配模式",""))</f>
        <v/>
      </c>
    </row>
    <row r="474" ht="24" customHeight="1">
      <c r="A474" s="7" t="n"/>
      <c r="B474" s="7" t="n"/>
      <c r="C474" s="7" t="n"/>
      <c r="D474" s="12">
        <f>IF($A474="","",IFERROR(INDEX(土地清冊_匯入!$B$6:$B$1005,MATCH($A474,土地清冊_匯入!$A$6:$A$1005,0)),"查無資料"))</f>
        <v/>
      </c>
      <c r="E474" s="9">
        <f>IF($A474="","",IFERROR(INDEX(土地清冊_匯入!$I$6:$I$1005,MATCH($A474,土地清冊_匯入!$A$6:$A$1005,0)),""))</f>
        <v/>
      </c>
      <c r="F474" s="13">
        <f>IF($A474="","",IFERROR(INDEX(建物清冊_匯入!$N$6:$N$1005,MATCH($A474,建物清冊_匯入!$A$6:$A$1005,0)),""))</f>
        <v/>
      </c>
      <c r="G474" s="9">
        <f>IF($A474="","",IFERROR(INDEX(建物清冊_匯入!$S$6:$S$1005,MATCH($A474,建物清冊_匯入!$A$6:$A$1005,0)),""))</f>
        <v/>
      </c>
      <c r="H474" s="7" t="n"/>
      <c r="I474" s="15" t="n"/>
      <c r="J474" s="16" t="n"/>
      <c r="K474" s="17">
        <f>IF(J474="","",1-J474)</f>
        <v/>
      </c>
      <c r="L474" s="15" t="n"/>
      <c r="M474" s="7" t="n"/>
      <c r="N474" s="7" t="n"/>
      <c r="O474" s="7" t="n"/>
      <c r="P474" s="11" t="n"/>
      <c r="Q474" s="7" t="n"/>
      <c r="R474" s="7" t="n"/>
      <c r="S474" s="7" t="n"/>
      <c r="T474" s="7" t="n"/>
      <c r="U474" s="12">
        <f>IF(A474="","",IF(H474="","建議填分配模式",""))</f>
        <v/>
      </c>
    </row>
    <row r="475" ht="24" customHeight="1">
      <c r="A475" s="7" t="n"/>
      <c r="B475" s="7" t="n"/>
      <c r="C475" s="7" t="n"/>
      <c r="D475" s="12">
        <f>IF($A475="","",IFERROR(INDEX(土地清冊_匯入!$B$6:$B$1005,MATCH($A475,土地清冊_匯入!$A$6:$A$1005,0)),"查無資料"))</f>
        <v/>
      </c>
      <c r="E475" s="9">
        <f>IF($A475="","",IFERROR(INDEX(土地清冊_匯入!$I$6:$I$1005,MATCH($A475,土地清冊_匯入!$A$6:$A$1005,0)),""))</f>
        <v/>
      </c>
      <c r="F475" s="13">
        <f>IF($A475="","",IFERROR(INDEX(建物清冊_匯入!$N$6:$N$1005,MATCH($A475,建物清冊_匯入!$A$6:$A$1005,0)),""))</f>
        <v/>
      </c>
      <c r="G475" s="9">
        <f>IF($A475="","",IFERROR(INDEX(建物清冊_匯入!$S$6:$S$1005,MATCH($A475,建物清冊_匯入!$A$6:$A$1005,0)),""))</f>
        <v/>
      </c>
      <c r="H475" s="7" t="n"/>
      <c r="I475" s="15" t="n"/>
      <c r="J475" s="16" t="n"/>
      <c r="K475" s="17">
        <f>IF(J475="","",1-J475)</f>
        <v/>
      </c>
      <c r="L475" s="15" t="n"/>
      <c r="M475" s="7" t="n"/>
      <c r="N475" s="7" t="n"/>
      <c r="O475" s="7" t="n"/>
      <c r="P475" s="11" t="n"/>
      <c r="Q475" s="7" t="n"/>
      <c r="R475" s="7" t="n"/>
      <c r="S475" s="7" t="n"/>
      <c r="T475" s="7" t="n"/>
      <c r="U475" s="12">
        <f>IF(A475="","",IF(H475="","建議填分配模式",""))</f>
        <v/>
      </c>
    </row>
    <row r="476" ht="24" customHeight="1">
      <c r="A476" s="7" t="n"/>
      <c r="B476" s="7" t="n"/>
      <c r="C476" s="7" t="n"/>
      <c r="D476" s="12">
        <f>IF($A476="","",IFERROR(INDEX(土地清冊_匯入!$B$6:$B$1005,MATCH($A476,土地清冊_匯入!$A$6:$A$1005,0)),"查無資料"))</f>
        <v/>
      </c>
      <c r="E476" s="9">
        <f>IF($A476="","",IFERROR(INDEX(土地清冊_匯入!$I$6:$I$1005,MATCH($A476,土地清冊_匯入!$A$6:$A$1005,0)),""))</f>
        <v/>
      </c>
      <c r="F476" s="13">
        <f>IF($A476="","",IFERROR(INDEX(建物清冊_匯入!$N$6:$N$1005,MATCH($A476,建物清冊_匯入!$A$6:$A$1005,0)),""))</f>
        <v/>
      </c>
      <c r="G476" s="9">
        <f>IF($A476="","",IFERROR(INDEX(建物清冊_匯入!$S$6:$S$1005,MATCH($A476,建物清冊_匯入!$A$6:$A$1005,0)),""))</f>
        <v/>
      </c>
      <c r="H476" s="7" t="n"/>
      <c r="I476" s="15" t="n"/>
      <c r="J476" s="16" t="n"/>
      <c r="K476" s="17">
        <f>IF(J476="","",1-J476)</f>
        <v/>
      </c>
      <c r="L476" s="15" t="n"/>
      <c r="M476" s="7" t="n"/>
      <c r="N476" s="7" t="n"/>
      <c r="O476" s="7" t="n"/>
      <c r="P476" s="11" t="n"/>
      <c r="Q476" s="7" t="n"/>
      <c r="R476" s="7" t="n"/>
      <c r="S476" s="7" t="n"/>
      <c r="T476" s="7" t="n"/>
      <c r="U476" s="12">
        <f>IF(A476="","",IF(H476="","建議填分配模式",""))</f>
        <v/>
      </c>
    </row>
    <row r="477" ht="24" customHeight="1">
      <c r="A477" s="7" t="n"/>
      <c r="B477" s="7" t="n"/>
      <c r="C477" s="7" t="n"/>
      <c r="D477" s="12">
        <f>IF($A477="","",IFERROR(INDEX(土地清冊_匯入!$B$6:$B$1005,MATCH($A477,土地清冊_匯入!$A$6:$A$1005,0)),"查無資料"))</f>
        <v/>
      </c>
      <c r="E477" s="9">
        <f>IF($A477="","",IFERROR(INDEX(土地清冊_匯入!$I$6:$I$1005,MATCH($A477,土地清冊_匯入!$A$6:$A$1005,0)),""))</f>
        <v/>
      </c>
      <c r="F477" s="13">
        <f>IF($A477="","",IFERROR(INDEX(建物清冊_匯入!$N$6:$N$1005,MATCH($A477,建物清冊_匯入!$A$6:$A$1005,0)),""))</f>
        <v/>
      </c>
      <c r="G477" s="9">
        <f>IF($A477="","",IFERROR(INDEX(建物清冊_匯入!$S$6:$S$1005,MATCH($A477,建物清冊_匯入!$A$6:$A$1005,0)),""))</f>
        <v/>
      </c>
      <c r="H477" s="7" t="n"/>
      <c r="I477" s="15" t="n"/>
      <c r="J477" s="16" t="n"/>
      <c r="K477" s="17">
        <f>IF(J477="","",1-J477)</f>
        <v/>
      </c>
      <c r="L477" s="15" t="n"/>
      <c r="M477" s="7" t="n"/>
      <c r="N477" s="7" t="n"/>
      <c r="O477" s="7" t="n"/>
      <c r="P477" s="11" t="n"/>
      <c r="Q477" s="7" t="n"/>
      <c r="R477" s="7" t="n"/>
      <c r="S477" s="7" t="n"/>
      <c r="T477" s="7" t="n"/>
      <c r="U477" s="12">
        <f>IF(A477="","",IF(H477="","建議填分配模式",""))</f>
        <v/>
      </c>
    </row>
    <row r="478" ht="24" customHeight="1">
      <c r="A478" s="7" t="n"/>
      <c r="B478" s="7" t="n"/>
      <c r="C478" s="7" t="n"/>
      <c r="D478" s="12">
        <f>IF($A478="","",IFERROR(INDEX(土地清冊_匯入!$B$6:$B$1005,MATCH($A478,土地清冊_匯入!$A$6:$A$1005,0)),"查無資料"))</f>
        <v/>
      </c>
      <c r="E478" s="9">
        <f>IF($A478="","",IFERROR(INDEX(土地清冊_匯入!$I$6:$I$1005,MATCH($A478,土地清冊_匯入!$A$6:$A$1005,0)),""))</f>
        <v/>
      </c>
      <c r="F478" s="13">
        <f>IF($A478="","",IFERROR(INDEX(建物清冊_匯入!$N$6:$N$1005,MATCH($A478,建物清冊_匯入!$A$6:$A$1005,0)),""))</f>
        <v/>
      </c>
      <c r="G478" s="9">
        <f>IF($A478="","",IFERROR(INDEX(建物清冊_匯入!$S$6:$S$1005,MATCH($A478,建物清冊_匯入!$A$6:$A$1005,0)),""))</f>
        <v/>
      </c>
      <c r="H478" s="7" t="n"/>
      <c r="I478" s="15" t="n"/>
      <c r="J478" s="16" t="n"/>
      <c r="K478" s="17">
        <f>IF(J478="","",1-J478)</f>
        <v/>
      </c>
      <c r="L478" s="15" t="n"/>
      <c r="M478" s="7" t="n"/>
      <c r="N478" s="7" t="n"/>
      <c r="O478" s="7" t="n"/>
      <c r="P478" s="11" t="n"/>
      <c r="Q478" s="7" t="n"/>
      <c r="R478" s="7" t="n"/>
      <c r="S478" s="7" t="n"/>
      <c r="T478" s="7" t="n"/>
      <c r="U478" s="12">
        <f>IF(A478="","",IF(H478="","建議填分配模式",""))</f>
        <v/>
      </c>
    </row>
    <row r="479" ht="24" customHeight="1">
      <c r="A479" s="7" t="n"/>
      <c r="B479" s="7" t="n"/>
      <c r="C479" s="7" t="n"/>
      <c r="D479" s="12">
        <f>IF($A479="","",IFERROR(INDEX(土地清冊_匯入!$B$6:$B$1005,MATCH($A479,土地清冊_匯入!$A$6:$A$1005,0)),"查無資料"))</f>
        <v/>
      </c>
      <c r="E479" s="9">
        <f>IF($A479="","",IFERROR(INDEX(土地清冊_匯入!$I$6:$I$1005,MATCH($A479,土地清冊_匯入!$A$6:$A$1005,0)),""))</f>
        <v/>
      </c>
      <c r="F479" s="13">
        <f>IF($A479="","",IFERROR(INDEX(建物清冊_匯入!$N$6:$N$1005,MATCH($A479,建物清冊_匯入!$A$6:$A$1005,0)),""))</f>
        <v/>
      </c>
      <c r="G479" s="9">
        <f>IF($A479="","",IFERROR(INDEX(建物清冊_匯入!$S$6:$S$1005,MATCH($A479,建物清冊_匯入!$A$6:$A$1005,0)),""))</f>
        <v/>
      </c>
      <c r="H479" s="7" t="n"/>
      <c r="I479" s="15" t="n"/>
      <c r="J479" s="16" t="n"/>
      <c r="K479" s="17">
        <f>IF(J479="","",1-J479)</f>
        <v/>
      </c>
      <c r="L479" s="15" t="n"/>
      <c r="M479" s="7" t="n"/>
      <c r="N479" s="7" t="n"/>
      <c r="O479" s="7" t="n"/>
      <c r="P479" s="11" t="n"/>
      <c r="Q479" s="7" t="n"/>
      <c r="R479" s="7" t="n"/>
      <c r="S479" s="7" t="n"/>
      <c r="T479" s="7" t="n"/>
      <c r="U479" s="12">
        <f>IF(A479="","",IF(H479="","建議填分配模式",""))</f>
        <v/>
      </c>
    </row>
    <row r="480" ht="24" customHeight="1">
      <c r="A480" s="7" t="n"/>
      <c r="B480" s="7" t="n"/>
      <c r="C480" s="7" t="n"/>
      <c r="D480" s="12">
        <f>IF($A480="","",IFERROR(INDEX(土地清冊_匯入!$B$6:$B$1005,MATCH($A480,土地清冊_匯入!$A$6:$A$1005,0)),"查無資料"))</f>
        <v/>
      </c>
      <c r="E480" s="9">
        <f>IF($A480="","",IFERROR(INDEX(土地清冊_匯入!$I$6:$I$1005,MATCH($A480,土地清冊_匯入!$A$6:$A$1005,0)),""))</f>
        <v/>
      </c>
      <c r="F480" s="13">
        <f>IF($A480="","",IFERROR(INDEX(建物清冊_匯入!$N$6:$N$1005,MATCH($A480,建物清冊_匯入!$A$6:$A$1005,0)),""))</f>
        <v/>
      </c>
      <c r="G480" s="9">
        <f>IF($A480="","",IFERROR(INDEX(建物清冊_匯入!$S$6:$S$1005,MATCH($A480,建物清冊_匯入!$A$6:$A$1005,0)),""))</f>
        <v/>
      </c>
      <c r="H480" s="7" t="n"/>
      <c r="I480" s="15" t="n"/>
      <c r="J480" s="16" t="n"/>
      <c r="K480" s="17">
        <f>IF(J480="","",1-J480)</f>
        <v/>
      </c>
      <c r="L480" s="15" t="n"/>
      <c r="M480" s="7" t="n"/>
      <c r="N480" s="7" t="n"/>
      <c r="O480" s="7" t="n"/>
      <c r="P480" s="11" t="n"/>
      <c r="Q480" s="7" t="n"/>
      <c r="R480" s="7" t="n"/>
      <c r="S480" s="7" t="n"/>
      <c r="T480" s="7" t="n"/>
      <c r="U480" s="12">
        <f>IF(A480="","",IF(H480="","建議填分配模式",""))</f>
        <v/>
      </c>
    </row>
    <row r="481" ht="24" customHeight="1">
      <c r="A481" s="7" t="n"/>
      <c r="B481" s="7" t="n"/>
      <c r="C481" s="7" t="n"/>
      <c r="D481" s="12">
        <f>IF($A481="","",IFERROR(INDEX(土地清冊_匯入!$B$6:$B$1005,MATCH($A481,土地清冊_匯入!$A$6:$A$1005,0)),"查無資料"))</f>
        <v/>
      </c>
      <c r="E481" s="9">
        <f>IF($A481="","",IFERROR(INDEX(土地清冊_匯入!$I$6:$I$1005,MATCH($A481,土地清冊_匯入!$A$6:$A$1005,0)),""))</f>
        <v/>
      </c>
      <c r="F481" s="13">
        <f>IF($A481="","",IFERROR(INDEX(建物清冊_匯入!$N$6:$N$1005,MATCH($A481,建物清冊_匯入!$A$6:$A$1005,0)),""))</f>
        <v/>
      </c>
      <c r="G481" s="9">
        <f>IF($A481="","",IFERROR(INDEX(建物清冊_匯入!$S$6:$S$1005,MATCH($A481,建物清冊_匯入!$A$6:$A$1005,0)),""))</f>
        <v/>
      </c>
      <c r="H481" s="7" t="n"/>
      <c r="I481" s="15" t="n"/>
      <c r="J481" s="16" t="n"/>
      <c r="K481" s="17">
        <f>IF(J481="","",1-J481)</f>
        <v/>
      </c>
      <c r="L481" s="15" t="n"/>
      <c r="M481" s="7" t="n"/>
      <c r="N481" s="7" t="n"/>
      <c r="O481" s="7" t="n"/>
      <c r="P481" s="11" t="n"/>
      <c r="Q481" s="7" t="n"/>
      <c r="R481" s="7" t="n"/>
      <c r="S481" s="7" t="n"/>
      <c r="T481" s="7" t="n"/>
      <c r="U481" s="12">
        <f>IF(A481="","",IF(H481="","建議填分配模式",""))</f>
        <v/>
      </c>
    </row>
    <row r="482" ht="24" customHeight="1">
      <c r="A482" s="7" t="n"/>
      <c r="B482" s="7" t="n"/>
      <c r="C482" s="7" t="n"/>
      <c r="D482" s="12">
        <f>IF($A482="","",IFERROR(INDEX(土地清冊_匯入!$B$6:$B$1005,MATCH($A482,土地清冊_匯入!$A$6:$A$1005,0)),"查無資料"))</f>
        <v/>
      </c>
      <c r="E482" s="9">
        <f>IF($A482="","",IFERROR(INDEX(土地清冊_匯入!$I$6:$I$1005,MATCH($A482,土地清冊_匯入!$A$6:$A$1005,0)),""))</f>
        <v/>
      </c>
      <c r="F482" s="13">
        <f>IF($A482="","",IFERROR(INDEX(建物清冊_匯入!$N$6:$N$1005,MATCH($A482,建物清冊_匯入!$A$6:$A$1005,0)),""))</f>
        <v/>
      </c>
      <c r="G482" s="9">
        <f>IF($A482="","",IFERROR(INDEX(建物清冊_匯入!$S$6:$S$1005,MATCH($A482,建物清冊_匯入!$A$6:$A$1005,0)),""))</f>
        <v/>
      </c>
      <c r="H482" s="7" t="n"/>
      <c r="I482" s="15" t="n"/>
      <c r="J482" s="16" t="n"/>
      <c r="K482" s="17">
        <f>IF(J482="","",1-J482)</f>
        <v/>
      </c>
      <c r="L482" s="15" t="n"/>
      <c r="M482" s="7" t="n"/>
      <c r="N482" s="7" t="n"/>
      <c r="O482" s="7" t="n"/>
      <c r="P482" s="11" t="n"/>
      <c r="Q482" s="7" t="n"/>
      <c r="R482" s="7" t="n"/>
      <c r="S482" s="7" t="n"/>
      <c r="T482" s="7" t="n"/>
      <c r="U482" s="12">
        <f>IF(A482="","",IF(H482="","建議填分配模式",""))</f>
        <v/>
      </c>
    </row>
    <row r="483" ht="24" customHeight="1">
      <c r="A483" s="7" t="n"/>
      <c r="B483" s="7" t="n"/>
      <c r="C483" s="7" t="n"/>
      <c r="D483" s="12">
        <f>IF($A483="","",IFERROR(INDEX(土地清冊_匯入!$B$6:$B$1005,MATCH($A483,土地清冊_匯入!$A$6:$A$1005,0)),"查無資料"))</f>
        <v/>
      </c>
      <c r="E483" s="9">
        <f>IF($A483="","",IFERROR(INDEX(土地清冊_匯入!$I$6:$I$1005,MATCH($A483,土地清冊_匯入!$A$6:$A$1005,0)),""))</f>
        <v/>
      </c>
      <c r="F483" s="13">
        <f>IF($A483="","",IFERROR(INDEX(建物清冊_匯入!$N$6:$N$1005,MATCH($A483,建物清冊_匯入!$A$6:$A$1005,0)),""))</f>
        <v/>
      </c>
      <c r="G483" s="9">
        <f>IF($A483="","",IFERROR(INDEX(建物清冊_匯入!$S$6:$S$1005,MATCH($A483,建物清冊_匯入!$A$6:$A$1005,0)),""))</f>
        <v/>
      </c>
      <c r="H483" s="7" t="n"/>
      <c r="I483" s="15" t="n"/>
      <c r="J483" s="16" t="n"/>
      <c r="K483" s="17">
        <f>IF(J483="","",1-J483)</f>
        <v/>
      </c>
      <c r="L483" s="15" t="n"/>
      <c r="M483" s="7" t="n"/>
      <c r="N483" s="7" t="n"/>
      <c r="O483" s="7" t="n"/>
      <c r="P483" s="11" t="n"/>
      <c r="Q483" s="7" t="n"/>
      <c r="R483" s="7" t="n"/>
      <c r="S483" s="7" t="n"/>
      <c r="T483" s="7" t="n"/>
      <c r="U483" s="12">
        <f>IF(A483="","",IF(H483="","建議填分配模式",""))</f>
        <v/>
      </c>
    </row>
    <row r="484" ht="24" customHeight="1">
      <c r="A484" s="7" t="n"/>
      <c r="B484" s="7" t="n"/>
      <c r="C484" s="7" t="n"/>
      <c r="D484" s="12">
        <f>IF($A484="","",IFERROR(INDEX(土地清冊_匯入!$B$6:$B$1005,MATCH($A484,土地清冊_匯入!$A$6:$A$1005,0)),"查無資料"))</f>
        <v/>
      </c>
      <c r="E484" s="9">
        <f>IF($A484="","",IFERROR(INDEX(土地清冊_匯入!$I$6:$I$1005,MATCH($A484,土地清冊_匯入!$A$6:$A$1005,0)),""))</f>
        <v/>
      </c>
      <c r="F484" s="13">
        <f>IF($A484="","",IFERROR(INDEX(建物清冊_匯入!$N$6:$N$1005,MATCH($A484,建物清冊_匯入!$A$6:$A$1005,0)),""))</f>
        <v/>
      </c>
      <c r="G484" s="9">
        <f>IF($A484="","",IFERROR(INDEX(建物清冊_匯入!$S$6:$S$1005,MATCH($A484,建物清冊_匯入!$A$6:$A$1005,0)),""))</f>
        <v/>
      </c>
      <c r="H484" s="7" t="n"/>
      <c r="I484" s="15" t="n"/>
      <c r="J484" s="16" t="n"/>
      <c r="K484" s="17">
        <f>IF(J484="","",1-J484)</f>
        <v/>
      </c>
      <c r="L484" s="15" t="n"/>
      <c r="M484" s="7" t="n"/>
      <c r="N484" s="7" t="n"/>
      <c r="O484" s="7" t="n"/>
      <c r="P484" s="11" t="n"/>
      <c r="Q484" s="7" t="n"/>
      <c r="R484" s="7" t="n"/>
      <c r="S484" s="7" t="n"/>
      <c r="T484" s="7" t="n"/>
      <c r="U484" s="12">
        <f>IF(A484="","",IF(H484="","建議填分配模式",""))</f>
        <v/>
      </c>
    </row>
    <row r="485" ht="24" customHeight="1">
      <c r="A485" s="7" t="n"/>
      <c r="B485" s="7" t="n"/>
      <c r="C485" s="7" t="n"/>
      <c r="D485" s="12">
        <f>IF($A485="","",IFERROR(INDEX(土地清冊_匯入!$B$6:$B$1005,MATCH($A485,土地清冊_匯入!$A$6:$A$1005,0)),"查無資料"))</f>
        <v/>
      </c>
      <c r="E485" s="9">
        <f>IF($A485="","",IFERROR(INDEX(土地清冊_匯入!$I$6:$I$1005,MATCH($A485,土地清冊_匯入!$A$6:$A$1005,0)),""))</f>
        <v/>
      </c>
      <c r="F485" s="13">
        <f>IF($A485="","",IFERROR(INDEX(建物清冊_匯入!$N$6:$N$1005,MATCH($A485,建物清冊_匯入!$A$6:$A$1005,0)),""))</f>
        <v/>
      </c>
      <c r="G485" s="9">
        <f>IF($A485="","",IFERROR(INDEX(建物清冊_匯入!$S$6:$S$1005,MATCH($A485,建物清冊_匯入!$A$6:$A$1005,0)),""))</f>
        <v/>
      </c>
      <c r="H485" s="7" t="n"/>
      <c r="I485" s="15" t="n"/>
      <c r="J485" s="16" t="n"/>
      <c r="K485" s="17">
        <f>IF(J485="","",1-J485)</f>
        <v/>
      </c>
      <c r="L485" s="15" t="n"/>
      <c r="M485" s="7" t="n"/>
      <c r="N485" s="7" t="n"/>
      <c r="O485" s="7" t="n"/>
      <c r="P485" s="11" t="n"/>
      <c r="Q485" s="7" t="n"/>
      <c r="R485" s="7" t="n"/>
      <c r="S485" s="7" t="n"/>
      <c r="T485" s="7" t="n"/>
      <c r="U485" s="12">
        <f>IF(A485="","",IF(H485="","建議填分配模式",""))</f>
        <v/>
      </c>
    </row>
    <row r="486" ht="24" customHeight="1">
      <c r="A486" s="7" t="n"/>
      <c r="B486" s="7" t="n"/>
      <c r="C486" s="7" t="n"/>
      <c r="D486" s="12">
        <f>IF($A486="","",IFERROR(INDEX(土地清冊_匯入!$B$6:$B$1005,MATCH($A486,土地清冊_匯入!$A$6:$A$1005,0)),"查無資料"))</f>
        <v/>
      </c>
      <c r="E486" s="9">
        <f>IF($A486="","",IFERROR(INDEX(土地清冊_匯入!$I$6:$I$1005,MATCH($A486,土地清冊_匯入!$A$6:$A$1005,0)),""))</f>
        <v/>
      </c>
      <c r="F486" s="13">
        <f>IF($A486="","",IFERROR(INDEX(建物清冊_匯入!$N$6:$N$1005,MATCH($A486,建物清冊_匯入!$A$6:$A$1005,0)),""))</f>
        <v/>
      </c>
      <c r="G486" s="9">
        <f>IF($A486="","",IFERROR(INDEX(建物清冊_匯入!$S$6:$S$1005,MATCH($A486,建物清冊_匯入!$A$6:$A$1005,0)),""))</f>
        <v/>
      </c>
      <c r="H486" s="7" t="n"/>
      <c r="I486" s="15" t="n"/>
      <c r="J486" s="16" t="n"/>
      <c r="K486" s="17">
        <f>IF(J486="","",1-J486)</f>
        <v/>
      </c>
      <c r="L486" s="15" t="n"/>
      <c r="M486" s="7" t="n"/>
      <c r="N486" s="7" t="n"/>
      <c r="O486" s="7" t="n"/>
      <c r="P486" s="11" t="n"/>
      <c r="Q486" s="7" t="n"/>
      <c r="R486" s="7" t="n"/>
      <c r="S486" s="7" t="n"/>
      <c r="T486" s="7" t="n"/>
      <c r="U486" s="12">
        <f>IF(A486="","",IF(H486="","建議填分配模式",""))</f>
        <v/>
      </c>
    </row>
    <row r="487" ht="24" customHeight="1">
      <c r="A487" s="7" t="n"/>
      <c r="B487" s="7" t="n"/>
      <c r="C487" s="7" t="n"/>
      <c r="D487" s="12">
        <f>IF($A487="","",IFERROR(INDEX(土地清冊_匯入!$B$6:$B$1005,MATCH($A487,土地清冊_匯入!$A$6:$A$1005,0)),"查無資料"))</f>
        <v/>
      </c>
      <c r="E487" s="9">
        <f>IF($A487="","",IFERROR(INDEX(土地清冊_匯入!$I$6:$I$1005,MATCH($A487,土地清冊_匯入!$A$6:$A$1005,0)),""))</f>
        <v/>
      </c>
      <c r="F487" s="13">
        <f>IF($A487="","",IFERROR(INDEX(建物清冊_匯入!$N$6:$N$1005,MATCH($A487,建物清冊_匯入!$A$6:$A$1005,0)),""))</f>
        <v/>
      </c>
      <c r="G487" s="9">
        <f>IF($A487="","",IFERROR(INDEX(建物清冊_匯入!$S$6:$S$1005,MATCH($A487,建物清冊_匯入!$A$6:$A$1005,0)),""))</f>
        <v/>
      </c>
      <c r="H487" s="7" t="n"/>
      <c r="I487" s="15" t="n"/>
      <c r="J487" s="16" t="n"/>
      <c r="K487" s="17">
        <f>IF(J487="","",1-J487)</f>
        <v/>
      </c>
      <c r="L487" s="15" t="n"/>
      <c r="M487" s="7" t="n"/>
      <c r="N487" s="7" t="n"/>
      <c r="O487" s="7" t="n"/>
      <c r="P487" s="11" t="n"/>
      <c r="Q487" s="7" t="n"/>
      <c r="R487" s="7" t="n"/>
      <c r="S487" s="7" t="n"/>
      <c r="T487" s="7" t="n"/>
      <c r="U487" s="12">
        <f>IF(A487="","",IF(H487="","建議填分配模式",""))</f>
        <v/>
      </c>
    </row>
    <row r="488" ht="24" customHeight="1">
      <c r="A488" s="7" t="n"/>
      <c r="B488" s="7" t="n"/>
      <c r="C488" s="7" t="n"/>
      <c r="D488" s="12">
        <f>IF($A488="","",IFERROR(INDEX(土地清冊_匯入!$B$6:$B$1005,MATCH($A488,土地清冊_匯入!$A$6:$A$1005,0)),"查無資料"))</f>
        <v/>
      </c>
      <c r="E488" s="9">
        <f>IF($A488="","",IFERROR(INDEX(土地清冊_匯入!$I$6:$I$1005,MATCH($A488,土地清冊_匯入!$A$6:$A$1005,0)),""))</f>
        <v/>
      </c>
      <c r="F488" s="13">
        <f>IF($A488="","",IFERROR(INDEX(建物清冊_匯入!$N$6:$N$1005,MATCH($A488,建物清冊_匯入!$A$6:$A$1005,0)),""))</f>
        <v/>
      </c>
      <c r="G488" s="9">
        <f>IF($A488="","",IFERROR(INDEX(建物清冊_匯入!$S$6:$S$1005,MATCH($A488,建物清冊_匯入!$A$6:$A$1005,0)),""))</f>
        <v/>
      </c>
      <c r="H488" s="7" t="n"/>
      <c r="I488" s="15" t="n"/>
      <c r="J488" s="16" t="n"/>
      <c r="K488" s="17">
        <f>IF(J488="","",1-J488)</f>
        <v/>
      </c>
      <c r="L488" s="15" t="n"/>
      <c r="M488" s="7" t="n"/>
      <c r="N488" s="7" t="n"/>
      <c r="O488" s="7" t="n"/>
      <c r="P488" s="11" t="n"/>
      <c r="Q488" s="7" t="n"/>
      <c r="R488" s="7" t="n"/>
      <c r="S488" s="7" t="n"/>
      <c r="T488" s="7" t="n"/>
      <c r="U488" s="12">
        <f>IF(A488="","",IF(H488="","建議填分配模式",""))</f>
        <v/>
      </c>
    </row>
    <row r="489" ht="24" customHeight="1">
      <c r="A489" s="7" t="n"/>
      <c r="B489" s="7" t="n"/>
      <c r="C489" s="7" t="n"/>
      <c r="D489" s="12">
        <f>IF($A489="","",IFERROR(INDEX(土地清冊_匯入!$B$6:$B$1005,MATCH($A489,土地清冊_匯入!$A$6:$A$1005,0)),"查無資料"))</f>
        <v/>
      </c>
      <c r="E489" s="9">
        <f>IF($A489="","",IFERROR(INDEX(土地清冊_匯入!$I$6:$I$1005,MATCH($A489,土地清冊_匯入!$A$6:$A$1005,0)),""))</f>
        <v/>
      </c>
      <c r="F489" s="13">
        <f>IF($A489="","",IFERROR(INDEX(建物清冊_匯入!$N$6:$N$1005,MATCH($A489,建物清冊_匯入!$A$6:$A$1005,0)),""))</f>
        <v/>
      </c>
      <c r="G489" s="9">
        <f>IF($A489="","",IFERROR(INDEX(建物清冊_匯入!$S$6:$S$1005,MATCH($A489,建物清冊_匯入!$A$6:$A$1005,0)),""))</f>
        <v/>
      </c>
      <c r="H489" s="7" t="n"/>
      <c r="I489" s="15" t="n"/>
      <c r="J489" s="16" t="n"/>
      <c r="K489" s="17">
        <f>IF(J489="","",1-J489)</f>
        <v/>
      </c>
      <c r="L489" s="15" t="n"/>
      <c r="M489" s="7" t="n"/>
      <c r="N489" s="7" t="n"/>
      <c r="O489" s="7" t="n"/>
      <c r="P489" s="11" t="n"/>
      <c r="Q489" s="7" t="n"/>
      <c r="R489" s="7" t="n"/>
      <c r="S489" s="7" t="n"/>
      <c r="T489" s="7" t="n"/>
      <c r="U489" s="12">
        <f>IF(A489="","",IF(H489="","建議填分配模式",""))</f>
        <v/>
      </c>
    </row>
    <row r="490" ht="24" customHeight="1">
      <c r="A490" s="7" t="n"/>
      <c r="B490" s="7" t="n"/>
      <c r="C490" s="7" t="n"/>
      <c r="D490" s="12">
        <f>IF($A490="","",IFERROR(INDEX(土地清冊_匯入!$B$6:$B$1005,MATCH($A490,土地清冊_匯入!$A$6:$A$1005,0)),"查無資料"))</f>
        <v/>
      </c>
      <c r="E490" s="9">
        <f>IF($A490="","",IFERROR(INDEX(土地清冊_匯入!$I$6:$I$1005,MATCH($A490,土地清冊_匯入!$A$6:$A$1005,0)),""))</f>
        <v/>
      </c>
      <c r="F490" s="13">
        <f>IF($A490="","",IFERROR(INDEX(建物清冊_匯入!$N$6:$N$1005,MATCH($A490,建物清冊_匯入!$A$6:$A$1005,0)),""))</f>
        <v/>
      </c>
      <c r="G490" s="9">
        <f>IF($A490="","",IFERROR(INDEX(建物清冊_匯入!$S$6:$S$1005,MATCH($A490,建物清冊_匯入!$A$6:$A$1005,0)),""))</f>
        <v/>
      </c>
      <c r="H490" s="7" t="n"/>
      <c r="I490" s="15" t="n"/>
      <c r="J490" s="16" t="n"/>
      <c r="K490" s="17">
        <f>IF(J490="","",1-J490)</f>
        <v/>
      </c>
      <c r="L490" s="15" t="n"/>
      <c r="M490" s="7" t="n"/>
      <c r="N490" s="7" t="n"/>
      <c r="O490" s="7" t="n"/>
      <c r="P490" s="11" t="n"/>
      <c r="Q490" s="7" t="n"/>
      <c r="R490" s="7" t="n"/>
      <c r="S490" s="7" t="n"/>
      <c r="T490" s="7" t="n"/>
      <c r="U490" s="12">
        <f>IF(A490="","",IF(H490="","建議填分配模式",""))</f>
        <v/>
      </c>
    </row>
    <row r="491" ht="24" customHeight="1">
      <c r="A491" s="7" t="n"/>
      <c r="B491" s="7" t="n"/>
      <c r="C491" s="7" t="n"/>
      <c r="D491" s="12">
        <f>IF($A491="","",IFERROR(INDEX(土地清冊_匯入!$B$6:$B$1005,MATCH($A491,土地清冊_匯入!$A$6:$A$1005,0)),"查無資料"))</f>
        <v/>
      </c>
      <c r="E491" s="9">
        <f>IF($A491="","",IFERROR(INDEX(土地清冊_匯入!$I$6:$I$1005,MATCH($A491,土地清冊_匯入!$A$6:$A$1005,0)),""))</f>
        <v/>
      </c>
      <c r="F491" s="13">
        <f>IF($A491="","",IFERROR(INDEX(建物清冊_匯入!$N$6:$N$1005,MATCH($A491,建物清冊_匯入!$A$6:$A$1005,0)),""))</f>
        <v/>
      </c>
      <c r="G491" s="9">
        <f>IF($A491="","",IFERROR(INDEX(建物清冊_匯入!$S$6:$S$1005,MATCH($A491,建物清冊_匯入!$A$6:$A$1005,0)),""))</f>
        <v/>
      </c>
      <c r="H491" s="7" t="n"/>
      <c r="I491" s="15" t="n"/>
      <c r="J491" s="16" t="n"/>
      <c r="K491" s="17">
        <f>IF(J491="","",1-J491)</f>
        <v/>
      </c>
      <c r="L491" s="15" t="n"/>
      <c r="M491" s="7" t="n"/>
      <c r="N491" s="7" t="n"/>
      <c r="O491" s="7" t="n"/>
      <c r="P491" s="11" t="n"/>
      <c r="Q491" s="7" t="n"/>
      <c r="R491" s="7" t="n"/>
      <c r="S491" s="7" t="n"/>
      <c r="T491" s="7" t="n"/>
      <c r="U491" s="12">
        <f>IF(A491="","",IF(H491="","建議填分配模式",""))</f>
        <v/>
      </c>
    </row>
    <row r="492" ht="24" customHeight="1">
      <c r="A492" s="7" t="n"/>
      <c r="B492" s="7" t="n"/>
      <c r="C492" s="7" t="n"/>
      <c r="D492" s="12">
        <f>IF($A492="","",IFERROR(INDEX(土地清冊_匯入!$B$6:$B$1005,MATCH($A492,土地清冊_匯入!$A$6:$A$1005,0)),"查無資料"))</f>
        <v/>
      </c>
      <c r="E492" s="9">
        <f>IF($A492="","",IFERROR(INDEX(土地清冊_匯入!$I$6:$I$1005,MATCH($A492,土地清冊_匯入!$A$6:$A$1005,0)),""))</f>
        <v/>
      </c>
      <c r="F492" s="13">
        <f>IF($A492="","",IFERROR(INDEX(建物清冊_匯入!$N$6:$N$1005,MATCH($A492,建物清冊_匯入!$A$6:$A$1005,0)),""))</f>
        <v/>
      </c>
      <c r="G492" s="9">
        <f>IF($A492="","",IFERROR(INDEX(建物清冊_匯入!$S$6:$S$1005,MATCH($A492,建物清冊_匯入!$A$6:$A$1005,0)),""))</f>
        <v/>
      </c>
      <c r="H492" s="7" t="n"/>
      <c r="I492" s="15" t="n"/>
      <c r="J492" s="16" t="n"/>
      <c r="K492" s="17">
        <f>IF(J492="","",1-J492)</f>
        <v/>
      </c>
      <c r="L492" s="15" t="n"/>
      <c r="M492" s="7" t="n"/>
      <c r="N492" s="7" t="n"/>
      <c r="O492" s="7" t="n"/>
      <c r="P492" s="11" t="n"/>
      <c r="Q492" s="7" t="n"/>
      <c r="R492" s="7" t="n"/>
      <c r="S492" s="7" t="n"/>
      <c r="T492" s="7" t="n"/>
      <c r="U492" s="12">
        <f>IF(A492="","",IF(H492="","建議填分配模式",""))</f>
        <v/>
      </c>
    </row>
    <row r="493" ht="24" customHeight="1">
      <c r="A493" s="7" t="n"/>
      <c r="B493" s="7" t="n"/>
      <c r="C493" s="7" t="n"/>
      <c r="D493" s="12">
        <f>IF($A493="","",IFERROR(INDEX(土地清冊_匯入!$B$6:$B$1005,MATCH($A493,土地清冊_匯入!$A$6:$A$1005,0)),"查無資料"))</f>
        <v/>
      </c>
      <c r="E493" s="9">
        <f>IF($A493="","",IFERROR(INDEX(土地清冊_匯入!$I$6:$I$1005,MATCH($A493,土地清冊_匯入!$A$6:$A$1005,0)),""))</f>
        <v/>
      </c>
      <c r="F493" s="13">
        <f>IF($A493="","",IFERROR(INDEX(建物清冊_匯入!$N$6:$N$1005,MATCH($A493,建物清冊_匯入!$A$6:$A$1005,0)),""))</f>
        <v/>
      </c>
      <c r="G493" s="9">
        <f>IF($A493="","",IFERROR(INDEX(建物清冊_匯入!$S$6:$S$1005,MATCH($A493,建物清冊_匯入!$A$6:$A$1005,0)),""))</f>
        <v/>
      </c>
      <c r="H493" s="7" t="n"/>
      <c r="I493" s="15" t="n"/>
      <c r="J493" s="16" t="n"/>
      <c r="K493" s="17">
        <f>IF(J493="","",1-J493)</f>
        <v/>
      </c>
      <c r="L493" s="15" t="n"/>
      <c r="M493" s="7" t="n"/>
      <c r="N493" s="7" t="n"/>
      <c r="O493" s="7" t="n"/>
      <c r="P493" s="11" t="n"/>
      <c r="Q493" s="7" t="n"/>
      <c r="R493" s="7" t="n"/>
      <c r="S493" s="7" t="n"/>
      <c r="T493" s="7" t="n"/>
      <c r="U493" s="12">
        <f>IF(A493="","",IF(H493="","建議填分配模式",""))</f>
        <v/>
      </c>
    </row>
    <row r="494" ht="24" customHeight="1">
      <c r="A494" s="7" t="n"/>
      <c r="B494" s="7" t="n"/>
      <c r="C494" s="7" t="n"/>
      <c r="D494" s="12">
        <f>IF($A494="","",IFERROR(INDEX(土地清冊_匯入!$B$6:$B$1005,MATCH($A494,土地清冊_匯入!$A$6:$A$1005,0)),"查無資料"))</f>
        <v/>
      </c>
      <c r="E494" s="9">
        <f>IF($A494="","",IFERROR(INDEX(土地清冊_匯入!$I$6:$I$1005,MATCH($A494,土地清冊_匯入!$A$6:$A$1005,0)),""))</f>
        <v/>
      </c>
      <c r="F494" s="13">
        <f>IF($A494="","",IFERROR(INDEX(建物清冊_匯入!$N$6:$N$1005,MATCH($A494,建物清冊_匯入!$A$6:$A$1005,0)),""))</f>
        <v/>
      </c>
      <c r="G494" s="9">
        <f>IF($A494="","",IFERROR(INDEX(建物清冊_匯入!$S$6:$S$1005,MATCH($A494,建物清冊_匯入!$A$6:$A$1005,0)),""))</f>
        <v/>
      </c>
      <c r="H494" s="7" t="n"/>
      <c r="I494" s="15" t="n"/>
      <c r="J494" s="16" t="n"/>
      <c r="K494" s="17">
        <f>IF(J494="","",1-J494)</f>
        <v/>
      </c>
      <c r="L494" s="15" t="n"/>
      <c r="M494" s="7" t="n"/>
      <c r="N494" s="7" t="n"/>
      <c r="O494" s="7" t="n"/>
      <c r="P494" s="11" t="n"/>
      <c r="Q494" s="7" t="n"/>
      <c r="R494" s="7" t="n"/>
      <c r="S494" s="7" t="n"/>
      <c r="T494" s="7" t="n"/>
      <c r="U494" s="12">
        <f>IF(A494="","",IF(H494="","建議填分配模式",""))</f>
        <v/>
      </c>
    </row>
    <row r="495" ht="24" customHeight="1">
      <c r="A495" s="7" t="n"/>
      <c r="B495" s="7" t="n"/>
      <c r="C495" s="7" t="n"/>
      <c r="D495" s="12">
        <f>IF($A495="","",IFERROR(INDEX(土地清冊_匯入!$B$6:$B$1005,MATCH($A495,土地清冊_匯入!$A$6:$A$1005,0)),"查無資料"))</f>
        <v/>
      </c>
      <c r="E495" s="9">
        <f>IF($A495="","",IFERROR(INDEX(土地清冊_匯入!$I$6:$I$1005,MATCH($A495,土地清冊_匯入!$A$6:$A$1005,0)),""))</f>
        <v/>
      </c>
      <c r="F495" s="13">
        <f>IF($A495="","",IFERROR(INDEX(建物清冊_匯入!$N$6:$N$1005,MATCH($A495,建物清冊_匯入!$A$6:$A$1005,0)),""))</f>
        <v/>
      </c>
      <c r="G495" s="9">
        <f>IF($A495="","",IFERROR(INDEX(建物清冊_匯入!$S$6:$S$1005,MATCH($A495,建物清冊_匯入!$A$6:$A$1005,0)),""))</f>
        <v/>
      </c>
      <c r="H495" s="7" t="n"/>
      <c r="I495" s="15" t="n"/>
      <c r="J495" s="16" t="n"/>
      <c r="K495" s="17">
        <f>IF(J495="","",1-J495)</f>
        <v/>
      </c>
      <c r="L495" s="15" t="n"/>
      <c r="M495" s="7" t="n"/>
      <c r="N495" s="7" t="n"/>
      <c r="O495" s="7" t="n"/>
      <c r="P495" s="11" t="n"/>
      <c r="Q495" s="7" t="n"/>
      <c r="R495" s="7" t="n"/>
      <c r="S495" s="7" t="n"/>
      <c r="T495" s="7" t="n"/>
      <c r="U495" s="12">
        <f>IF(A495="","",IF(H495="","建議填分配模式",""))</f>
        <v/>
      </c>
    </row>
    <row r="496" ht="24" customHeight="1">
      <c r="A496" s="7" t="n"/>
      <c r="B496" s="7" t="n"/>
      <c r="C496" s="7" t="n"/>
      <c r="D496" s="12">
        <f>IF($A496="","",IFERROR(INDEX(土地清冊_匯入!$B$6:$B$1005,MATCH($A496,土地清冊_匯入!$A$6:$A$1005,0)),"查無資料"))</f>
        <v/>
      </c>
      <c r="E496" s="9">
        <f>IF($A496="","",IFERROR(INDEX(土地清冊_匯入!$I$6:$I$1005,MATCH($A496,土地清冊_匯入!$A$6:$A$1005,0)),""))</f>
        <v/>
      </c>
      <c r="F496" s="13">
        <f>IF($A496="","",IFERROR(INDEX(建物清冊_匯入!$N$6:$N$1005,MATCH($A496,建物清冊_匯入!$A$6:$A$1005,0)),""))</f>
        <v/>
      </c>
      <c r="G496" s="9">
        <f>IF($A496="","",IFERROR(INDEX(建物清冊_匯入!$S$6:$S$1005,MATCH($A496,建物清冊_匯入!$A$6:$A$1005,0)),""))</f>
        <v/>
      </c>
      <c r="H496" s="7" t="n"/>
      <c r="I496" s="15" t="n"/>
      <c r="J496" s="16" t="n"/>
      <c r="K496" s="17">
        <f>IF(J496="","",1-J496)</f>
        <v/>
      </c>
      <c r="L496" s="15" t="n"/>
      <c r="M496" s="7" t="n"/>
      <c r="N496" s="7" t="n"/>
      <c r="O496" s="7" t="n"/>
      <c r="P496" s="11" t="n"/>
      <c r="Q496" s="7" t="n"/>
      <c r="R496" s="7" t="n"/>
      <c r="S496" s="7" t="n"/>
      <c r="T496" s="7" t="n"/>
      <c r="U496" s="12">
        <f>IF(A496="","",IF(H496="","建議填分配模式",""))</f>
        <v/>
      </c>
    </row>
    <row r="497" ht="24" customHeight="1">
      <c r="A497" s="7" t="n"/>
      <c r="B497" s="7" t="n"/>
      <c r="C497" s="7" t="n"/>
      <c r="D497" s="12">
        <f>IF($A497="","",IFERROR(INDEX(土地清冊_匯入!$B$6:$B$1005,MATCH($A497,土地清冊_匯入!$A$6:$A$1005,0)),"查無資料"))</f>
        <v/>
      </c>
      <c r="E497" s="9">
        <f>IF($A497="","",IFERROR(INDEX(土地清冊_匯入!$I$6:$I$1005,MATCH($A497,土地清冊_匯入!$A$6:$A$1005,0)),""))</f>
        <v/>
      </c>
      <c r="F497" s="13">
        <f>IF($A497="","",IFERROR(INDEX(建物清冊_匯入!$N$6:$N$1005,MATCH($A497,建物清冊_匯入!$A$6:$A$1005,0)),""))</f>
        <v/>
      </c>
      <c r="G497" s="9">
        <f>IF($A497="","",IFERROR(INDEX(建物清冊_匯入!$S$6:$S$1005,MATCH($A497,建物清冊_匯入!$A$6:$A$1005,0)),""))</f>
        <v/>
      </c>
      <c r="H497" s="7" t="n"/>
      <c r="I497" s="15" t="n"/>
      <c r="J497" s="16" t="n"/>
      <c r="K497" s="17">
        <f>IF(J497="","",1-J497)</f>
        <v/>
      </c>
      <c r="L497" s="15" t="n"/>
      <c r="M497" s="7" t="n"/>
      <c r="N497" s="7" t="n"/>
      <c r="O497" s="7" t="n"/>
      <c r="P497" s="11" t="n"/>
      <c r="Q497" s="7" t="n"/>
      <c r="R497" s="7" t="n"/>
      <c r="S497" s="7" t="n"/>
      <c r="T497" s="7" t="n"/>
      <c r="U497" s="12">
        <f>IF(A497="","",IF(H497="","建議填分配模式",""))</f>
        <v/>
      </c>
    </row>
    <row r="498" ht="24" customHeight="1">
      <c r="A498" s="7" t="n"/>
      <c r="B498" s="7" t="n"/>
      <c r="C498" s="7" t="n"/>
      <c r="D498" s="12">
        <f>IF($A498="","",IFERROR(INDEX(土地清冊_匯入!$B$6:$B$1005,MATCH($A498,土地清冊_匯入!$A$6:$A$1005,0)),"查無資料"))</f>
        <v/>
      </c>
      <c r="E498" s="9">
        <f>IF($A498="","",IFERROR(INDEX(土地清冊_匯入!$I$6:$I$1005,MATCH($A498,土地清冊_匯入!$A$6:$A$1005,0)),""))</f>
        <v/>
      </c>
      <c r="F498" s="13">
        <f>IF($A498="","",IFERROR(INDEX(建物清冊_匯入!$N$6:$N$1005,MATCH($A498,建物清冊_匯入!$A$6:$A$1005,0)),""))</f>
        <v/>
      </c>
      <c r="G498" s="9">
        <f>IF($A498="","",IFERROR(INDEX(建物清冊_匯入!$S$6:$S$1005,MATCH($A498,建物清冊_匯入!$A$6:$A$1005,0)),""))</f>
        <v/>
      </c>
      <c r="H498" s="7" t="n"/>
      <c r="I498" s="15" t="n"/>
      <c r="J498" s="16" t="n"/>
      <c r="K498" s="17">
        <f>IF(J498="","",1-J498)</f>
        <v/>
      </c>
      <c r="L498" s="15" t="n"/>
      <c r="M498" s="7" t="n"/>
      <c r="N498" s="7" t="n"/>
      <c r="O498" s="7" t="n"/>
      <c r="P498" s="11" t="n"/>
      <c r="Q498" s="7" t="n"/>
      <c r="R498" s="7" t="n"/>
      <c r="S498" s="7" t="n"/>
      <c r="T498" s="7" t="n"/>
      <c r="U498" s="12">
        <f>IF(A498="","",IF(H498="","建議填分配模式",""))</f>
        <v/>
      </c>
    </row>
    <row r="499" ht="24" customHeight="1">
      <c r="A499" s="7" t="n"/>
      <c r="B499" s="7" t="n"/>
      <c r="C499" s="7" t="n"/>
      <c r="D499" s="12">
        <f>IF($A499="","",IFERROR(INDEX(土地清冊_匯入!$B$6:$B$1005,MATCH($A499,土地清冊_匯入!$A$6:$A$1005,0)),"查無資料"))</f>
        <v/>
      </c>
      <c r="E499" s="9">
        <f>IF($A499="","",IFERROR(INDEX(土地清冊_匯入!$I$6:$I$1005,MATCH($A499,土地清冊_匯入!$A$6:$A$1005,0)),""))</f>
        <v/>
      </c>
      <c r="F499" s="13">
        <f>IF($A499="","",IFERROR(INDEX(建物清冊_匯入!$N$6:$N$1005,MATCH($A499,建物清冊_匯入!$A$6:$A$1005,0)),""))</f>
        <v/>
      </c>
      <c r="G499" s="9">
        <f>IF($A499="","",IFERROR(INDEX(建物清冊_匯入!$S$6:$S$1005,MATCH($A499,建物清冊_匯入!$A$6:$A$1005,0)),""))</f>
        <v/>
      </c>
      <c r="H499" s="7" t="n"/>
      <c r="I499" s="15" t="n"/>
      <c r="J499" s="16" t="n"/>
      <c r="K499" s="17">
        <f>IF(J499="","",1-J499)</f>
        <v/>
      </c>
      <c r="L499" s="15" t="n"/>
      <c r="M499" s="7" t="n"/>
      <c r="N499" s="7" t="n"/>
      <c r="O499" s="7" t="n"/>
      <c r="P499" s="11" t="n"/>
      <c r="Q499" s="7" t="n"/>
      <c r="R499" s="7" t="n"/>
      <c r="S499" s="7" t="n"/>
      <c r="T499" s="7" t="n"/>
      <c r="U499" s="12">
        <f>IF(A499="","",IF(H499="","建議填分配模式",""))</f>
        <v/>
      </c>
    </row>
    <row r="500" ht="24" customHeight="1">
      <c r="A500" s="7" t="n"/>
      <c r="B500" s="7" t="n"/>
      <c r="C500" s="7" t="n"/>
      <c r="D500" s="12">
        <f>IF($A500="","",IFERROR(INDEX(土地清冊_匯入!$B$6:$B$1005,MATCH($A500,土地清冊_匯入!$A$6:$A$1005,0)),"查無資料"))</f>
        <v/>
      </c>
      <c r="E500" s="9">
        <f>IF($A500="","",IFERROR(INDEX(土地清冊_匯入!$I$6:$I$1005,MATCH($A500,土地清冊_匯入!$A$6:$A$1005,0)),""))</f>
        <v/>
      </c>
      <c r="F500" s="13">
        <f>IF($A500="","",IFERROR(INDEX(建物清冊_匯入!$N$6:$N$1005,MATCH($A500,建物清冊_匯入!$A$6:$A$1005,0)),""))</f>
        <v/>
      </c>
      <c r="G500" s="9">
        <f>IF($A500="","",IFERROR(INDEX(建物清冊_匯入!$S$6:$S$1005,MATCH($A500,建物清冊_匯入!$A$6:$A$1005,0)),""))</f>
        <v/>
      </c>
      <c r="H500" s="7" t="n"/>
      <c r="I500" s="15" t="n"/>
      <c r="J500" s="16" t="n"/>
      <c r="K500" s="17">
        <f>IF(J500="","",1-J500)</f>
        <v/>
      </c>
      <c r="L500" s="15" t="n"/>
      <c r="M500" s="7" t="n"/>
      <c r="N500" s="7" t="n"/>
      <c r="O500" s="7" t="n"/>
      <c r="P500" s="11" t="n"/>
      <c r="Q500" s="7" t="n"/>
      <c r="R500" s="7" t="n"/>
      <c r="S500" s="7" t="n"/>
      <c r="T500" s="7" t="n"/>
      <c r="U500" s="12">
        <f>IF(A500="","",IF(H500="","建議填分配模式",""))</f>
        <v/>
      </c>
    </row>
    <row r="501" ht="24" customHeight="1">
      <c r="A501" s="7" t="n"/>
      <c r="B501" s="7" t="n"/>
      <c r="C501" s="7" t="n"/>
      <c r="D501" s="12">
        <f>IF($A501="","",IFERROR(INDEX(土地清冊_匯入!$B$6:$B$1005,MATCH($A501,土地清冊_匯入!$A$6:$A$1005,0)),"查無資料"))</f>
        <v/>
      </c>
      <c r="E501" s="9">
        <f>IF($A501="","",IFERROR(INDEX(土地清冊_匯入!$I$6:$I$1005,MATCH($A501,土地清冊_匯入!$A$6:$A$1005,0)),""))</f>
        <v/>
      </c>
      <c r="F501" s="13">
        <f>IF($A501="","",IFERROR(INDEX(建物清冊_匯入!$N$6:$N$1005,MATCH($A501,建物清冊_匯入!$A$6:$A$1005,0)),""))</f>
        <v/>
      </c>
      <c r="G501" s="9">
        <f>IF($A501="","",IFERROR(INDEX(建物清冊_匯入!$S$6:$S$1005,MATCH($A501,建物清冊_匯入!$A$6:$A$1005,0)),""))</f>
        <v/>
      </c>
      <c r="H501" s="7" t="n"/>
      <c r="I501" s="15" t="n"/>
      <c r="J501" s="16" t="n"/>
      <c r="K501" s="17">
        <f>IF(J501="","",1-J501)</f>
        <v/>
      </c>
      <c r="L501" s="15" t="n"/>
      <c r="M501" s="7" t="n"/>
      <c r="N501" s="7" t="n"/>
      <c r="O501" s="7" t="n"/>
      <c r="P501" s="11" t="n"/>
      <c r="Q501" s="7" t="n"/>
      <c r="R501" s="7" t="n"/>
      <c r="S501" s="7" t="n"/>
      <c r="T501" s="7" t="n"/>
      <c r="U501" s="12">
        <f>IF(A501="","",IF(H501="","建議填分配模式",""))</f>
        <v/>
      </c>
    </row>
    <row r="502" ht="24" customHeight="1">
      <c r="A502" s="7" t="n"/>
      <c r="B502" s="7" t="n"/>
      <c r="C502" s="7" t="n"/>
      <c r="D502" s="12">
        <f>IF($A502="","",IFERROR(INDEX(土地清冊_匯入!$B$6:$B$1005,MATCH($A502,土地清冊_匯入!$A$6:$A$1005,0)),"查無資料"))</f>
        <v/>
      </c>
      <c r="E502" s="9">
        <f>IF($A502="","",IFERROR(INDEX(土地清冊_匯入!$I$6:$I$1005,MATCH($A502,土地清冊_匯入!$A$6:$A$1005,0)),""))</f>
        <v/>
      </c>
      <c r="F502" s="13">
        <f>IF($A502="","",IFERROR(INDEX(建物清冊_匯入!$N$6:$N$1005,MATCH($A502,建物清冊_匯入!$A$6:$A$1005,0)),""))</f>
        <v/>
      </c>
      <c r="G502" s="9">
        <f>IF($A502="","",IFERROR(INDEX(建物清冊_匯入!$S$6:$S$1005,MATCH($A502,建物清冊_匯入!$A$6:$A$1005,0)),""))</f>
        <v/>
      </c>
      <c r="H502" s="7" t="n"/>
      <c r="I502" s="15" t="n"/>
      <c r="J502" s="16" t="n"/>
      <c r="K502" s="17">
        <f>IF(J502="","",1-J502)</f>
        <v/>
      </c>
      <c r="L502" s="15" t="n"/>
      <c r="M502" s="7" t="n"/>
      <c r="N502" s="7" t="n"/>
      <c r="O502" s="7" t="n"/>
      <c r="P502" s="11" t="n"/>
      <c r="Q502" s="7" t="n"/>
      <c r="R502" s="7" t="n"/>
      <c r="S502" s="7" t="n"/>
      <c r="T502" s="7" t="n"/>
      <c r="U502" s="12">
        <f>IF(A502="","",IF(H502="","建議填分配模式",""))</f>
        <v/>
      </c>
    </row>
    <row r="503" ht="24" customHeight="1">
      <c r="A503" s="7" t="n"/>
      <c r="B503" s="7" t="n"/>
      <c r="C503" s="7" t="n"/>
      <c r="D503" s="12">
        <f>IF($A503="","",IFERROR(INDEX(土地清冊_匯入!$B$6:$B$1005,MATCH($A503,土地清冊_匯入!$A$6:$A$1005,0)),"查無資料"))</f>
        <v/>
      </c>
      <c r="E503" s="9">
        <f>IF($A503="","",IFERROR(INDEX(土地清冊_匯入!$I$6:$I$1005,MATCH($A503,土地清冊_匯入!$A$6:$A$1005,0)),""))</f>
        <v/>
      </c>
      <c r="F503" s="13">
        <f>IF($A503="","",IFERROR(INDEX(建物清冊_匯入!$N$6:$N$1005,MATCH($A503,建物清冊_匯入!$A$6:$A$1005,0)),""))</f>
        <v/>
      </c>
      <c r="G503" s="9">
        <f>IF($A503="","",IFERROR(INDEX(建物清冊_匯入!$S$6:$S$1005,MATCH($A503,建物清冊_匯入!$A$6:$A$1005,0)),""))</f>
        <v/>
      </c>
      <c r="H503" s="7" t="n"/>
      <c r="I503" s="15" t="n"/>
      <c r="J503" s="16" t="n"/>
      <c r="K503" s="17">
        <f>IF(J503="","",1-J503)</f>
        <v/>
      </c>
      <c r="L503" s="15" t="n"/>
      <c r="M503" s="7" t="n"/>
      <c r="N503" s="7" t="n"/>
      <c r="O503" s="7" t="n"/>
      <c r="P503" s="11" t="n"/>
      <c r="Q503" s="7" t="n"/>
      <c r="R503" s="7" t="n"/>
      <c r="S503" s="7" t="n"/>
      <c r="T503" s="7" t="n"/>
      <c r="U503" s="12">
        <f>IF(A503="","",IF(H503="","建議填分配模式",""))</f>
        <v/>
      </c>
    </row>
    <row r="504" ht="24" customHeight="1">
      <c r="A504" s="7" t="n"/>
      <c r="B504" s="7" t="n"/>
      <c r="C504" s="7" t="n"/>
      <c r="D504" s="12">
        <f>IF($A504="","",IFERROR(INDEX(土地清冊_匯入!$B$6:$B$1005,MATCH($A504,土地清冊_匯入!$A$6:$A$1005,0)),"查無資料"))</f>
        <v/>
      </c>
      <c r="E504" s="9">
        <f>IF($A504="","",IFERROR(INDEX(土地清冊_匯入!$I$6:$I$1005,MATCH($A504,土地清冊_匯入!$A$6:$A$1005,0)),""))</f>
        <v/>
      </c>
      <c r="F504" s="13">
        <f>IF($A504="","",IFERROR(INDEX(建物清冊_匯入!$N$6:$N$1005,MATCH($A504,建物清冊_匯入!$A$6:$A$1005,0)),""))</f>
        <v/>
      </c>
      <c r="G504" s="9">
        <f>IF($A504="","",IFERROR(INDEX(建物清冊_匯入!$S$6:$S$1005,MATCH($A504,建物清冊_匯入!$A$6:$A$1005,0)),""))</f>
        <v/>
      </c>
      <c r="H504" s="7" t="n"/>
      <c r="I504" s="15" t="n"/>
      <c r="J504" s="16" t="n"/>
      <c r="K504" s="17">
        <f>IF(J504="","",1-J504)</f>
        <v/>
      </c>
      <c r="L504" s="15" t="n"/>
      <c r="M504" s="7" t="n"/>
      <c r="N504" s="7" t="n"/>
      <c r="O504" s="7" t="n"/>
      <c r="P504" s="11" t="n"/>
      <c r="Q504" s="7" t="n"/>
      <c r="R504" s="7" t="n"/>
      <c r="S504" s="7" t="n"/>
      <c r="T504" s="7" t="n"/>
      <c r="U504" s="12">
        <f>IF(A504="","",IF(H504="","建議填分配模式",""))</f>
        <v/>
      </c>
    </row>
    <row r="505" ht="24" customHeight="1">
      <c r="A505" s="7" t="n"/>
      <c r="B505" s="7" t="n"/>
      <c r="C505" s="7" t="n"/>
      <c r="D505" s="12">
        <f>IF($A505="","",IFERROR(INDEX(土地清冊_匯入!$B$6:$B$1005,MATCH($A505,土地清冊_匯入!$A$6:$A$1005,0)),"查無資料"))</f>
        <v/>
      </c>
      <c r="E505" s="9">
        <f>IF($A505="","",IFERROR(INDEX(土地清冊_匯入!$I$6:$I$1005,MATCH($A505,土地清冊_匯入!$A$6:$A$1005,0)),""))</f>
        <v/>
      </c>
      <c r="F505" s="13">
        <f>IF($A505="","",IFERROR(INDEX(建物清冊_匯入!$N$6:$N$1005,MATCH($A505,建物清冊_匯入!$A$6:$A$1005,0)),""))</f>
        <v/>
      </c>
      <c r="G505" s="9">
        <f>IF($A505="","",IFERROR(INDEX(建物清冊_匯入!$S$6:$S$1005,MATCH($A505,建物清冊_匯入!$A$6:$A$1005,0)),""))</f>
        <v/>
      </c>
      <c r="H505" s="7" t="n"/>
      <c r="I505" s="15" t="n"/>
      <c r="J505" s="16" t="n"/>
      <c r="K505" s="17">
        <f>IF(J505="","",1-J505)</f>
        <v/>
      </c>
      <c r="L505" s="15" t="n"/>
      <c r="M505" s="7" t="n"/>
      <c r="N505" s="7" t="n"/>
      <c r="O505" s="7" t="n"/>
      <c r="P505" s="11" t="n"/>
      <c r="Q505" s="7" t="n"/>
      <c r="R505" s="7" t="n"/>
      <c r="S505" s="7" t="n"/>
      <c r="T505" s="7" t="n"/>
      <c r="U505" s="12">
        <f>IF(A505="","",IF(H505="","建議填分配模式",""))</f>
        <v/>
      </c>
    </row>
    <row r="506" ht="24" customHeight="1">
      <c r="A506" s="7" t="n"/>
      <c r="B506" s="7" t="n"/>
      <c r="C506" s="7" t="n"/>
      <c r="D506" s="12">
        <f>IF($A506="","",IFERROR(INDEX(土地清冊_匯入!$B$6:$B$1005,MATCH($A506,土地清冊_匯入!$A$6:$A$1005,0)),"查無資料"))</f>
        <v/>
      </c>
      <c r="E506" s="9">
        <f>IF($A506="","",IFERROR(INDEX(土地清冊_匯入!$I$6:$I$1005,MATCH($A506,土地清冊_匯入!$A$6:$A$1005,0)),""))</f>
        <v/>
      </c>
      <c r="F506" s="13">
        <f>IF($A506="","",IFERROR(INDEX(建物清冊_匯入!$N$6:$N$1005,MATCH($A506,建物清冊_匯入!$A$6:$A$1005,0)),""))</f>
        <v/>
      </c>
      <c r="G506" s="9">
        <f>IF($A506="","",IFERROR(INDEX(建物清冊_匯入!$S$6:$S$1005,MATCH($A506,建物清冊_匯入!$A$6:$A$1005,0)),""))</f>
        <v/>
      </c>
      <c r="H506" s="7" t="n"/>
      <c r="I506" s="15" t="n"/>
      <c r="J506" s="16" t="n"/>
      <c r="K506" s="17">
        <f>IF(J506="","",1-J506)</f>
        <v/>
      </c>
      <c r="L506" s="15" t="n"/>
      <c r="M506" s="7" t="n"/>
      <c r="N506" s="7" t="n"/>
      <c r="O506" s="7" t="n"/>
      <c r="P506" s="11" t="n"/>
      <c r="Q506" s="7" t="n"/>
      <c r="R506" s="7" t="n"/>
      <c r="S506" s="7" t="n"/>
      <c r="T506" s="7" t="n"/>
      <c r="U506" s="12">
        <f>IF(A506="","",IF(H506="","建議填分配模式",""))</f>
        <v/>
      </c>
    </row>
    <row r="507" ht="24" customHeight="1">
      <c r="A507" s="7" t="n"/>
      <c r="B507" s="7" t="n"/>
      <c r="C507" s="7" t="n"/>
      <c r="D507" s="12">
        <f>IF($A507="","",IFERROR(INDEX(土地清冊_匯入!$B$6:$B$1005,MATCH($A507,土地清冊_匯入!$A$6:$A$1005,0)),"查無資料"))</f>
        <v/>
      </c>
      <c r="E507" s="9">
        <f>IF($A507="","",IFERROR(INDEX(土地清冊_匯入!$I$6:$I$1005,MATCH($A507,土地清冊_匯入!$A$6:$A$1005,0)),""))</f>
        <v/>
      </c>
      <c r="F507" s="13">
        <f>IF($A507="","",IFERROR(INDEX(建物清冊_匯入!$N$6:$N$1005,MATCH($A507,建物清冊_匯入!$A$6:$A$1005,0)),""))</f>
        <v/>
      </c>
      <c r="G507" s="9">
        <f>IF($A507="","",IFERROR(INDEX(建物清冊_匯入!$S$6:$S$1005,MATCH($A507,建物清冊_匯入!$A$6:$A$1005,0)),""))</f>
        <v/>
      </c>
      <c r="H507" s="7" t="n"/>
      <c r="I507" s="15" t="n"/>
      <c r="J507" s="16" t="n"/>
      <c r="K507" s="17">
        <f>IF(J507="","",1-J507)</f>
        <v/>
      </c>
      <c r="L507" s="15" t="n"/>
      <c r="M507" s="7" t="n"/>
      <c r="N507" s="7" t="n"/>
      <c r="O507" s="7" t="n"/>
      <c r="P507" s="11" t="n"/>
      <c r="Q507" s="7" t="n"/>
      <c r="R507" s="7" t="n"/>
      <c r="S507" s="7" t="n"/>
      <c r="T507" s="7" t="n"/>
      <c r="U507" s="12">
        <f>IF(A507="","",IF(H507="","建議填分配模式",""))</f>
        <v/>
      </c>
    </row>
    <row r="508" ht="24" customHeight="1">
      <c r="A508" s="7" t="n"/>
      <c r="B508" s="7" t="n"/>
      <c r="C508" s="7" t="n"/>
      <c r="D508" s="12">
        <f>IF($A508="","",IFERROR(INDEX(土地清冊_匯入!$B$6:$B$1005,MATCH($A508,土地清冊_匯入!$A$6:$A$1005,0)),"查無資料"))</f>
        <v/>
      </c>
      <c r="E508" s="9">
        <f>IF($A508="","",IFERROR(INDEX(土地清冊_匯入!$I$6:$I$1005,MATCH($A508,土地清冊_匯入!$A$6:$A$1005,0)),""))</f>
        <v/>
      </c>
      <c r="F508" s="13">
        <f>IF($A508="","",IFERROR(INDEX(建物清冊_匯入!$N$6:$N$1005,MATCH($A508,建物清冊_匯入!$A$6:$A$1005,0)),""))</f>
        <v/>
      </c>
      <c r="G508" s="9">
        <f>IF($A508="","",IFERROR(INDEX(建物清冊_匯入!$S$6:$S$1005,MATCH($A508,建物清冊_匯入!$A$6:$A$1005,0)),""))</f>
        <v/>
      </c>
      <c r="H508" s="7" t="n"/>
      <c r="I508" s="15" t="n"/>
      <c r="J508" s="16" t="n"/>
      <c r="K508" s="17">
        <f>IF(J508="","",1-J508)</f>
        <v/>
      </c>
      <c r="L508" s="15" t="n"/>
      <c r="M508" s="7" t="n"/>
      <c r="N508" s="7" t="n"/>
      <c r="O508" s="7" t="n"/>
      <c r="P508" s="11" t="n"/>
      <c r="Q508" s="7" t="n"/>
      <c r="R508" s="7" t="n"/>
      <c r="S508" s="7" t="n"/>
      <c r="T508" s="7" t="n"/>
      <c r="U508" s="12">
        <f>IF(A508="","",IF(H508="","建議填分配模式",""))</f>
        <v/>
      </c>
    </row>
    <row r="509" ht="24" customHeight="1">
      <c r="A509" s="7" t="n"/>
      <c r="B509" s="7" t="n"/>
      <c r="C509" s="7" t="n"/>
      <c r="D509" s="12">
        <f>IF($A509="","",IFERROR(INDEX(土地清冊_匯入!$B$6:$B$1005,MATCH($A509,土地清冊_匯入!$A$6:$A$1005,0)),"查無資料"))</f>
        <v/>
      </c>
      <c r="E509" s="9">
        <f>IF($A509="","",IFERROR(INDEX(土地清冊_匯入!$I$6:$I$1005,MATCH($A509,土地清冊_匯入!$A$6:$A$1005,0)),""))</f>
        <v/>
      </c>
      <c r="F509" s="13">
        <f>IF($A509="","",IFERROR(INDEX(建物清冊_匯入!$N$6:$N$1005,MATCH($A509,建物清冊_匯入!$A$6:$A$1005,0)),""))</f>
        <v/>
      </c>
      <c r="G509" s="9">
        <f>IF($A509="","",IFERROR(INDEX(建物清冊_匯入!$S$6:$S$1005,MATCH($A509,建物清冊_匯入!$A$6:$A$1005,0)),""))</f>
        <v/>
      </c>
      <c r="H509" s="7" t="n"/>
      <c r="I509" s="15" t="n"/>
      <c r="J509" s="16" t="n"/>
      <c r="K509" s="17">
        <f>IF(J509="","",1-J509)</f>
        <v/>
      </c>
      <c r="L509" s="15" t="n"/>
      <c r="M509" s="7" t="n"/>
      <c r="N509" s="7" t="n"/>
      <c r="O509" s="7" t="n"/>
      <c r="P509" s="11" t="n"/>
      <c r="Q509" s="7" t="n"/>
      <c r="R509" s="7" t="n"/>
      <c r="S509" s="7" t="n"/>
      <c r="T509" s="7" t="n"/>
      <c r="U509" s="12">
        <f>IF(A509="","",IF(H509="","建議填分配模式",""))</f>
        <v/>
      </c>
    </row>
    <row r="510" ht="24" customHeight="1">
      <c r="A510" s="7" t="n"/>
      <c r="B510" s="7" t="n"/>
      <c r="C510" s="7" t="n"/>
      <c r="D510" s="12">
        <f>IF($A510="","",IFERROR(INDEX(土地清冊_匯入!$B$6:$B$1005,MATCH($A510,土地清冊_匯入!$A$6:$A$1005,0)),"查無資料"))</f>
        <v/>
      </c>
      <c r="E510" s="9">
        <f>IF($A510="","",IFERROR(INDEX(土地清冊_匯入!$I$6:$I$1005,MATCH($A510,土地清冊_匯入!$A$6:$A$1005,0)),""))</f>
        <v/>
      </c>
      <c r="F510" s="13">
        <f>IF($A510="","",IFERROR(INDEX(建物清冊_匯入!$N$6:$N$1005,MATCH($A510,建物清冊_匯入!$A$6:$A$1005,0)),""))</f>
        <v/>
      </c>
      <c r="G510" s="9">
        <f>IF($A510="","",IFERROR(INDEX(建物清冊_匯入!$S$6:$S$1005,MATCH($A510,建物清冊_匯入!$A$6:$A$1005,0)),""))</f>
        <v/>
      </c>
      <c r="H510" s="7" t="n"/>
      <c r="I510" s="15" t="n"/>
      <c r="J510" s="16" t="n"/>
      <c r="K510" s="17">
        <f>IF(J510="","",1-J510)</f>
        <v/>
      </c>
      <c r="L510" s="15" t="n"/>
      <c r="M510" s="7" t="n"/>
      <c r="N510" s="7" t="n"/>
      <c r="O510" s="7" t="n"/>
      <c r="P510" s="11" t="n"/>
      <c r="Q510" s="7" t="n"/>
      <c r="R510" s="7" t="n"/>
      <c r="S510" s="7" t="n"/>
      <c r="T510" s="7" t="n"/>
      <c r="U510" s="12">
        <f>IF(A510="","",IF(H510="","建議填分配模式",""))</f>
        <v/>
      </c>
    </row>
    <row r="511" ht="24" customHeight="1">
      <c r="A511" s="7" t="n"/>
      <c r="B511" s="7" t="n"/>
      <c r="C511" s="7" t="n"/>
      <c r="D511" s="12">
        <f>IF($A511="","",IFERROR(INDEX(土地清冊_匯入!$B$6:$B$1005,MATCH($A511,土地清冊_匯入!$A$6:$A$1005,0)),"查無資料"))</f>
        <v/>
      </c>
      <c r="E511" s="9">
        <f>IF($A511="","",IFERROR(INDEX(土地清冊_匯入!$I$6:$I$1005,MATCH($A511,土地清冊_匯入!$A$6:$A$1005,0)),""))</f>
        <v/>
      </c>
      <c r="F511" s="13">
        <f>IF($A511="","",IFERROR(INDEX(建物清冊_匯入!$N$6:$N$1005,MATCH($A511,建物清冊_匯入!$A$6:$A$1005,0)),""))</f>
        <v/>
      </c>
      <c r="G511" s="9">
        <f>IF($A511="","",IFERROR(INDEX(建物清冊_匯入!$S$6:$S$1005,MATCH($A511,建物清冊_匯入!$A$6:$A$1005,0)),""))</f>
        <v/>
      </c>
      <c r="H511" s="7" t="n"/>
      <c r="I511" s="15" t="n"/>
      <c r="J511" s="16" t="n"/>
      <c r="K511" s="17">
        <f>IF(J511="","",1-J511)</f>
        <v/>
      </c>
      <c r="L511" s="15" t="n"/>
      <c r="M511" s="7" t="n"/>
      <c r="N511" s="7" t="n"/>
      <c r="O511" s="7" t="n"/>
      <c r="P511" s="11" t="n"/>
      <c r="Q511" s="7" t="n"/>
      <c r="R511" s="7" t="n"/>
      <c r="S511" s="7" t="n"/>
      <c r="T511" s="7" t="n"/>
      <c r="U511" s="12">
        <f>IF(A511="","",IF(H511="","建議填分配模式",""))</f>
        <v/>
      </c>
    </row>
    <row r="512" ht="24" customHeight="1">
      <c r="A512" s="7" t="n"/>
      <c r="B512" s="7" t="n"/>
      <c r="C512" s="7" t="n"/>
      <c r="D512" s="12">
        <f>IF($A512="","",IFERROR(INDEX(土地清冊_匯入!$B$6:$B$1005,MATCH($A512,土地清冊_匯入!$A$6:$A$1005,0)),"查無資料"))</f>
        <v/>
      </c>
      <c r="E512" s="9">
        <f>IF($A512="","",IFERROR(INDEX(土地清冊_匯入!$I$6:$I$1005,MATCH($A512,土地清冊_匯入!$A$6:$A$1005,0)),""))</f>
        <v/>
      </c>
      <c r="F512" s="13">
        <f>IF($A512="","",IFERROR(INDEX(建物清冊_匯入!$N$6:$N$1005,MATCH($A512,建物清冊_匯入!$A$6:$A$1005,0)),""))</f>
        <v/>
      </c>
      <c r="G512" s="9">
        <f>IF($A512="","",IFERROR(INDEX(建物清冊_匯入!$S$6:$S$1005,MATCH($A512,建物清冊_匯入!$A$6:$A$1005,0)),""))</f>
        <v/>
      </c>
      <c r="H512" s="7" t="n"/>
      <c r="I512" s="15" t="n"/>
      <c r="J512" s="16" t="n"/>
      <c r="K512" s="17">
        <f>IF(J512="","",1-J512)</f>
        <v/>
      </c>
      <c r="L512" s="15" t="n"/>
      <c r="M512" s="7" t="n"/>
      <c r="N512" s="7" t="n"/>
      <c r="O512" s="7" t="n"/>
      <c r="P512" s="11" t="n"/>
      <c r="Q512" s="7" t="n"/>
      <c r="R512" s="7" t="n"/>
      <c r="S512" s="7" t="n"/>
      <c r="T512" s="7" t="n"/>
      <c r="U512" s="12">
        <f>IF(A512="","",IF(H512="","建議填分配模式",""))</f>
        <v/>
      </c>
    </row>
    <row r="513" ht="24" customHeight="1">
      <c r="A513" s="7" t="n"/>
      <c r="B513" s="7" t="n"/>
      <c r="C513" s="7" t="n"/>
      <c r="D513" s="12">
        <f>IF($A513="","",IFERROR(INDEX(土地清冊_匯入!$B$6:$B$1005,MATCH($A513,土地清冊_匯入!$A$6:$A$1005,0)),"查無資料"))</f>
        <v/>
      </c>
      <c r="E513" s="9">
        <f>IF($A513="","",IFERROR(INDEX(土地清冊_匯入!$I$6:$I$1005,MATCH($A513,土地清冊_匯入!$A$6:$A$1005,0)),""))</f>
        <v/>
      </c>
      <c r="F513" s="13">
        <f>IF($A513="","",IFERROR(INDEX(建物清冊_匯入!$N$6:$N$1005,MATCH($A513,建物清冊_匯入!$A$6:$A$1005,0)),""))</f>
        <v/>
      </c>
      <c r="G513" s="9">
        <f>IF($A513="","",IFERROR(INDEX(建物清冊_匯入!$S$6:$S$1005,MATCH($A513,建物清冊_匯入!$A$6:$A$1005,0)),""))</f>
        <v/>
      </c>
      <c r="H513" s="7" t="n"/>
      <c r="I513" s="15" t="n"/>
      <c r="J513" s="16" t="n"/>
      <c r="K513" s="17">
        <f>IF(J513="","",1-J513)</f>
        <v/>
      </c>
      <c r="L513" s="15" t="n"/>
      <c r="M513" s="7" t="n"/>
      <c r="N513" s="7" t="n"/>
      <c r="O513" s="7" t="n"/>
      <c r="P513" s="11" t="n"/>
      <c r="Q513" s="7" t="n"/>
      <c r="R513" s="7" t="n"/>
      <c r="S513" s="7" t="n"/>
      <c r="T513" s="7" t="n"/>
      <c r="U513" s="12">
        <f>IF(A513="","",IF(H513="","建議填分配模式",""))</f>
        <v/>
      </c>
    </row>
    <row r="514" ht="24" customHeight="1">
      <c r="A514" s="7" t="n"/>
      <c r="B514" s="7" t="n"/>
      <c r="C514" s="7" t="n"/>
      <c r="D514" s="12">
        <f>IF($A514="","",IFERROR(INDEX(土地清冊_匯入!$B$6:$B$1005,MATCH($A514,土地清冊_匯入!$A$6:$A$1005,0)),"查無資料"))</f>
        <v/>
      </c>
      <c r="E514" s="9">
        <f>IF($A514="","",IFERROR(INDEX(土地清冊_匯入!$I$6:$I$1005,MATCH($A514,土地清冊_匯入!$A$6:$A$1005,0)),""))</f>
        <v/>
      </c>
      <c r="F514" s="13">
        <f>IF($A514="","",IFERROR(INDEX(建物清冊_匯入!$N$6:$N$1005,MATCH($A514,建物清冊_匯入!$A$6:$A$1005,0)),""))</f>
        <v/>
      </c>
      <c r="G514" s="9">
        <f>IF($A514="","",IFERROR(INDEX(建物清冊_匯入!$S$6:$S$1005,MATCH($A514,建物清冊_匯入!$A$6:$A$1005,0)),""))</f>
        <v/>
      </c>
      <c r="H514" s="7" t="n"/>
      <c r="I514" s="15" t="n"/>
      <c r="J514" s="16" t="n"/>
      <c r="K514" s="17">
        <f>IF(J514="","",1-J514)</f>
        <v/>
      </c>
      <c r="L514" s="15" t="n"/>
      <c r="M514" s="7" t="n"/>
      <c r="N514" s="7" t="n"/>
      <c r="O514" s="7" t="n"/>
      <c r="P514" s="11" t="n"/>
      <c r="Q514" s="7" t="n"/>
      <c r="R514" s="7" t="n"/>
      <c r="S514" s="7" t="n"/>
      <c r="T514" s="7" t="n"/>
      <c r="U514" s="12">
        <f>IF(A514="","",IF(H514="","建議填分配模式",""))</f>
        <v/>
      </c>
    </row>
    <row r="515" ht="24" customHeight="1">
      <c r="A515" s="7" t="n"/>
      <c r="B515" s="7" t="n"/>
      <c r="C515" s="7" t="n"/>
      <c r="D515" s="12">
        <f>IF($A515="","",IFERROR(INDEX(土地清冊_匯入!$B$6:$B$1005,MATCH($A515,土地清冊_匯入!$A$6:$A$1005,0)),"查無資料"))</f>
        <v/>
      </c>
      <c r="E515" s="9">
        <f>IF($A515="","",IFERROR(INDEX(土地清冊_匯入!$I$6:$I$1005,MATCH($A515,土地清冊_匯入!$A$6:$A$1005,0)),""))</f>
        <v/>
      </c>
      <c r="F515" s="13">
        <f>IF($A515="","",IFERROR(INDEX(建物清冊_匯入!$N$6:$N$1005,MATCH($A515,建物清冊_匯入!$A$6:$A$1005,0)),""))</f>
        <v/>
      </c>
      <c r="G515" s="9">
        <f>IF($A515="","",IFERROR(INDEX(建物清冊_匯入!$S$6:$S$1005,MATCH($A515,建物清冊_匯入!$A$6:$A$1005,0)),""))</f>
        <v/>
      </c>
      <c r="H515" s="7" t="n"/>
      <c r="I515" s="15" t="n"/>
      <c r="J515" s="16" t="n"/>
      <c r="K515" s="17">
        <f>IF(J515="","",1-J515)</f>
        <v/>
      </c>
      <c r="L515" s="15" t="n"/>
      <c r="M515" s="7" t="n"/>
      <c r="N515" s="7" t="n"/>
      <c r="O515" s="7" t="n"/>
      <c r="P515" s="11" t="n"/>
      <c r="Q515" s="7" t="n"/>
      <c r="R515" s="7" t="n"/>
      <c r="S515" s="7" t="n"/>
      <c r="T515" s="7" t="n"/>
      <c r="U515" s="12">
        <f>IF(A515="","",IF(H515="","建議填分配模式",""))</f>
        <v/>
      </c>
    </row>
    <row r="516" ht="24" customHeight="1">
      <c r="A516" s="7" t="n"/>
      <c r="B516" s="7" t="n"/>
      <c r="C516" s="7" t="n"/>
      <c r="D516" s="12">
        <f>IF($A516="","",IFERROR(INDEX(土地清冊_匯入!$B$6:$B$1005,MATCH($A516,土地清冊_匯入!$A$6:$A$1005,0)),"查無資料"))</f>
        <v/>
      </c>
      <c r="E516" s="9">
        <f>IF($A516="","",IFERROR(INDEX(土地清冊_匯入!$I$6:$I$1005,MATCH($A516,土地清冊_匯入!$A$6:$A$1005,0)),""))</f>
        <v/>
      </c>
      <c r="F516" s="13">
        <f>IF($A516="","",IFERROR(INDEX(建物清冊_匯入!$N$6:$N$1005,MATCH($A516,建物清冊_匯入!$A$6:$A$1005,0)),""))</f>
        <v/>
      </c>
      <c r="G516" s="9">
        <f>IF($A516="","",IFERROR(INDEX(建物清冊_匯入!$S$6:$S$1005,MATCH($A516,建物清冊_匯入!$A$6:$A$1005,0)),""))</f>
        <v/>
      </c>
      <c r="H516" s="7" t="n"/>
      <c r="I516" s="15" t="n"/>
      <c r="J516" s="16" t="n"/>
      <c r="K516" s="17">
        <f>IF(J516="","",1-J516)</f>
        <v/>
      </c>
      <c r="L516" s="15" t="n"/>
      <c r="M516" s="7" t="n"/>
      <c r="N516" s="7" t="n"/>
      <c r="O516" s="7" t="n"/>
      <c r="P516" s="11" t="n"/>
      <c r="Q516" s="7" t="n"/>
      <c r="R516" s="7" t="n"/>
      <c r="S516" s="7" t="n"/>
      <c r="T516" s="7" t="n"/>
      <c r="U516" s="12">
        <f>IF(A516="","",IF(H516="","建議填分配模式",""))</f>
        <v/>
      </c>
    </row>
    <row r="517" ht="24" customHeight="1">
      <c r="A517" s="7" t="n"/>
      <c r="B517" s="7" t="n"/>
      <c r="C517" s="7" t="n"/>
      <c r="D517" s="12">
        <f>IF($A517="","",IFERROR(INDEX(土地清冊_匯入!$B$6:$B$1005,MATCH($A517,土地清冊_匯入!$A$6:$A$1005,0)),"查無資料"))</f>
        <v/>
      </c>
      <c r="E517" s="9">
        <f>IF($A517="","",IFERROR(INDEX(土地清冊_匯入!$I$6:$I$1005,MATCH($A517,土地清冊_匯入!$A$6:$A$1005,0)),""))</f>
        <v/>
      </c>
      <c r="F517" s="13">
        <f>IF($A517="","",IFERROR(INDEX(建物清冊_匯入!$N$6:$N$1005,MATCH($A517,建物清冊_匯入!$A$6:$A$1005,0)),""))</f>
        <v/>
      </c>
      <c r="G517" s="9">
        <f>IF($A517="","",IFERROR(INDEX(建物清冊_匯入!$S$6:$S$1005,MATCH($A517,建物清冊_匯入!$A$6:$A$1005,0)),""))</f>
        <v/>
      </c>
      <c r="H517" s="7" t="n"/>
      <c r="I517" s="15" t="n"/>
      <c r="J517" s="16" t="n"/>
      <c r="K517" s="17">
        <f>IF(J517="","",1-J517)</f>
        <v/>
      </c>
      <c r="L517" s="15" t="n"/>
      <c r="M517" s="7" t="n"/>
      <c r="N517" s="7" t="n"/>
      <c r="O517" s="7" t="n"/>
      <c r="P517" s="11" t="n"/>
      <c r="Q517" s="7" t="n"/>
      <c r="R517" s="7" t="n"/>
      <c r="S517" s="7" t="n"/>
      <c r="T517" s="7" t="n"/>
      <c r="U517" s="12">
        <f>IF(A517="","",IF(H517="","建議填分配模式",""))</f>
        <v/>
      </c>
    </row>
    <row r="518" ht="24" customHeight="1">
      <c r="A518" s="7" t="n"/>
      <c r="B518" s="7" t="n"/>
      <c r="C518" s="7" t="n"/>
      <c r="D518" s="12">
        <f>IF($A518="","",IFERROR(INDEX(土地清冊_匯入!$B$6:$B$1005,MATCH($A518,土地清冊_匯入!$A$6:$A$1005,0)),"查無資料"))</f>
        <v/>
      </c>
      <c r="E518" s="9">
        <f>IF($A518="","",IFERROR(INDEX(土地清冊_匯入!$I$6:$I$1005,MATCH($A518,土地清冊_匯入!$A$6:$A$1005,0)),""))</f>
        <v/>
      </c>
      <c r="F518" s="13">
        <f>IF($A518="","",IFERROR(INDEX(建物清冊_匯入!$N$6:$N$1005,MATCH($A518,建物清冊_匯入!$A$6:$A$1005,0)),""))</f>
        <v/>
      </c>
      <c r="G518" s="9">
        <f>IF($A518="","",IFERROR(INDEX(建物清冊_匯入!$S$6:$S$1005,MATCH($A518,建物清冊_匯入!$A$6:$A$1005,0)),""))</f>
        <v/>
      </c>
      <c r="H518" s="7" t="n"/>
      <c r="I518" s="15" t="n"/>
      <c r="J518" s="16" t="n"/>
      <c r="K518" s="17">
        <f>IF(J518="","",1-J518)</f>
        <v/>
      </c>
      <c r="L518" s="15" t="n"/>
      <c r="M518" s="7" t="n"/>
      <c r="N518" s="7" t="n"/>
      <c r="O518" s="7" t="n"/>
      <c r="P518" s="11" t="n"/>
      <c r="Q518" s="7" t="n"/>
      <c r="R518" s="7" t="n"/>
      <c r="S518" s="7" t="n"/>
      <c r="T518" s="7" t="n"/>
      <c r="U518" s="12">
        <f>IF(A518="","",IF(H518="","建議填分配模式",""))</f>
        <v/>
      </c>
    </row>
    <row r="519" ht="24" customHeight="1">
      <c r="A519" s="7" t="n"/>
      <c r="B519" s="7" t="n"/>
      <c r="C519" s="7" t="n"/>
      <c r="D519" s="12">
        <f>IF($A519="","",IFERROR(INDEX(土地清冊_匯入!$B$6:$B$1005,MATCH($A519,土地清冊_匯入!$A$6:$A$1005,0)),"查無資料"))</f>
        <v/>
      </c>
      <c r="E519" s="9">
        <f>IF($A519="","",IFERROR(INDEX(土地清冊_匯入!$I$6:$I$1005,MATCH($A519,土地清冊_匯入!$A$6:$A$1005,0)),""))</f>
        <v/>
      </c>
      <c r="F519" s="13">
        <f>IF($A519="","",IFERROR(INDEX(建物清冊_匯入!$N$6:$N$1005,MATCH($A519,建物清冊_匯入!$A$6:$A$1005,0)),""))</f>
        <v/>
      </c>
      <c r="G519" s="9">
        <f>IF($A519="","",IFERROR(INDEX(建物清冊_匯入!$S$6:$S$1005,MATCH($A519,建物清冊_匯入!$A$6:$A$1005,0)),""))</f>
        <v/>
      </c>
      <c r="H519" s="7" t="n"/>
      <c r="I519" s="15" t="n"/>
      <c r="J519" s="16" t="n"/>
      <c r="K519" s="17">
        <f>IF(J519="","",1-J519)</f>
        <v/>
      </c>
      <c r="L519" s="15" t="n"/>
      <c r="M519" s="7" t="n"/>
      <c r="N519" s="7" t="n"/>
      <c r="O519" s="7" t="n"/>
      <c r="P519" s="11" t="n"/>
      <c r="Q519" s="7" t="n"/>
      <c r="R519" s="7" t="n"/>
      <c r="S519" s="7" t="n"/>
      <c r="T519" s="7" t="n"/>
      <c r="U519" s="12">
        <f>IF(A519="","",IF(H519="","建議填分配模式",""))</f>
        <v/>
      </c>
    </row>
    <row r="520" ht="24" customHeight="1">
      <c r="A520" s="7" t="n"/>
      <c r="B520" s="7" t="n"/>
      <c r="C520" s="7" t="n"/>
      <c r="D520" s="12">
        <f>IF($A520="","",IFERROR(INDEX(土地清冊_匯入!$B$6:$B$1005,MATCH($A520,土地清冊_匯入!$A$6:$A$1005,0)),"查無資料"))</f>
        <v/>
      </c>
      <c r="E520" s="9">
        <f>IF($A520="","",IFERROR(INDEX(土地清冊_匯入!$I$6:$I$1005,MATCH($A520,土地清冊_匯入!$A$6:$A$1005,0)),""))</f>
        <v/>
      </c>
      <c r="F520" s="13">
        <f>IF($A520="","",IFERROR(INDEX(建物清冊_匯入!$N$6:$N$1005,MATCH($A520,建物清冊_匯入!$A$6:$A$1005,0)),""))</f>
        <v/>
      </c>
      <c r="G520" s="9">
        <f>IF($A520="","",IFERROR(INDEX(建物清冊_匯入!$S$6:$S$1005,MATCH($A520,建物清冊_匯入!$A$6:$A$1005,0)),""))</f>
        <v/>
      </c>
      <c r="H520" s="7" t="n"/>
      <c r="I520" s="15" t="n"/>
      <c r="J520" s="16" t="n"/>
      <c r="K520" s="17">
        <f>IF(J520="","",1-J520)</f>
        <v/>
      </c>
      <c r="L520" s="15" t="n"/>
      <c r="M520" s="7" t="n"/>
      <c r="N520" s="7" t="n"/>
      <c r="O520" s="7" t="n"/>
      <c r="P520" s="11" t="n"/>
      <c r="Q520" s="7" t="n"/>
      <c r="R520" s="7" t="n"/>
      <c r="S520" s="7" t="n"/>
      <c r="T520" s="7" t="n"/>
      <c r="U520" s="12">
        <f>IF(A520="","",IF(H520="","建議填分配模式",""))</f>
        <v/>
      </c>
    </row>
    <row r="521" ht="24" customHeight="1">
      <c r="A521" s="7" t="n"/>
      <c r="B521" s="7" t="n"/>
      <c r="C521" s="7" t="n"/>
      <c r="D521" s="12">
        <f>IF($A521="","",IFERROR(INDEX(土地清冊_匯入!$B$6:$B$1005,MATCH($A521,土地清冊_匯入!$A$6:$A$1005,0)),"查無資料"))</f>
        <v/>
      </c>
      <c r="E521" s="9">
        <f>IF($A521="","",IFERROR(INDEX(土地清冊_匯入!$I$6:$I$1005,MATCH($A521,土地清冊_匯入!$A$6:$A$1005,0)),""))</f>
        <v/>
      </c>
      <c r="F521" s="13">
        <f>IF($A521="","",IFERROR(INDEX(建物清冊_匯入!$N$6:$N$1005,MATCH($A521,建物清冊_匯入!$A$6:$A$1005,0)),""))</f>
        <v/>
      </c>
      <c r="G521" s="9">
        <f>IF($A521="","",IFERROR(INDEX(建物清冊_匯入!$S$6:$S$1005,MATCH($A521,建物清冊_匯入!$A$6:$A$1005,0)),""))</f>
        <v/>
      </c>
      <c r="H521" s="7" t="n"/>
      <c r="I521" s="15" t="n"/>
      <c r="J521" s="16" t="n"/>
      <c r="K521" s="17">
        <f>IF(J521="","",1-J521)</f>
        <v/>
      </c>
      <c r="L521" s="15" t="n"/>
      <c r="M521" s="7" t="n"/>
      <c r="N521" s="7" t="n"/>
      <c r="O521" s="7" t="n"/>
      <c r="P521" s="11" t="n"/>
      <c r="Q521" s="7" t="n"/>
      <c r="R521" s="7" t="n"/>
      <c r="S521" s="7" t="n"/>
      <c r="T521" s="7" t="n"/>
      <c r="U521" s="12">
        <f>IF(A521="","",IF(H521="","建議填分配模式",""))</f>
        <v/>
      </c>
    </row>
    <row r="522" ht="24" customHeight="1">
      <c r="A522" s="7" t="n"/>
      <c r="B522" s="7" t="n"/>
      <c r="C522" s="7" t="n"/>
      <c r="D522" s="12">
        <f>IF($A522="","",IFERROR(INDEX(土地清冊_匯入!$B$6:$B$1005,MATCH($A522,土地清冊_匯入!$A$6:$A$1005,0)),"查無資料"))</f>
        <v/>
      </c>
      <c r="E522" s="9">
        <f>IF($A522="","",IFERROR(INDEX(土地清冊_匯入!$I$6:$I$1005,MATCH($A522,土地清冊_匯入!$A$6:$A$1005,0)),""))</f>
        <v/>
      </c>
      <c r="F522" s="13">
        <f>IF($A522="","",IFERROR(INDEX(建物清冊_匯入!$N$6:$N$1005,MATCH($A522,建物清冊_匯入!$A$6:$A$1005,0)),""))</f>
        <v/>
      </c>
      <c r="G522" s="9">
        <f>IF($A522="","",IFERROR(INDEX(建物清冊_匯入!$S$6:$S$1005,MATCH($A522,建物清冊_匯入!$A$6:$A$1005,0)),""))</f>
        <v/>
      </c>
      <c r="H522" s="7" t="n"/>
      <c r="I522" s="15" t="n"/>
      <c r="J522" s="16" t="n"/>
      <c r="K522" s="17">
        <f>IF(J522="","",1-J522)</f>
        <v/>
      </c>
      <c r="L522" s="15" t="n"/>
      <c r="M522" s="7" t="n"/>
      <c r="N522" s="7" t="n"/>
      <c r="O522" s="7" t="n"/>
      <c r="P522" s="11" t="n"/>
      <c r="Q522" s="7" t="n"/>
      <c r="R522" s="7" t="n"/>
      <c r="S522" s="7" t="n"/>
      <c r="T522" s="7" t="n"/>
      <c r="U522" s="12">
        <f>IF(A522="","",IF(H522="","建議填分配模式",""))</f>
        <v/>
      </c>
    </row>
    <row r="523" ht="24" customHeight="1">
      <c r="A523" s="7" t="n"/>
      <c r="B523" s="7" t="n"/>
      <c r="C523" s="7" t="n"/>
      <c r="D523" s="12">
        <f>IF($A523="","",IFERROR(INDEX(土地清冊_匯入!$B$6:$B$1005,MATCH($A523,土地清冊_匯入!$A$6:$A$1005,0)),"查無資料"))</f>
        <v/>
      </c>
      <c r="E523" s="9">
        <f>IF($A523="","",IFERROR(INDEX(土地清冊_匯入!$I$6:$I$1005,MATCH($A523,土地清冊_匯入!$A$6:$A$1005,0)),""))</f>
        <v/>
      </c>
      <c r="F523" s="13">
        <f>IF($A523="","",IFERROR(INDEX(建物清冊_匯入!$N$6:$N$1005,MATCH($A523,建物清冊_匯入!$A$6:$A$1005,0)),""))</f>
        <v/>
      </c>
      <c r="G523" s="9">
        <f>IF($A523="","",IFERROR(INDEX(建物清冊_匯入!$S$6:$S$1005,MATCH($A523,建物清冊_匯入!$A$6:$A$1005,0)),""))</f>
        <v/>
      </c>
      <c r="H523" s="7" t="n"/>
      <c r="I523" s="15" t="n"/>
      <c r="J523" s="16" t="n"/>
      <c r="K523" s="17">
        <f>IF(J523="","",1-J523)</f>
        <v/>
      </c>
      <c r="L523" s="15" t="n"/>
      <c r="M523" s="7" t="n"/>
      <c r="N523" s="7" t="n"/>
      <c r="O523" s="7" t="n"/>
      <c r="P523" s="11" t="n"/>
      <c r="Q523" s="7" t="n"/>
      <c r="R523" s="7" t="n"/>
      <c r="S523" s="7" t="n"/>
      <c r="T523" s="7" t="n"/>
      <c r="U523" s="12">
        <f>IF(A523="","",IF(H523="","建議填分配模式",""))</f>
        <v/>
      </c>
    </row>
    <row r="524" ht="24" customHeight="1">
      <c r="A524" s="7" t="n"/>
      <c r="B524" s="7" t="n"/>
      <c r="C524" s="7" t="n"/>
      <c r="D524" s="12">
        <f>IF($A524="","",IFERROR(INDEX(土地清冊_匯入!$B$6:$B$1005,MATCH($A524,土地清冊_匯入!$A$6:$A$1005,0)),"查無資料"))</f>
        <v/>
      </c>
      <c r="E524" s="9">
        <f>IF($A524="","",IFERROR(INDEX(土地清冊_匯入!$I$6:$I$1005,MATCH($A524,土地清冊_匯入!$A$6:$A$1005,0)),""))</f>
        <v/>
      </c>
      <c r="F524" s="13">
        <f>IF($A524="","",IFERROR(INDEX(建物清冊_匯入!$N$6:$N$1005,MATCH($A524,建物清冊_匯入!$A$6:$A$1005,0)),""))</f>
        <v/>
      </c>
      <c r="G524" s="9">
        <f>IF($A524="","",IFERROR(INDEX(建物清冊_匯入!$S$6:$S$1005,MATCH($A524,建物清冊_匯入!$A$6:$A$1005,0)),""))</f>
        <v/>
      </c>
      <c r="H524" s="7" t="n"/>
      <c r="I524" s="15" t="n"/>
      <c r="J524" s="16" t="n"/>
      <c r="K524" s="17">
        <f>IF(J524="","",1-J524)</f>
        <v/>
      </c>
      <c r="L524" s="15" t="n"/>
      <c r="M524" s="7" t="n"/>
      <c r="N524" s="7" t="n"/>
      <c r="O524" s="7" t="n"/>
      <c r="P524" s="11" t="n"/>
      <c r="Q524" s="7" t="n"/>
      <c r="R524" s="7" t="n"/>
      <c r="S524" s="7" t="n"/>
      <c r="T524" s="7" t="n"/>
      <c r="U524" s="12">
        <f>IF(A524="","",IF(H524="","建議填分配模式",""))</f>
        <v/>
      </c>
    </row>
    <row r="525" ht="24" customHeight="1">
      <c r="A525" s="7" t="n"/>
      <c r="B525" s="7" t="n"/>
      <c r="C525" s="7" t="n"/>
      <c r="D525" s="12">
        <f>IF($A525="","",IFERROR(INDEX(土地清冊_匯入!$B$6:$B$1005,MATCH($A525,土地清冊_匯入!$A$6:$A$1005,0)),"查無資料"))</f>
        <v/>
      </c>
      <c r="E525" s="9">
        <f>IF($A525="","",IFERROR(INDEX(土地清冊_匯入!$I$6:$I$1005,MATCH($A525,土地清冊_匯入!$A$6:$A$1005,0)),""))</f>
        <v/>
      </c>
      <c r="F525" s="13">
        <f>IF($A525="","",IFERROR(INDEX(建物清冊_匯入!$N$6:$N$1005,MATCH($A525,建物清冊_匯入!$A$6:$A$1005,0)),""))</f>
        <v/>
      </c>
      <c r="G525" s="9">
        <f>IF($A525="","",IFERROR(INDEX(建物清冊_匯入!$S$6:$S$1005,MATCH($A525,建物清冊_匯入!$A$6:$A$1005,0)),""))</f>
        <v/>
      </c>
      <c r="H525" s="7" t="n"/>
      <c r="I525" s="15" t="n"/>
      <c r="J525" s="16" t="n"/>
      <c r="K525" s="17">
        <f>IF(J525="","",1-J525)</f>
        <v/>
      </c>
      <c r="L525" s="15" t="n"/>
      <c r="M525" s="7" t="n"/>
      <c r="N525" s="7" t="n"/>
      <c r="O525" s="7" t="n"/>
      <c r="P525" s="11" t="n"/>
      <c r="Q525" s="7" t="n"/>
      <c r="R525" s="7" t="n"/>
      <c r="S525" s="7" t="n"/>
      <c r="T525" s="7" t="n"/>
      <c r="U525" s="12">
        <f>IF(A525="","",IF(H525="","建議填分配模式",""))</f>
        <v/>
      </c>
    </row>
    <row r="526" ht="24" customHeight="1">
      <c r="A526" s="7" t="n"/>
      <c r="B526" s="7" t="n"/>
      <c r="C526" s="7" t="n"/>
      <c r="D526" s="12">
        <f>IF($A526="","",IFERROR(INDEX(土地清冊_匯入!$B$6:$B$1005,MATCH($A526,土地清冊_匯入!$A$6:$A$1005,0)),"查無資料"))</f>
        <v/>
      </c>
      <c r="E526" s="9">
        <f>IF($A526="","",IFERROR(INDEX(土地清冊_匯入!$I$6:$I$1005,MATCH($A526,土地清冊_匯入!$A$6:$A$1005,0)),""))</f>
        <v/>
      </c>
      <c r="F526" s="13">
        <f>IF($A526="","",IFERROR(INDEX(建物清冊_匯入!$N$6:$N$1005,MATCH($A526,建物清冊_匯入!$A$6:$A$1005,0)),""))</f>
        <v/>
      </c>
      <c r="G526" s="9">
        <f>IF($A526="","",IFERROR(INDEX(建物清冊_匯入!$S$6:$S$1005,MATCH($A526,建物清冊_匯入!$A$6:$A$1005,0)),""))</f>
        <v/>
      </c>
      <c r="H526" s="7" t="n"/>
      <c r="I526" s="15" t="n"/>
      <c r="J526" s="16" t="n"/>
      <c r="K526" s="17">
        <f>IF(J526="","",1-J526)</f>
        <v/>
      </c>
      <c r="L526" s="15" t="n"/>
      <c r="M526" s="7" t="n"/>
      <c r="N526" s="7" t="n"/>
      <c r="O526" s="7" t="n"/>
      <c r="P526" s="11" t="n"/>
      <c r="Q526" s="7" t="n"/>
      <c r="R526" s="7" t="n"/>
      <c r="S526" s="7" t="n"/>
      <c r="T526" s="7" t="n"/>
      <c r="U526" s="12">
        <f>IF(A526="","",IF(H526="","建議填分配模式",""))</f>
        <v/>
      </c>
    </row>
    <row r="527" ht="24" customHeight="1">
      <c r="A527" s="7" t="n"/>
      <c r="B527" s="7" t="n"/>
      <c r="C527" s="7" t="n"/>
      <c r="D527" s="12">
        <f>IF($A527="","",IFERROR(INDEX(土地清冊_匯入!$B$6:$B$1005,MATCH($A527,土地清冊_匯入!$A$6:$A$1005,0)),"查無資料"))</f>
        <v/>
      </c>
      <c r="E527" s="9">
        <f>IF($A527="","",IFERROR(INDEX(土地清冊_匯入!$I$6:$I$1005,MATCH($A527,土地清冊_匯入!$A$6:$A$1005,0)),""))</f>
        <v/>
      </c>
      <c r="F527" s="13">
        <f>IF($A527="","",IFERROR(INDEX(建物清冊_匯入!$N$6:$N$1005,MATCH($A527,建物清冊_匯入!$A$6:$A$1005,0)),""))</f>
        <v/>
      </c>
      <c r="G527" s="9">
        <f>IF($A527="","",IFERROR(INDEX(建物清冊_匯入!$S$6:$S$1005,MATCH($A527,建物清冊_匯入!$A$6:$A$1005,0)),""))</f>
        <v/>
      </c>
      <c r="H527" s="7" t="n"/>
      <c r="I527" s="15" t="n"/>
      <c r="J527" s="16" t="n"/>
      <c r="K527" s="17">
        <f>IF(J527="","",1-J527)</f>
        <v/>
      </c>
      <c r="L527" s="15" t="n"/>
      <c r="M527" s="7" t="n"/>
      <c r="N527" s="7" t="n"/>
      <c r="O527" s="7" t="n"/>
      <c r="P527" s="11" t="n"/>
      <c r="Q527" s="7" t="n"/>
      <c r="R527" s="7" t="n"/>
      <c r="S527" s="7" t="n"/>
      <c r="T527" s="7" t="n"/>
      <c r="U527" s="12">
        <f>IF(A527="","",IF(H527="","建議填分配模式",""))</f>
        <v/>
      </c>
    </row>
    <row r="528" ht="24" customHeight="1">
      <c r="A528" s="7" t="n"/>
      <c r="B528" s="7" t="n"/>
      <c r="C528" s="7" t="n"/>
      <c r="D528" s="12">
        <f>IF($A528="","",IFERROR(INDEX(土地清冊_匯入!$B$6:$B$1005,MATCH($A528,土地清冊_匯入!$A$6:$A$1005,0)),"查無資料"))</f>
        <v/>
      </c>
      <c r="E528" s="9">
        <f>IF($A528="","",IFERROR(INDEX(土地清冊_匯入!$I$6:$I$1005,MATCH($A528,土地清冊_匯入!$A$6:$A$1005,0)),""))</f>
        <v/>
      </c>
      <c r="F528" s="13">
        <f>IF($A528="","",IFERROR(INDEX(建物清冊_匯入!$N$6:$N$1005,MATCH($A528,建物清冊_匯入!$A$6:$A$1005,0)),""))</f>
        <v/>
      </c>
      <c r="G528" s="9">
        <f>IF($A528="","",IFERROR(INDEX(建物清冊_匯入!$S$6:$S$1005,MATCH($A528,建物清冊_匯入!$A$6:$A$1005,0)),""))</f>
        <v/>
      </c>
      <c r="H528" s="7" t="n"/>
      <c r="I528" s="15" t="n"/>
      <c r="J528" s="16" t="n"/>
      <c r="K528" s="17">
        <f>IF(J528="","",1-J528)</f>
        <v/>
      </c>
      <c r="L528" s="15" t="n"/>
      <c r="M528" s="7" t="n"/>
      <c r="N528" s="7" t="n"/>
      <c r="O528" s="7" t="n"/>
      <c r="P528" s="11" t="n"/>
      <c r="Q528" s="7" t="n"/>
      <c r="R528" s="7" t="n"/>
      <c r="S528" s="7" t="n"/>
      <c r="T528" s="7" t="n"/>
      <c r="U528" s="12">
        <f>IF(A528="","",IF(H528="","建議填分配模式",""))</f>
        <v/>
      </c>
    </row>
    <row r="529" ht="24" customHeight="1">
      <c r="A529" s="7" t="n"/>
      <c r="B529" s="7" t="n"/>
      <c r="C529" s="7" t="n"/>
      <c r="D529" s="12">
        <f>IF($A529="","",IFERROR(INDEX(土地清冊_匯入!$B$6:$B$1005,MATCH($A529,土地清冊_匯入!$A$6:$A$1005,0)),"查無資料"))</f>
        <v/>
      </c>
      <c r="E529" s="9">
        <f>IF($A529="","",IFERROR(INDEX(土地清冊_匯入!$I$6:$I$1005,MATCH($A529,土地清冊_匯入!$A$6:$A$1005,0)),""))</f>
        <v/>
      </c>
      <c r="F529" s="13">
        <f>IF($A529="","",IFERROR(INDEX(建物清冊_匯入!$N$6:$N$1005,MATCH($A529,建物清冊_匯入!$A$6:$A$1005,0)),""))</f>
        <v/>
      </c>
      <c r="G529" s="9">
        <f>IF($A529="","",IFERROR(INDEX(建物清冊_匯入!$S$6:$S$1005,MATCH($A529,建物清冊_匯入!$A$6:$A$1005,0)),""))</f>
        <v/>
      </c>
      <c r="H529" s="7" t="n"/>
      <c r="I529" s="15" t="n"/>
      <c r="J529" s="16" t="n"/>
      <c r="K529" s="17">
        <f>IF(J529="","",1-J529)</f>
        <v/>
      </c>
      <c r="L529" s="15" t="n"/>
      <c r="M529" s="7" t="n"/>
      <c r="N529" s="7" t="n"/>
      <c r="O529" s="7" t="n"/>
      <c r="P529" s="11" t="n"/>
      <c r="Q529" s="7" t="n"/>
      <c r="R529" s="7" t="n"/>
      <c r="S529" s="7" t="n"/>
      <c r="T529" s="7" t="n"/>
      <c r="U529" s="12">
        <f>IF(A529="","",IF(H529="","建議填分配模式",""))</f>
        <v/>
      </c>
    </row>
    <row r="530" ht="24" customHeight="1">
      <c r="A530" s="7" t="n"/>
      <c r="B530" s="7" t="n"/>
      <c r="C530" s="7" t="n"/>
      <c r="D530" s="12">
        <f>IF($A530="","",IFERROR(INDEX(土地清冊_匯入!$B$6:$B$1005,MATCH($A530,土地清冊_匯入!$A$6:$A$1005,0)),"查無資料"))</f>
        <v/>
      </c>
      <c r="E530" s="9">
        <f>IF($A530="","",IFERROR(INDEX(土地清冊_匯入!$I$6:$I$1005,MATCH($A530,土地清冊_匯入!$A$6:$A$1005,0)),""))</f>
        <v/>
      </c>
      <c r="F530" s="13">
        <f>IF($A530="","",IFERROR(INDEX(建物清冊_匯入!$N$6:$N$1005,MATCH($A530,建物清冊_匯入!$A$6:$A$1005,0)),""))</f>
        <v/>
      </c>
      <c r="G530" s="9">
        <f>IF($A530="","",IFERROR(INDEX(建物清冊_匯入!$S$6:$S$1005,MATCH($A530,建物清冊_匯入!$A$6:$A$1005,0)),""))</f>
        <v/>
      </c>
      <c r="H530" s="7" t="n"/>
      <c r="I530" s="15" t="n"/>
      <c r="J530" s="16" t="n"/>
      <c r="K530" s="17">
        <f>IF(J530="","",1-J530)</f>
        <v/>
      </c>
      <c r="L530" s="15" t="n"/>
      <c r="M530" s="7" t="n"/>
      <c r="N530" s="7" t="n"/>
      <c r="O530" s="7" t="n"/>
      <c r="P530" s="11" t="n"/>
      <c r="Q530" s="7" t="n"/>
      <c r="R530" s="7" t="n"/>
      <c r="S530" s="7" t="n"/>
      <c r="T530" s="7" t="n"/>
      <c r="U530" s="12">
        <f>IF(A530="","",IF(H530="","建議填分配模式",""))</f>
        <v/>
      </c>
    </row>
    <row r="531" ht="24" customHeight="1">
      <c r="A531" s="7" t="n"/>
      <c r="B531" s="7" t="n"/>
      <c r="C531" s="7" t="n"/>
      <c r="D531" s="12">
        <f>IF($A531="","",IFERROR(INDEX(土地清冊_匯入!$B$6:$B$1005,MATCH($A531,土地清冊_匯入!$A$6:$A$1005,0)),"查無資料"))</f>
        <v/>
      </c>
      <c r="E531" s="9">
        <f>IF($A531="","",IFERROR(INDEX(土地清冊_匯入!$I$6:$I$1005,MATCH($A531,土地清冊_匯入!$A$6:$A$1005,0)),""))</f>
        <v/>
      </c>
      <c r="F531" s="13">
        <f>IF($A531="","",IFERROR(INDEX(建物清冊_匯入!$N$6:$N$1005,MATCH($A531,建物清冊_匯入!$A$6:$A$1005,0)),""))</f>
        <v/>
      </c>
      <c r="G531" s="9">
        <f>IF($A531="","",IFERROR(INDEX(建物清冊_匯入!$S$6:$S$1005,MATCH($A531,建物清冊_匯入!$A$6:$A$1005,0)),""))</f>
        <v/>
      </c>
      <c r="H531" s="7" t="n"/>
      <c r="I531" s="15" t="n"/>
      <c r="J531" s="16" t="n"/>
      <c r="K531" s="17">
        <f>IF(J531="","",1-J531)</f>
        <v/>
      </c>
      <c r="L531" s="15" t="n"/>
      <c r="M531" s="7" t="n"/>
      <c r="N531" s="7" t="n"/>
      <c r="O531" s="7" t="n"/>
      <c r="P531" s="11" t="n"/>
      <c r="Q531" s="7" t="n"/>
      <c r="R531" s="7" t="n"/>
      <c r="S531" s="7" t="n"/>
      <c r="T531" s="7" t="n"/>
      <c r="U531" s="12">
        <f>IF(A531="","",IF(H531="","建議填分配模式",""))</f>
        <v/>
      </c>
    </row>
    <row r="532" ht="24" customHeight="1">
      <c r="A532" s="7" t="n"/>
      <c r="B532" s="7" t="n"/>
      <c r="C532" s="7" t="n"/>
      <c r="D532" s="12">
        <f>IF($A532="","",IFERROR(INDEX(土地清冊_匯入!$B$6:$B$1005,MATCH($A532,土地清冊_匯入!$A$6:$A$1005,0)),"查無資料"))</f>
        <v/>
      </c>
      <c r="E532" s="9">
        <f>IF($A532="","",IFERROR(INDEX(土地清冊_匯入!$I$6:$I$1005,MATCH($A532,土地清冊_匯入!$A$6:$A$1005,0)),""))</f>
        <v/>
      </c>
      <c r="F532" s="13">
        <f>IF($A532="","",IFERROR(INDEX(建物清冊_匯入!$N$6:$N$1005,MATCH($A532,建物清冊_匯入!$A$6:$A$1005,0)),""))</f>
        <v/>
      </c>
      <c r="G532" s="9">
        <f>IF($A532="","",IFERROR(INDEX(建物清冊_匯入!$S$6:$S$1005,MATCH($A532,建物清冊_匯入!$A$6:$A$1005,0)),""))</f>
        <v/>
      </c>
      <c r="H532" s="7" t="n"/>
      <c r="I532" s="15" t="n"/>
      <c r="J532" s="16" t="n"/>
      <c r="K532" s="17">
        <f>IF(J532="","",1-J532)</f>
        <v/>
      </c>
      <c r="L532" s="15" t="n"/>
      <c r="M532" s="7" t="n"/>
      <c r="N532" s="7" t="n"/>
      <c r="O532" s="7" t="n"/>
      <c r="P532" s="11" t="n"/>
      <c r="Q532" s="7" t="n"/>
      <c r="R532" s="7" t="n"/>
      <c r="S532" s="7" t="n"/>
      <c r="T532" s="7" t="n"/>
      <c r="U532" s="12">
        <f>IF(A532="","",IF(H532="","建議填分配模式",""))</f>
        <v/>
      </c>
    </row>
    <row r="533" ht="24" customHeight="1">
      <c r="A533" s="7" t="n"/>
      <c r="B533" s="7" t="n"/>
      <c r="C533" s="7" t="n"/>
      <c r="D533" s="12">
        <f>IF($A533="","",IFERROR(INDEX(土地清冊_匯入!$B$6:$B$1005,MATCH($A533,土地清冊_匯入!$A$6:$A$1005,0)),"查無資料"))</f>
        <v/>
      </c>
      <c r="E533" s="9">
        <f>IF($A533="","",IFERROR(INDEX(土地清冊_匯入!$I$6:$I$1005,MATCH($A533,土地清冊_匯入!$A$6:$A$1005,0)),""))</f>
        <v/>
      </c>
      <c r="F533" s="13">
        <f>IF($A533="","",IFERROR(INDEX(建物清冊_匯入!$N$6:$N$1005,MATCH($A533,建物清冊_匯入!$A$6:$A$1005,0)),""))</f>
        <v/>
      </c>
      <c r="G533" s="9">
        <f>IF($A533="","",IFERROR(INDEX(建物清冊_匯入!$S$6:$S$1005,MATCH($A533,建物清冊_匯入!$A$6:$A$1005,0)),""))</f>
        <v/>
      </c>
      <c r="H533" s="7" t="n"/>
      <c r="I533" s="15" t="n"/>
      <c r="J533" s="16" t="n"/>
      <c r="K533" s="17">
        <f>IF(J533="","",1-J533)</f>
        <v/>
      </c>
      <c r="L533" s="15" t="n"/>
      <c r="M533" s="7" t="n"/>
      <c r="N533" s="7" t="n"/>
      <c r="O533" s="7" t="n"/>
      <c r="P533" s="11" t="n"/>
      <c r="Q533" s="7" t="n"/>
      <c r="R533" s="7" t="n"/>
      <c r="S533" s="7" t="n"/>
      <c r="T533" s="7" t="n"/>
      <c r="U533" s="12">
        <f>IF(A533="","",IF(H533="","建議填分配模式",""))</f>
        <v/>
      </c>
    </row>
    <row r="534" ht="24" customHeight="1">
      <c r="A534" s="7" t="n"/>
      <c r="B534" s="7" t="n"/>
      <c r="C534" s="7" t="n"/>
      <c r="D534" s="12">
        <f>IF($A534="","",IFERROR(INDEX(土地清冊_匯入!$B$6:$B$1005,MATCH($A534,土地清冊_匯入!$A$6:$A$1005,0)),"查無資料"))</f>
        <v/>
      </c>
      <c r="E534" s="9">
        <f>IF($A534="","",IFERROR(INDEX(土地清冊_匯入!$I$6:$I$1005,MATCH($A534,土地清冊_匯入!$A$6:$A$1005,0)),""))</f>
        <v/>
      </c>
      <c r="F534" s="13">
        <f>IF($A534="","",IFERROR(INDEX(建物清冊_匯入!$N$6:$N$1005,MATCH($A534,建物清冊_匯入!$A$6:$A$1005,0)),""))</f>
        <v/>
      </c>
      <c r="G534" s="9">
        <f>IF($A534="","",IFERROR(INDEX(建物清冊_匯入!$S$6:$S$1005,MATCH($A534,建物清冊_匯入!$A$6:$A$1005,0)),""))</f>
        <v/>
      </c>
      <c r="H534" s="7" t="n"/>
      <c r="I534" s="15" t="n"/>
      <c r="J534" s="16" t="n"/>
      <c r="K534" s="17">
        <f>IF(J534="","",1-J534)</f>
        <v/>
      </c>
      <c r="L534" s="15" t="n"/>
      <c r="M534" s="7" t="n"/>
      <c r="N534" s="7" t="n"/>
      <c r="O534" s="7" t="n"/>
      <c r="P534" s="11" t="n"/>
      <c r="Q534" s="7" t="n"/>
      <c r="R534" s="7" t="n"/>
      <c r="S534" s="7" t="n"/>
      <c r="T534" s="7" t="n"/>
      <c r="U534" s="12">
        <f>IF(A534="","",IF(H534="","建議填分配模式",""))</f>
        <v/>
      </c>
    </row>
    <row r="535" ht="24" customHeight="1">
      <c r="A535" s="7" t="n"/>
      <c r="B535" s="7" t="n"/>
      <c r="C535" s="7" t="n"/>
      <c r="D535" s="12">
        <f>IF($A535="","",IFERROR(INDEX(土地清冊_匯入!$B$6:$B$1005,MATCH($A535,土地清冊_匯入!$A$6:$A$1005,0)),"查無資料"))</f>
        <v/>
      </c>
      <c r="E535" s="9">
        <f>IF($A535="","",IFERROR(INDEX(土地清冊_匯入!$I$6:$I$1005,MATCH($A535,土地清冊_匯入!$A$6:$A$1005,0)),""))</f>
        <v/>
      </c>
      <c r="F535" s="13">
        <f>IF($A535="","",IFERROR(INDEX(建物清冊_匯入!$N$6:$N$1005,MATCH($A535,建物清冊_匯入!$A$6:$A$1005,0)),""))</f>
        <v/>
      </c>
      <c r="G535" s="9">
        <f>IF($A535="","",IFERROR(INDEX(建物清冊_匯入!$S$6:$S$1005,MATCH($A535,建物清冊_匯入!$A$6:$A$1005,0)),""))</f>
        <v/>
      </c>
      <c r="H535" s="7" t="n"/>
      <c r="I535" s="15" t="n"/>
      <c r="J535" s="16" t="n"/>
      <c r="K535" s="17">
        <f>IF(J535="","",1-J535)</f>
        <v/>
      </c>
      <c r="L535" s="15" t="n"/>
      <c r="M535" s="7" t="n"/>
      <c r="N535" s="7" t="n"/>
      <c r="O535" s="7" t="n"/>
      <c r="P535" s="11" t="n"/>
      <c r="Q535" s="7" t="n"/>
      <c r="R535" s="7" t="n"/>
      <c r="S535" s="7" t="n"/>
      <c r="T535" s="7" t="n"/>
      <c r="U535" s="12">
        <f>IF(A535="","",IF(H535="","建議填分配模式",""))</f>
        <v/>
      </c>
    </row>
    <row r="536" ht="24" customHeight="1">
      <c r="A536" s="7" t="n"/>
      <c r="B536" s="7" t="n"/>
      <c r="C536" s="7" t="n"/>
      <c r="D536" s="12">
        <f>IF($A536="","",IFERROR(INDEX(土地清冊_匯入!$B$6:$B$1005,MATCH($A536,土地清冊_匯入!$A$6:$A$1005,0)),"查無資料"))</f>
        <v/>
      </c>
      <c r="E536" s="9">
        <f>IF($A536="","",IFERROR(INDEX(土地清冊_匯入!$I$6:$I$1005,MATCH($A536,土地清冊_匯入!$A$6:$A$1005,0)),""))</f>
        <v/>
      </c>
      <c r="F536" s="13">
        <f>IF($A536="","",IFERROR(INDEX(建物清冊_匯入!$N$6:$N$1005,MATCH($A536,建物清冊_匯入!$A$6:$A$1005,0)),""))</f>
        <v/>
      </c>
      <c r="G536" s="9">
        <f>IF($A536="","",IFERROR(INDEX(建物清冊_匯入!$S$6:$S$1005,MATCH($A536,建物清冊_匯入!$A$6:$A$1005,0)),""))</f>
        <v/>
      </c>
      <c r="H536" s="7" t="n"/>
      <c r="I536" s="15" t="n"/>
      <c r="J536" s="16" t="n"/>
      <c r="K536" s="17">
        <f>IF(J536="","",1-J536)</f>
        <v/>
      </c>
      <c r="L536" s="15" t="n"/>
      <c r="M536" s="7" t="n"/>
      <c r="N536" s="7" t="n"/>
      <c r="O536" s="7" t="n"/>
      <c r="P536" s="11" t="n"/>
      <c r="Q536" s="7" t="n"/>
      <c r="R536" s="7" t="n"/>
      <c r="S536" s="7" t="n"/>
      <c r="T536" s="7" t="n"/>
      <c r="U536" s="12">
        <f>IF(A536="","",IF(H536="","建議填分配模式",""))</f>
        <v/>
      </c>
    </row>
    <row r="537" ht="24" customHeight="1">
      <c r="A537" s="7" t="n"/>
      <c r="B537" s="7" t="n"/>
      <c r="C537" s="7" t="n"/>
      <c r="D537" s="12">
        <f>IF($A537="","",IFERROR(INDEX(土地清冊_匯入!$B$6:$B$1005,MATCH($A537,土地清冊_匯入!$A$6:$A$1005,0)),"查無資料"))</f>
        <v/>
      </c>
      <c r="E537" s="9">
        <f>IF($A537="","",IFERROR(INDEX(土地清冊_匯入!$I$6:$I$1005,MATCH($A537,土地清冊_匯入!$A$6:$A$1005,0)),""))</f>
        <v/>
      </c>
      <c r="F537" s="13">
        <f>IF($A537="","",IFERROR(INDEX(建物清冊_匯入!$N$6:$N$1005,MATCH($A537,建物清冊_匯入!$A$6:$A$1005,0)),""))</f>
        <v/>
      </c>
      <c r="G537" s="9">
        <f>IF($A537="","",IFERROR(INDEX(建物清冊_匯入!$S$6:$S$1005,MATCH($A537,建物清冊_匯入!$A$6:$A$1005,0)),""))</f>
        <v/>
      </c>
      <c r="H537" s="7" t="n"/>
      <c r="I537" s="15" t="n"/>
      <c r="J537" s="16" t="n"/>
      <c r="K537" s="17">
        <f>IF(J537="","",1-J537)</f>
        <v/>
      </c>
      <c r="L537" s="15" t="n"/>
      <c r="M537" s="7" t="n"/>
      <c r="N537" s="7" t="n"/>
      <c r="O537" s="7" t="n"/>
      <c r="P537" s="11" t="n"/>
      <c r="Q537" s="7" t="n"/>
      <c r="R537" s="7" t="n"/>
      <c r="S537" s="7" t="n"/>
      <c r="T537" s="7" t="n"/>
      <c r="U537" s="12">
        <f>IF(A537="","",IF(H537="","建議填分配模式",""))</f>
        <v/>
      </c>
    </row>
    <row r="538" ht="24" customHeight="1">
      <c r="A538" s="7" t="n"/>
      <c r="B538" s="7" t="n"/>
      <c r="C538" s="7" t="n"/>
      <c r="D538" s="12">
        <f>IF($A538="","",IFERROR(INDEX(土地清冊_匯入!$B$6:$B$1005,MATCH($A538,土地清冊_匯入!$A$6:$A$1005,0)),"查無資料"))</f>
        <v/>
      </c>
      <c r="E538" s="9">
        <f>IF($A538="","",IFERROR(INDEX(土地清冊_匯入!$I$6:$I$1005,MATCH($A538,土地清冊_匯入!$A$6:$A$1005,0)),""))</f>
        <v/>
      </c>
      <c r="F538" s="13">
        <f>IF($A538="","",IFERROR(INDEX(建物清冊_匯入!$N$6:$N$1005,MATCH($A538,建物清冊_匯入!$A$6:$A$1005,0)),""))</f>
        <v/>
      </c>
      <c r="G538" s="9">
        <f>IF($A538="","",IFERROR(INDEX(建物清冊_匯入!$S$6:$S$1005,MATCH($A538,建物清冊_匯入!$A$6:$A$1005,0)),""))</f>
        <v/>
      </c>
      <c r="H538" s="7" t="n"/>
      <c r="I538" s="15" t="n"/>
      <c r="J538" s="16" t="n"/>
      <c r="K538" s="17">
        <f>IF(J538="","",1-J538)</f>
        <v/>
      </c>
      <c r="L538" s="15" t="n"/>
      <c r="M538" s="7" t="n"/>
      <c r="N538" s="7" t="n"/>
      <c r="O538" s="7" t="n"/>
      <c r="P538" s="11" t="n"/>
      <c r="Q538" s="7" t="n"/>
      <c r="R538" s="7" t="n"/>
      <c r="S538" s="7" t="n"/>
      <c r="T538" s="7" t="n"/>
      <c r="U538" s="12">
        <f>IF(A538="","",IF(H538="","建議填分配模式",""))</f>
        <v/>
      </c>
    </row>
    <row r="539" ht="24" customHeight="1">
      <c r="A539" s="7" t="n"/>
      <c r="B539" s="7" t="n"/>
      <c r="C539" s="7" t="n"/>
      <c r="D539" s="12">
        <f>IF($A539="","",IFERROR(INDEX(土地清冊_匯入!$B$6:$B$1005,MATCH($A539,土地清冊_匯入!$A$6:$A$1005,0)),"查無資料"))</f>
        <v/>
      </c>
      <c r="E539" s="9">
        <f>IF($A539="","",IFERROR(INDEX(土地清冊_匯入!$I$6:$I$1005,MATCH($A539,土地清冊_匯入!$A$6:$A$1005,0)),""))</f>
        <v/>
      </c>
      <c r="F539" s="13">
        <f>IF($A539="","",IFERROR(INDEX(建物清冊_匯入!$N$6:$N$1005,MATCH($A539,建物清冊_匯入!$A$6:$A$1005,0)),""))</f>
        <v/>
      </c>
      <c r="G539" s="9">
        <f>IF($A539="","",IFERROR(INDEX(建物清冊_匯入!$S$6:$S$1005,MATCH($A539,建物清冊_匯入!$A$6:$A$1005,0)),""))</f>
        <v/>
      </c>
      <c r="H539" s="7" t="n"/>
      <c r="I539" s="15" t="n"/>
      <c r="J539" s="16" t="n"/>
      <c r="K539" s="17">
        <f>IF(J539="","",1-J539)</f>
        <v/>
      </c>
      <c r="L539" s="15" t="n"/>
      <c r="M539" s="7" t="n"/>
      <c r="N539" s="7" t="n"/>
      <c r="O539" s="7" t="n"/>
      <c r="P539" s="11" t="n"/>
      <c r="Q539" s="7" t="n"/>
      <c r="R539" s="7" t="n"/>
      <c r="S539" s="7" t="n"/>
      <c r="T539" s="7" t="n"/>
      <c r="U539" s="12">
        <f>IF(A539="","",IF(H539="","建議填分配模式",""))</f>
        <v/>
      </c>
    </row>
    <row r="540" ht="24" customHeight="1">
      <c r="A540" s="7" t="n"/>
      <c r="B540" s="7" t="n"/>
      <c r="C540" s="7" t="n"/>
      <c r="D540" s="12">
        <f>IF($A540="","",IFERROR(INDEX(土地清冊_匯入!$B$6:$B$1005,MATCH($A540,土地清冊_匯入!$A$6:$A$1005,0)),"查無資料"))</f>
        <v/>
      </c>
      <c r="E540" s="9">
        <f>IF($A540="","",IFERROR(INDEX(土地清冊_匯入!$I$6:$I$1005,MATCH($A540,土地清冊_匯入!$A$6:$A$1005,0)),""))</f>
        <v/>
      </c>
      <c r="F540" s="13">
        <f>IF($A540="","",IFERROR(INDEX(建物清冊_匯入!$N$6:$N$1005,MATCH($A540,建物清冊_匯入!$A$6:$A$1005,0)),""))</f>
        <v/>
      </c>
      <c r="G540" s="9">
        <f>IF($A540="","",IFERROR(INDEX(建物清冊_匯入!$S$6:$S$1005,MATCH($A540,建物清冊_匯入!$A$6:$A$1005,0)),""))</f>
        <v/>
      </c>
      <c r="H540" s="7" t="n"/>
      <c r="I540" s="15" t="n"/>
      <c r="J540" s="16" t="n"/>
      <c r="K540" s="17">
        <f>IF(J540="","",1-J540)</f>
        <v/>
      </c>
      <c r="L540" s="15" t="n"/>
      <c r="M540" s="7" t="n"/>
      <c r="N540" s="7" t="n"/>
      <c r="O540" s="7" t="n"/>
      <c r="P540" s="11" t="n"/>
      <c r="Q540" s="7" t="n"/>
      <c r="R540" s="7" t="n"/>
      <c r="S540" s="7" t="n"/>
      <c r="T540" s="7" t="n"/>
      <c r="U540" s="12">
        <f>IF(A540="","",IF(H540="","建議填分配模式",""))</f>
        <v/>
      </c>
    </row>
    <row r="541" ht="24" customHeight="1">
      <c r="A541" s="7" t="n"/>
      <c r="B541" s="7" t="n"/>
      <c r="C541" s="7" t="n"/>
      <c r="D541" s="12">
        <f>IF($A541="","",IFERROR(INDEX(土地清冊_匯入!$B$6:$B$1005,MATCH($A541,土地清冊_匯入!$A$6:$A$1005,0)),"查無資料"))</f>
        <v/>
      </c>
      <c r="E541" s="9">
        <f>IF($A541="","",IFERROR(INDEX(土地清冊_匯入!$I$6:$I$1005,MATCH($A541,土地清冊_匯入!$A$6:$A$1005,0)),""))</f>
        <v/>
      </c>
      <c r="F541" s="13">
        <f>IF($A541="","",IFERROR(INDEX(建物清冊_匯入!$N$6:$N$1005,MATCH($A541,建物清冊_匯入!$A$6:$A$1005,0)),""))</f>
        <v/>
      </c>
      <c r="G541" s="9">
        <f>IF($A541="","",IFERROR(INDEX(建物清冊_匯入!$S$6:$S$1005,MATCH($A541,建物清冊_匯入!$A$6:$A$1005,0)),""))</f>
        <v/>
      </c>
      <c r="H541" s="7" t="n"/>
      <c r="I541" s="15" t="n"/>
      <c r="J541" s="16" t="n"/>
      <c r="K541" s="17">
        <f>IF(J541="","",1-J541)</f>
        <v/>
      </c>
      <c r="L541" s="15" t="n"/>
      <c r="M541" s="7" t="n"/>
      <c r="N541" s="7" t="n"/>
      <c r="O541" s="7" t="n"/>
      <c r="P541" s="11" t="n"/>
      <c r="Q541" s="7" t="n"/>
      <c r="R541" s="7" t="n"/>
      <c r="S541" s="7" t="n"/>
      <c r="T541" s="7" t="n"/>
      <c r="U541" s="12">
        <f>IF(A541="","",IF(H541="","建議填分配模式",""))</f>
        <v/>
      </c>
    </row>
    <row r="542" ht="24" customHeight="1">
      <c r="A542" s="7" t="n"/>
      <c r="B542" s="7" t="n"/>
      <c r="C542" s="7" t="n"/>
      <c r="D542" s="12">
        <f>IF($A542="","",IFERROR(INDEX(土地清冊_匯入!$B$6:$B$1005,MATCH($A542,土地清冊_匯入!$A$6:$A$1005,0)),"查無資料"))</f>
        <v/>
      </c>
      <c r="E542" s="9">
        <f>IF($A542="","",IFERROR(INDEX(土地清冊_匯入!$I$6:$I$1005,MATCH($A542,土地清冊_匯入!$A$6:$A$1005,0)),""))</f>
        <v/>
      </c>
      <c r="F542" s="13">
        <f>IF($A542="","",IFERROR(INDEX(建物清冊_匯入!$N$6:$N$1005,MATCH($A542,建物清冊_匯入!$A$6:$A$1005,0)),""))</f>
        <v/>
      </c>
      <c r="G542" s="9">
        <f>IF($A542="","",IFERROR(INDEX(建物清冊_匯入!$S$6:$S$1005,MATCH($A542,建物清冊_匯入!$A$6:$A$1005,0)),""))</f>
        <v/>
      </c>
      <c r="H542" s="7" t="n"/>
      <c r="I542" s="15" t="n"/>
      <c r="J542" s="16" t="n"/>
      <c r="K542" s="17">
        <f>IF(J542="","",1-J542)</f>
        <v/>
      </c>
      <c r="L542" s="15" t="n"/>
      <c r="M542" s="7" t="n"/>
      <c r="N542" s="7" t="n"/>
      <c r="O542" s="7" t="n"/>
      <c r="P542" s="11" t="n"/>
      <c r="Q542" s="7" t="n"/>
      <c r="R542" s="7" t="n"/>
      <c r="S542" s="7" t="n"/>
      <c r="T542" s="7" t="n"/>
      <c r="U542" s="12">
        <f>IF(A542="","",IF(H542="","建議填分配模式",""))</f>
        <v/>
      </c>
    </row>
    <row r="543" ht="24" customHeight="1">
      <c r="A543" s="7" t="n"/>
      <c r="B543" s="7" t="n"/>
      <c r="C543" s="7" t="n"/>
      <c r="D543" s="12">
        <f>IF($A543="","",IFERROR(INDEX(土地清冊_匯入!$B$6:$B$1005,MATCH($A543,土地清冊_匯入!$A$6:$A$1005,0)),"查無資料"))</f>
        <v/>
      </c>
      <c r="E543" s="9">
        <f>IF($A543="","",IFERROR(INDEX(土地清冊_匯入!$I$6:$I$1005,MATCH($A543,土地清冊_匯入!$A$6:$A$1005,0)),""))</f>
        <v/>
      </c>
      <c r="F543" s="13">
        <f>IF($A543="","",IFERROR(INDEX(建物清冊_匯入!$N$6:$N$1005,MATCH($A543,建物清冊_匯入!$A$6:$A$1005,0)),""))</f>
        <v/>
      </c>
      <c r="G543" s="9">
        <f>IF($A543="","",IFERROR(INDEX(建物清冊_匯入!$S$6:$S$1005,MATCH($A543,建物清冊_匯入!$A$6:$A$1005,0)),""))</f>
        <v/>
      </c>
      <c r="H543" s="7" t="n"/>
      <c r="I543" s="15" t="n"/>
      <c r="J543" s="16" t="n"/>
      <c r="K543" s="17">
        <f>IF(J543="","",1-J543)</f>
        <v/>
      </c>
      <c r="L543" s="15" t="n"/>
      <c r="M543" s="7" t="n"/>
      <c r="N543" s="7" t="n"/>
      <c r="O543" s="7" t="n"/>
      <c r="P543" s="11" t="n"/>
      <c r="Q543" s="7" t="n"/>
      <c r="R543" s="7" t="n"/>
      <c r="S543" s="7" t="n"/>
      <c r="T543" s="7" t="n"/>
      <c r="U543" s="12">
        <f>IF(A543="","",IF(H543="","建議填分配模式",""))</f>
        <v/>
      </c>
    </row>
    <row r="544" ht="24" customHeight="1">
      <c r="A544" s="7" t="n"/>
      <c r="B544" s="7" t="n"/>
      <c r="C544" s="7" t="n"/>
      <c r="D544" s="12">
        <f>IF($A544="","",IFERROR(INDEX(土地清冊_匯入!$B$6:$B$1005,MATCH($A544,土地清冊_匯入!$A$6:$A$1005,0)),"查無資料"))</f>
        <v/>
      </c>
      <c r="E544" s="9">
        <f>IF($A544="","",IFERROR(INDEX(土地清冊_匯入!$I$6:$I$1005,MATCH($A544,土地清冊_匯入!$A$6:$A$1005,0)),""))</f>
        <v/>
      </c>
      <c r="F544" s="13">
        <f>IF($A544="","",IFERROR(INDEX(建物清冊_匯入!$N$6:$N$1005,MATCH($A544,建物清冊_匯入!$A$6:$A$1005,0)),""))</f>
        <v/>
      </c>
      <c r="G544" s="9">
        <f>IF($A544="","",IFERROR(INDEX(建物清冊_匯入!$S$6:$S$1005,MATCH($A544,建物清冊_匯入!$A$6:$A$1005,0)),""))</f>
        <v/>
      </c>
      <c r="H544" s="7" t="n"/>
      <c r="I544" s="15" t="n"/>
      <c r="J544" s="16" t="n"/>
      <c r="K544" s="17">
        <f>IF(J544="","",1-J544)</f>
        <v/>
      </c>
      <c r="L544" s="15" t="n"/>
      <c r="M544" s="7" t="n"/>
      <c r="N544" s="7" t="n"/>
      <c r="O544" s="7" t="n"/>
      <c r="P544" s="11" t="n"/>
      <c r="Q544" s="7" t="n"/>
      <c r="R544" s="7" t="n"/>
      <c r="S544" s="7" t="n"/>
      <c r="T544" s="7" t="n"/>
      <c r="U544" s="12">
        <f>IF(A544="","",IF(H544="","建議填分配模式",""))</f>
        <v/>
      </c>
    </row>
    <row r="545" ht="24" customHeight="1">
      <c r="A545" s="7" t="n"/>
      <c r="B545" s="7" t="n"/>
      <c r="C545" s="7" t="n"/>
      <c r="D545" s="12">
        <f>IF($A545="","",IFERROR(INDEX(土地清冊_匯入!$B$6:$B$1005,MATCH($A545,土地清冊_匯入!$A$6:$A$1005,0)),"查無資料"))</f>
        <v/>
      </c>
      <c r="E545" s="9">
        <f>IF($A545="","",IFERROR(INDEX(土地清冊_匯入!$I$6:$I$1005,MATCH($A545,土地清冊_匯入!$A$6:$A$1005,0)),""))</f>
        <v/>
      </c>
      <c r="F545" s="13">
        <f>IF($A545="","",IFERROR(INDEX(建物清冊_匯入!$N$6:$N$1005,MATCH($A545,建物清冊_匯入!$A$6:$A$1005,0)),""))</f>
        <v/>
      </c>
      <c r="G545" s="9">
        <f>IF($A545="","",IFERROR(INDEX(建物清冊_匯入!$S$6:$S$1005,MATCH($A545,建物清冊_匯入!$A$6:$A$1005,0)),""))</f>
        <v/>
      </c>
      <c r="H545" s="7" t="n"/>
      <c r="I545" s="15" t="n"/>
      <c r="J545" s="16" t="n"/>
      <c r="K545" s="17">
        <f>IF(J545="","",1-J545)</f>
        <v/>
      </c>
      <c r="L545" s="15" t="n"/>
      <c r="M545" s="7" t="n"/>
      <c r="N545" s="7" t="n"/>
      <c r="O545" s="7" t="n"/>
      <c r="P545" s="11" t="n"/>
      <c r="Q545" s="7" t="n"/>
      <c r="R545" s="7" t="n"/>
      <c r="S545" s="7" t="n"/>
      <c r="T545" s="7" t="n"/>
      <c r="U545" s="12">
        <f>IF(A545="","",IF(H545="","建議填分配模式",""))</f>
        <v/>
      </c>
    </row>
    <row r="546" ht="24" customHeight="1">
      <c r="A546" s="7" t="n"/>
      <c r="B546" s="7" t="n"/>
      <c r="C546" s="7" t="n"/>
      <c r="D546" s="12">
        <f>IF($A546="","",IFERROR(INDEX(土地清冊_匯入!$B$6:$B$1005,MATCH($A546,土地清冊_匯入!$A$6:$A$1005,0)),"查無資料"))</f>
        <v/>
      </c>
      <c r="E546" s="9">
        <f>IF($A546="","",IFERROR(INDEX(土地清冊_匯入!$I$6:$I$1005,MATCH($A546,土地清冊_匯入!$A$6:$A$1005,0)),""))</f>
        <v/>
      </c>
      <c r="F546" s="13">
        <f>IF($A546="","",IFERROR(INDEX(建物清冊_匯入!$N$6:$N$1005,MATCH($A546,建物清冊_匯入!$A$6:$A$1005,0)),""))</f>
        <v/>
      </c>
      <c r="G546" s="9">
        <f>IF($A546="","",IFERROR(INDEX(建物清冊_匯入!$S$6:$S$1005,MATCH($A546,建物清冊_匯入!$A$6:$A$1005,0)),""))</f>
        <v/>
      </c>
      <c r="H546" s="7" t="n"/>
      <c r="I546" s="15" t="n"/>
      <c r="J546" s="16" t="n"/>
      <c r="K546" s="17">
        <f>IF(J546="","",1-J546)</f>
        <v/>
      </c>
      <c r="L546" s="15" t="n"/>
      <c r="M546" s="7" t="n"/>
      <c r="N546" s="7" t="n"/>
      <c r="O546" s="7" t="n"/>
      <c r="P546" s="11" t="n"/>
      <c r="Q546" s="7" t="n"/>
      <c r="R546" s="7" t="n"/>
      <c r="S546" s="7" t="n"/>
      <c r="T546" s="7" t="n"/>
      <c r="U546" s="12">
        <f>IF(A546="","",IF(H546="","建議填分配模式",""))</f>
        <v/>
      </c>
    </row>
    <row r="547" ht="24" customHeight="1">
      <c r="A547" s="7" t="n"/>
      <c r="B547" s="7" t="n"/>
      <c r="C547" s="7" t="n"/>
      <c r="D547" s="12">
        <f>IF($A547="","",IFERROR(INDEX(土地清冊_匯入!$B$6:$B$1005,MATCH($A547,土地清冊_匯入!$A$6:$A$1005,0)),"查無資料"))</f>
        <v/>
      </c>
      <c r="E547" s="9">
        <f>IF($A547="","",IFERROR(INDEX(土地清冊_匯入!$I$6:$I$1005,MATCH($A547,土地清冊_匯入!$A$6:$A$1005,0)),""))</f>
        <v/>
      </c>
      <c r="F547" s="13">
        <f>IF($A547="","",IFERROR(INDEX(建物清冊_匯入!$N$6:$N$1005,MATCH($A547,建物清冊_匯入!$A$6:$A$1005,0)),""))</f>
        <v/>
      </c>
      <c r="G547" s="9">
        <f>IF($A547="","",IFERROR(INDEX(建物清冊_匯入!$S$6:$S$1005,MATCH($A547,建物清冊_匯入!$A$6:$A$1005,0)),""))</f>
        <v/>
      </c>
      <c r="H547" s="7" t="n"/>
      <c r="I547" s="15" t="n"/>
      <c r="J547" s="16" t="n"/>
      <c r="K547" s="17">
        <f>IF(J547="","",1-J547)</f>
        <v/>
      </c>
      <c r="L547" s="15" t="n"/>
      <c r="M547" s="7" t="n"/>
      <c r="N547" s="7" t="n"/>
      <c r="O547" s="7" t="n"/>
      <c r="P547" s="11" t="n"/>
      <c r="Q547" s="7" t="n"/>
      <c r="R547" s="7" t="n"/>
      <c r="S547" s="7" t="n"/>
      <c r="T547" s="7" t="n"/>
      <c r="U547" s="12">
        <f>IF(A547="","",IF(H547="","建議填分配模式",""))</f>
        <v/>
      </c>
    </row>
    <row r="548" ht="24" customHeight="1">
      <c r="A548" s="7" t="n"/>
      <c r="B548" s="7" t="n"/>
      <c r="C548" s="7" t="n"/>
      <c r="D548" s="12">
        <f>IF($A548="","",IFERROR(INDEX(土地清冊_匯入!$B$6:$B$1005,MATCH($A548,土地清冊_匯入!$A$6:$A$1005,0)),"查無資料"))</f>
        <v/>
      </c>
      <c r="E548" s="9">
        <f>IF($A548="","",IFERROR(INDEX(土地清冊_匯入!$I$6:$I$1005,MATCH($A548,土地清冊_匯入!$A$6:$A$1005,0)),""))</f>
        <v/>
      </c>
      <c r="F548" s="13">
        <f>IF($A548="","",IFERROR(INDEX(建物清冊_匯入!$N$6:$N$1005,MATCH($A548,建物清冊_匯入!$A$6:$A$1005,0)),""))</f>
        <v/>
      </c>
      <c r="G548" s="9">
        <f>IF($A548="","",IFERROR(INDEX(建物清冊_匯入!$S$6:$S$1005,MATCH($A548,建物清冊_匯入!$A$6:$A$1005,0)),""))</f>
        <v/>
      </c>
      <c r="H548" s="7" t="n"/>
      <c r="I548" s="15" t="n"/>
      <c r="J548" s="16" t="n"/>
      <c r="K548" s="17">
        <f>IF(J548="","",1-J548)</f>
        <v/>
      </c>
      <c r="L548" s="15" t="n"/>
      <c r="M548" s="7" t="n"/>
      <c r="N548" s="7" t="n"/>
      <c r="O548" s="7" t="n"/>
      <c r="P548" s="11" t="n"/>
      <c r="Q548" s="7" t="n"/>
      <c r="R548" s="7" t="n"/>
      <c r="S548" s="7" t="n"/>
      <c r="T548" s="7" t="n"/>
      <c r="U548" s="12">
        <f>IF(A548="","",IF(H548="","建議填分配模式",""))</f>
        <v/>
      </c>
    </row>
    <row r="549" ht="24" customHeight="1">
      <c r="A549" s="7" t="n"/>
      <c r="B549" s="7" t="n"/>
      <c r="C549" s="7" t="n"/>
      <c r="D549" s="12">
        <f>IF($A549="","",IFERROR(INDEX(土地清冊_匯入!$B$6:$B$1005,MATCH($A549,土地清冊_匯入!$A$6:$A$1005,0)),"查無資料"))</f>
        <v/>
      </c>
      <c r="E549" s="9">
        <f>IF($A549="","",IFERROR(INDEX(土地清冊_匯入!$I$6:$I$1005,MATCH($A549,土地清冊_匯入!$A$6:$A$1005,0)),""))</f>
        <v/>
      </c>
      <c r="F549" s="13">
        <f>IF($A549="","",IFERROR(INDEX(建物清冊_匯入!$N$6:$N$1005,MATCH($A549,建物清冊_匯入!$A$6:$A$1005,0)),""))</f>
        <v/>
      </c>
      <c r="G549" s="9">
        <f>IF($A549="","",IFERROR(INDEX(建物清冊_匯入!$S$6:$S$1005,MATCH($A549,建物清冊_匯入!$A$6:$A$1005,0)),""))</f>
        <v/>
      </c>
      <c r="H549" s="7" t="n"/>
      <c r="I549" s="15" t="n"/>
      <c r="J549" s="16" t="n"/>
      <c r="K549" s="17">
        <f>IF(J549="","",1-J549)</f>
        <v/>
      </c>
      <c r="L549" s="15" t="n"/>
      <c r="M549" s="7" t="n"/>
      <c r="N549" s="7" t="n"/>
      <c r="O549" s="7" t="n"/>
      <c r="P549" s="11" t="n"/>
      <c r="Q549" s="7" t="n"/>
      <c r="R549" s="7" t="n"/>
      <c r="S549" s="7" t="n"/>
      <c r="T549" s="7" t="n"/>
      <c r="U549" s="12">
        <f>IF(A549="","",IF(H549="","建議填分配模式",""))</f>
        <v/>
      </c>
    </row>
    <row r="550" ht="24" customHeight="1">
      <c r="A550" s="7" t="n"/>
      <c r="B550" s="7" t="n"/>
      <c r="C550" s="7" t="n"/>
      <c r="D550" s="12">
        <f>IF($A550="","",IFERROR(INDEX(土地清冊_匯入!$B$6:$B$1005,MATCH($A550,土地清冊_匯入!$A$6:$A$1005,0)),"查無資料"))</f>
        <v/>
      </c>
      <c r="E550" s="9">
        <f>IF($A550="","",IFERROR(INDEX(土地清冊_匯入!$I$6:$I$1005,MATCH($A550,土地清冊_匯入!$A$6:$A$1005,0)),""))</f>
        <v/>
      </c>
      <c r="F550" s="13">
        <f>IF($A550="","",IFERROR(INDEX(建物清冊_匯入!$N$6:$N$1005,MATCH($A550,建物清冊_匯入!$A$6:$A$1005,0)),""))</f>
        <v/>
      </c>
      <c r="G550" s="9">
        <f>IF($A550="","",IFERROR(INDEX(建物清冊_匯入!$S$6:$S$1005,MATCH($A550,建物清冊_匯入!$A$6:$A$1005,0)),""))</f>
        <v/>
      </c>
      <c r="H550" s="7" t="n"/>
      <c r="I550" s="15" t="n"/>
      <c r="J550" s="16" t="n"/>
      <c r="K550" s="17">
        <f>IF(J550="","",1-J550)</f>
        <v/>
      </c>
      <c r="L550" s="15" t="n"/>
      <c r="M550" s="7" t="n"/>
      <c r="N550" s="7" t="n"/>
      <c r="O550" s="7" t="n"/>
      <c r="P550" s="11" t="n"/>
      <c r="Q550" s="7" t="n"/>
      <c r="R550" s="7" t="n"/>
      <c r="S550" s="7" t="n"/>
      <c r="T550" s="7" t="n"/>
      <c r="U550" s="12">
        <f>IF(A550="","",IF(H550="","建議填分配模式",""))</f>
        <v/>
      </c>
    </row>
    <row r="551" ht="24" customHeight="1">
      <c r="A551" s="7" t="n"/>
      <c r="B551" s="7" t="n"/>
      <c r="C551" s="7" t="n"/>
      <c r="D551" s="12">
        <f>IF($A551="","",IFERROR(INDEX(土地清冊_匯入!$B$6:$B$1005,MATCH($A551,土地清冊_匯入!$A$6:$A$1005,0)),"查無資料"))</f>
        <v/>
      </c>
      <c r="E551" s="9">
        <f>IF($A551="","",IFERROR(INDEX(土地清冊_匯入!$I$6:$I$1005,MATCH($A551,土地清冊_匯入!$A$6:$A$1005,0)),""))</f>
        <v/>
      </c>
      <c r="F551" s="13">
        <f>IF($A551="","",IFERROR(INDEX(建物清冊_匯入!$N$6:$N$1005,MATCH($A551,建物清冊_匯入!$A$6:$A$1005,0)),""))</f>
        <v/>
      </c>
      <c r="G551" s="9">
        <f>IF($A551="","",IFERROR(INDEX(建物清冊_匯入!$S$6:$S$1005,MATCH($A551,建物清冊_匯入!$A$6:$A$1005,0)),""))</f>
        <v/>
      </c>
      <c r="H551" s="7" t="n"/>
      <c r="I551" s="15" t="n"/>
      <c r="J551" s="16" t="n"/>
      <c r="K551" s="17">
        <f>IF(J551="","",1-J551)</f>
        <v/>
      </c>
      <c r="L551" s="15" t="n"/>
      <c r="M551" s="7" t="n"/>
      <c r="N551" s="7" t="n"/>
      <c r="O551" s="7" t="n"/>
      <c r="P551" s="11" t="n"/>
      <c r="Q551" s="7" t="n"/>
      <c r="R551" s="7" t="n"/>
      <c r="S551" s="7" t="n"/>
      <c r="T551" s="7" t="n"/>
      <c r="U551" s="12">
        <f>IF(A551="","",IF(H551="","建議填分配模式",""))</f>
        <v/>
      </c>
    </row>
    <row r="552" ht="24" customHeight="1">
      <c r="A552" s="7" t="n"/>
      <c r="B552" s="7" t="n"/>
      <c r="C552" s="7" t="n"/>
      <c r="D552" s="12">
        <f>IF($A552="","",IFERROR(INDEX(土地清冊_匯入!$B$6:$B$1005,MATCH($A552,土地清冊_匯入!$A$6:$A$1005,0)),"查無資料"))</f>
        <v/>
      </c>
      <c r="E552" s="9">
        <f>IF($A552="","",IFERROR(INDEX(土地清冊_匯入!$I$6:$I$1005,MATCH($A552,土地清冊_匯入!$A$6:$A$1005,0)),""))</f>
        <v/>
      </c>
      <c r="F552" s="13">
        <f>IF($A552="","",IFERROR(INDEX(建物清冊_匯入!$N$6:$N$1005,MATCH($A552,建物清冊_匯入!$A$6:$A$1005,0)),""))</f>
        <v/>
      </c>
      <c r="G552" s="9">
        <f>IF($A552="","",IFERROR(INDEX(建物清冊_匯入!$S$6:$S$1005,MATCH($A552,建物清冊_匯入!$A$6:$A$1005,0)),""))</f>
        <v/>
      </c>
      <c r="H552" s="7" t="n"/>
      <c r="I552" s="15" t="n"/>
      <c r="J552" s="16" t="n"/>
      <c r="K552" s="17">
        <f>IF(J552="","",1-J552)</f>
        <v/>
      </c>
      <c r="L552" s="15" t="n"/>
      <c r="M552" s="7" t="n"/>
      <c r="N552" s="7" t="n"/>
      <c r="O552" s="7" t="n"/>
      <c r="P552" s="11" t="n"/>
      <c r="Q552" s="7" t="n"/>
      <c r="R552" s="7" t="n"/>
      <c r="S552" s="7" t="n"/>
      <c r="T552" s="7" t="n"/>
      <c r="U552" s="12">
        <f>IF(A552="","",IF(H552="","建議填分配模式",""))</f>
        <v/>
      </c>
    </row>
    <row r="553" ht="24" customHeight="1">
      <c r="A553" s="7" t="n"/>
      <c r="B553" s="7" t="n"/>
      <c r="C553" s="7" t="n"/>
      <c r="D553" s="12">
        <f>IF($A553="","",IFERROR(INDEX(土地清冊_匯入!$B$6:$B$1005,MATCH($A553,土地清冊_匯入!$A$6:$A$1005,0)),"查無資料"))</f>
        <v/>
      </c>
      <c r="E553" s="9">
        <f>IF($A553="","",IFERROR(INDEX(土地清冊_匯入!$I$6:$I$1005,MATCH($A553,土地清冊_匯入!$A$6:$A$1005,0)),""))</f>
        <v/>
      </c>
      <c r="F553" s="13">
        <f>IF($A553="","",IFERROR(INDEX(建物清冊_匯入!$N$6:$N$1005,MATCH($A553,建物清冊_匯入!$A$6:$A$1005,0)),""))</f>
        <v/>
      </c>
      <c r="G553" s="9">
        <f>IF($A553="","",IFERROR(INDEX(建物清冊_匯入!$S$6:$S$1005,MATCH($A553,建物清冊_匯入!$A$6:$A$1005,0)),""))</f>
        <v/>
      </c>
      <c r="H553" s="7" t="n"/>
      <c r="I553" s="15" t="n"/>
      <c r="J553" s="16" t="n"/>
      <c r="K553" s="17">
        <f>IF(J553="","",1-J553)</f>
        <v/>
      </c>
      <c r="L553" s="15" t="n"/>
      <c r="M553" s="7" t="n"/>
      <c r="N553" s="7" t="n"/>
      <c r="O553" s="7" t="n"/>
      <c r="P553" s="11" t="n"/>
      <c r="Q553" s="7" t="n"/>
      <c r="R553" s="7" t="n"/>
      <c r="S553" s="7" t="n"/>
      <c r="T553" s="7" t="n"/>
      <c r="U553" s="12">
        <f>IF(A553="","",IF(H553="","建議填分配模式",""))</f>
        <v/>
      </c>
    </row>
    <row r="554" ht="24" customHeight="1">
      <c r="A554" s="7" t="n"/>
      <c r="B554" s="7" t="n"/>
      <c r="C554" s="7" t="n"/>
      <c r="D554" s="12">
        <f>IF($A554="","",IFERROR(INDEX(土地清冊_匯入!$B$6:$B$1005,MATCH($A554,土地清冊_匯入!$A$6:$A$1005,0)),"查無資料"))</f>
        <v/>
      </c>
      <c r="E554" s="9">
        <f>IF($A554="","",IFERROR(INDEX(土地清冊_匯入!$I$6:$I$1005,MATCH($A554,土地清冊_匯入!$A$6:$A$1005,0)),""))</f>
        <v/>
      </c>
      <c r="F554" s="13">
        <f>IF($A554="","",IFERROR(INDEX(建物清冊_匯入!$N$6:$N$1005,MATCH($A554,建物清冊_匯入!$A$6:$A$1005,0)),""))</f>
        <v/>
      </c>
      <c r="G554" s="9">
        <f>IF($A554="","",IFERROR(INDEX(建物清冊_匯入!$S$6:$S$1005,MATCH($A554,建物清冊_匯入!$A$6:$A$1005,0)),""))</f>
        <v/>
      </c>
      <c r="H554" s="7" t="n"/>
      <c r="I554" s="15" t="n"/>
      <c r="J554" s="16" t="n"/>
      <c r="K554" s="17">
        <f>IF(J554="","",1-J554)</f>
        <v/>
      </c>
      <c r="L554" s="15" t="n"/>
      <c r="M554" s="7" t="n"/>
      <c r="N554" s="7" t="n"/>
      <c r="O554" s="7" t="n"/>
      <c r="P554" s="11" t="n"/>
      <c r="Q554" s="7" t="n"/>
      <c r="R554" s="7" t="n"/>
      <c r="S554" s="7" t="n"/>
      <c r="T554" s="7" t="n"/>
      <c r="U554" s="12">
        <f>IF(A554="","",IF(H554="","建議填分配模式",""))</f>
        <v/>
      </c>
    </row>
    <row r="555" ht="24" customHeight="1">
      <c r="A555" s="7" t="n"/>
      <c r="B555" s="7" t="n"/>
      <c r="C555" s="7" t="n"/>
      <c r="D555" s="12">
        <f>IF($A555="","",IFERROR(INDEX(土地清冊_匯入!$B$6:$B$1005,MATCH($A555,土地清冊_匯入!$A$6:$A$1005,0)),"查無資料"))</f>
        <v/>
      </c>
      <c r="E555" s="9">
        <f>IF($A555="","",IFERROR(INDEX(土地清冊_匯入!$I$6:$I$1005,MATCH($A555,土地清冊_匯入!$A$6:$A$1005,0)),""))</f>
        <v/>
      </c>
      <c r="F555" s="13">
        <f>IF($A555="","",IFERROR(INDEX(建物清冊_匯入!$N$6:$N$1005,MATCH($A555,建物清冊_匯入!$A$6:$A$1005,0)),""))</f>
        <v/>
      </c>
      <c r="G555" s="9">
        <f>IF($A555="","",IFERROR(INDEX(建物清冊_匯入!$S$6:$S$1005,MATCH($A555,建物清冊_匯入!$A$6:$A$1005,0)),""))</f>
        <v/>
      </c>
      <c r="H555" s="7" t="n"/>
      <c r="I555" s="15" t="n"/>
      <c r="J555" s="16" t="n"/>
      <c r="K555" s="17">
        <f>IF(J555="","",1-J555)</f>
        <v/>
      </c>
      <c r="L555" s="15" t="n"/>
      <c r="M555" s="7" t="n"/>
      <c r="N555" s="7" t="n"/>
      <c r="O555" s="7" t="n"/>
      <c r="P555" s="11" t="n"/>
      <c r="Q555" s="7" t="n"/>
      <c r="R555" s="7" t="n"/>
      <c r="S555" s="7" t="n"/>
      <c r="T555" s="7" t="n"/>
      <c r="U555" s="12">
        <f>IF(A555="","",IF(H555="","建議填分配模式",""))</f>
        <v/>
      </c>
    </row>
    <row r="556" ht="24" customHeight="1">
      <c r="A556" s="7" t="n"/>
      <c r="B556" s="7" t="n"/>
      <c r="C556" s="7" t="n"/>
      <c r="D556" s="12">
        <f>IF($A556="","",IFERROR(INDEX(土地清冊_匯入!$B$6:$B$1005,MATCH($A556,土地清冊_匯入!$A$6:$A$1005,0)),"查無資料"))</f>
        <v/>
      </c>
      <c r="E556" s="9">
        <f>IF($A556="","",IFERROR(INDEX(土地清冊_匯入!$I$6:$I$1005,MATCH($A556,土地清冊_匯入!$A$6:$A$1005,0)),""))</f>
        <v/>
      </c>
      <c r="F556" s="13">
        <f>IF($A556="","",IFERROR(INDEX(建物清冊_匯入!$N$6:$N$1005,MATCH($A556,建物清冊_匯入!$A$6:$A$1005,0)),""))</f>
        <v/>
      </c>
      <c r="G556" s="9">
        <f>IF($A556="","",IFERROR(INDEX(建物清冊_匯入!$S$6:$S$1005,MATCH($A556,建物清冊_匯入!$A$6:$A$1005,0)),""))</f>
        <v/>
      </c>
      <c r="H556" s="7" t="n"/>
      <c r="I556" s="15" t="n"/>
      <c r="J556" s="16" t="n"/>
      <c r="K556" s="17">
        <f>IF(J556="","",1-J556)</f>
        <v/>
      </c>
      <c r="L556" s="15" t="n"/>
      <c r="M556" s="7" t="n"/>
      <c r="N556" s="7" t="n"/>
      <c r="O556" s="7" t="n"/>
      <c r="P556" s="11" t="n"/>
      <c r="Q556" s="7" t="n"/>
      <c r="R556" s="7" t="n"/>
      <c r="S556" s="7" t="n"/>
      <c r="T556" s="7" t="n"/>
      <c r="U556" s="12">
        <f>IF(A556="","",IF(H556="","建議填分配模式",""))</f>
        <v/>
      </c>
    </row>
    <row r="557" ht="24" customHeight="1">
      <c r="A557" s="7" t="n"/>
      <c r="B557" s="7" t="n"/>
      <c r="C557" s="7" t="n"/>
      <c r="D557" s="12">
        <f>IF($A557="","",IFERROR(INDEX(土地清冊_匯入!$B$6:$B$1005,MATCH($A557,土地清冊_匯入!$A$6:$A$1005,0)),"查無資料"))</f>
        <v/>
      </c>
      <c r="E557" s="9">
        <f>IF($A557="","",IFERROR(INDEX(土地清冊_匯入!$I$6:$I$1005,MATCH($A557,土地清冊_匯入!$A$6:$A$1005,0)),""))</f>
        <v/>
      </c>
      <c r="F557" s="13">
        <f>IF($A557="","",IFERROR(INDEX(建物清冊_匯入!$N$6:$N$1005,MATCH($A557,建物清冊_匯入!$A$6:$A$1005,0)),""))</f>
        <v/>
      </c>
      <c r="G557" s="9">
        <f>IF($A557="","",IFERROR(INDEX(建物清冊_匯入!$S$6:$S$1005,MATCH($A557,建物清冊_匯入!$A$6:$A$1005,0)),""))</f>
        <v/>
      </c>
      <c r="H557" s="7" t="n"/>
      <c r="I557" s="15" t="n"/>
      <c r="J557" s="16" t="n"/>
      <c r="K557" s="17">
        <f>IF(J557="","",1-J557)</f>
        <v/>
      </c>
      <c r="L557" s="15" t="n"/>
      <c r="M557" s="7" t="n"/>
      <c r="N557" s="7" t="n"/>
      <c r="O557" s="7" t="n"/>
      <c r="P557" s="11" t="n"/>
      <c r="Q557" s="7" t="n"/>
      <c r="R557" s="7" t="n"/>
      <c r="S557" s="7" t="n"/>
      <c r="T557" s="7" t="n"/>
      <c r="U557" s="12">
        <f>IF(A557="","",IF(H557="","建議填分配模式",""))</f>
        <v/>
      </c>
    </row>
    <row r="558" ht="24" customHeight="1">
      <c r="A558" s="7" t="n"/>
      <c r="B558" s="7" t="n"/>
      <c r="C558" s="7" t="n"/>
      <c r="D558" s="12">
        <f>IF($A558="","",IFERROR(INDEX(土地清冊_匯入!$B$6:$B$1005,MATCH($A558,土地清冊_匯入!$A$6:$A$1005,0)),"查無資料"))</f>
        <v/>
      </c>
      <c r="E558" s="9">
        <f>IF($A558="","",IFERROR(INDEX(土地清冊_匯入!$I$6:$I$1005,MATCH($A558,土地清冊_匯入!$A$6:$A$1005,0)),""))</f>
        <v/>
      </c>
      <c r="F558" s="13">
        <f>IF($A558="","",IFERROR(INDEX(建物清冊_匯入!$N$6:$N$1005,MATCH($A558,建物清冊_匯入!$A$6:$A$1005,0)),""))</f>
        <v/>
      </c>
      <c r="G558" s="9">
        <f>IF($A558="","",IFERROR(INDEX(建物清冊_匯入!$S$6:$S$1005,MATCH($A558,建物清冊_匯入!$A$6:$A$1005,0)),""))</f>
        <v/>
      </c>
      <c r="H558" s="7" t="n"/>
      <c r="I558" s="15" t="n"/>
      <c r="J558" s="16" t="n"/>
      <c r="K558" s="17">
        <f>IF(J558="","",1-J558)</f>
        <v/>
      </c>
      <c r="L558" s="15" t="n"/>
      <c r="M558" s="7" t="n"/>
      <c r="N558" s="7" t="n"/>
      <c r="O558" s="7" t="n"/>
      <c r="P558" s="11" t="n"/>
      <c r="Q558" s="7" t="n"/>
      <c r="R558" s="7" t="n"/>
      <c r="S558" s="7" t="n"/>
      <c r="T558" s="7" t="n"/>
      <c r="U558" s="12">
        <f>IF(A558="","",IF(H558="","建議填分配模式",""))</f>
        <v/>
      </c>
    </row>
    <row r="559" ht="24" customHeight="1">
      <c r="A559" s="7" t="n"/>
      <c r="B559" s="7" t="n"/>
      <c r="C559" s="7" t="n"/>
      <c r="D559" s="12">
        <f>IF($A559="","",IFERROR(INDEX(土地清冊_匯入!$B$6:$B$1005,MATCH($A559,土地清冊_匯入!$A$6:$A$1005,0)),"查無資料"))</f>
        <v/>
      </c>
      <c r="E559" s="9">
        <f>IF($A559="","",IFERROR(INDEX(土地清冊_匯入!$I$6:$I$1005,MATCH($A559,土地清冊_匯入!$A$6:$A$1005,0)),""))</f>
        <v/>
      </c>
      <c r="F559" s="13">
        <f>IF($A559="","",IFERROR(INDEX(建物清冊_匯入!$N$6:$N$1005,MATCH($A559,建物清冊_匯入!$A$6:$A$1005,0)),""))</f>
        <v/>
      </c>
      <c r="G559" s="9">
        <f>IF($A559="","",IFERROR(INDEX(建物清冊_匯入!$S$6:$S$1005,MATCH($A559,建物清冊_匯入!$A$6:$A$1005,0)),""))</f>
        <v/>
      </c>
      <c r="H559" s="7" t="n"/>
      <c r="I559" s="15" t="n"/>
      <c r="J559" s="16" t="n"/>
      <c r="K559" s="17">
        <f>IF(J559="","",1-J559)</f>
        <v/>
      </c>
      <c r="L559" s="15" t="n"/>
      <c r="M559" s="7" t="n"/>
      <c r="N559" s="7" t="n"/>
      <c r="O559" s="7" t="n"/>
      <c r="P559" s="11" t="n"/>
      <c r="Q559" s="7" t="n"/>
      <c r="R559" s="7" t="n"/>
      <c r="S559" s="7" t="n"/>
      <c r="T559" s="7" t="n"/>
      <c r="U559" s="12">
        <f>IF(A559="","",IF(H559="","建議填分配模式",""))</f>
        <v/>
      </c>
    </row>
    <row r="560" ht="24" customHeight="1">
      <c r="A560" s="7" t="n"/>
      <c r="B560" s="7" t="n"/>
      <c r="C560" s="7" t="n"/>
      <c r="D560" s="12">
        <f>IF($A560="","",IFERROR(INDEX(土地清冊_匯入!$B$6:$B$1005,MATCH($A560,土地清冊_匯入!$A$6:$A$1005,0)),"查無資料"))</f>
        <v/>
      </c>
      <c r="E560" s="9">
        <f>IF($A560="","",IFERROR(INDEX(土地清冊_匯入!$I$6:$I$1005,MATCH($A560,土地清冊_匯入!$A$6:$A$1005,0)),""))</f>
        <v/>
      </c>
      <c r="F560" s="13">
        <f>IF($A560="","",IFERROR(INDEX(建物清冊_匯入!$N$6:$N$1005,MATCH($A560,建物清冊_匯入!$A$6:$A$1005,0)),""))</f>
        <v/>
      </c>
      <c r="G560" s="9">
        <f>IF($A560="","",IFERROR(INDEX(建物清冊_匯入!$S$6:$S$1005,MATCH($A560,建物清冊_匯入!$A$6:$A$1005,0)),""))</f>
        <v/>
      </c>
      <c r="H560" s="7" t="n"/>
      <c r="I560" s="15" t="n"/>
      <c r="J560" s="16" t="n"/>
      <c r="K560" s="17">
        <f>IF(J560="","",1-J560)</f>
        <v/>
      </c>
      <c r="L560" s="15" t="n"/>
      <c r="M560" s="7" t="n"/>
      <c r="N560" s="7" t="n"/>
      <c r="O560" s="7" t="n"/>
      <c r="P560" s="11" t="n"/>
      <c r="Q560" s="7" t="n"/>
      <c r="R560" s="7" t="n"/>
      <c r="S560" s="7" t="n"/>
      <c r="T560" s="7" t="n"/>
      <c r="U560" s="12">
        <f>IF(A560="","",IF(H560="","建議填分配模式",""))</f>
        <v/>
      </c>
    </row>
    <row r="561" ht="24" customHeight="1">
      <c r="A561" s="7" t="n"/>
      <c r="B561" s="7" t="n"/>
      <c r="C561" s="7" t="n"/>
      <c r="D561" s="12">
        <f>IF($A561="","",IFERROR(INDEX(土地清冊_匯入!$B$6:$B$1005,MATCH($A561,土地清冊_匯入!$A$6:$A$1005,0)),"查無資料"))</f>
        <v/>
      </c>
      <c r="E561" s="9">
        <f>IF($A561="","",IFERROR(INDEX(土地清冊_匯入!$I$6:$I$1005,MATCH($A561,土地清冊_匯入!$A$6:$A$1005,0)),""))</f>
        <v/>
      </c>
      <c r="F561" s="13">
        <f>IF($A561="","",IFERROR(INDEX(建物清冊_匯入!$N$6:$N$1005,MATCH($A561,建物清冊_匯入!$A$6:$A$1005,0)),""))</f>
        <v/>
      </c>
      <c r="G561" s="9">
        <f>IF($A561="","",IFERROR(INDEX(建物清冊_匯入!$S$6:$S$1005,MATCH($A561,建物清冊_匯入!$A$6:$A$1005,0)),""))</f>
        <v/>
      </c>
      <c r="H561" s="7" t="n"/>
      <c r="I561" s="15" t="n"/>
      <c r="J561" s="16" t="n"/>
      <c r="K561" s="17">
        <f>IF(J561="","",1-J561)</f>
        <v/>
      </c>
      <c r="L561" s="15" t="n"/>
      <c r="M561" s="7" t="n"/>
      <c r="N561" s="7" t="n"/>
      <c r="O561" s="7" t="n"/>
      <c r="P561" s="11" t="n"/>
      <c r="Q561" s="7" t="n"/>
      <c r="R561" s="7" t="n"/>
      <c r="S561" s="7" t="n"/>
      <c r="T561" s="7" t="n"/>
      <c r="U561" s="12">
        <f>IF(A561="","",IF(H561="","建議填分配模式",""))</f>
        <v/>
      </c>
    </row>
    <row r="562" ht="24" customHeight="1">
      <c r="A562" s="7" t="n"/>
      <c r="B562" s="7" t="n"/>
      <c r="C562" s="7" t="n"/>
      <c r="D562" s="12">
        <f>IF($A562="","",IFERROR(INDEX(土地清冊_匯入!$B$6:$B$1005,MATCH($A562,土地清冊_匯入!$A$6:$A$1005,0)),"查無資料"))</f>
        <v/>
      </c>
      <c r="E562" s="9">
        <f>IF($A562="","",IFERROR(INDEX(土地清冊_匯入!$I$6:$I$1005,MATCH($A562,土地清冊_匯入!$A$6:$A$1005,0)),""))</f>
        <v/>
      </c>
      <c r="F562" s="13">
        <f>IF($A562="","",IFERROR(INDEX(建物清冊_匯入!$N$6:$N$1005,MATCH($A562,建物清冊_匯入!$A$6:$A$1005,0)),""))</f>
        <v/>
      </c>
      <c r="G562" s="9">
        <f>IF($A562="","",IFERROR(INDEX(建物清冊_匯入!$S$6:$S$1005,MATCH($A562,建物清冊_匯入!$A$6:$A$1005,0)),""))</f>
        <v/>
      </c>
      <c r="H562" s="7" t="n"/>
      <c r="I562" s="15" t="n"/>
      <c r="J562" s="16" t="n"/>
      <c r="K562" s="17">
        <f>IF(J562="","",1-J562)</f>
        <v/>
      </c>
      <c r="L562" s="15" t="n"/>
      <c r="M562" s="7" t="n"/>
      <c r="N562" s="7" t="n"/>
      <c r="O562" s="7" t="n"/>
      <c r="P562" s="11" t="n"/>
      <c r="Q562" s="7" t="n"/>
      <c r="R562" s="7" t="n"/>
      <c r="S562" s="7" t="n"/>
      <c r="T562" s="7" t="n"/>
      <c r="U562" s="12">
        <f>IF(A562="","",IF(H562="","建議填分配模式",""))</f>
        <v/>
      </c>
    </row>
    <row r="563" ht="24" customHeight="1">
      <c r="A563" s="7" t="n"/>
      <c r="B563" s="7" t="n"/>
      <c r="C563" s="7" t="n"/>
      <c r="D563" s="12">
        <f>IF($A563="","",IFERROR(INDEX(土地清冊_匯入!$B$6:$B$1005,MATCH($A563,土地清冊_匯入!$A$6:$A$1005,0)),"查無資料"))</f>
        <v/>
      </c>
      <c r="E563" s="9">
        <f>IF($A563="","",IFERROR(INDEX(土地清冊_匯入!$I$6:$I$1005,MATCH($A563,土地清冊_匯入!$A$6:$A$1005,0)),""))</f>
        <v/>
      </c>
      <c r="F563" s="13">
        <f>IF($A563="","",IFERROR(INDEX(建物清冊_匯入!$N$6:$N$1005,MATCH($A563,建物清冊_匯入!$A$6:$A$1005,0)),""))</f>
        <v/>
      </c>
      <c r="G563" s="9">
        <f>IF($A563="","",IFERROR(INDEX(建物清冊_匯入!$S$6:$S$1005,MATCH($A563,建物清冊_匯入!$A$6:$A$1005,0)),""))</f>
        <v/>
      </c>
      <c r="H563" s="7" t="n"/>
      <c r="I563" s="15" t="n"/>
      <c r="J563" s="16" t="n"/>
      <c r="K563" s="17">
        <f>IF(J563="","",1-J563)</f>
        <v/>
      </c>
      <c r="L563" s="15" t="n"/>
      <c r="M563" s="7" t="n"/>
      <c r="N563" s="7" t="n"/>
      <c r="O563" s="7" t="n"/>
      <c r="P563" s="11" t="n"/>
      <c r="Q563" s="7" t="n"/>
      <c r="R563" s="7" t="n"/>
      <c r="S563" s="7" t="n"/>
      <c r="T563" s="7" t="n"/>
      <c r="U563" s="12">
        <f>IF(A563="","",IF(H563="","建議填分配模式",""))</f>
        <v/>
      </c>
    </row>
    <row r="564" ht="24" customHeight="1">
      <c r="A564" s="7" t="n"/>
      <c r="B564" s="7" t="n"/>
      <c r="C564" s="7" t="n"/>
      <c r="D564" s="12">
        <f>IF($A564="","",IFERROR(INDEX(土地清冊_匯入!$B$6:$B$1005,MATCH($A564,土地清冊_匯入!$A$6:$A$1005,0)),"查無資料"))</f>
        <v/>
      </c>
      <c r="E564" s="9">
        <f>IF($A564="","",IFERROR(INDEX(土地清冊_匯入!$I$6:$I$1005,MATCH($A564,土地清冊_匯入!$A$6:$A$1005,0)),""))</f>
        <v/>
      </c>
      <c r="F564" s="13">
        <f>IF($A564="","",IFERROR(INDEX(建物清冊_匯入!$N$6:$N$1005,MATCH($A564,建物清冊_匯入!$A$6:$A$1005,0)),""))</f>
        <v/>
      </c>
      <c r="G564" s="9">
        <f>IF($A564="","",IFERROR(INDEX(建物清冊_匯入!$S$6:$S$1005,MATCH($A564,建物清冊_匯入!$A$6:$A$1005,0)),""))</f>
        <v/>
      </c>
      <c r="H564" s="7" t="n"/>
      <c r="I564" s="15" t="n"/>
      <c r="J564" s="16" t="n"/>
      <c r="K564" s="17">
        <f>IF(J564="","",1-J564)</f>
        <v/>
      </c>
      <c r="L564" s="15" t="n"/>
      <c r="M564" s="7" t="n"/>
      <c r="N564" s="7" t="n"/>
      <c r="O564" s="7" t="n"/>
      <c r="P564" s="11" t="n"/>
      <c r="Q564" s="7" t="n"/>
      <c r="R564" s="7" t="n"/>
      <c r="S564" s="7" t="n"/>
      <c r="T564" s="7" t="n"/>
      <c r="U564" s="12">
        <f>IF(A564="","",IF(H564="","建議填分配模式",""))</f>
        <v/>
      </c>
    </row>
    <row r="565" ht="24" customHeight="1">
      <c r="A565" s="7" t="n"/>
      <c r="B565" s="7" t="n"/>
      <c r="C565" s="7" t="n"/>
      <c r="D565" s="12">
        <f>IF($A565="","",IFERROR(INDEX(土地清冊_匯入!$B$6:$B$1005,MATCH($A565,土地清冊_匯入!$A$6:$A$1005,0)),"查無資料"))</f>
        <v/>
      </c>
      <c r="E565" s="9">
        <f>IF($A565="","",IFERROR(INDEX(土地清冊_匯入!$I$6:$I$1005,MATCH($A565,土地清冊_匯入!$A$6:$A$1005,0)),""))</f>
        <v/>
      </c>
      <c r="F565" s="13">
        <f>IF($A565="","",IFERROR(INDEX(建物清冊_匯入!$N$6:$N$1005,MATCH($A565,建物清冊_匯入!$A$6:$A$1005,0)),""))</f>
        <v/>
      </c>
      <c r="G565" s="9">
        <f>IF($A565="","",IFERROR(INDEX(建物清冊_匯入!$S$6:$S$1005,MATCH($A565,建物清冊_匯入!$A$6:$A$1005,0)),""))</f>
        <v/>
      </c>
      <c r="H565" s="7" t="n"/>
      <c r="I565" s="15" t="n"/>
      <c r="J565" s="16" t="n"/>
      <c r="K565" s="17">
        <f>IF(J565="","",1-J565)</f>
        <v/>
      </c>
      <c r="L565" s="15" t="n"/>
      <c r="M565" s="7" t="n"/>
      <c r="N565" s="7" t="n"/>
      <c r="O565" s="7" t="n"/>
      <c r="P565" s="11" t="n"/>
      <c r="Q565" s="7" t="n"/>
      <c r="R565" s="7" t="n"/>
      <c r="S565" s="7" t="n"/>
      <c r="T565" s="7" t="n"/>
      <c r="U565" s="12">
        <f>IF(A565="","",IF(H565="","建議填分配模式",""))</f>
        <v/>
      </c>
    </row>
    <row r="566" ht="24" customHeight="1">
      <c r="A566" s="7" t="n"/>
      <c r="B566" s="7" t="n"/>
      <c r="C566" s="7" t="n"/>
      <c r="D566" s="12">
        <f>IF($A566="","",IFERROR(INDEX(土地清冊_匯入!$B$6:$B$1005,MATCH($A566,土地清冊_匯入!$A$6:$A$1005,0)),"查無資料"))</f>
        <v/>
      </c>
      <c r="E566" s="9">
        <f>IF($A566="","",IFERROR(INDEX(土地清冊_匯入!$I$6:$I$1005,MATCH($A566,土地清冊_匯入!$A$6:$A$1005,0)),""))</f>
        <v/>
      </c>
      <c r="F566" s="13">
        <f>IF($A566="","",IFERROR(INDEX(建物清冊_匯入!$N$6:$N$1005,MATCH($A566,建物清冊_匯入!$A$6:$A$1005,0)),""))</f>
        <v/>
      </c>
      <c r="G566" s="9">
        <f>IF($A566="","",IFERROR(INDEX(建物清冊_匯入!$S$6:$S$1005,MATCH($A566,建物清冊_匯入!$A$6:$A$1005,0)),""))</f>
        <v/>
      </c>
      <c r="H566" s="7" t="n"/>
      <c r="I566" s="15" t="n"/>
      <c r="J566" s="16" t="n"/>
      <c r="K566" s="17">
        <f>IF(J566="","",1-J566)</f>
        <v/>
      </c>
      <c r="L566" s="15" t="n"/>
      <c r="M566" s="7" t="n"/>
      <c r="N566" s="7" t="n"/>
      <c r="O566" s="7" t="n"/>
      <c r="P566" s="11" t="n"/>
      <c r="Q566" s="7" t="n"/>
      <c r="R566" s="7" t="n"/>
      <c r="S566" s="7" t="n"/>
      <c r="T566" s="7" t="n"/>
      <c r="U566" s="12">
        <f>IF(A566="","",IF(H566="","建議填分配模式",""))</f>
        <v/>
      </c>
    </row>
    <row r="567" ht="24" customHeight="1">
      <c r="A567" s="7" t="n"/>
      <c r="B567" s="7" t="n"/>
      <c r="C567" s="7" t="n"/>
      <c r="D567" s="12">
        <f>IF($A567="","",IFERROR(INDEX(土地清冊_匯入!$B$6:$B$1005,MATCH($A567,土地清冊_匯入!$A$6:$A$1005,0)),"查無資料"))</f>
        <v/>
      </c>
      <c r="E567" s="9">
        <f>IF($A567="","",IFERROR(INDEX(土地清冊_匯入!$I$6:$I$1005,MATCH($A567,土地清冊_匯入!$A$6:$A$1005,0)),""))</f>
        <v/>
      </c>
      <c r="F567" s="13">
        <f>IF($A567="","",IFERROR(INDEX(建物清冊_匯入!$N$6:$N$1005,MATCH($A567,建物清冊_匯入!$A$6:$A$1005,0)),""))</f>
        <v/>
      </c>
      <c r="G567" s="9">
        <f>IF($A567="","",IFERROR(INDEX(建物清冊_匯入!$S$6:$S$1005,MATCH($A567,建物清冊_匯入!$A$6:$A$1005,0)),""))</f>
        <v/>
      </c>
      <c r="H567" s="7" t="n"/>
      <c r="I567" s="15" t="n"/>
      <c r="J567" s="16" t="n"/>
      <c r="K567" s="17">
        <f>IF(J567="","",1-J567)</f>
        <v/>
      </c>
      <c r="L567" s="15" t="n"/>
      <c r="M567" s="7" t="n"/>
      <c r="N567" s="7" t="n"/>
      <c r="O567" s="7" t="n"/>
      <c r="P567" s="11" t="n"/>
      <c r="Q567" s="7" t="n"/>
      <c r="R567" s="7" t="n"/>
      <c r="S567" s="7" t="n"/>
      <c r="T567" s="7" t="n"/>
      <c r="U567" s="12">
        <f>IF(A567="","",IF(H567="","建議填分配模式",""))</f>
        <v/>
      </c>
    </row>
    <row r="568" ht="24" customHeight="1">
      <c r="A568" s="7" t="n"/>
      <c r="B568" s="7" t="n"/>
      <c r="C568" s="7" t="n"/>
      <c r="D568" s="12">
        <f>IF($A568="","",IFERROR(INDEX(土地清冊_匯入!$B$6:$B$1005,MATCH($A568,土地清冊_匯入!$A$6:$A$1005,0)),"查無資料"))</f>
        <v/>
      </c>
      <c r="E568" s="9">
        <f>IF($A568="","",IFERROR(INDEX(土地清冊_匯入!$I$6:$I$1005,MATCH($A568,土地清冊_匯入!$A$6:$A$1005,0)),""))</f>
        <v/>
      </c>
      <c r="F568" s="13">
        <f>IF($A568="","",IFERROR(INDEX(建物清冊_匯入!$N$6:$N$1005,MATCH($A568,建物清冊_匯入!$A$6:$A$1005,0)),""))</f>
        <v/>
      </c>
      <c r="G568" s="9">
        <f>IF($A568="","",IFERROR(INDEX(建物清冊_匯入!$S$6:$S$1005,MATCH($A568,建物清冊_匯入!$A$6:$A$1005,0)),""))</f>
        <v/>
      </c>
      <c r="H568" s="7" t="n"/>
      <c r="I568" s="15" t="n"/>
      <c r="J568" s="16" t="n"/>
      <c r="K568" s="17">
        <f>IF(J568="","",1-J568)</f>
        <v/>
      </c>
      <c r="L568" s="15" t="n"/>
      <c r="M568" s="7" t="n"/>
      <c r="N568" s="7" t="n"/>
      <c r="O568" s="7" t="n"/>
      <c r="P568" s="11" t="n"/>
      <c r="Q568" s="7" t="n"/>
      <c r="R568" s="7" t="n"/>
      <c r="S568" s="7" t="n"/>
      <c r="T568" s="7" t="n"/>
      <c r="U568" s="12">
        <f>IF(A568="","",IF(H568="","建議填分配模式",""))</f>
        <v/>
      </c>
    </row>
    <row r="569" ht="24" customHeight="1">
      <c r="A569" s="7" t="n"/>
      <c r="B569" s="7" t="n"/>
      <c r="C569" s="7" t="n"/>
      <c r="D569" s="12">
        <f>IF($A569="","",IFERROR(INDEX(土地清冊_匯入!$B$6:$B$1005,MATCH($A569,土地清冊_匯入!$A$6:$A$1005,0)),"查無資料"))</f>
        <v/>
      </c>
      <c r="E569" s="9">
        <f>IF($A569="","",IFERROR(INDEX(土地清冊_匯入!$I$6:$I$1005,MATCH($A569,土地清冊_匯入!$A$6:$A$1005,0)),""))</f>
        <v/>
      </c>
      <c r="F569" s="13">
        <f>IF($A569="","",IFERROR(INDEX(建物清冊_匯入!$N$6:$N$1005,MATCH($A569,建物清冊_匯入!$A$6:$A$1005,0)),""))</f>
        <v/>
      </c>
      <c r="G569" s="9">
        <f>IF($A569="","",IFERROR(INDEX(建物清冊_匯入!$S$6:$S$1005,MATCH($A569,建物清冊_匯入!$A$6:$A$1005,0)),""))</f>
        <v/>
      </c>
      <c r="H569" s="7" t="n"/>
      <c r="I569" s="15" t="n"/>
      <c r="J569" s="16" t="n"/>
      <c r="K569" s="17">
        <f>IF(J569="","",1-J569)</f>
        <v/>
      </c>
      <c r="L569" s="15" t="n"/>
      <c r="M569" s="7" t="n"/>
      <c r="N569" s="7" t="n"/>
      <c r="O569" s="7" t="n"/>
      <c r="P569" s="11" t="n"/>
      <c r="Q569" s="7" t="n"/>
      <c r="R569" s="7" t="n"/>
      <c r="S569" s="7" t="n"/>
      <c r="T569" s="7" t="n"/>
      <c r="U569" s="12">
        <f>IF(A569="","",IF(H569="","建議填分配模式",""))</f>
        <v/>
      </c>
    </row>
    <row r="570" ht="24" customHeight="1">
      <c r="A570" s="7" t="n"/>
      <c r="B570" s="7" t="n"/>
      <c r="C570" s="7" t="n"/>
      <c r="D570" s="12">
        <f>IF($A570="","",IFERROR(INDEX(土地清冊_匯入!$B$6:$B$1005,MATCH($A570,土地清冊_匯入!$A$6:$A$1005,0)),"查無資料"))</f>
        <v/>
      </c>
      <c r="E570" s="9">
        <f>IF($A570="","",IFERROR(INDEX(土地清冊_匯入!$I$6:$I$1005,MATCH($A570,土地清冊_匯入!$A$6:$A$1005,0)),""))</f>
        <v/>
      </c>
      <c r="F570" s="13">
        <f>IF($A570="","",IFERROR(INDEX(建物清冊_匯入!$N$6:$N$1005,MATCH($A570,建物清冊_匯入!$A$6:$A$1005,0)),""))</f>
        <v/>
      </c>
      <c r="G570" s="9">
        <f>IF($A570="","",IFERROR(INDEX(建物清冊_匯入!$S$6:$S$1005,MATCH($A570,建物清冊_匯入!$A$6:$A$1005,0)),""))</f>
        <v/>
      </c>
      <c r="H570" s="7" t="n"/>
      <c r="I570" s="15" t="n"/>
      <c r="J570" s="16" t="n"/>
      <c r="K570" s="17">
        <f>IF(J570="","",1-J570)</f>
        <v/>
      </c>
      <c r="L570" s="15" t="n"/>
      <c r="M570" s="7" t="n"/>
      <c r="N570" s="7" t="n"/>
      <c r="O570" s="7" t="n"/>
      <c r="P570" s="11" t="n"/>
      <c r="Q570" s="7" t="n"/>
      <c r="R570" s="7" t="n"/>
      <c r="S570" s="7" t="n"/>
      <c r="T570" s="7" t="n"/>
      <c r="U570" s="12">
        <f>IF(A570="","",IF(H570="","建議填分配模式",""))</f>
        <v/>
      </c>
    </row>
    <row r="571" ht="24" customHeight="1">
      <c r="A571" s="7" t="n"/>
      <c r="B571" s="7" t="n"/>
      <c r="C571" s="7" t="n"/>
      <c r="D571" s="12">
        <f>IF($A571="","",IFERROR(INDEX(土地清冊_匯入!$B$6:$B$1005,MATCH($A571,土地清冊_匯入!$A$6:$A$1005,0)),"查無資料"))</f>
        <v/>
      </c>
      <c r="E571" s="9">
        <f>IF($A571="","",IFERROR(INDEX(土地清冊_匯入!$I$6:$I$1005,MATCH($A571,土地清冊_匯入!$A$6:$A$1005,0)),""))</f>
        <v/>
      </c>
      <c r="F571" s="13">
        <f>IF($A571="","",IFERROR(INDEX(建物清冊_匯入!$N$6:$N$1005,MATCH($A571,建物清冊_匯入!$A$6:$A$1005,0)),""))</f>
        <v/>
      </c>
      <c r="G571" s="9">
        <f>IF($A571="","",IFERROR(INDEX(建物清冊_匯入!$S$6:$S$1005,MATCH($A571,建物清冊_匯入!$A$6:$A$1005,0)),""))</f>
        <v/>
      </c>
      <c r="H571" s="7" t="n"/>
      <c r="I571" s="15" t="n"/>
      <c r="J571" s="16" t="n"/>
      <c r="K571" s="17">
        <f>IF(J571="","",1-J571)</f>
        <v/>
      </c>
      <c r="L571" s="15" t="n"/>
      <c r="M571" s="7" t="n"/>
      <c r="N571" s="7" t="n"/>
      <c r="O571" s="7" t="n"/>
      <c r="P571" s="11" t="n"/>
      <c r="Q571" s="7" t="n"/>
      <c r="R571" s="7" t="n"/>
      <c r="S571" s="7" t="n"/>
      <c r="T571" s="7" t="n"/>
      <c r="U571" s="12">
        <f>IF(A571="","",IF(H571="","建議填分配模式",""))</f>
        <v/>
      </c>
    </row>
    <row r="572" ht="24" customHeight="1">
      <c r="A572" s="7" t="n"/>
      <c r="B572" s="7" t="n"/>
      <c r="C572" s="7" t="n"/>
      <c r="D572" s="12">
        <f>IF($A572="","",IFERROR(INDEX(土地清冊_匯入!$B$6:$B$1005,MATCH($A572,土地清冊_匯入!$A$6:$A$1005,0)),"查無資料"))</f>
        <v/>
      </c>
      <c r="E572" s="9">
        <f>IF($A572="","",IFERROR(INDEX(土地清冊_匯入!$I$6:$I$1005,MATCH($A572,土地清冊_匯入!$A$6:$A$1005,0)),""))</f>
        <v/>
      </c>
      <c r="F572" s="13">
        <f>IF($A572="","",IFERROR(INDEX(建物清冊_匯入!$N$6:$N$1005,MATCH($A572,建物清冊_匯入!$A$6:$A$1005,0)),""))</f>
        <v/>
      </c>
      <c r="G572" s="9">
        <f>IF($A572="","",IFERROR(INDEX(建物清冊_匯入!$S$6:$S$1005,MATCH($A572,建物清冊_匯入!$A$6:$A$1005,0)),""))</f>
        <v/>
      </c>
      <c r="H572" s="7" t="n"/>
      <c r="I572" s="15" t="n"/>
      <c r="J572" s="16" t="n"/>
      <c r="K572" s="17">
        <f>IF(J572="","",1-J572)</f>
        <v/>
      </c>
      <c r="L572" s="15" t="n"/>
      <c r="M572" s="7" t="n"/>
      <c r="N572" s="7" t="n"/>
      <c r="O572" s="7" t="n"/>
      <c r="P572" s="11" t="n"/>
      <c r="Q572" s="7" t="n"/>
      <c r="R572" s="7" t="n"/>
      <c r="S572" s="7" t="n"/>
      <c r="T572" s="7" t="n"/>
      <c r="U572" s="12">
        <f>IF(A572="","",IF(H572="","建議填分配模式",""))</f>
        <v/>
      </c>
    </row>
    <row r="573" ht="24" customHeight="1">
      <c r="A573" s="7" t="n"/>
      <c r="B573" s="7" t="n"/>
      <c r="C573" s="7" t="n"/>
      <c r="D573" s="12">
        <f>IF($A573="","",IFERROR(INDEX(土地清冊_匯入!$B$6:$B$1005,MATCH($A573,土地清冊_匯入!$A$6:$A$1005,0)),"查無資料"))</f>
        <v/>
      </c>
      <c r="E573" s="9">
        <f>IF($A573="","",IFERROR(INDEX(土地清冊_匯入!$I$6:$I$1005,MATCH($A573,土地清冊_匯入!$A$6:$A$1005,0)),""))</f>
        <v/>
      </c>
      <c r="F573" s="13">
        <f>IF($A573="","",IFERROR(INDEX(建物清冊_匯入!$N$6:$N$1005,MATCH($A573,建物清冊_匯入!$A$6:$A$1005,0)),""))</f>
        <v/>
      </c>
      <c r="G573" s="9">
        <f>IF($A573="","",IFERROR(INDEX(建物清冊_匯入!$S$6:$S$1005,MATCH($A573,建物清冊_匯入!$A$6:$A$1005,0)),""))</f>
        <v/>
      </c>
      <c r="H573" s="7" t="n"/>
      <c r="I573" s="15" t="n"/>
      <c r="J573" s="16" t="n"/>
      <c r="K573" s="17">
        <f>IF(J573="","",1-J573)</f>
        <v/>
      </c>
      <c r="L573" s="15" t="n"/>
      <c r="M573" s="7" t="n"/>
      <c r="N573" s="7" t="n"/>
      <c r="O573" s="7" t="n"/>
      <c r="P573" s="11" t="n"/>
      <c r="Q573" s="7" t="n"/>
      <c r="R573" s="7" t="n"/>
      <c r="S573" s="7" t="n"/>
      <c r="T573" s="7" t="n"/>
      <c r="U573" s="12">
        <f>IF(A573="","",IF(H573="","建議填分配模式",""))</f>
        <v/>
      </c>
    </row>
    <row r="574" ht="24" customHeight="1">
      <c r="A574" s="7" t="n"/>
      <c r="B574" s="7" t="n"/>
      <c r="C574" s="7" t="n"/>
      <c r="D574" s="12">
        <f>IF($A574="","",IFERROR(INDEX(土地清冊_匯入!$B$6:$B$1005,MATCH($A574,土地清冊_匯入!$A$6:$A$1005,0)),"查無資料"))</f>
        <v/>
      </c>
      <c r="E574" s="9">
        <f>IF($A574="","",IFERROR(INDEX(土地清冊_匯入!$I$6:$I$1005,MATCH($A574,土地清冊_匯入!$A$6:$A$1005,0)),""))</f>
        <v/>
      </c>
      <c r="F574" s="13">
        <f>IF($A574="","",IFERROR(INDEX(建物清冊_匯入!$N$6:$N$1005,MATCH($A574,建物清冊_匯入!$A$6:$A$1005,0)),""))</f>
        <v/>
      </c>
      <c r="G574" s="9">
        <f>IF($A574="","",IFERROR(INDEX(建物清冊_匯入!$S$6:$S$1005,MATCH($A574,建物清冊_匯入!$A$6:$A$1005,0)),""))</f>
        <v/>
      </c>
      <c r="H574" s="7" t="n"/>
      <c r="I574" s="15" t="n"/>
      <c r="J574" s="16" t="n"/>
      <c r="K574" s="17">
        <f>IF(J574="","",1-J574)</f>
        <v/>
      </c>
      <c r="L574" s="15" t="n"/>
      <c r="M574" s="7" t="n"/>
      <c r="N574" s="7" t="n"/>
      <c r="O574" s="7" t="n"/>
      <c r="P574" s="11" t="n"/>
      <c r="Q574" s="7" t="n"/>
      <c r="R574" s="7" t="n"/>
      <c r="S574" s="7" t="n"/>
      <c r="T574" s="7" t="n"/>
      <c r="U574" s="12">
        <f>IF(A574="","",IF(H574="","建議填分配模式",""))</f>
        <v/>
      </c>
    </row>
    <row r="575" ht="24" customHeight="1">
      <c r="A575" s="7" t="n"/>
      <c r="B575" s="7" t="n"/>
      <c r="C575" s="7" t="n"/>
      <c r="D575" s="12">
        <f>IF($A575="","",IFERROR(INDEX(土地清冊_匯入!$B$6:$B$1005,MATCH($A575,土地清冊_匯入!$A$6:$A$1005,0)),"查無資料"))</f>
        <v/>
      </c>
      <c r="E575" s="9">
        <f>IF($A575="","",IFERROR(INDEX(土地清冊_匯入!$I$6:$I$1005,MATCH($A575,土地清冊_匯入!$A$6:$A$1005,0)),""))</f>
        <v/>
      </c>
      <c r="F575" s="13">
        <f>IF($A575="","",IFERROR(INDEX(建物清冊_匯入!$N$6:$N$1005,MATCH($A575,建物清冊_匯入!$A$6:$A$1005,0)),""))</f>
        <v/>
      </c>
      <c r="G575" s="9">
        <f>IF($A575="","",IFERROR(INDEX(建物清冊_匯入!$S$6:$S$1005,MATCH($A575,建物清冊_匯入!$A$6:$A$1005,0)),""))</f>
        <v/>
      </c>
      <c r="H575" s="7" t="n"/>
      <c r="I575" s="15" t="n"/>
      <c r="J575" s="16" t="n"/>
      <c r="K575" s="17">
        <f>IF(J575="","",1-J575)</f>
        <v/>
      </c>
      <c r="L575" s="15" t="n"/>
      <c r="M575" s="7" t="n"/>
      <c r="N575" s="7" t="n"/>
      <c r="O575" s="7" t="n"/>
      <c r="P575" s="11" t="n"/>
      <c r="Q575" s="7" t="n"/>
      <c r="R575" s="7" t="n"/>
      <c r="S575" s="7" t="n"/>
      <c r="T575" s="7" t="n"/>
      <c r="U575" s="12">
        <f>IF(A575="","",IF(H575="","建議填分配模式",""))</f>
        <v/>
      </c>
    </row>
    <row r="576" ht="24" customHeight="1">
      <c r="A576" s="7" t="n"/>
      <c r="B576" s="7" t="n"/>
      <c r="C576" s="7" t="n"/>
      <c r="D576" s="12">
        <f>IF($A576="","",IFERROR(INDEX(土地清冊_匯入!$B$6:$B$1005,MATCH($A576,土地清冊_匯入!$A$6:$A$1005,0)),"查無資料"))</f>
        <v/>
      </c>
      <c r="E576" s="9">
        <f>IF($A576="","",IFERROR(INDEX(土地清冊_匯入!$I$6:$I$1005,MATCH($A576,土地清冊_匯入!$A$6:$A$1005,0)),""))</f>
        <v/>
      </c>
      <c r="F576" s="13">
        <f>IF($A576="","",IFERROR(INDEX(建物清冊_匯入!$N$6:$N$1005,MATCH($A576,建物清冊_匯入!$A$6:$A$1005,0)),""))</f>
        <v/>
      </c>
      <c r="G576" s="9">
        <f>IF($A576="","",IFERROR(INDEX(建物清冊_匯入!$S$6:$S$1005,MATCH($A576,建物清冊_匯入!$A$6:$A$1005,0)),""))</f>
        <v/>
      </c>
      <c r="H576" s="7" t="n"/>
      <c r="I576" s="15" t="n"/>
      <c r="J576" s="16" t="n"/>
      <c r="K576" s="17">
        <f>IF(J576="","",1-J576)</f>
        <v/>
      </c>
      <c r="L576" s="15" t="n"/>
      <c r="M576" s="7" t="n"/>
      <c r="N576" s="7" t="n"/>
      <c r="O576" s="7" t="n"/>
      <c r="P576" s="11" t="n"/>
      <c r="Q576" s="7" t="n"/>
      <c r="R576" s="7" t="n"/>
      <c r="S576" s="7" t="n"/>
      <c r="T576" s="7" t="n"/>
      <c r="U576" s="12">
        <f>IF(A576="","",IF(H576="","建議填分配模式",""))</f>
        <v/>
      </c>
    </row>
    <row r="577" ht="24" customHeight="1">
      <c r="A577" s="7" t="n"/>
      <c r="B577" s="7" t="n"/>
      <c r="C577" s="7" t="n"/>
      <c r="D577" s="12">
        <f>IF($A577="","",IFERROR(INDEX(土地清冊_匯入!$B$6:$B$1005,MATCH($A577,土地清冊_匯入!$A$6:$A$1005,0)),"查無資料"))</f>
        <v/>
      </c>
      <c r="E577" s="9">
        <f>IF($A577="","",IFERROR(INDEX(土地清冊_匯入!$I$6:$I$1005,MATCH($A577,土地清冊_匯入!$A$6:$A$1005,0)),""))</f>
        <v/>
      </c>
      <c r="F577" s="13">
        <f>IF($A577="","",IFERROR(INDEX(建物清冊_匯入!$N$6:$N$1005,MATCH($A577,建物清冊_匯入!$A$6:$A$1005,0)),""))</f>
        <v/>
      </c>
      <c r="G577" s="9">
        <f>IF($A577="","",IFERROR(INDEX(建物清冊_匯入!$S$6:$S$1005,MATCH($A577,建物清冊_匯入!$A$6:$A$1005,0)),""))</f>
        <v/>
      </c>
      <c r="H577" s="7" t="n"/>
      <c r="I577" s="15" t="n"/>
      <c r="J577" s="16" t="n"/>
      <c r="K577" s="17">
        <f>IF(J577="","",1-J577)</f>
        <v/>
      </c>
      <c r="L577" s="15" t="n"/>
      <c r="M577" s="7" t="n"/>
      <c r="N577" s="7" t="n"/>
      <c r="O577" s="7" t="n"/>
      <c r="P577" s="11" t="n"/>
      <c r="Q577" s="7" t="n"/>
      <c r="R577" s="7" t="n"/>
      <c r="S577" s="7" t="n"/>
      <c r="T577" s="7" t="n"/>
      <c r="U577" s="12">
        <f>IF(A577="","",IF(H577="","建議填分配模式",""))</f>
        <v/>
      </c>
    </row>
    <row r="578" ht="24" customHeight="1">
      <c r="A578" s="7" t="n"/>
      <c r="B578" s="7" t="n"/>
      <c r="C578" s="7" t="n"/>
      <c r="D578" s="12">
        <f>IF($A578="","",IFERROR(INDEX(土地清冊_匯入!$B$6:$B$1005,MATCH($A578,土地清冊_匯入!$A$6:$A$1005,0)),"查無資料"))</f>
        <v/>
      </c>
      <c r="E578" s="9">
        <f>IF($A578="","",IFERROR(INDEX(土地清冊_匯入!$I$6:$I$1005,MATCH($A578,土地清冊_匯入!$A$6:$A$1005,0)),""))</f>
        <v/>
      </c>
      <c r="F578" s="13">
        <f>IF($A578="","",IFERROR(INDEX(建物清冊_匯入!$N$6:$N$1005,MATCH($A578,建物清冊_匯入!$A$6:$A$1005,0)),""))</f>
        <v/>
      </c>
      <c r="G578" s="9">
        <f>IF($A578="","",IFERROR(INDEX(建物清冊_匯入!$S$6:$S$1005,MATCH($A578,建物清冊_匯入!$A$6:$A$1005,0)),""))</f>
        <v/>
      </c>
      <c r="H578" s="7" t="n"/>
      <c r="I578" s="15" t="n"/>
      <c r="J578" s="16" t="n"/>
      <c r="K578" s="17">
        <f>IF(J578="","",1-J578)</f>
        <v/>
      </c>
      <c r="L578" s="15" t="n"/>
      <c r="M578" s="7" t="n"/>
      <c r="N578" s="7" t="n"/>
      <c r="O578" s="7" t="n"/>
      <c r="P578" s="11" t="n"/>
      <c r="Q578" s="7" t="n"/>
      <c r="R578" s="7" t="n"/>
      <c r="S578" s="7" t="n"/>
      <c r="T578" s="7" t="n"/>
      <c r="U578" s="12">
        <f>IF(A578="","",IF(H578="","建議填分配模式",""))</f>
        <v/>
      </c>
    </row>
    <row r="579" ht="24" customHeight="1">
      <c r="A579" s="7" t="n"/>
      <c r="B579" s="7" t="n"/>
      <c r="C579" s="7" t="n"/>
      <c r="D579" s="12">
        <f>IF($A579="","",IFERROR(INDEX(土地清冊_匯入!$B$6:$B$1005,MATCH($A579,土地清冊_匯入!$A$6:$A$1005,0)),"查無資料"))</f>
        <v/>
      </c>
      <c r="E579" s="9">
        <f>IF($A579="","",IFERROR(INDEX(土地清冊_匯入!$I$6:$I$1005,MATCH($A579,土地清冊_匯入!$A$6:$A$1005,0)),""))</f>
        <v/>
      </c>
      <c r="F579" s="13">
        <f>IF($A579="","",IFERROR(INDEX(建物清冊_匯入!$N$6:$N$1005,MATCH($A579,建物清冊_匯入!$A$6:$A$1005,0)),""))</f>
        <v/>
      </c>
      <c r="G579" s="9">
        <f>IF($A579="","",IFERROR(INDEX(建物清冊_匯入!$S$6:$S$1005,MATCH($A579,建物清冊_匯入!$A$6:$A$1005,0)),""))</f>
        <v/>
      </c>
      <c r="H579" s="7" t="n"/>
      <c r="I579" s="15" t="n"/>
      <c r="J579" s="16" t="n"/>
      <c r="K579" s="17">
        <f>IF(J579="","",1-J579)</f>
        <v/>
      </c>
      <c r="L579" s="15" t="n"/>
      <c r="M579" s="7" t="n"/>
      <c r="N579" s="7" t="n"/>
      <c r="O579" s="7" t="n"/>
      <c r="P579" s="11" t="n"/>
      <c r="Q579" s="7" t="n"/>
      <c r="R579" s="7" t="n"/>
      <c r="S579" s="7" t="n"/>
      <c r="T579" s="7" t="n"/>
      <c r="U579" s="12">
        <f>IF(A579="","",IF(H579="","建議填分配模式",""))</f>
        <v/>
      </c>
    </row>
    <row r="580" ht="24" customHeight="1">
      <c r="A580" s="7" t="n"/>
      <c r="B580" s="7" t="n"/>
      <c r="C580" s="7" t="n"/>
      <c r="D580" s="12">
        <f>IF($A580="","",IFERROR(INDEX(土地清冊_匯入!$B$6:$B$1005,MATCH($A580,土地清冊_匯入!$A$6:$A$1005,0)),"查無資料"))</f>
        <v/>
      </c>
      <c r="E580" s="9">
        <f>IF($A580="","",IFERROR(INDEX(土地清冊_匯入!$I$6:$I$1005,MATCH($A580,土地清冊_匯入!$A$6:$A$1005,0)),""))</f>
        <v/>
      </c>
      <c r="F580" s="13">
        <f>IF($A580="","",IFERROR(INDEX(建物清冊_匯入!$N$6:$N$1005,MATCH($A580,建物清冊_匯入!$A$6:$A$1005,0)),""))</f>
        <v/>
      </c>
      <c r="G580" s="9">
        <f>IF($A580="","",IFERROR(INDEX(建物清冊_匯入!$S$6:$S$1005,MATCH($A580,建物清冊_匯入!$A$6:$A$1005,0)),""))</f>
        <v/>
      </c>
      <c r="H580" s="7" t="n"/>
      <c r="I580" s="15" t="n"/>
      <c r="J580" s="16" t="n"/>
      <c r="K580" s="17">
        <f>IF(J580="","",1-J580)</f>
        <v/>
      </c>
      <c r="L580" s="15" t="n"/>
      <c r="M580" s="7" t="n"/>
      <c r="N580" s="7" t="n"/>
      <c r="O580" s="7" t="n"/>
      <c r="P580" s="11" t="n"/>
      <c r="Q580" s="7" t="n"/>
      <c r="R580" s="7" t="n"/>
      <c r="S580" s="7" t="n"/>
      <c r="T580" s="7" t="n"/>
      <c r="U580" s="12">
        <f>IF(A580="","",IF(H580="","建議填分配模式",""))</f>
        <v/>
      </c>
    </row>
    <row r="581" ht="24" customHeight="1">
      <c r="A581" s="7" t="n"/>
      <c r="B581" s="7" t="n"/>
      <c r="C581" s="7" t="n"/>
      <c r="D581" s="12">
        <f>IF($A581="","",IFERROR(INDEX(土地清冊_匯入!$B$6:$B$1005,MATCH($A581,土地清冊_匯入!$A$6:$A$1005,0)),"查無資料"))</f>
        <v/>
      </c>
      <c r="E581" s="9">
        <f>IF($A581="","",IFERROR(INDEX(土地清冊_匯入!$I$6:$I$1005,MATCH($A581,土地清冊_匯入!$A$6:$A$1005,0)),""))</f>
        <v/>
      </c>
      <c r="F581" s="13">
        <f>IF($A581="","",IFERROR(INDEX(建物清冊_匯入!$N$6:$N$1005,MATCH($A581,建物清冊_匯入!$A$6:$A$1005,0)),""))</f>
        <v/>
      </c>
      <c r="G581" s="9">
        <f>IF($A581="","",IFERROR(INDEX(建物清冊_匯入!$S$6:$S$1005,MATCH($A581,建物清冊_匯入!$A$6:$A$1005,0)),""))</f>
        <v/>
      </c>
      <c r="H581" s="7" t="n"/>
      <c r="I581" s="15" t="n"/>
      <c r="J581" s="16" t="n"/>
      <c r="K581" s="17">
        <f>IF(J581="","",1-J581)</f>
        <v/>
      </c>
      <c r="L581" s="15" t="n"/>
      <c r="M581" s="7" t="n"/>
      <c r="N581" s="7" t="n"/>
      <c r="O581" s="7" t="n"/>
      <c r="P581" s="11" t="n"/>
      <c r="Q581" s="7" t="n"/>
      <c r="R581" s="7" t="n"/>
      <c r="S581" s="7" t="n"/>
      <c r="T581" s="7" t="n"/>
      <c r="U581" s="12">
        <f>IF(A581="","",IF(H581="","建議填分配模式",""))</f>
        <v/>
      </c>
    </row>
    <row r="582" ht="24" customHeight="1">
      <c r="A582" s="7" t="n"/>
      <c r="B582" s="7" t="n"/>
      <c r="C582" s="7" t="n"/>
      <c r="D582" s="12">
        <f>IF($A582="","",IFERROR(INDEX(土地清冊_匯入!$B$6:$B$1005,MATCH($A582,土地清冊_匯入!$A$6:$A$1005,0)),"查無資料"))</f>
        <v/>
      </c>
      <c r="E582" s="9">
        <f>IF($A582="","",IFERROR(INDEX(土地清冊_匯入!$I$6:$I$1005,MATCH($A582,土地清冊_匯入!$A$6:$A$1005,0)),""))</f>
        <v/>
      </c>
      <c r="F582" s="13">
        <f>IF($A582="","",IFERROR(INDEX(建物清冊_匯入!$N$6:$N$1005,MATCH($A582,建物清冊_匯入!$A$6:$A$1005,0)),""))</f>
        <v/>
      </c>
      <c r="G582" s="9">
        <f>IF($A582="","",IFERROR(INDEX(建物清冊_匯入!$S$6:$S$1005,MATCH($A582,建物清冊_匯入!$A$6:$A$1005,0)),""))</f>
        <v/>
      </c>
      <c r="H582" s="7" t="n"/>
      <c r="I582" s="15" t="n"/>
      <c r="J582" s="16" t="n"/>
      <c r="K582" s="17">
        <f>IF(J582="","",1-J582)</f>
        <v/>
      </c>
      <c r="L582" s="15" t="n"/>
      <c r="M582" s="7" t="n"/>
      <c r="N582" s="7" t="n"/>
      <c r="O582" s="7" t="n"/>
      <c r="P582" s="11" t="n"/>
      <c r="Q582" s="7" t="n"/>
      <c r="R582" s="7" t="n"/>
      <c r="S582" s="7" t="n"/>
      <c r="T582" s="7" t="n"/>
      <c r="U582" s="12">
        <f>IF(A582="","",IF(H582="","建議填分配模式",""))</f>
        <v/>
      </c>
    </row>
    <row r="583" ht="24" customHeight="1">
      <c r="A583" s="7" t="n"/>
      <c r="B583" s="7" t="n"/>
      <c r="C583" s="7" t="n"/>
      <c r="D583" s="12">
        <f>IF($A583="","",IFERROR(INDEX(土地清冊_匯入!$B$6:$B$1005,MATCH($A583,土地清冊_匯入!$A$6:$A$1005,0)),"查無資料"))</f>
        <v/>
      </c>
      <c r="E583" s="9">
        <f>IF($A583="","",IFERROR(INDEX(土地清冊_匯入!$I$6:$I$1005,MATCH($A583,土地清冊_匯入!$A$6:$A$1005,0)),""))</f>
        <v/>
      </c>
      <c r="F583" s="13">
        <f>IF($A583="","",IFERROR(INDEX(建物清冊_匯入!$N$6:$N$1005,MATCH($A583,建物清冊_匯入!$A$6:$A$1005,0)),""))</f>
        <v/>
      </c>
      <c r="G583" s="9">
        <f>IF($A583="","",IFERROR(INDEX(建物清冊_匯入!$S$6:$S$1005,MATCH($A583,建物清冊_匯入!$A$6:$A$1005,0)),""))</f>
        <v/>
      </c>
      <c r="H583" s="7" t="n"/>
      <c r="I583" s="15" t="n"/>
      <c r="J583" s="16" t="n"/>
      <c r="K583" s="17">
        <f>IF(J583="","",1-J583)</f>
        <v/>
      </c>
      <c r="L583" s="15" t="n"/>
      <c r="M583" s="7" t="n"/>
      <c r="N583" s="7" t="n"/>
      <c r="O583" s="7" t="n"/>
      <c r="P583" s="11" t="n"/>
      <c r="Q583" s="7" t="n"/>
      <c r="R583" s="7" t="n"/>
      <c r="S583" s="7" t="n"/>
      <c r="T583" s="7" t="n"/>
      <c r="U583" s="12">
        <f>IF(A583="","",IF(H583="","建議填分配模式",""))</f>
        <v/>
      </c>
    </row>
    <row r="584" ht="24" customHeight="1">
      <c r="A584" s="7" t="n"/>
      <c r="B584" s="7" t="n"/>
      <c r="C584" s="7" t="n"/>
      <c r="D584" s="12">
        <f>IF($A584="","",IFERROR(INDEX(土地清冊_匯入!$B$6:$B$1005,MATCH($A584,土地清冊_匯入!$A$6:$A$1005,0)),"查無資料"))</f>
        <v/>
      </c>
      <c r="E584" s="9">
        <f>IF($A584="","",IFERROR(INDEX(土地清冊_匯入!$I$6:$I$1005,MATCH($A584,土地清冊_匯入!$A$6:$A$1005,0)),""))</f>
        <v/>
      </c>
      <c r="F584" s="13">
        <f>IF($A584="","",IFERROR(INDEX(建物清冊_匯入!$N$6:$N$1005,MATCH($A584,建物清冊_匯入!$A$6:$A$1005,0)),""))</f>
        <v/>
      </c>
      <c r="G584" s="9">
        <f>IF($A584="","",IFERROR(INDEX(建物清冊_匯入!$S$6:$S$1005,MATCH($A584,建物清冊_匯入!$A$6:$A$1005,0)),""))</f>
        <v/>
      </c>
      <c r="H584" s="7" t="n"/>
      <c r="I584" s="15" t="n"/>
      <c r="J584" s="16" t="n"/>
      <c r="K584" s="17">
        <f>IF(J584="","",1-J584)</f>
        <v/>
      </c>
      <c r="L584" s="15" t="n"/>
      <c r="M584" s="7" t="n"/>
      <c r="N584" s="7" t="n"/>
      <c r="O584" s="7" t="n"/>
      <c r="P584" s="11" t="n"/>
      <c r="Q584" s="7" t="n"/>
      <c r="R584" s="7" t="n"/>
      <c r="S584" s="7" t="n"/>
      <c r="T584" s="7" t="n"/>
      <c r="U584" s="12">
        <f>IF(A584="","",IF(H584="","建議填分配模式",""))</f>
        <v/>
      </c>
    </row>
    <row r="585" ht="24" customHeight="1">
      <c r="A585" s="7" t="n"/>
      <c r="B585" s="7" t="n"/>
      <c r="C585" s="7" t="n"/>
      <c r="D585" s="12">
        <f>IF($A585="","",IFERROR(INDEX(土地清冊_匯入!$B$6:$B$1005,MATCH($A585,土地清冊_匯入!$A$6:$A$1005,0)),"查無資料"))</f>
        <v/>
      </c>
      <c r="E585" s="9">
        <f>IF($A585="","",IFERROR(INDEX(土地清冊_匯入!$I$6:$I$1005,MATCH($A585,土地清冊_匯入!$A$6:$A$1005,0)),""))</f>
        <v/>
      </c>
      <c r="F585" s="13">
        <f>IF($A585="","",IFERROR(INDEX(建物清冊_匯入!$N$6:$N$1005,MATCH($A585,建物清冊_匯入!$A$6:$A$1005,0)),""))</f>
        <v/>
      </c>
      <c r="G585" s="9">
        <f>IF($A585="","",IFERROR(INDEX(建物清冊_匯入!$S$6:$S$1005,MATCH($A585,建物清冊_匯入!$A$6:$A$1005,0)),""))</f>
        <v/>
      </c>
      <c r="H585" s="7" t="n"/>
      <c r="I585" s="15" t="n"/>
      <c r="J585" s="16" t="n"/>
      <c r="K585" s="17">
        <f>IF(J585="","",1-J585)</f>
        <v/>
      </c>
      <c r="L585" s="15" t="n"/>
      <c r="M585" s="7" t="n"/>
      <c r="N585" s="7" t="n"/>
      <c r="O585" s="7" t="n"/>
      <c r="P585" s="11" t="n"/>
      <c r="Q585" s="7" t="n"/>
      <c r="R585" s="7" t="n"/>
      <c r="S585" s="7" t="n"/>
      <c r="T585" s="7" t="n"/>
      <c r="U585" s="12">
        <f>IF(A585="","",IF(H585="","建議填分配模式",""))</f>
        <v/>
      </c>
    </row>
    <row r="586" ht="24" customHeight="1">
      <c r="A586" s="7" t="n"/>
      <c r="B586" s="7" t="n"/>
      <c r="C586" s="7" t="n"/>
      <c r="D586" s="12">
        <f>IF($A586="","",IFERROR(INDEX(土地清冊_匯入!$B$6:$B$1005,MATCH($A586,土地清冊_匯入!$A$6:$A$1005,0)),"查無資料"))</f>
        <v/>
      </c>
      <c r="E586" s="9">
        <f>IF($A586="","",IFERROR(INDEX(土地清冊_匯入!$I$6:$I$1005,MATCH($A586,土地清冊_匯入!$A$6:$A$1005,0)),""))</f>
        <v/>
      </c>
      <c r="F586" s="13">
        <f>IF($A586="","",IFERROR(INDEX(建物清冊_匯入!$N$6:$N$1005,MATCH($A586,建物清冊_匯入!$A$6:$A$1005,0)),""))</f>
        <v/>
      </c>
      <c r="G586" s="9">
        <f>IF($A586="","",IFERROR(INDEX(建物清冊_匯入!$S$6:$S$1005,MATCH($A586,建物清冊_匯入!$A$6:$A$1005,0)),""))</f>
        <v/>
      </c>
      <c r="H586" s="7" t="n"/>
      <c r="I586" s="15" t="n"/>
      <c r="J586" s="16" t="n"/>
      <c r="K586" s="17">
        <f>IF(J586="","",1-J586)</f>
        <v/>
      </c>
      <c r="L586" s="15" t="n"/>
      <c r="M586" s="7" t="n"/>
      <c r="N586" s="7" t="n"/>
      <c r="O586" s="7" t="n"/>
      <c r="P586" s="11" t="n"/>
      <c r="Q586" s="7" t="n"/>
      <c r="R586" s="7" t="n"/>
      <c r="S586" s="7" t="n"/>
      <c r="T586" s="7" t="n"/>
      <c r="U586" s="12">
        <f>IF(A586="","",IF(H586="","建議填分配模式",""))</f>
        <v/>
      </c>
    </row>
    <row r="587" ht="24" customHeight="1">
      <c r="A587" s="7" t="n"/>
      <c r="B587" s="7" t="n"/>
      <c r="C587" s="7" t="n"/>
      <c r="D587" s="12">
        <f>IF($A587="","",IFERROR(INDEX(土地清冊_匯入!$B$6:$B$1005,MATCH($A587,土地清冊_匯入!$A$6:$A$1005,0)),"查無資料"))</f>
        <v/>
      </c>
      <c r="E587" s="9">
        <f>IF($A587="","",IFERROR(INDEX(土地清冊_匯入!$I$6:$I$1005,MATCH($A587,土地清冊_匯入!$A$6:$A$1005,0)),""))</f>
        <v/>
      </c>
      <c r="F587" s="13">
        <f>IF($A587="","",IFERROR(INDEX(建物清冊_匯入!$N$6:$N$1005,MATCH($A587,建物清冊_匯入!$A$6:$A$1005,0)),""))</f>
        <v/>
      </c>
      <c r="G587" s="9">
        <f>IF($A587="","",IFERROR(INDEX(建物清冊_匯入!$S$6:$S$1005,MATCH($A587,建物清冊_匯入!$A$6:$A$1005,0)),""))</f>
        <v/>
      </c>
      <c r="H587" s="7" t="n"/>
      <c r="I587" s="15" t="n"/>
      <c r="J587" s="16" t="n"/>
      <c r="K587" s="17">
        <f>IF(J587="","",1-J587)</f>
        <v/>
      </c>
      <c r="L587" s="15" t="n"/>
      <c r="M587" s="7" t="n"/>
      <c r="N587" s="7" t="n"/>
      <c r="O587" s="7" t="n"/>
      <c r="P587" s="11" t="n"/>
      <c r="Q587" s="7" t="n"/>
      <c r="R587" s="7" t="n"/>
      <c r="S587" s="7" t="n"/>
      <c r="T587" s="7" t="n"/>
      <c r="U587" s="12">
        <f>IF(A587="","",IF(H587="","建議填分配模式",""))</f>
        <v/>
      </c>
    </row>
    <row r="588" ht="24" customHeight="1">
      <c r="A588" s="7" t="n"/>
      <c r="B588" s="7" t="n"/>
      <c r="C588" s="7" t="n"/>
      <c r="D588" s="12">
        <f>IF($A588="","",IFERROR(INDEX(土地清冊_匯入!$B$6:$B$1005,MATCH($A588,土地清冊_匯入!$A$6:$A$1005,0)),"查無資料"))</f>
        <v/>
      </c>
      <c r="E588" s="9">
        <f>IF($A588="","",IFERROR(INDEX(土地清冊_匯入!$I$6:$I$1005,MATCH($A588,土地清冊_匯入!$A$6:$A$1005,0)),""))</f>
        <v/>
      </c>
      <c r="F588" s="13">
        <f>IF($A588="","",IFERROR(INDEX(建物清冊_匯入!$N$6:$N$1005,MATCH($A588,建物清冊_匯入!$A$6:$A$1005,0)),""))</f>
        <v/>
      </c>
      <c r="G588" s="9">
        <f>IF($A588="","",IFERROR(INDEX(建物清冊_匯入!$S$6:$S$1005,MATCH($A588,建物清冊_匯入!$A$6:$A$1005,0)),""))</f>
        <v/>
      </c>
      <c r="H588" s="7" t="n"/>
      <c r="I588" s="15" t="n"/>
      <c r="J588" s="16" t="n"/>
      <c r="K588" s="17">
        <f>IF(J588="","",1-J588)</f>
        <v/>
      </c>
      <c r="L588" s="15" t="n"/>
      <c r="M588" s="7" t="n"/>
      <c r="N588" s="7" t="n"/>
      <c r="O588" s="7" t="n"/>
      <c r="P588" s="11" t="n"/>
      <c r="Q588" s="7" t="n"/>
      <c r="R588" s="7" t="n"/>
      <c r="S588" s="7" t="n"/>
      <c r="T588" s="7" t="n"/>
      <c r="U588" s="12">
        <f>IF(A588="","",IF(H588="","建議填分配模式",""))</f>
        <v/>
      </c>
    </row>
    <row r="589" ht="24" customHeight="1">
      <c r="A589" s="7" t="n"/>
      <c r="B589" s="7" t="n"/>
      <c r="C589" s="7" t="n"/>
      <c r="D589" s="12">
        <f>IF($A589="","",IFERROR(INDEX(土地清冊_匯入!$B$6:$B$1005,MATCH($A589,土地清冊_匯入!$A$6:$A$1005,0)),"查無資料"))</f>
        <v/>
      </c>
      <c r="E589" s="9">
        <f>IF($A589="","",IFERROR(INDEX(土地清冊_匯入!$I$6:$I$1005,MATCH($A589,土地清冊_匯入!$A$6:$A$1005,0)),""))</f>
        <v/>
      </c>
      <c r="F589" s="13">
        <f>IF($A589="","",IFERROR(INDEX(建物清冊_匯入!$N$6:$N$1005,MATCH($A589,建物清冊_匯入!$A$6:$A$1005,0)),""))</f>
        <v/>
      </c>
      <c r="G589" s="9">
        <f>IF($A589="","",IFERROR(INDEX(建物清冊_匯入!$S$6:$S$1005,MATCH($A589,建物清冊_匯入!$A$6:$A$1005,0)),""))</f>
        <v/>
      </c>
      <c r="H589" s="7" t="n"/>
      <c r="I589" s="15" t="n"/>
      <c r="J589" s="16" t="n"/>
      <c r="K589" s="17">
        <f>IF(J589="","",1-J589)</f>
        <v/>
      </c>
      <c r="L589" s="15" t="n"/>
      <c r="M589" s="7" t="n"/>
      <c r="N589" s="7" t="n"/>
      <c r="O589" s="7" t="n"/>
      <c r="P589" s="11" t="n"/>
      <c r="Q589" s="7" t="n"/>
      <c r="R589" s="7" t="n"/>
      <c r="S589" s="7" t="n"/>
      <c r="T589" s="7" t="n"/>
      <c r="U589" s="12">
        <f>IF(A589="","",IF(H589="","建議填分配模式",""))</f>
        <v/>
      </c>
    </row>
    <row r="590" ht="24" customHeight="1">
      <c r="A590" s="7" t="n"/>
      <c r="B590" s="7" t="n"/>
      <c r="C590" s="7" t="n"/>
      <c r="D590" s="12">
        <f>IF($A590="","",IFERROR(INDEX(土地清冊_匯入!$B$6:$B$1005,MATCH($A590,土地清冊_匯入!$A$6:$A$1005,0)),"查無資料"))</f>
        <v/>
      </c>
      <c r="E590" s="9">
        <f>IF($A590="","",IFERROR(INDEX(土地清冊_匯入!$I$6:$I$1005,MATCH($A590,土地清冊_匯入!$A$6:$A$1005,0)),""))</f>
        <v/>
      </c>
      <c r="F590" s="13">
        <f>IF($A590="","",IFERROR(INDEX(建物清冊_匯入!$N$6:$N$1005,MATCH($A590,建物清冊_匯入!$A$6:$A$1005,0)),""))</f>
        <v/>
      </c>
      <c r="G590" s="9">
        <f>IF($A590="","",IFERROR(INDEX(建物清冊_匯入!$S$6:$S$1005,MATCH($A590,建物清冊_匯入!$A$6:$A$1005,0)),""))</f>
        <v/>
      </c>
      <c r="H590" s="7" t="n"/>
      <c r="I590" s="15" t="n"/>
      <c r="J590" s="16" t="n"/>
      <c r="K590" s="17">
        <f>IF(J590="","",1-J590)</f>
        <v/>
      </c>
      <c r="L590" s="15" t="n"/>
      <c r="M590" s="7" t="n"/>
      <c r="N590" s="7" t="n"/>
      <c r="O590" s="7" t="n"/>
      <c r="P590" s="11" t="n"/>
      <c r="Q590" s="7" t="n"/>
      <c r="R590" s="7" t="n"/>
      <c r="S590" s="7" t="n"/>
      <c r="T590" s="7" t="n"/>
      <c r="U590" s="12">
        <f>IF(A590="","",IF(H590="","建議填分配模式",""))</f>
        <v/>
      </c>
    </row>
    <row r="591" ht="24" customHeight="1">
      <c r="A591" s="7" t="n"/>
      <c r="B591" s="7" t="n"/>
      <c r="C591" s="7" t="n"/>
      <c r="D591" s="12">
        <f>IF($A591="","",IFERROR(INDEX(土地清冊_匯入!$B$6:$B$1005,MATCH($A591,土地清冊_匯入!$A$6:$A$1005,0)),"查無資料"))</f>
        <v/>
      </c>
      <c r="E591" s="9">
        <f>IF($A591="","",IFERROR(INDEX(土地清冊_匯入!$I$6:$I$1005,MATCH($A591,土地清冊_匯入!$A$6:$A$1005,0)),""))</f>
        <v/>
      </c>
      <c r="F591" s="13">
        <f>IF($A591="","",IFERROR(INDEX(建物清冊_匯入!$N$6:$N$1005,MATCH($A591,建物清冊_匯入!$A$6:$A$1005,0)),""))</f>
        <v/>
      </c>
      <c r="G591" s="9">
        <f>IF($A591="","",IFERROR(INDEX(建物清冊_匯入!$S$6:$S$1005,MATCH($A591,建物清冊_匯入!$A$6:$A$1005,0)),""))</f>
        <v/>
      </c>
      <c r="H591" s="7" t="n"/>
      <c r="I591" s="15" t="n"/>
      <c r="J591" s="16" t="n"/>
      <c r="K591" s="17">
        <f>IF(J591="","",1-J591)</f>
        <v/>
      </c>
      <c r="L591" s="15" t="n"/>
      <c r="M591" s="7" t="n"/>
      <c r="N591" s="7" t="n"/>
      <c r="O591" s="7" t="n"/>
      <c r="P591" s="11" t="n"/>
      <c r="Q591" s="7" t="n"/>
      <c r="R591" s="7" t="n"/>
      <c r="S591" s="7" t="n"/>
      <c r="T591" s="7" t="n"/>
      <c r="U591" s="12">
        <f>IF(A591="","",IF(H591="","建議填分配模式",""))</f>
        <v/>
      </c>
    </row>
    <row r="592" ht="24" customHeight="1">
      <c r="A592" s="7" t="n"/>
      <c r="B592" s="7" t="n"/>
      <c r="C592" s="7" t="n"/>
      <c r="D592" s="12">
        <f>IF($A592="","",IFERROR(INDEX(土地清冊_匯入!$B$6:$B$1005,MATCH($A592,土地清冊_匯入!$A$6:$A$1005,0)),"查無資料"))</f>
        <v/>
      </c>
      <c r="E592" s="9">
        <f>IF($A592="","",IFERROR(INDEX(土地清冊_匯入!$I$6:$I$1005,MATCH($A592,土地清冊_匯入!$A$6:$A$1005,0)),""))</f>
        <v/>
      </c>
      <c r="F592" s="13">
        <f>IF($A592="","",IFERROR(INDEX(建物清冊_匯入!$N$6:$N$1005,MATCH($A592,建物清冊_匯入!$A$6:$A$1005,0)),""))</f>
        <v/>
      </c>
      <c r="G592" s="9">
        <f>IF($A592="","",IFERROR(INDEX(建物清冊_匯入!$S$6:$S$1005,MATCH($A592,建物清冊_匯入!$A$6:$A$1005,0)),""))</f>
        <v/>
      </c>
      <c r="H592" s="7" t="n"/>
      <c r="I592" s="15" t="n"/>
      <c r="J592" s="16" t="n"/>
      <c r="K592" s="17">
        <f>IF(J592="","",1-J592)</f>
        <v/>
      </c>
      <c r="L592" s="15" t="n"/>
      <c r="M592" s="7" t="n"/>
      <c r="N592" s="7" t="n"/>
      <c r="O592" s="7" t="n"/>
      <c r="P592" s="11" t="n"/>
      <c r="Q592" s="7" t="n"/>
      <c r="R592" s="7" t="n"/>
      <c r="S592" s="7" t="n"/>
      <c r="T592" s="7" t="n"/>
      <c r="U592" s="12">
        <f>IF(A592="","",IF(H592="","建議填分配模式",""))</f>
        <v/>
      </c>
    </row>
    <row r="593" ht="24" customHeight="1">
      <c r="A593" s="7" t="n"/>
      <c r="B593" s="7" t="n"/>
      <c r="C593" s="7" t="n"/>
      <c r="D593" s="12">
        <f>IF($A593="","",IFERROR(INDEX(土地清冊_匯入!$B$6:$B$1005,MATCH($A593,土地清冊_匯入!$A$6:$A$1005,0)),"查無資料"))</f>
        <v/>
      </c>
      <c r="E593" s="9">
        <f>IF($A593="","",IFERROR(INDEX(土地清冊_匯入!$I$6:$I$1005,MATCH($A593,土地清冊_匯入!$A$6:$A$1005,0)),""))</f>
        <v/>
      </c>
      <c r="F593" s="13">
        <f>IF($A593="","",IFERROR(INDEX(建物清冊_匯入!$N$6:$N$1005,MATCH($A593,建物清冊_匯入!$A$6:$A$1005,0)),""))</f>
        <v/>
      </c>
      <c r="G593" s="9">
        <f>IF($A593="","",IFERROR(INDEX(建物清冊_匯入!$S$6:$S$1005,MATCH($A593,建物清冊_匯入!$A$6:$A$1005,0)),""))</f>
        <v/>
      </c>
      <c r="H593" s="7" t="n"/>
      <c r="I593" s="15" t="n"/>
      <c r="J593" s="16" t="n"/>
      <c r="K593" s="17">
        <f>IF(J593="","",1-J593)</f>
        <v/>
      </c>
      <c r="L593" s="15" t="n"/>
      <c r="M593" s="7" t="n"/>
      <c r="N593" s="7" t="n"/>
      <c r="O593" s="7" t="n"/>
      <c r="P593" s="11" t="n"/>
      <c r="Q593" s="7" t="n"/>
      <c r="R593" s="7" t="n"/>
      <c r="S593" s="7" t="n"/>
      <c r="T593" s="7" t="n"/>
      <c r="U593" s="12">
        <f>IF(A593="","",IF(H593="","建議填分配模式",""))</f>
        <v/>
      </c>
    </row>
    <row r="594" ht="24" customHeight="1">
      <c r="A594" s="7" t="n"/>
      <c r="B594" s="7" t="n"/>
      <c r="C594" s="7" t="n"/>
      <c r="D594" s="12">
        <f>IF($A594="","",IFERROR(INDEX(土地清冊_匯入!$B$6:$B$1005,MATCH($A594,土地清冊_匯入!$A$6:$A$1005,0)),"查無資料"))</f>
        <v/>
      </c>
      <c r="E594" s="9">
        <f>IF($A594="","",IFERROR(INDEX(土地清冊_匯入!$I$6:$I$1005,MATCH($A594,土地清冊_匯入!$A$6:$A$1005,0)),""))</f>
        <v/>
      </c>
      <c r="F594" s="13">
        <f>IF($A594="","",IFERROR(INDEX(建物清冊_匯入!$N$6:$N$1005,MATCH($A594,建物清冊_匯入!$A$6:$A$1005,0)),""))</f>
        <v/>
      </c>
      <c r="G594" s="9">
        <f>IF($A594="","",IFERROR(INDEX(建物清冊_匯入!$S$6:$S$1005,MATCH($A594,建物清冊_匯入!$A$6:$A$1005,0)),""))</f>
        <v/>
      </c>
      <c r="H594" s="7" t="n"/>
      <c r="I594" s="15" t="n"/>
      <c r="J594" s="16" t="n"/>
      <c r="K594" s="17">
        <f>IF(J594="","",1-J594)</f>
        <v/>
      </c>
      <c r="L594" s="15" t="n"/>
      <c r="M594" s="7" t="n"/>
      <c r="N594" s="7" t="n"/>
      <c r="O594" s="7" t="n"/>
      <c r="P594" s="11" t="n"/>
      <c r="Q594" s="7" t="n"/>
      <c r="R594" s="7" t="n"/>
      <c r="S594" s="7" t="n"/>
      <c r="T594" s="7" t="n"/>
      <c r="U594" s="12">
        <f>IF(A594="","",IF(H594="","建議填分配模式",""))</f>
        <v/>
      </c>
    </row>
    <row r="595" ht="24" customHeight="1">
      <c r="A595" s="7" t="n"/>
      <c r="B595" s="7" t="n"/>
      <c r="C595" s="7" t="n"/>
      <c r="D595" s="12">
        <f>IF($A595="","",IFERROR(INDEX(土地清冊_匯入!$B$6:$B$1005,MATCH($A595,土地清冊_匯入!$A$6:$A$1005,0)),"查無資料"))</f>
        <v/>
      </c>
      <c r="E595" s="9">
        <f>IF($A595="","",IFERROR(INDEX(土地清冊_匯入!$I$6:$I$1005,MATCH($A595,土地清冊_匯入!$A$6:$A$1005,0)),""))</f>
        <v/>
      </c>
      <c r="F595" s="13">
        <f>IF($A595="","",IFERROR(INDEX(建物清冊_匯入!$N$6:$N$1005,MATCH($A595,建物清冊_匯入!$A$6:$A$1005,0)),""))</f>
        <v/>
      </c>
      <c r="G595" s="9">
        <f>IF($A595="","",IFERROR(INDEX(建物清冊_匯入!$S$6:$S$1005,MATCH($A595,建物清冊_匯入!$A$6:$A$1005,0)),""))</f>
        <v/>
      </c>
      <c r="H595" s="7" t="n"/>
      <c r="I595" s="15" t="n"/>
      <c r="J595" s="16" t="n"/>
      <c r="K595" s="17">
        <f>IF(J595="","",1-J595)</f>
        <v/>
      </c>
      <c r="L595" s="15" t="n"/>
      <c r="M595" s="7" t="n"/>
      <c r="N595" s="7" t="n"/>
      <c r="O595" s="7" t="n"/>
      <c r="P595" s="11" t="n"/>
      <c r="Q595" s="7" t="n"/>
      <c r="R595" s="7" t="n"/>
      <c r="S595" s="7" t="n"/>
      <c r="T595" s="7" t="n"/>
      <c r="U595" s="12">
        <f>IF(A595="","",IF(H595="","建議填分配模式",""))</f>
        <v/>
      </c>
    </row>
    <row r="596" ht="24" customHeight="1">
      <c r="A596" s="7" t="n"/>
      <c r="B596" s="7" t="n"/>
      <c r="C596" s="7" t="n"/>
      <c r="D596" s="12">
        <f>IF($A596="","",IFERROR(INDEX(土地清冊_匯入!$B$6:$B$1005,MATCH($A596,土地清冊_匯入!$A$6:$A$1005,0)),"查無資料"))</f>
        <v/>
      </c>
      <c r="E596" s="9">
        <f>IF($A596="","",IFERROR(INDEX(土地清冊_匯入!$I$6:$I$1005,MATCH($A596,土地清冊_匯入!$A$6:$A$1005,0)),""))</f>
        <v/>
      </c>
      <c r="F596" s="13">
        <f>IF($A596="","",IFERROR(INDEX(建物清冊_匯入!$N$6:$N$1005,MATCH($A596,建物清冊_匯入!$A$6:$A$1005,0)),""))</f>
        <v/>
      </c>
      <c r="G596" s="9">
        <f>IF($A596="","",IFERROR(INDEX(建物清冊_匯入!$S$6:$S$1005,MATCH($A596,建物清冊_匯入!$A$6:$A$1005,0)),""))</f>
        <v/>
      </c>
      <c r="H596" s="7" t="n"/>
      <c r="I596" s="15" t="n"/>
      <c r="J596" s="16" t="n"/>
      <c r="K596" s="17">
        <f>IF(J596="","",1-J596)</f>
        <v/>
      </c>
      <c r="L596" s="15" t="n"/>
      <c r="M596" s="7" t="n"/>
      <c r="N596" s="7" t="n"/>
      <c r="O596" s="7" t="n"/>
      <c r="P596" s="11" t="n"/>
      <c r="Q596" s="7" t="n"/>
      <c r="R596" s="7" t="n"/>
      <c r="S596" s="7" t="n"/>
      <c r="T596" s="7" t="n"/>
      <c r="U596" s="12">
        <f>IF(A596="","",IF(H596="","建議填分配模式",""))</f>
        <v/>
      </c>
    </row>
    <row r="597" ht="24" customHeight="1">
      <c r="A597" s="7" t="n"/>
      <c r="B597" s="7" t="n"/>
      <c r="C597" s="7" t="n"/>
      <c r="D597" s="12">
        <f>IF($A597="","",IFERROR(INDEX(土地清冊_匯入!$B$6:$B$1005,MATCH($A597,土地清冊_匯入!$A$6:$A$1005,0)),"查無資料"))</f>
        <v/>
      </c>
      <c r="E597" s="9">
        <f>IF($A597="","",IFERROR(INDEX(土地清冊_匯入!$I$6:$I$1005,MATCH($A597,土地清冊_匯入!$A$6:$A$1005,0)),""))</f>
        <v/>
      </c>
      <c r="F597" s="13">
        <f>IF($A597="","",IFERROR(INDEX(建物清冊_匯入!$N$6:$N$1005,MATCH($A597,建物清冊_匯入!$A$6:$A$1005,0)),""))</f>
        <v/>
      </c>
      <c r="G597" s="9">
        <f>IF($A597="","",IFERROR(INDEX(建物清冊_匯入!$S$6:$S$1005,MATCH($A597,建物清冊_匯入!$A$6:$A$1005,0)),""))</f>
        <v/>
      </c>
      <c r="H597" s="7" t="n"/>
      <c r="I597" s="15" t="n"/>
      <c r="J597" s="16" t="n"/>
      <c r="K597" s="17">
        <f>IF(J597="","",1-J597)</f>
        <v/>
      </c>
      <c r="L597" s="15" t="n"/>
      <c r="M597" s="7" t="n"/>
      <c r="N597" s="7" t="n"/>
      <c r="O597" s="7" t="n"/>
      <c r="P597" s="11" t="n"/>
      <c r="Q597" s="7" t="n"/>
      <c r="R597" s="7" t="n"/>
      <c r="S597" s="7" t="n"/>
      <c r="T597" s="7" t="n"/>
      <c r="U597" s="12">
        <f>IF(A597="","",IF(H597="","建議填分配模式",""))</f>
        <v/>
      </c>
    </row>
    <row r="598" ht="24" customHeight="1">
      <c r="A598" s="7" t="n"/>
      <c r="B598" s="7" t="n"/>
      <c r="C598" s="7" t="n"/>
      <c r="D598" s="12">
        <f>IF($A598="","",IFERROR(INDEX(土地清冊_匯入!$B$6:$B$1005,MATCH($A598,土地清冊_匯入!$A$6:$A$1005,0)),"查無資料"))</f>
        <v/>
      </c>
      <c r="E598" s="9">
        <f>IF($A598="","",IFERROR(INDEX(土地清冊_匯入!$I$6:$I$1005,MATCH($A598,土地清冊_匯入!$A$6:$A$1005,0)),""))</f>
        <v/>
      </c>
      <c r="F598" s="13">
        <f>IF($A598="","",IFERROR(INDEX(建物清冊_匯入!$N$6:$N$1005,MATCH($A598,建物清冊_匯入!$A$6:$A$1005,0)),""))</f>
        <v/>
      </c>
      <c r="G598" s="9">
        <f>IF($A598="","",IFERROR(INDEX(建物清冊_匯入!$S$6:$S$1005,MATCH($A598,建物清冊_匯入!$A$6:$A$1005,0)),""))</f>
        <v/>
      </c>
      <c r="H598" s="7" t="n"/>
      <c r="I598" s="15" t="n"/>
      <c r="J598" s="16" t="n"/>
      <c r="K598" s="17">
        <f>IF(J598="","",1-J598)</f>
        <v/>
      </c>
      <c r="L598" s="15" t="n"/>
      <c r="M598" s="7" t="n"/>
      <c r="N598" s="7" t="n"/>
      <c r="O598" s="7" t="n"/>
      <c r="P598" s="11" t="n"/>
      <c r="Q598" s="7" t="n"/>
      <c r="R598" s="7" t="n"/>
      <c r="S598" s="7" t="n"/>
      <c r="T598" s="7" t="n"/>
      <c r="U598" s="12">
        <f>IF(A598="","",IF(H598="","建議填分配模式",""))</f>
        <v/>
      </c>
    </row>
    <row r="599" ht="24" customHeight="1">
      <c r="A599" s="7" t="n"/>
      <c r="B599" s="7" t="n"/>
      <c r="C599" s="7" t="n"/>
      <c r="D599" s="12">
        <f>IF($A599="","",IFERROR(INDEX(土地清冊_匯入!$B$6:$B$1005,MATCH($A599,土地清冊_匯入!$A$6:$A$1005,0)),"查無資料"))</f>
        <v/>
      </c>
      <c r="E599" s="9">
        <f>IF($A599="","",IFERROR(INDEX(土地清冊_匯入!$I$6:$I$1005,MATCH($A599,土地清冊_匯入!$A$6:$A$1005,0)),""))</f>
        <v/>
      </c>
      <c r="F599" s="13">
        <f>IF($A599="","",IFERROR(INDEX(建物清冊_匯入!$N$6:$N$1005,MATCH($A599,建物清冊_匯入!$A$6:$A$1005,0)),""))</f>
        <v/>
      </c>
      <c r="G599" s="9">
        <f>IF($A599="","",IFERROR(INDEX(建物清冊_匯入!$S$6:$S$1005,MATCH($A599,建物清冊_匯入!$A$6:$A$1005,0)),""))</f>
        <v/>
      </c>
      <c r="H599" s="7" t="n"/>
      <c r="I599" s="15" t="n"/>
      <c r="J599" s="16" t="n"/>
      <c r="K599" s="17">
        <f>IF(J599="","",1-J599)</f>
        <v/>
      </c>
      <c r="L599" s="15" t="n"/>
      <c r="M599" s="7" t="n"/>
      <c r="N599" s="7" t="n"/>
      <c r="O599" s="7" t="n"/>
      <c r="P599" s="11" t="n"/>
      <c r="Q599" s="7" t="n"/>
      <c r="R599" s="7" t="n"/>
      <c r="S599" s="7" t="n"/>
      <c r="T599" s="7" t="n"/>
      <c r="U599" s="12">
        <f>IF(A599="","",IF(H599="","建議填分配模式",""))</f>
        <v/>
      </c>
    </row>
    <row r="600" ht="24" customHeight="1">
      <c r="A600" s="7" t="n"/>
      <c r="B600" s="7" t="n"/>
      <c r="C600" s="7" t="n"/>
      <c r="D600" s="12">
        <f>IF($A600="","",IFERROR(INDEX(土地清冊_匯入!$B$6:$B$1005,MATCH($A600,土地清冊_匯入!$A$6:$A$1005,0)),"查無資料"))</f>
        <v/>
      </c>
      <c r="E600" s="9">
        <f>IF($A600="","",IFERROR(INDEX(土地清冊_匯入!$I$6:$I$1005,MATCH($A600,土地清冊_匯入!$A$6:$A$1005,0)),""))</f>
        <v/>
      </c>
      <c r="F600" s="13">
        <f>IF($A600="","",IFERROR(INDEX(建物清冊_匯入!$N$6:$N$1005,MATCH($A600,建物清冊_匯入!$A$6:$A$1005,0)),""))</f>
        <v/>
      </c>
      <c r="G600" s="9">
        <f>IF($A600="","",IFERROR(INDEX(建物清冊_匯入!$S$6:$S$1005,MATCH($A600,建物清冊_匯入!$A$6:$A$1005,0)),""))</f>
        <v/>
      </c>
      <c r="H600" s="7" t="n"/>
      <c r="I600" s="15" t="n"/>
      <c r="J600" s="16" t="n"/>
      <c r="K600" s="17">
        <f>IF(J600="","",1-J600)</f>
        <v/>
      </c>
      <c r="L600" s="15" t="n"/>
      <c r="M600" s="7" t="n"/>
      <c r="N600" s="7" t="n"/>
      <c r="O600" s="7" t="n"/>
      <c r="P600" s="11" t="n"/>
      <c r="Q600" s="7" t="n"/>
      <c r="R600" s="7" t="n"/>
      <c r="S600" s="7" t="n"/>
      <c r="T600" s="7" t="n"/>
      <c r="U600" s="12">
        <f>IF(A600="","",IF(H600="","建議填分配模式",""))</f>
        <v/>
      </c>
    </row>
    <row r="601" ht="24" customHeight="1">
      <c r="A601" s="7" t="n"/>
      <c r="B601" s="7" t="n"/>
      <c r="C601" s="7" t="n"/>
      <c r="D601" s="12">
        <f>IF($A601="","",IFERROR(INDEX(土地清冊_匯入!$B$6:$B$1005,MATCH($A601,土地清冊_匯入!$A$6:$A$1005,0)),"查無資料"))</f>
        <v/>
      </c>
      <c r="E601" s="9">
        <f>IF($A601="","",IFERROR(INDEX(土地清冊_匯入!$I$6:$I$1005,MATCH($A601,土地清冊_匯入!$A$6:$A$1005,0)),""))</f>
        <v/>
      </c>
      <c r="F601" s="13">
        <f>IF($A601="","",IFERROR(INDEX(建物清冊_匯入!$N$6:$N$1005,MATCH($A601,建物清冊_匯入!$A$6:$A$1005,0)),""))</f>
        <v/>
      </c>
      <c r="G601" s="9">
        <f>IF($A601="","",IFERROR(INDEX(建物清冊_匯入!$S$6:$S$1005,MATCH($A601,建物清冊_匯入!$A$6:$A$1005,0)),""))</f>
        <v/>
      </c>
      <c r="H601" s="7" t="n"/>
      <c r="I601" s="15" t="n"/>
      <c r="J601" s="16" t="n"/>
      <c r="K601" s="17">
        <f>IF(J601="","",1-J601)</f>
        <v/>
      </c>
      <c r="L601" s="15" t="n"/>
      <c r="M601" s="7" t="n"/>
      <c r="N601" s="7" t="n"/>
      <c r="O601" s="7" t="n"/>
      <c r="P601" s="11" t="n"/>
      <c r="Q601" s="7" t="n"/>
      <c r="R601" s="7" t="n"/>
      <c r="S601" s="7" t="n"/>
      <c r="T601" s="7" t="n"/>
      <c r="U601" s="12">
        <f>IF(A601="","",IF(H601="","建議填分配模式",""))</f>
        <v/>
      </c>
    </row>
    <row r="602" ht="24" customHeight="1">
      <c r="A602" s="7" t="n"/>
      <c r="B602" s="7" t="n"/>
      <c r="C602" s="7" t="n"/>
      <c r="D602" s="12">
        <f>IF($A602="","",IFERROR(INDEX(土地清冊_匯入!$B$6:$B$1005,MATCH($A602,土地清冊_匯入!$A$6:$A$1005,0)),"查無資料"))</f>
        <v/>
      </c>
      <c r="E602" s="9">
        <f>IF($A602="","",IFERROR(INDEX(土地清冊_匯入!$I$6:$I$1005,MATCH($A602,土地清冊_匯入!$A$6:$A$1005,0)),""))</f>
        <v/>
      </c>
      <c r="F602" s="13">
        <f>IF($A602="","",IFERROR(INDEX(建物清冊_匯入!$N$6:$N$1005,MATCH($A602,建物清冊_匯入!$A$6:$A$1005,0)),""))</f>
        <v/>
      </c>
      <c r="G602" s="9">
        <f>IF($A602="","",IFERROR(INDEX(建物清冊_匯入!$S$6:$S$1005,MATCH($A602,建物清冊_匯入!$A$6:$A$1005,0)),""))</f>
        <v/>
      </c>
      <c r="H602" s="7" t="n"/>
      <c r="I602" s="15" t="n"/>
      <c r="J602" s="16" t="n"/>
      <c r="K602" s="17">
        <f>IF(J602="","",1-J602)</f>
        <v/>
      </c>
      <c r="L602" s="15" t="n"/>
      <c r="M602" s="7" t="n"/>
      <c r="N602" s="7" t="n"/>
      <c r="O602" s="7" t="n"/>
      <c r="P602" s="11" t="n"/>
      <c r="Q602" s="7" t="n"/>
      <c r="R602" s="7" t="n"/>
      <c r="S602" s="7" t="n"/>
      <c r="T602" s="7" t="n"/>
      <c r="U602" s="12">
        <f>IF(A602="","",IF(H602="","建議填分配模式",""))</f>
        <v/>
      </c>
    </row>
    <row r="603" ht="24" customHeight="1">
      <c r="A603" s="7" t="n"/>
      <c r="B603" s="7" t="n"/>
      <c r="C603" s="7" t="n"/>
      <c r="D603" s="12">
        <f>IF($A603="","",IFERROR(INDEX(土地清冊_匯入!$B$6:$B$1005,MATCH($A603,土地清冊_匯入!$A$6:$A$1005,0)),"查無資料"))</f>
        <v/>
      </c>
      <c r="E603" s="9">
        <f>IF($A603="","",IFERROR(INDEX(土地清冊_匯入!$I$6:$I$1005,MATCH($A603,土地清冊_匯入!$A$6:$A$1005,0)),""))</f>
        <v/>
      </c>
      <c r="F603" s="13">
        <f>IF($A603="","",IFERROR(INDEX(建物清冊_匯入!$N$6:$N$1005,MATCH($A603,建物清冊_匯入!$A$6:$A$1005,0)),""))</f>
        <v/>
      </c>
      <c r="G603" s="9">
        <f>IF($A603="","",IFERROR(INDEX(建物清冊_匯入!$S$6:$S$1005,MATCH($A603,建物清冊_匯入!$A$6:$A$1005,0)),""))</f>
        <v/>
      </c>
      <c r="H603" s="7" t="n"/>
      <c r="I603" s="15" t="n"/>
      <c r="J603" s="16" t="n"/>
      <c r="K603" s="17">
        <f>IF(J603="","",1-J603)</f>
        <v/>
      </c>
      <c r="L603" s="15" t="n"/>
      <c r="M603" s="7" t="n"/>
      <c r="N603" s="7" t="n"/>
      <c r="O603" s="7" t="n"/>
      <c r="P603" s="11" t="n"/>
      <c r="Q603" s="7" t="n"/>
      <c r="R603" s="7" t="n"/>
      <c r="S603" s="7" t="n"/>
      <c r="T603" s="7" t="n"/>
      <c r="U603" s="12">
        <f>IF(A603="","",IF(H603="","建議填分配模式",""))</f>
        <v/>
      </c>
    </row>
    <row r="604" ht="24" customHeight="1">
      <c r="A604" s="7" t="n"/>
      <c r="B604" s="7" t="n"/>
      <c r="C604" s="7" t="n"/>
      <c r="D604" s="12">
        <f>IF($A604="","",IFERROR(INDEX(土地清冊_匯入!$B$6:$B$1005,MATCH($A604,土地清冊_匯入!$A$6:$A$1005,0)),"查無資料"))</f>
        <v/>
      </c>
      <c r="E604" s="9">
        <f>IF($A604="","",IFERROR(INDEX(土地清冊_匯入!$I$6:$I$1005,MATCH($A604,土地清冊_匯入!$A$6:$A$1005,0)),""))</f>
        <v/>
      </c>
      <c r="F604" s="13">
        <f>IF($A604="","",IFERROR(INDEX(建物清冊_匯入!$N$6:$N$1005,MATCH($A604,建物清冊_匯入!$A$6:$A$1005,0)),""))</f>
        <v/>
      </c>
      <c r="G604" s="9">
        <f>IF($A604="","",IFERROR(INDEX(建物清冊_匯入!$S$6:$S$1005,MATCH($A604,建物清冊_匯入!$A$6:$A$1005,0)),""))</f>
        <v/>
      </c>
      <c r="H604" s="7" t="n"/>
      <c r="I604" s="15" t="n"/>
      <c r="J604" s="16" t="n"/>
      <c r="K604" s="17">
        <f>IF(J604="","",1-J604)</f>
        <v/>
      </c>
      <c r="L604" s="15" t="n"/>
      <c r="M604" s="7" t="n"/>
      <c r="N604" s="7" t="n"/>
      <c r="O604" s="7" t="n"/>
      <c r="P604" s="11" t="n"/>
      <c r="Q604" s="7" t="n"/>
      <c r="R604" s="7" t="n"/>
      <c r="S604" s="7" t="n"/>
      <c r="T604" s="7" t="n"/>
      <c r="U604" s="12">
        <f>IF(A604="","",IF(H604="","建議填分配模式",""))</f>
        <v/>
      </c>
    </row>
    <row r="605" ht="24" customHeight="1">
      <c r="A605" s="7" t="n"/>
      <c r="B605" s="7" t="n"/>
      <c r="C605" s="7" t="n"/>
      <c r="D605" s="12">
        <f>IF($A605="","",IFERROR(INDEX(土地清冊_匯入!$B$6:$B$1005,MATCH($A605,土地清冊_匯入!$A$6:$A$1005,0)),"查無資料"))</f>
        <v/>
      </c>
      <c r="E605" s="9">
        <f>IF($A605="","",IFERROR(INDEX(土地清冊_匯入!$I$6:$I$1005,MATCH($A605,土地清冊_匯入!$A$6:$A$1005,0)),""))</f>
        <v/>
      </c>
      <c r="F605" s="13">
        <f>IF($A605="","",IFERROR(INDEX(建物清冊_匯入!$N$6:$N$1005,MATCH($A605,建物清冊_匯入!$A$6:$A$1005,0)),""))</f>
        <v/>
      </c>
      <c r="G605" s="9">
        <f>IF($A605="","",IFERROR(INDEX(建物清冊_匯入!$S$6:$S$1005,MATCH($A605,建物清冊_匯入!$A$6:$A$1005,0)),""))</f>
        <v/>
      </c>
      <c r="H605" s="7" t="n"/>
      <c r="I605" s="15" t="n"/>
      <c r="J605" s="16" t="n"/>
      <c r="K605" s="17">
        <f>IF(J605="","",1-J605)</f>
        <v/>
      </c>
      <c r="L605" s="15" t="n"/>
      <c r="M605" s="7" t="n"/>
      <c r="N605" s="7" t="n"/>
      <c r="O605" s="7" t="n"/>
      <c r="P605" s="11" t="n"/>
      <c r="Q605" s="7" t="n"/>
      <c r="R605" s="7" t="n"/>
      <c r="S605" s="7" t="n"/>
      <c r="T605" s="7" t="n"/>
      <c r="U605" s="12">
        <f>IF(A605="","",IF(H605="","建議填分配模式",""))</f>
        <v/>
      </c>
    </row>
    <row r="606" ht="24" customHeight="1">
      <c r="A606" s="7" t="n"/>
      <c r="B606" s="7" t="n"/>
      <c r="C606" s="7" t="n"/>
      <c r="D606" s="12">
        <f>IF($A606="","",IFERROR(INDEX(土地清冊_匯入!$B$6:$B$1005,MATCH($A606,土地清冊_匯入!$A$6:$A$1005,0)),"查無資料"))</f>
        <v/>
      </c>
      <c r="E606" s="9">
        <f>IF($A606="","",IFERROR(INDEX(土地清冊_匯入!$I$6:$I$1005,MATCH($A606,土地清冊_匯入!$A$6:$A$1005,0)),""))</f>
        <v/>
      </c>
      <c r="F606" s="13">
        <f>IF($A606="","",IFERROR(INDEX(建物清冊_匯入!$N$6:$N$1005,MATCH($A606,建物清冊_匯入!$A$6:$A$1005,0)),""))</f>
        <v/>
      </c>
      <c r="G606" s="9">
        <f>IF($A606="","",IFERROR(INDEX(建物清冊_匯入!$S$6:$S$1005,MATCH($A606,建物清冊_匯入!$A$6:$A$1005,0)),""))</f>
        <v/>
      </c>
      <c r="H606" s="7" t="n"/>
      <c r="I606" s="15" t="n"/>
      <c r="J606" s="16" t="n"/>
      <c r="K606" s="17">
        <f>IF(J606="","",1-J606)</f>
        <v/>
      </c>
      <c r="L606" s="15" t="n"/>
      <c r="M606" s="7" t="n"/>
      <c r="N606" s="7" t="n"/>
      <c r="O606" s="7" t="n"/>
      <c r="P606" s="11" t="n"/>
      <c r="Q606" s="7" t="n"/>
      <c r="R606" s="7" t="n"/>
      <c r="S606" s="7" t="n"/>
      <c r="T606" s="7" t="n"/>
      <c r="U606" s="12">
        <f>IF(A606="","",IF(H606="","建議填分配模式",""))</f>
        <v/>
      </c>
    </row>
    <row r="607" ht="24" customHeight="1">
      <c r="A607" s="7" t="n"/>
      <c r="B607" s="7" t="n"/>
      <c r="C607" s="7" t="n"/>
      <c r="D607" s="12">
        <f>IF($A607="","",IFERROR(INDEX(土地清冊_匯入!$B$6:$B$1005,MATCH($A607,土地清冊_匯入!$A$6:$A$1005,0)),"查無資料"))</f>
        <v/>
      </c>
      <c r="E607" s="9">
        <f>IF($A607="","",IFERROR(INDEX(土地清冊_匯入!$I$6:$I$1005,MATCH($A607,土地清冊_匯入!$A$6:$A$1005,0)),""))</f>
        <v/>
      </c>
      <c r="F607" s="13">
        <f>IF($A607="","",IFERROR(INDEX(建物清冊_匯入!$N$6:$N$1005,MATCH($A607,建物清冊_匯入!$A$6:$A$1005,0)),""))</f>
        <v/>
      </c>
      <c r="G607" s="9">
        <f>IF($A607="","",IFERROR(INDEX(建物清冊_匯入!$S$6:$S$1005,MATCH($A607,建物清冊_匯入!$A$6:$A$1005,0)),""))</f>
        <v/>
      </c>
      <c r="H607" s="7" t="n"/>
      <c r="I607" s="15" t="n"/>
      <c r="J607" s="16" t="n"/>
      <c r="K607" s="17">
        <f>IF(J607="","",1-J607)</f>
        <v/>
      </c>
      <c r="L607" s="15" t="n"/>
      <c r="M607" s="7" t="n"/>
      <c r="N607" s="7" t="n"/>
      <c r="O607" s="7" t="n"/>
      <c r="P607" s="11" t="n"/>
      <c r="Q607" s="7" t="n"/>
      <c r="R607" s="7" t="n"/>
      <c r="S607" s="7" t="n"/>
      <c r="T607" s="7" t="n"/>
      <c r="U607" s="12">
        <f>IF(A607="","",IF(H607="","建議填分配模式",""))</f>
        <v/>
      </c>
    </row>
    <row r="608" ht="24" customHeight="1">
      <c r="A608" s="7" t="n"/>
      <c r="B608" s="7" t="n"/>
      <c r="C608" s="7" t="n"/>
      <c r="D608" s="12">
        <f>IF($A608="","",IFERROR(INDEX(土地清冊_匯入!$B$6:$B$1005,MATCH($A608,土地清冊_匯入!$A$6:$A$1005,0)),"查無資料"))</f>
        <v/>
      </c>
      <c r="E608" s="9">
        <f>IF($A608="","",IFERROR(INDEX(土地清冊_匯入!$I$6:$I$1005,MATCH($A608,土地清冊_匯入!$A$6:$A$1005,0)),""))</f>
        <v/>
      </c>
      <c r="F608" s="13">
        <f>IF($A608="","",IFERROR(INDEX(建物清冊_匯入!$N$6:$N$1005,MATCH($A608,建物清冊_匯入!$A$6:$A$1005,0)),""))</f>
        <v/>
      </c>
      <c r="G608" s="9">
        <f>IF($A608="","",IFERROR(INDEX(建物清冊_匯入!$S$6:$S$1005,MATCH($A608,建物清冊_匯入!$A$6:$A$1005,0)),""))</f>
        <v/>
      </c>
      <c r="H608" s="7" t="n"/>
      <c r="I608" s="15" t="n"/>
      <c r="J608" s="16" t="n"/>
      <c r="K608" s="17">
        <f>IF(J608="","",1-J608)</f>
        <v/>
      </c>
      <c r="L608" s="15" t="n"/>
      <c r="M608" s="7" t="n"/>
      <c r="N608" s="7" t="n"/>
      <c r="O608" s="7" t="n"/>
      <c r="P608" s="11" t="n"/>
      <c r="Q608" s="7" t="n"/>
      <c r="R608" s="7" t="n"/>
      <c r="S608" s="7" t="n"/>
      <c r="T608" s="7" t="n"/>
      <c r="U608" s="12">
        <f>IF(A608="","",IF(H608="","建議填分配模式",""))</f>
        <v/>
      </c>
    </row>
    <row r="609" ht="24" customHeight="1">
      <c r="A609" s="7" t="n"/>
      <c r="B609" s="7" t="n"/>
      <c r="C609" s="7" t="n"/>
      <c r="D609" s="12">
        <f>IF($A609="","",IFERROR(INDEX(土地清冊_匯入!$B$6:$B$1005,MATCH($A609,土地清冊_匯入!$A$6:$A$1005,0)),"查無資料"))</f>
        <v/>
      </c>
      <c r="E609" s="9">
        <f>IF($A609="","",IFERROR(INDEX(土地清冊_匯入!$I$6:$I$1005,MATCH($A609,土地清冊_匯入!$A$6:$A$1005,0)),""))</f>
        <v/>
      </c>
      <c r="F609" s="13">
        <f>IF($A609="","",IFERROR(INDEX(建物清冊_匯入!$N$6:$N$1005,MATCH($A609,建物清冊_匯入!$A$6:$A$1005,0)),""))</f>
        <v/>
      </c>
      <c r="G609" s="9">
        <f>IF($A609="","",IFERROR(INDEX(建物清冊_匯入!$S$6:$S$1005,MATCH($A609,建物清冊_匯入!$A$6:$A$1005,0)),""))</f>
        <v/>
      </c>
      <c r="H609" s="7" t="n"/>
      <c r="I609" s="15" t="n"/>
      <c r="J609" s="16" t="n"/>
      <c r="K609" s="17">
        <f>IF(J609="","",1-J609)</f>
        <v/>
      </c>
      <c r="L609" s="15" t="n"/>
      <c r="M609" s="7" t="n"/>
      <c r="N609" s="7" t="n"/>
      <c r="O609" s="7" t="n"/>
      <c r="P609" s="11" t="n"/>
      <c r="Q609" s="7" t="n"/>
      <c r="R609" s="7" t="n"/>
      <c r="S609" s="7" t="n"/>
      <c r="T609" s="7" t="n"/>
      <c r="U609" s="12">
        <f>IF(A609="","",IF(H609="","建議填分配模式",""))</f>
        <v/>
      </c>
    </row>
    <row r="610" ht="24" customHeight="1">
      <c r="A610" s="7" t="n"/>
      <c r="B610" s="7" t="n"/>
      <c r="C610" s="7" t="n"/>
      <c r="D610" s="12">
        <f>IF($A610="","",IFERROR(INDEX(土地清冊_匯入!$B$6:$B$1005,MATCH($A610,土地清冊_匯入!$A$6:$A$1005,0)),"查無資料"))</f>
        <v/>
      </c>
      <c r="E610" s="9">
        <f>IF($A610="","",IFERROR(INDEX(土地清冊_匯入!$I$6:$I$1005,MATCH($A610,土地清冊_匯入!$A$6:$A$1005,0)),""))</f>
        <v/>
      </c>
      <c r="F610" s="13">
        <f>IF($A610="","",IFERROR(INDEX(建物清冊_匯入!$N$6:$N$1005,MATCH($A610,建物清冊_匯入!$A$6:$A$1005,0)),""))</f>
        <v/>
      </c>
      <c r="G610" s="9">
        <f>IF($A610="","",IFERROR(INDEX(建物清冊_匯入!$S$6:$S$1005,MATCH($A610,建物清冊_匯入!$A$6:$A$1005,0)),""))</f>
        <v/>
      </c>
      <c r="H610" s="7" t="n"/>
      <c r="I610" s="15" t="n"/>
      <c r="J610" s="16" t="n"/>
      <c r="K610" s="17">
        <f>IF(J610="","",1-J610)</f>
        <v/>
      </c>
      <c r="L610" s="15" t="n"/>
      <c r="M610" s="7" t="n"/>
      <c r="N610" s="7" t="n"/>
      <c r="O610" s="7" t="n"/>
      <c r="P610" s="11" t="n"/>
      <c r="Q610" s="7" t="n"/>
      <c r="R610" s="7" t="n"/>
      <c r="S610" s="7" t="n"/>
      <c r="T610" s="7" t="n"/>
      <c r="U610" s="12">
        <f>IF(A610="","",IF(H610="","建議填分配模式",""))</f>
        <v/>
      </c>
    </row>
    <row r="611" ht="24" customHeight="1">
      <c r="A611" s="7" t="n"/>
      <c r="B611" s="7" t="n"/>
      <c r="C611" s="7" t="n"/>
      <c r="D611" s="12">
        <f>IF($A611="","",IFERROR(INDEX(土地清冊_匯入!$B$6:$B$1005,MATCH($A611,土地清冊_匯入!$A$6:$A$1005,0)),"查無資料"))</f>
        <v/>
      </c>
      <c r="E611" s="9">
        <f>IF($A611="","",IFERROR(INDEX(土地清冊_匯入!$I$6:$I$1005,MATCH($A611,土地清冊_匯入!$A$6:$A$1005,0)),""))</f>
        <v/>
      </c>
      <c r="F611" s="13">
        <f>IF($A611="","",IFERROR(INDEX(建物清冊_匯入!$N$6:$N$1005,MATCH($A611,建物清冊_匯入!$A$6:$A$1005,0)),""))</f>
        <v/>
      </c>
      <c r="G611" s="9">
        <f>IF($A611="","",IFERROR(INDEX(建物清冊_匯入!$S$6:$S$1005,MATCH($A611,建物清冊_匯入!$A$6:$A$1005,0)),""))</f>
        <v/>
      </c>
      <c r="H611" s="7" t="n"/>
      <c r="I611" s="15" t="n"/>
      <c r="J611" s="16" t="n"/>
      <c r="K611" s="17">
        <f>IF(J611="","",1-J611)</f>
        <v/>
      </c>
      <c r="L611" s="15" t="n"/>
      <c r="M611" s="7" t="n"/>
      <c r="N611" s="7" t="n"/>
      <c r="O611" s="7" t="n"/>
      <c r="P611" s="11" t="n"/>
      <c r="Q611" s="7" t="n"/>
      <c r="R611" s="7" t="n"/>
      <c r="S611" s="7" t="n"/>
      <c r="T611" s="7" t="n"/>
      <c r="U611" s="12">
        <f>IF(A611="","",IF(H611="","建議填分配模式",""))</f>
        <v/>
      </c>
    </row>
    <row r="612" ht="24" customHeight="1">
      <c r="A612" s="7" t="n"/>
      <c r="B612" s="7" t="n"/>
      <c r="C612" s="7" t="n"/>
      <c r="D612" s="12">
        <f>IF($A612="","",IFERROR(INDEX(土地清冊_匯入!$B$6:$B$1005,MATCH($A612,土地清冊_匯入!$A$6:$A$1005,0)),"查無資料"))</f>
        <v/>
      </c>
      <c r="E612" s="9">
        <f>IF($A612="","",IFERROR(INDEX(土地清冊_匯入!$I$6:$I$1005,MATCH($A612,土地清冊_匯入!$A$6:$A$1005,0)),""))</f>
        <v/>
      </c>
      <c r="F612" s="13">
        <f>IF($A612="","",IFERROR(INDEX(建物清冊_匯入!$N$6:$N$1005,MATCH($A612,建物清冊_匯入!$A$6:$A$1005,0)),""))</f>
        <v/>
      </c>
      <c r="G612" s="9">
        <f>IF($A612="","",IFERROR(INDEX(建物清冊_匯入!$S$6:$S$1005,MATCH($A612,建物清冊_匯入!$A$6:$A$1005,0)),""))</f>
        <v/>
      </c>
      <c r="H612" s="7" t="n"/>
      <c r="I612" s="15" t="n"/>
      <c r="J612" s="16" t="n"/>
      <c r="K612" s="17">
        <f>IF(J612="","",1-J612)</f>
        <v/>
      </c>
      <c r="L612" s="15" t="n"/>
      <c r="M612" s="7" t="n"/>
      <c r="N612" s="7" t="n"/>
      <c r="O612" s="7" t="n"/>
      <c r="P612" s="11" t="n"/>
      <c r="Q612" s="7" t="n"/>
      <c r="R612" s="7" t="n"/>
      <c r="S612" s="7" t="n"/>
      <c r="T612" s="7" t="n"/>
      <c r="U612" s="12">
        <f>IF(A612="","",IF(H612="","建議填分配模式",""))</f>
        <v/>
      </c>
    </row>
    <row r="613" ht="24" customHeight="1">
      <c r="A613" s="7" t="n"/>
      <c r="B613" s="7" t="n"/>
      <c r="C613" s="7" t="n"/>
      <c r="D613" s="12">
        <f>IF($A613="","",IFERROR(INDEX(土地清冊_匯入!$B$6:$B$1005,MATCH($A613,土地清冊_匯入!$A$6:$A$1005,0)),"查無資料"))</f>
        <v/>
      </c>
      <c r="E613" s="9">
        <f>IF($A613="","",IFERROR(INDEX(土地清冊_匯入!$I$6:$I$1005,MATCH($A613,土地清冊_匯入!$A$6:$A$1005,0)),""))</f>
        <v/>
      </c>
      <c r="F613" s="13">
        <f>IF($A613="","",IFERROR(INDEX(建物清冊_匯入!$N$6:$N$1005,MATCH($A613,建物清冊_匯入!$A$6:$A$1005,0)),""))</f>
        <v/>
      </c>
      <c r="G613" s="9">
        <f>IF($A613="","",IFERROR(INDEX(建物清冊_匯入!$S$6:$S$1005,MATCH($A613,建物清冊_匯入!$A$6:$A$1005,0)),""))</f>
        <v/>
      </c>
      <c r="H613" s="7" t="n"/>
      <c r="I613" s="15" t="n"/>
      <c r="J613" s="16" t="n"/>
      <c r="K613" s="17">
        <f>IF(J613="","",1-J613)</f>
        <v/>
      </c>
      <c r="L613" s="15" t="n"/>
      <c r="M613" s="7" t="n"/>
      <c r="N613" s="7" t="n"/>
      <c r="O613" s="7" t="n"/>
      <c r="P613" s="11" t="n"/>
      <c r="Q613" s="7" t="n"/>
      <c r="R613" s="7" t="n"/>
      <c r="S613" s="7" t="n"/>
      <c r="T613" s="7" t="n"/>
      <c r="U613" s="12">
        <f>IF(A613="","",IF(H613="","建議填分配模式",""))</f>
        <v/>
      </c>
    </row>
    <row r="614" ht="24" customHeight="1">
      <c r="A614" s="7" t="n"/>
      <c r="B614" s="7" t="n"/>
      <c r="C614" s="7" t="n"/>
      <c r="D614" s="12">
        <f>IF($A614="","",IFERROR(INDEX(土地清冊_匯入!$B$6:$B$1005,MATCH($A614,土地清冊_匯入!$A$6:$A$1005,0)),"查無資料"))</f>
        <v/>
      </c>
      <c r="E614" s="9">
        <f>IF($A614="","",IFERROR(INDEX(土地清冊_匯入!$I$6:$I$1005,MATCH($A614,土地清冊_匯入!$A$6:$A$1005,0)),""))</f>
        <v/>
      </c>
      <c r="F614" s="13">
        <f>IF($A614="","",IFERROR(INDEX(建物清冊_匯入!$N$6:$N$1005,MATCH($A614,建物清冊_匯入!$A$6:$A$1005,0)),""))</f>
        <v/>
      </c>
      <c r="G614" s="9">
        <f>IF($A614="","",IFERROR(INDEX(建物清冊_匯入!$S$6:$S$1005,MATCH($A614,建物清冊_匯入!$A$6:$A$1005,0)),""))</f>
        <v/>
      </c>
      <c r="H614" s="7" t="n"/>
      <c r="I614" s="15" t="n"/>
      <c r="J614" s="16" t="n"/>
      <c r="K614" s="17">
        <f>IF(J614="","",1-J614)</f>
        <v/>
      </c>
      <c r="L614" s="15" t="n"/>
      <c r="M614" s="7" t="n"/>
      <c r="N614" s="7" t="n"/>
      <c r="O614" s="7" t="n"/>
      <c r="P614" s="11" t="n"/>
      <c r="Q614" s="7" t="n"/>
      <c r="R614" s="7" t="n"/>
      <c r="S614" s="7" t="n"/>
      <c r="T614" s="7" t="n"/>
      <c r="U614" s="12">
        <f>IF(A614="","",IF(H614="","建議填分配模式",""))</f>
        <v/>
      </c>
    </row>
    <row r="615" ht="24" customHeight="1">
      <c r="A615" s="7" t="n"/>
      <c r="B615" s="7" t="n"/>
      <c r="C615" s="7" t="n"/>
      <c r="D615" s="12">
        <f>IF($A615="","",IFERROR(INDEX(土地清冊_匯入!$B$6:$B$1005,MATCH($A615,土地清冊_匯入!$A$6:$A$1005,0)),"查無資料"))</f>
        <v/>
      </c>
      <c r="E615" s="9">
        <f>IF($A615="","",IFERROR(INDEX(土地清冊_匯入!$I$6:$I$1005,MATCH($A615,土地清冊_匯入!$A$6:$A$1005,0)),""))</f>
        <v/>
      </c>
      <c r="F615" s="13">
        <f>IF($A615="","",IFERROR(INDEX(建物清冊_匯入!$N$6:$N$1005,MATCH($A615,建物清冊_匯入!$A$6:$A$1005,0)),""))</f>
        <v/>
      </c>
      <c r="G615" s="9">
        <f>IF($A615="","",IFERROR(INDEX(建物清冊_匯入!$S$6:$S$1005,MATCH($A615,建物清冊_匯入!$A$6:$A$1005,0)),""))</f>
        <v/>
      </c>
      <c r="H615" s="7" t="n"/>
      <c r="I615" s="15" t="n"/>
      <c r="J615" s="16" t="n"/>
      <c r="K615" s="17">
        <f>IF(J615="","",1-J615)</f>
        <v/>
      </c>
      <c r="L615" s="15" t="n"/>
      <c r="M615" s="7" t="n"/>
      <c r="N615" s="7" t="n"/>
      <c r="O615" s="7" t="n"/>
      <c r="P615" s="11" t="n"/>
      <c r="Q615" s="7" t="n"/>
      <c r="R615" s="7" t="n"/>
      <c r="S615" s="7" t="n"/>
      <c r="T615" s="7" t="n"/>
      <c r="U615" s="12">
        <f>IF(A615="","",IF(H615="","建議填分配模式",""))</f>
        <v/>
      </c>
    </row>
    <row r="616" ht="24" customHeight="1">
      <c r="A616" s="7" t="n"/>
      <c r="B616" s="7" t="n"/>
      <c r="C616" s="7" t="n"/>
      <c r="D616" s="12">
        <f>IF($A616="","",IFERROR(INDEX(土地清冊_匯入!$B$6:$B$1005,MATCH($A616,土地清冊_匯入!$A$6:$A$1005,0)),"查無資料"))</f>
        <v/>
      </c>
      <c r="E616" s="9">
        <f>IF($A616="","",IFERROR(INDEX(土地清冊_匯入!$I$6:$I$1005,MATCH($A616,土地清冊_匯入!$A$6:$A$1005,0)),""))</f>
        <v/>
      </c>
      <c r="F616" s="13">
        <f>IF($A616="","",IFERROR(INDEX(建物清冊_匯入!$N$6:$N$1005,MATCH($A616,建物清冊_匯入!$A$6:$A$1005,0)),""))</f>
        <v/>
      </c>
      <c r="G616" s="9">
        <f>IF($A616="","",IFERROR(INDEX(建物清冊_匯入!$S$6:$S$1005,MATCH($A616,建物清冊_匯入!$A$6:$A$1005,0)),""))</f>
        <v/>
      </c>
      <c r="H616" s="7" t="n"/>
      <c r="I616" s="15" t="n"/>
      <c r="J616" s="16" t="n"/>
      <c r="K616" s="17">
        <f>IF(J616="","",1-J616)</f>
        <v/>
      </c>
      <c r="L616" s="15" t="n"/>
      <c r="M616" s="7" t="n"/>
      <c r="N616" s="7" t="n"/>
      <c r="O616" s="7" t="n"/>
      <c r="P616" s="11" t="n"/>
      <c r="Q616" s="7" t="n"/>
      <c r="R616" s="7" t="n"/>
      <c r="S616" s="7" t="n"/>
      <c r="T616" s="7" t="n"/>
      <c r="U616" s="12">
        <f>IF(A616="","",IF(H616="","建議填分配模式",""))</f>
        <v/>
      </c>
    </row>
    <row r="617" ht="24" customHeight="1">
      <c r="A617" s="7" t="n"/>
      <c r="B617" s="7" t="n"/>
      <c r="C617" s="7" t="n"/>
      <c r="D617" s="12">
        <f>IF($A617="","",IFERROR(INDEX(土地清冊_匯入!$B$6:$B$1005,MATCH($A617,土地清冊_匯入!$A$6:$A$1005,0)),"查無資料"))</f>
        <v/>
      </c>
      <c r="E617" s="9">
        <f>IF($A617="","",IFERROR(INDEX(土地清冊_匯入!$I$6:$I$1005,MATCH($A617,土地清冊_匯入!$A$6:$A$1005,0)),""))</f>
        <v/>
      </c>
      <c r="F617" s="13">
        <f>IF($A617="","",IFERROR(INDEX(建物清冊_匯入!$N$6:$N$1005,MATCH($A617,建物清冊_匯入!$A$6:$A$1005,0)),""))</f>
        <v/>
      </c>
      <c r="G617" s="9">
        <f>IF($A617="","",IFERROR(INDEX(建物清冊_匯入!$S$6:$S$1005,MATCH($A617,建物清冊_匯入!$A$6:$A$1005,0)),""))</f>
        <v/>
      </c>
      <c r="H617" s="7" t="n"/>
      <c r="I617" s="15" t="n"/>
      <c r="J617" s="16" t="n"/>
      <c r="K617" s="17">
        <f>IF(J617="","",1-J617)</f>
        <v/>
      </c>
      <c r="L617" s="15" t="n"/>
      <c r="M617" s="7" t="n"/>
      <c r="N617" s="7" t="n"/>
      <c r="O617" s="7" t="n"/>
      <c r="P617" s="11" t="n"/>
      <c r="Q617" s="7" t="n"/>
      <c r="R617" s="7" t="n"/>
      <c r="S617" s="7" t="n"/>
      <c r="T617" s="7" t="n"/>
      <c r="U617" s="12">
        <f>IF(A617="","",IF(H617="","建議填分配模式",""))</f>
        <v/>
      </c>
    </row>
    <row r="618" ht="24" customHeight="1">
      <c r="A618" s="7" t="n"/>
      <c r="B618" s="7" t="n"/>
      <c r="C618" s="7" t="n"/>
      <c r="D618" s="12">
        <f>IF($A618="","",IFERROR(INDEX(土地清冊_匯入!$B$6:$B$1005,MATCH($A618,土地清冊_匯入!$A$6:$A$1005,0)),"查無資料"))</f>
        <v/>
      </c>
      <c r="E618" s="9">
        <f>IF($A618="","",IFERROR(INDEX(土地清冊_匯入!$I$6:$I$1005,MATCH($A618,土地清冊_匯入!$A$6:$A$1005,0)),""))</f>
        <v/>
      </c>
      <c r="F618" s="13">
        <f>IF($A618="","",IFERROR(INDEX(建物清冊_匯入!$N$6:$N$1005,MATCH($A618,建物清冊_匯入!$A$6:$A$1005,0)),""))</f>
        <v/>
      </c>
      <c r="G618" s="9">
        <f>IF($A618="","",IFERROR(INDEX(建物清冊_匯入!$S$6:$S$1005,MATCH($A618,建物清冊_匯入!$A$6:$A$1005,0)),""))</f>
        <v/>
      </c>
      <c r="H618" s="7" t="n"/>
      <c r="I618" s="15" t="n"/>
      <c r="J618" s="16" t="n"/>
      <c r="K618" s="17">
        <f>IF(J618="","",1-J618)</f>
        <v/>
      </c>
      <c r="L618" s="15" t="n"/>
      <c r="M618" s="7" t="n"/>
      <c r="N618" s="7" t="n"/>
      <c r="O618" s="7" t="n"/>
      <c r="P618" s="11" t="n"/>
      <c r="Q618" s="7" t="n"/>
      <c r="R618" s="7" t="n"/>
      <c r="S618" s="7" t="n"/>
      <c r="T618" s="7" t="n"/>
      <c r="U618" s="12">
        <f>IF(A618="","",IF(H618="","建議填分配模式",""))</f>
        <v/>
      </c>
    </row>
    <row r="619" ht="24" customHeight="1">
      <c r="A619" s="7" t="n"/>
      <c r="B619" s="7" t="n"/>
      <c r="C619" s="7" t="n"/>
      <c r="D619" s="12">
        <f>IF($A619="","",IFERROR(INDEX(土地清冊_匯入!$B$6:$B$1005,MATCH($A619,土地清冊_匯入!$A$6:$A$1005,0)),"查無資料"))</f>
        <v/>
      </c>
      <c r="E619" s="9">
        <f>IF($A619="","",IFERROR(INDEX(土地清冊_匯入!$I$6:$I$1005,MATCH($A619,土地清冊_匯入!$A$6:$A$1005,0)),""))</f>
        <v/>
      </c>
      <c r="F619" s="13">
        <f>IF($A619="","",IFERROR(INDEX(建物清冊_匯入!$N$6:$N$1005,MATCH($A619,建物清冊_匯入!$A$6:$A$1005,0)),""))</f>
        <v/>
      </c>
      <c r="G619" s="9">
        <f>IF($A619="","",IFERROR(INDEX(建物清冊_匯入!$S$6:$S$1005,MATCH($A619,建物清冊_匯入!$A$6:$A$1005,0)),""))</f>
        <v/>
      </c>
      <c r="H619" s="7" t="n"/>
      <c r="I619" s="15" t="n"/>
      <c r="J619" s="16" t="n"/>
      <c r="K619" s="17">
        <f>IF(J619="","",1-J619)</f>
        <v/>
      </c>
      <c r="L619" s="15" t="n"/>
      <c r="M619" s="7" t="n"/>
      <c r="N619" s="7" t="n"/>
      <c r="O619" s="7" t="n"/>
      <c r="P619" s="11" t="n"/>
      <c r="Q619" s="7" t="n"/>
      <c r="R619" s="7" t="n"/>
      <c r="S619" s="7" t="n"/>
      <c r="T619" s="7" t="n"/>
      <c r="U619" s="12">
        <f>IF(A619="","",IF(H619="","建議填分配模式",""))</f>
        <v/>
      </c>
    </row>
    <row r="620" ht="24" customHeight="1">
      <c r="A620" s="7" t="n"/>
      <c r="B620" s="7" t="n"/>
      <c r="C620" s="7" t="n"/>
      <c r="D620" s="12">
        <f>IF($A620="","",IFERROR(INDEX(土地清冊_匯入!$B$6:$B$1005,MATCH($A620,土地清冊_匯入!$A$6:$A$1005,0)),"查無資料"))</f>
        <v/>
      </c>
      <c r="E620" s="9">
        <f>IF($A620="","",IFERROR(INDEX(土地清冊_匯入!$I$6:$I$1005,MATCH($A620,土地清冊_匯入!$A$6:$A$1005,0)),""))</f>
        <v/>
      </c>
      <c r="F620" s="13">
        <f>IF($A620="","",IFERROR(INDEX(建物清冊_匯入!$N$6:$N$1005,MATCH($A620,建物清冊_匯入!$A$6:$A$1005,0)),""))</f>
        <v/>
      </c>
      <c r="G620" s="9">
        <f>IF($A620="","",IFERROR(INDEX(建物清冊_匯入!$S$6:$S$1005,MATCH($A620,建物清冊_匯入!$A$6:$A$1005,0)),""))</f>
        <v/>
      </c>
      <c r="H620" s="7" t="n"/>
      <c r="I620" s="15" t="n"/>
      <c r="J620" s="16" t="n"/>
      <c r="K620" s="17">
        <f>IF(J620="","",1-J620)</f>
        <v/>
      </c>
      <c r="L620" s="15" t="n"/>
      <c r="M620" s="7" t="n"/>
      <c r="N620" s="7" t="n"/>
      <c r="O620" s="7" t="n"/>
      <c r="P620" s="11" t="n"/>
      <c r="Q620" s="7" t="n"/>
      <c r="R620" s="7" t="n"/>
      <c r="S620" s="7" t="n"/>
      <c r="T620" s="7" t="n"/>
      <c r="U620" s="12">
        <f>IF(A620="","",IF(H620="","建議填分配模式",""))</f>
        <v/>
      </c>
    </row>
    <row r="621" ht="24" customHeight="1">
      <c r="A621" s="7" t="n"/>
      <c r="B621" s="7" t="n"/>
      <c r="C621" s="7" t="n"/>
      <c r="D621" s="12">
        <f>IF($A621="","",IFERROR(INDEX(土地清冊_匯入!$B$6:$B$1005,MATCH($A621,土地清冊_匯入!$A$6:$A$1005,0)),"查無資料"))</f>
        <v/>
      </c>
      <c r="E621" s="9">
        <f>IF($A621="","",IFERROR(INDEX(土地清冊_匯入!$I$6:$I$1005,MATCH($A621,土地清冊_匯入!$A$6:$A$1005,0)),""))</f>
        <v/>
      </c>
      <c r="F621" s="13">
        <f>IF($A621="","",IFERROR(INDEX(建物清冊_匯入!$N$6:$N$1005,MATCH($A621,建物清冊_匯入!$A$6:$A$1005,0)),""))</f>
        <v/>
      </c>
      <c r="G621" s="9">
        <f>IF($A621="","",IFERROR(INDEX(建物清冊_匯入!$S$6:$S$1005,MATCH($A621,建物清冊_匯入!$A$6:$A$1005,0)),""))</f>
        <v/>
      </c>
      <c r="H621" s="7" t="n"/>
      <c r="I621" s="15" t="n"/>
      <c r="J621" s="16" t="n"/>
      <c r="K621" s="17">
        <f>IF(J621="","",1-J621)</f>
        <v/>
      </c>
      <c r="L621" s="15" t="n"/>
      <c r="M621" s="7" t="n"/>
      <c r="N621" s="7" t="n"/>
      <c r="O621" s="7" t="n"/>
      <c r="P621" s="11" t="n"/>
      <c r="Q621" s="7" t="n"/>
      <c r="R621" s="7" t="n"/>
      <c r="S621" s="7" t="n"/>
      <c r="T621" s="7" t="n"/>
      <c r="U621" s="12">
        <f>IF(A621="","",IF(H621="","建議填分配模式",""))</f>
        <v/>
      </c>
    </row>
    <row r="622" ht="24" customHeight="1">
      <c r="A622" s="7" t="n"/>
      <c r="B622" s="7" t="n"/>
      <c r="C622" s="7" t="n"/>
      <c r="D622" s="12">
        <f>IF($A622="","",IFERROR(INDEX(土地清冊_匯入!$B$6:$B$1005,MATCH($A622,土地清冊_匯入!$A$6:$A$1005,0)),"查無資料"))</f>
        <v/>
      </c>
      <c r="E622" s="9">
        <f>IF($A622="","",IFERROR(INDEX(土地清冊_匯入!$I$6:$I$1005,MATCH($A622,土地清冊_匯入!$A$6:$A$1005,0)),""))</f>
        <v/>
      </c>
      <c r="F622" s="13">
        <f>IF($A622="","",IFERROR(INDEX(建物清冊_匯入!$N$6:$N$1005,MATCH($A622,建物清冊_匯入!$A$6:$A$1005,0)),""))</f>
        <v/>
      </c>
      <c r="G622" s="9">
        <f>IF($A622="","",IFERROR(INDEX(建物清冊_匯入!$S$6:$S$1005,MATCH($A622,建物清冊_匯入!$A$6:$A$1005,0)),""))</f>
        <v/>
      </c>
      <c r="H622" s="7" t="n"/>
      <c r="I622" s="15" t="n"/>
      <c r="J622" s="16" t="n"/>
      <c r="K622" s="17">
        <f>IF(J622="","",1-J622)</f>
        <v/>
      </c>
      <c r="L622" s="15" t="n"/>
      <c r="M622" s="7" t="n"/>
      <c r="N622" s="7" t="n"/>
      <c r="O622" s="7" t="n"/>
      <c r="P622" s="11" t="n"/>
      <c r="Q622" s="7" t="n"/>
      <c r="R622" s="7" t="n"/>
      <c r="S622" s="7" t="n"/>
      <c r="T622" s="7" t="n"/>
      <c r="U622" s="12">
        <f>IF(A622="","",IF(H622="","建議填分配模式",""))</f>
        <v/>
      </c>
    </row>
    <row r="623" ht="24" customHeight="1">
      <c r="A623" s="7" t="n"/>
      <c r="B623" s="7" t="n"/>
      <c r="C623" s="7" t="n"/>
      <c r="D623" s="12">
        <f>IF($A623="","",IFERROR(INDEX(土地清冊_匯入!$B$6:$B$1005,MATCH($A623,土地清冊_匯入!$A$6:$A$1005,0)),"查無資料"))</f>
        <v/>
      </c>
      <c r="E623" s="9">
        <f>IF($A623="","",IFERROR(INDEX(土地清冊_匯入!$I$6:$I$1005,MATCH($A623,土地清冊_匯入!$A$6:$A$1005,0)),""))</f>
        <v/>
      </c>
      <c r="F623" s="13">
        <f>IF($A623="","",IFERROR(INDEX(建物清冊_匯入!$N$6:$N$1005,MATCH($A623,建物清冊_匯入!$A$6:$A$1005,0)),""))</f>
        <v/>
      </c>
      <c r="G623" s="9">
        <f>IF($A623="","",IFERROR(INDEX(建物清冊_匯入!$S$6:$S$1005,MATCH($A623,建物清冊_匯入!$A$6:$A$1005,0)),""))</f>
        <v/>
      </c>
      <c r="H623" s="7" t="n"/>
      <c r="I623" s="15" t="n"/>
      <c r="J623" s="16" t="n"/>
      <c r="K623" s="17">
        <f>IF(J623="","",1-J623)</f>
        <v/>
      </c>
      <c r="L623" s="15" t="n"/>
      <c r="M623" s="7" t="n"/>
      <c r="N623" s="7" t="n"/>
      <c r="O623" s="7" t="n"/>
      <c r="P623" s="11" t="n"/>
      <c r="Q623" s="7" t="n"/>
      <c r="R623" s="7" t="n"/>
      <c r="S623" s="7" t="n"/>
      <c r="T623" s="7" t="n"/>
      <c r="U623" s="12">
        <f>IF(A623="","",IF(H623="","建議填分配模式",""))</f>
        <v/>
      </c>
    </row>
    <row r="624" ht="24" customHeight="1">
      <c r="A624" s="7" t="n"/>
      <c r="B624" s="7" t="n"/>
      <c r="C624" s="7" t="n"/>
      <c r="D624" s="12">
        <f>IF($A624="","",IFERROR(INDEX(土地清冊_匯入!$B$6:$B$1005,MATCH($A624,土地清冊_匯入!$A$6:$A$1005,0)),"查無資料"))</f>
        <v/>
      </c>
      <c r="E624" s="9">
        <f>IF($A624="","",IFERROR(INDEX(土地清冊_匯入!$I$6:$I$1005,MATCH($A624,土地清冊_匯入!$A$6:$A$1005,0)),""))</f>
        <v/>
      </c>
      <c r="F624" s="13">
        <f>IF($A624="","",IFERROR(INDEX(建物清冊_匯入!$N$6:$N$1005,MATCH($A624,建物清冊_匯入!$A$6:$A$1005,0)),""))</f>
        <v/>
      </c>
      <c r="G624" s="9">
        <f>IF($A624="","",IFERROR(INDEX(建物清冊_匯入!$S$6:$S$1005,MATCH($A624,建物清冊_匯入!$A$6:$A$1005,0)),""))</f>
        <v/>
      </c>
      <c r="H624" s="7" t="n"/>
      <c r="I624" s="15" t="n"/>
      <c r="J624" s="16" t="n"/>
      <c r="K624" s="17">
        <f>IF(J624="","",1-J624)</f>
        <v/>
      </c>
      <c r="L624" s="15" t="n"/>
      <c r="M624" s="7" t="n"/>
      <c r="N624" s="7" t="n"/>
      <c r="O624" s="7" t="n"/>
      <c r="P624" s="11" t="n"/>
      <c r="Q624" s="7" t="n"/>
      <c r="R624" s="7" t="n"/>
      <c r="S624" s="7" t="n"/>
      <c r="T624" s="7" t="n"/>
      <c r="U624" s="12">
        <f>IF(A624="","",IF(H624="","建議填分配模式",""))</f>
        <v/>
      </c>
    </row>
    <row r="625" ht="24" customHeight="1">
      <c r="A625" s="7" t="n"/>
      <c r="B625" s="7" t="n"/>
      <c r="C625" s="7" t="n"/>
      <c r="D625" s="12">
        <f>IF($A625="","",IFERROR(INDEX(土地清冊_匯入!$B$6:$B$1005,MATCH($A625,土地清冊_匯入!$A$6:$A$1005,0)),"查無資料"))</f>
        <v/>
      </c>
      <c r="E625" s="9">
        <f>IF($A625="","",IFERROR(INDEX(土地清冊_匯入!$I$6:$I$1005,MATCH($A625,土地清冊_匯入!$A$6:$A$1005,0)),""))</f>
        <v/>
      </c>
      <c r="F625" s="13">
        <f>IF($A625="","",IFERROR(INDEX(建物清冊_匯入!$N$6:$N$1005,MATCH($A625,建物清冊_匯入!$A$6:$A$1005,0)),""))</f>
        <v/>
      </c>
      <c r="G625" s="9">
        <f>IF($A625="","",IFERROR(INDEX(建物清冊_匯入!$S$6:$S$1005,MATCH($A625,建物清冊_匯入!$A$6:$A$1005,0)),""))</f>
        <v/>
      </c>
      <c r="H625" s="7" t="n"/>
      <c r="I625" s="15" t="n"/>
      <c r="J625" s="16" t="n"/>
      <c r="K625" s="17">
        <f>IF(J625="","",1-J625)</f>
        <v/>
      </c>
      <c r="L625" s="15" t="n"/>
      <c r="M625" s="7" t="n"/>
      <c r="N625" s="7" t="n"/>
      <c r="O625" s="7" t="n"/>
      <c r="P625" s="11" t="n"/>
      <c r="Q625" s="7" t="n"/>
      <c r="R625" s="7" t="n"/>
      <c r="S625" s="7" t="n"/>
      <c r="T625" s="7" t="n"/>
      <c r="U625" s="12">
        <f>IF(A625="","",IF(H625="","建議填分配模式",""))</f>
        <v/>
      </c>
    </row>
    <row r="626" ht="24" customHeight="1">
      <c r="A626" s="7" t="n"/>
      <c r="B626" s="7" t="n"/>
      <c r="C626" s="7" t="n"/>
      <c r="D626" s="12">
        <f>IF($A626="","",IFERROR(INDEX(土地清冊_匯入!$B$6:$B$1005,MATCH($A626,土地清冊_匯入!$A$6:$A$1005,0)),"查無資料"))</f>
        <v/>
      </c>
      <c r="E626" s="9">
        <f>IF($A626="","",IFERROR(INDEX(土地清冊_匯入!$I$6:$I$1005,MATCH($A626,土地清冊_匯入!$A$6:$A$1005,0)),""))</f>
        <v/>
      </c>
      <c r="F626" s="13">
        <f>IF($A626="","",IFERROR(INDEX(建物清冊_匯入!$N$6:$N$1005,MATCH($A626,建物清冊_匯入!$A$6:$A$1005,0)),""))</f>
        <v/>
      </c>
      <c r="G626" s="9">
        <f>IF($A626="","",IFERROR(INDEX(建物清冊_匯入!$S$6:$S$1005,MATCH($A626,建物清冊_匯入!$A$6:$A$1005,0)),""))</f>
        <v/>
      </c>
      <c r="H626" s="7" t="n"/>
      <c r="I626" s="15" t="n"/>
      <c r="J626" s="16" t="n"/>
      <c r="K626" s="17">
        <f>IF(J626="","",1-J626)</f>
        <v/>
      </c>
      <c r="L626" s="15" t="n"/>
      <c r="M626" s="7" t="n"/>
      <c r="N626" s="7" t="n"/>
      <c r="O626" s="7" t="n"/>
      <c r="P626" s="11" t="n"/>
      <c r="Q626" s="7" t="n"/>
      <c r="R626" s="7" t="n"/>
      <c r="S626" s="7" t="n"/>
      <c r="T626" s="7" t="n"/>
      <c r="U626" s="12">
        <f>IF(A626="","",IF(H626="","建議填分配模式",""))</f>
        <v/>
      </c>
    </row>
    <row r="627" ht="24" customHeight="1">
      <c r="A627" s="7" t="n"/>
      <c r="B627" s="7" t="n"/>
      <c r="C627" s="7" t="n"/>
      <c r="D627" s="12">
        <f>IF($A627="","",IFERROR(INDEX(土地清冊_匯入!$B$6:$B$1005,MATCH($A627,土地清冊_匯入!$A$6:$A$1005,0)),"查無資料"))</f>
        <v/>
      </c>
      <c r="E627" s="9">
        <f>IF($A627="","",IFERROR(INDEX(土地清冊_匯入!$I$6:$I$1005,MATCH($A627,土地清冊_匯入!$A$6:$A$1005,0)),""))</f>
        <v/>
      </c>
      <c r="F627" s="13">
        <f>IF($A627="","",IFERROR(INDEX(建物清冊_匯入!$N$6:$N$1005,MATCH($A627,建物清冊_匯入!$A$6:$A$1005,0)),""))</f>
        <v/>
      </c>
      <c r="G627" s="9">
        <f>IF($A627="","",IFERROR(INDEX(建物清冊_匯入!$S$6:$S$1005,MATCH($A627,建物清冊_匯入!$A$6:$A$1005,0)),""))</f>
        <v/>
      </c>
      <c r="H627" s="7" t="n"/>
      <c r="I627" s="15" t="n"/>
      <c r="J627" s="16" t="n"/>
      <c r="K627" s="17">
        <f>IF(J627="","",1-J627)</f>
        <v/>
      </c>
      <c r="L627" s="15" t="n"/>
      <c r="M627" s="7" t="n"/>
      <c r="N627" s="7" t="n"/>
      <c r="O627" s="7" t="n"/>
      <c r="P627" s="11" t="n"/>
      <c r="Q627" s="7" t="n"/>
      <c r="R627" s="7" t="n"/>
      <c r="S627" s="7" t="n"/>
      <c r="T627" s="7" t="n"/>
      <c r="U627" s="12">
        <f>IF(A627="","",IF(H627="","建議填分配模式",""))</f>
        <v/>
      </c>
    </row>
    <row r="628" ht="24" customHeight="1">
      <c r="A628" s="7" t="n"/>
      <c r="B628" s="7" t="n"/>
      <c r="C628" s="7" t="n"/>
      <c r="D628" s="12">
        <f>IF($A628="","",IFERROR(INDEX(土地清冊_匯入!$B$6:$B$1005,MATCH($A628,土地清冊_匯入!$A$6:$A$1005,0)),"查無資料"))</f>
        <v/>
      </c>
      <c r="E628" s="9">
        <f>IF($A628="","",IFERROR(INDEX(土地清冊_匯入!$I$6:$I$1005,MATCH($A628,土地清冊_匯入!$A$6:$A$1005,0)),""))</f>
        <v/>
      </c>
      <c r="F628" s="13">
        <f>IF($A628="","",IFERROR(INDEX(建物清冊_匯入!$N$6:$N$1005,MATCH($A628,建物清冊_匯入!$A$6:$A$1005,0)),""))</f>
        <v/>
      </c>
      <c r="G628" s="9">
        <f>IF($A628="","",IFERROR(INDEX(建物清冊_匯入!$S$6:$S$1005,MATCH($A628,建物清冊_匯入!$A$6:$A$1005,0)),""))</f>
        <v/>
      </c>
      <c r="H628" s="7" t="n"/>
      <c r="I628" s="15" t="n"/>
      <c r="J628" s="16" t="n"/>
      <c r="K628" s="17">
        <f>IF(J628="","",1-J628)</f>
        <v/>
      </c>
      <c r="L628" s="15" t="n"/>
      <c r="M628" s="7" t="n"/>
      <c r="N628" s="7" t="n"/>
      <c r="O628" s="7" t="n"/>
      <c r="P628" s="11" t="n"/>
      <c r="Q628" s="7" t="n"/>
      <c r="R628" s="7" t="n"/>
      <c r="S628" s="7" t="n"/>
      <c r="T628" s="7" t="n"/>
      <c r="U628" s="12">
        <f>IF(A628="","",IF(H628="","建議填分配模式",""))</f>
        <v/>
      </c>
    </row>
    <row r="629" ht="24" customHeight="1">
      <c r="A629" s="7" t="n"/>
      <c r="B629" s="7" t="n"/>
      <c r="C629" s="7" t="n"/>
      <c r="D629" s="12">
        <f>IF($A629="","",IFERROR(INDEX(土地清冊_匯入!$B$6:$B$1005,MATCH($A629,土地清冊_匯入!$A$6:$A$1005,0)),"查無資料"))</f>
        <v/>
      </c>
      <c r="E629" s="9">
        <f>IF($A629="","",IFERROR(INDEX(土地清冊_匯入!$I$6:$I$1005,MATCH($A629,土地清冊_匯入!$A$6:$A$1005,0)),""))</f>
        <v/>
      </c>
      <c r="F629" s="13">
        <f>IF($A629="","",IFERROR(INDEX(建物清冊_匯入!$N$6:$N$1005,MATCH($A629,建物清冊_匯入!$A$6:$A$1005,0)),""))</f>
        <v/>
      </c>
      <c r="G629" s="9">
        <f>IF($A629="","",IFERROR(INDEX(建物清冊_匯入!$S$6:$S$1005,MATCH($A629,建物清冊_匯入!$A$6:$A$1005,0)),""))</f>
        <v/>
      </c>
      <c r="H629" s="7" t="n"/>
      <c r="I629" s="15" t="n"/>
      <c r="J629" s="16" t="n"/>
      <c r="K629" s="17">
        <f>IF(J629="","",1-J629)</f>
        <v/>
      </c>
      <c r="L629" s="15" t="n"/>
      <c r="M629" s="7" t="n"/>
      <c r="N629" s="7" t="n"/>
      <c r="O629" s="7" t="n"/>
      <c r="P629" s="11" t="n"/>
      <c r="Q629" s="7" t="n"/>
      <c r="R629" s="7" t="n"/>
      <c r="S629" s="7" t="n"/>
      <c r="T629" s="7" t="n"/>
      <c r="U629" s="12">
        <f>IF(A629="","",IF(H629="","建議填分配模式",""))</f>
        <v/>
      </c>
    </row>
    <row r="630" ht="24" customHeight="1">
      <c r="A630" s="7" t="n"/>
      <c r="B630" s="7" t="n"/>
      <c r="C630" s="7" t="n"/>
      <c r="D630" s="12">
        <f>IF($A630="","",IFERROR(INDEX(土地清冊_匯入!$B$6:$B$1005,MATCH($A630,土地清冊_匯入!$A$6:$A$1005,0)),"查無資料"))</f>
        <v/>
      </c>
      <c r="E630" s="9">
        <f>IF($A630="","",IFERROR(INDEX(土地清冊_匯入!$I$6:$I$1005,MATCH($A630,土地清冊_匯入!$A$6:$A$1005,0)),""))</f>
        <v/>
      </c>
      <c r="F630" s="13">
        <f>IF($A630="","",IFERROR(INDEX(建物清冊_匯入!$N$6:$N$1005,MATCH($A630,建物清冊_匯入!$A$6:$A$1005,0)),""))</f>
        <v/>
      </c>
      <c r="G630" s="9">
        <f>IF($A630="","",IFERROR(INDEX(建物清冊_匯入!$S$6:$S$1005,MATCH($A630,建物清冊_匯入!$A$6:$A$1005,0)),""))</f>
        <v/>
      </c>
      <c r="H630" s="7" t="n"/>
      <c r="I630" s="15" t="n"/>
      <c r="J630" s="16" t="n"/>
      <c r="K630" s="17">
        <f>IF(J630="","",1-J630)</f>
        <v/>
      </c>
      <c r="L630" s="15" t="n"/>
      <c r="M630" s="7" t="n"/>
      <c r="N630" s="7" t="n"/>
      <c r="O630" s="7" t="n"/>
      <c r="P630" s="11" t="n"/>
      <c r="Q630" s="7" t="n"/>
      <c r="R630" s="7" t="n"/>
      <c r="S630" s="7" t="n"/>
      <c r="T630" s="7" t="n"/>
      <c r="U630" s="12">
        <f>IF(A630="","",IF(H630="","建議填分配模式",""))</f>
        <v/>
      </c>
    </row>
    <row r="631" ht="24" customHeight="1">
      <c r="A631" s="7" t="n"/>
      <c r="B631" s="7" t="n"/>
      <c r="C631" s="7" t="n"/>
      <c r="D631" s="12">
        <f>IF($A631="","",IFERROR(INDEX(土地清冊_匯入!$B$6:$B$1005,MATCH($A631,土地清冊_匯入!$A$6:$A$1005,0)),"查無資料"))</f>
        <v/>
      </c>
      <c r="E631" s="9">
        <f>IF($A631="","",IFERROR(INDEX(土地清冊_匯入!$I$6:$I$1005,MATCH($A631,土地清冊_匯入!$A$6:$A$1005,0)),""))</f>
        <v/>
      </c>
      <c r="F631" s="13">
        <f>IF($A631="","",IFERROR(INDEX(建物清冊_匯入!$N$6:$N$1005,MATCH($A631,建物清冊_匯入!$A$6:$A$1005,0)),""))</f>
        <v/>
      </c>
      <c r="G631" s="9">
        <f>IF($A631="","",IFERROR(INDEX(建物清冊_匯入!$S$6:$S$1005,MATCH($A631,建物清冊_匯入!$A$6:$A$1005,0)),""))</f>
        <v/>
      </c>
      <c r="H631" s="7" t="n"/>
      <c r="I631" s="15" t="n"/>
      <c r="J631" s="16" t="n"/>
      <c r="K631" s="17">
        <f>IF(J631="","",1-J631)</f>
        <v/>
      </c>
      <c r="L631" s="15" t="n"/>
      <c r="M631" s="7" t="n"/>
      <c r="N631" s="7" t="n"/>
      <c r="O631" s="7" t="n"/>
      <c r="P631" s="11" t="n"/>
      <c r="Q631" s="7" t="n"/>
      <c r="R631" s="7" t="n"/>
      <c r="S631" s="7" t="n"/>
      <c r="T631" s="7" t="n"/>
      <c r="U631" s="12">
        <f>IF(A631="","",IF(H631="","建議填分配模式",""))</f>
        <v/>
      </c>
    </row>
    <row r="632" ht="24" customHeight="1">
      <c r="A632" s="7" t="n"/>
      <c r="B632" s="7" t="n"/>
      <c r="C632" s="7" t="n"/>
      <c r="D632" s="12">
        <f>IF($A632="","",IFERROR(INDEX(土地清冊_匯入!$B$6:$B$1005,MATCH($A632,土地清冊_匯入!$A$6:$A$1005,0)),"查無資料"))</f>
        <v/>
      </c>
      <c r="E632" s="9">
        <f>IF($A632="","",IFERROR(INDEX(土地清冊_匯入!$I$6:$I$1005,MATCH($A632,土地清冊_匯入!$A$6:$A$1005,0)),""))</f>
        <v/>
      </c>
      <c r="F632" s="13">
        <f>IF($A632="","",IFERROR(INDEX(建物清冊_匯入!$N$6:$N$1005,MATCH($A632,建物清冊_匯入!$A$6:$A$1005,0)),""))</f>
        <v/>
      </c>
      <c r="G632" s="9">
        <f>IF($A632="","",IFERROR(INDEX(建物清冊_匯入!$S$6:$S$1005,MATCH($A632,建物清冊_匯入!$A$6:$A$1005,0)),""))</f>
        <v/>
      </c>
      <c r="H632" s="7" t="n"/>
      <c r="I632" s="15" t="n"/>
      <c r="J632" s="16" t="n"/>
      <c r="K632" s="17">
        <f>IF(J632="","",1-J632)</f>
        <v/>
      </c>
      <c r="L632" s="15" t="n"/>
      <c r="M632" s="7" t="n"/>
      <c r="N632" s="7" t="n"/>
      <c r="O632" s="7" t="n"/>
      <c r="P632" s="11" t="n"/>
      <c r="Q632" s="7" t="n"/>
      <c r="R632" s="7" t="n"/>
      <c r="S632" s="7" t="n"/>
      <c r="T632" s="7" t="n"/>
      <c r="U632" s="12">
        <f>IF(A632="","",IF(H632="","建議填分配模式",""))</f>
        <v/>
      </c>
    </row>
    <row r="633" ht="24" customHeight="1">
      <c r="A633" s="7" t="n"/>
      <c r="B633" s="7" t="n"/>
      <c r="C633" s="7" t="n"/>
      <c r="D633" s="12">
        <f>IF($A633="","",IFERROR(INDEX(土地清冊_匯入!$B$6:$B$1005,MATCH($A633,土地清冊_匯入!$A$6:$A$1005,0)),"查無資料"))</f>
        <v/>
      </c>
      <c r="E633" s="9">
        <f>IF($A633="","",IFERROR(INDEX(土地清冊_匯入!$I$6:$I$1005,MATCH($A633,土地清冊_匯入!$A$6:$A$1005,0)),""))</f>
        <v/>
      </c>
      <c r="F633" s="13">
        <f>IF($A633="","",IFERROR(INDEX(建物清冊_匯入!$N$6:$N$1005,MATCH($A633,建物清冊_匯入!$A$6:$A$1005,0)),""))</f>
        <v/>
      </c>
      <c r="G633" s="9">
        <f>IF($A633="","",IFERROR(INDEX(建物清冊_匯入!$S$6:$S$1005,MATCH($A633,建物清冊_匯入!$A$6:$A$1005,0)),""))</f>
        <v/>
      </c>
      <c r="H633" s="7" t="n"/>
      <c r="I633" s="15" t="n"/>
      <c r="J633" s="16" t="n"/>
      <c r="K633" s="17">
        <f>IF(J633="","",1-J633)</f>
        <v/>
      </c>
      <c r="L633" s="15" t="n"/>
      <c r="M633" s="7" t="n"/>
      <c r="N633" s="7" t="n"/>
      <c r="O633" s="7" t="n"/>
      <c r="P633" s="11" t="n"/>
      <c r="Q633" s="7" t="n"/>
      <c r="R633" s="7" t="n"/>
      <c r="S633" s="7" t="n"/>
      <c r="T633" s="7" t="n"/>
      <c r="U633" s="12">
        <f>IF(A633="","",IF(H633="","建議填分配模式",""))</f>
        <v/>
      </c>
    </row>
    <row r="634" ht="24" customHeight="1">
      <c r="A634" s="7" t="n"/>
      <c r="B634" s="7" t="n"/>
      <c r="C634" s="7" t="n"/>
      <c r="D634" s="12">
        <f>IF($A634="","",IFERROR(INDEX(土地清冊_匯入!$B$6:$B$1005,MATCH($A634,土地清冊_匯入!$A$6:$A$1005,0)),"查無資料"))</f>
        <v/>
      </c>
      <c r="E634" s="9">
        <f>IF($A634="","",IFERROR(INDEX(土地清冊_匯入!$I$6:$I$1005,MATCH($A634,土地清冊_匯入!$A$6:$A$1005,0)),""))</f>
        <v/>
      </c>
      <c r="F634" s="13">
        <f>IF($A634="","",IFERROR(INDEX(建物清冊_匯入!$N$6:$N$1005,MATCH($A634,建物清冊_匯入!$A$6:$A$1005,0)),""))</f>
        <v/>
      </c>
      <c r="G634" s="9">
        <f>IF($A634="","",IFERROR(INDEX(建物清冊_匯入!$S$6:$S$1005,MATCH($A634,建物清冊_匯入!$A$6:$A$1005,0)),""))</f>
        <v/>
      </c>
      <c r="H634" s="7" t="n"/>
      <c r="I634" s="15" t="n"/>
      <c r="J634" s="16" t="n"/>
      <c r="K634" s="17">
        <f>IF(J634="","",1-J634)</f>
        <v/>
      </c>
      <c r="L634" s="15" t="n"/>
      <c r="M634" s="7" t="n"/>
      <c r="N634" s="7" t="n"/>
      <c r="O634" s="7" t="n"/>
      <c r="P634" s="11" t="n"/>
      <c r="Q634" s="7" t="n"/>
      <c r="R634" s="7" t="n"/>
      <c r="S634" s="7" t="n"/>
      <c r="T634" s="7" t="n"/>
      <c r="U634" s="12">
        <f>IF(A634="","",IF(H634="","建議填分配模式",""))</f>
        <v/>
      </c>
    </row>
    <row r="635" ht="24" customHeight="1">
      <c r="A635" s="7" t="n"/>
      <c r="B635" s="7" t="n"/>
      <c r="C635" s="7" t="n"/>
      <c r="D635" s="12">
        <f>IF($A635="","",IFERROR(INDEX(土地清冊_匯入!$B$6:$B$1005,MATCH($A635,土地清冊_匯入!$A$6:$A$1005,0)),"查無資料"))</f>
        <v/>
      </c>
      <c r="E635" s="9">
        <f>IF($A635="","",IFERROR(INDEX(土地清冊_匯入!$I$6:$I$1005,MATCH($A635,土地清冊_匯入!$A$6:$A$1005,0)),""))</f>
        <v/>
      </c>
      <c r="F635" s="13">
        <f>IF($A635="","",IFERROR(INDEX(建物清冊_匯入!$N$6:$N$1005,MATCH($A635,建物清冊_匯入!$A$6:$A$1005,0)),""))</f>
        <v/>
      </c>
      <c r="G635" s="9">
        <f>IF($A635="","",IFERROR(INDEX(建物清冊_匯入!$S$6:$S$1005,MATCH($A635,建物清冊_匯入!$A$6:$A$1005,0)),""))</f>
        <v/>
      </c>
      <c r="H635" s="7" t="n"/>
      <c r="I635" s="15" t="n"/>
      <c r="J635" s="16" t="n"/>
      <c r="K635" s="17">
        <f>IF(J635="","",1-J635)</f>
        <v/>
      </c>
      <c r="L635" s="15" t="n"/>
      <c r="M635" s="7" t="n"/>
      <c r="N635" s="7" t="n"/>
      <c r="O635" s="7" t="n"/>
      <c r="P635" s="11" t="n"/>
      <c r="Q635" s="7" t="n"/>
      <c r="R635" s="7" t="n"/>
      <c r="S635" s="7" t="n"/>
      <c r="T635" s="7" t="n"/>
      <c r="U635" s="12">
        <f>IF(A635="","",IF(H635="","建議填分配模式",""))</f>
        <v/>
      </c>
    </row>
    <row r="636" ht="24" customHeight="1">
      <c r="A636" s="7" t="n"/>
      <c r="B636" s="7" t="n"/>
      <c r="C636" s="7" t="n"/>
      <c r="D636" s="12">
        <f>IF($A636="","",IFERROR(INDEX(土地清冊_匯入!$B$6:$B$1005,MATCH($A636,土地清冊_匯入!$A$6:$A$1005,0)),"查無資料"))</f>
        <v/>
      </c>
      <c r="E636" s="9">
        <f>IF($A636="","",IFERROR(INDEX(土地清冊_匯入!$I$6:$I$1005,MATCH($A636,土地清冊_匯入!$A$6:$A$1005,0)),""))</f>
        <v/>
      </c>
      <c r="F636" s="13">
        <f>IF($A636="","",IFERROR(INDEX(建物清冊_匯入!$N$6:$N$1005,MATCH($A636,建物清冊_匯入!$A$6:$A$1005,0)),""))</f>
        <v/>
      </c>
      <c r="G636" s="9">
        <f>IF($A636="","",IFERROR(INDEX(建物清冊_匯入!$S$6:$S$1005,MATCH($A636,建物清冊_匯入!$A$6:$A$1005,0)),""))</f>
        <v/>
      </c>
      <c r="H636" s="7" t="n"/>
      <c r="I636" s="15" t="n"/>
      <c r="J636" s="16" t="n"/>
      <c r="K636" s="17">
        <f>IF(J636="","",1-J636)</f>
        <v/>
      </c>
      <c r="L636" s="15" t="n"/>
      <c r="M636" s="7" t="n"/>
      <c r="N636" s="7" t="n"/>
      <c r="O636" s="7" t="n"/>
      <c r="P636" s="11" t="n"/>
      <c r="Q636" s="7" t="n"/>
      <c r="R636" s="7" t="n"/>
      <c r="S636" s="7" t="n"/>
      <c r="T636" s="7" t="n"/>
      <c r="U636" s="12">
        <f>IF(A636="","",IF(H636="","建議填分配模式",""))</f>
        <v/>
      </c>
    </row>
    <row r="637" ht="24" customHeight="1">
      <c r="A637" s="7" t="n"/>
      <c r="B637" s="7" t="n"/>
      <c r="C637" s="7" t="n"/>
      <c r="D637" s="12">
        <f>IF($A637="","",IFERROR(INDEX(土地清冊_匯入!$B$6:$B$1005,MATCH($A637,土地清冊_匯入!$A$6:$A$1005,0)),"查無資料"))</f>
        <v/>
      </c>
      <c r="E637" s="9">
        <f>IF($A637="","",IFERROR(INDEX(土地清冊_匯入!$I$6:$I$1005,MATCH($A637,土地清冊_匯入!$A$6:$A$1005,0)),""))</f>
        <v/>
      </c>
      <c r="F637" s="13">
        <f>IF($A637="","",IFERROR(INDEX(建物清冊_匯入!$N$6:$N$1005,MATCH($A637,建物清冊_匯入!$A$6:$A$1005,0)),""))</f>
        <v/>
      </c>
      <c r="G637" s="9">
        <f>IF($A637="","",IFERROR(INDEX(建物清冊_匯入!$S$6:$S$1005,MATCH($A637,建物清冊_匯入!$A$6:$A$1005,0)),""))</f>
        <v/>
      </c>
      <c r="H637" s="7" t="n"/>
      <c r="I637" s="15" t="n"/>
      <c r="J637" s="16" t="n"/>
      <c r="K637" s="17">
        <f>IF(J637="","",1-J637)</f>
        <v/>
      </c>
      <c r="L637" s="15" t="n"/>
      <c r="M637" s="7" t="n"/>
      <c r="N637" s="7" t="n"/>
      <c r="O637" s="7" t="n"/>
      <c r="P637" s="11" t="n"/>
      <c r="Q637" s="7" t="n"/>
      <c r="R637" s="7" t="n"/>
      <c r="S637" s="7" t="n"/>
      <c r="T637" s="7" t="n"/>
      <c r="U637" s="12">
        <f>IF(A637="","",IF(H637="","建議填分配模式",""))</f>
        <v/>
      </c>
    </row>
    <row r="638" ht="24" customHeight="1">
      <c r="A638" s="7" t="n"/>
      <c r="B638" s="7" t="n"/>
      <c r="C638" s="7" t="n"/>
      <c r="D638" s="12">
        <f>IF($A638="","",IFERROR(INDEX(土地清冊_匯入!$B$6:$B$1005,MATCH($A638,土地清冊_匯入!$A$6:$A$1005,0)),"查無資料"))</f>
        <v/>
      </c>
      <c r="E638" s="9">
        <f>IF($A638="","",IFERROR(INDEX(土地清冊_匯入!$I$6:$I$1005,MATCH($A638,土地清冊_匯入!$A$6:$A$1005,0)),""))</f>
        <v/>
      </c>
      <c r="F638" s="13">
        <f>IF($A638="","",IFERROR(INDEX(建物清冊_匯入!$N$6:$N$1005,MATCH($A638,建物清冊_匯入!$A$6:$A$1005,0)),""))</f>
        <v/>
      </c>
      <c r="G638" s="9">
        <f>IF($A638="","",IFERROR(INDEX(建物清冊_匯入!$S$6:$S$1005,MATCH($A638,建物清冊_匯入!$A$6:$A$1005,0)),""))</f>
        <v/>
      </c>
      <c r="H638" s="7" t="n"/>
      <c r="I638" s="15" t="n"/>
      <c r="J638" s="16" t="n"/>
      <c r="K638" s="17">
        <f>IF(J638="","",1-J638)</f>
        <v/>
      </c>
      <c r="L638" s="15" t="n"/>
      <c r="M638" s="7" t="n"/>
      <c r="N638" s="7" t="n"/>
      <c r="O638" s="7" t="n"/>
      <c r="P638" s="11" t="n"/>
      <c r="Q638" s="7" t="n"/>
      <c r="R638" s="7" t="n"/>
      <c r="S638" s="7" t="n"/>
      <c r="T638" s="7" t="n"/>
      <c r="U638" s="12">
        <f>IF(A638="","",IF(H638="","建議填分配模式",""))</f>
        <v/>
      </c>
    </row>
    <row r="639" ht="24" customHeight="1">
      <c r="A639" s="7" t="n"/>
      <c r="B639" s="7" t="n"/>
      <c r="C639" s="7" t="n"/>
      <c r="D639" s="12">
        <f>IF($A639="","",IFERROR(INDEX(土地清冊_匯入!$B$6:$B$1005,MATCH($A639,土地清冊_匯入!$A$6:$A$1005,0)),"查無資料"))</f>
        <v/>
      </c>
      <c r="E639" s="9">
        <f>IF($A639="","",IFERROR(INDEX(土地清冊_匯入!$I$6:$I$1005,MATCH($A639,土地清冊_匯入!$A$6:$A$1005,0)),""))</f>
        <v/>
      </c>
      <c r="F639" s="13">
        <f>IF($A639="","",IFERROR(INDEX(建物清冊_匯入!$N$6:$N$1005,MATCH($A639,建物清冊_匯入!$A$6:$A$1005,0)),""))</f>
        <v/>
      </c>
      <c r="G639" s="9">
        <f>IF($A639="","",IFERROR(INDEX(建物清冊_匯入!$S$6:$S$1005,MATCH($A639,建物清冊_匯入!$A$6:$A$1005,0)),""))</f>
        <v/>
      </c>
      <c r="H639" s="7" t="n"/>
      <c r="I639" s="15" t="n"/>
      <c r="J639" s="16" t="n"/>
      <c r="K639" s="17">
        <f>IF(J639="","",1-J639)</f>
        <v/>
      </c>
      <c r="L639" s="15" t="n"/>
      <c r="M639" s="7" t="n"/>
      <c r="N639" s="7" t="n"/>
      <c r="O639" s="7" t="n"/>
      <c r="P639" s="11" t="n"/>
      <c r="Q639" s="7" t="n"/>
      <c r="R639" s="7" t="n"/>
      <c r="S639" s="7" t="n"/>
      <c r="T639" s="7" t="n"/>
      <c r="U639" s="12">
        <f>IF(A639="","",IF(H639="","建議填分配模式",""))</f>
        <v/>
      </c>
    </row>
    <row r="640" ht="24" customHeight="1">
      <c r="A640" s="7" t="n"/>
      <c r="B640" s="7" t="n"/>
      <c r="C640" s="7" t="n"/>
      <c r="D640" s="12">
        <f>IF($A640="","",IFERROR(INDEX(土地清冊_匯入!$B$6:$B$1005,MATCH($A640,土地清冊_匯入!$A$6:$A$1005,0)),"查無資料"))</f>
        <v/>
      </c>
      <c r="E640" s="9">
        <f>IF($A640="","",IFERROR(INDEX(土地清冊_匯入!$I$6:$I$1005,MATCH($A640,土地清冊_匯入!$A$6:$A$1005,0)),""))</f>
        <v/>
      </c>
      <c r="F640" s="13">
        <f>IF($A640="","",IFERROR(INDEX(建物清冊_匯入!$N$6:$N$1005,MATCH($A640,建物清冊_匯入!$A$6:$A$1005,0)),""))</f>
        <v/>
      </c>
      <c r="G640" s="9">
        <f>IF($A640="","",IFERROR(INDEX(建物清冊_匯入!$S$6:$S$1005,MATCH($A640,建物清冊_匯入!$A$6:$A$1005,0)),""))</f>
        <v/>
      </c>
      <c r="H640" s="7" t="n"/>
      <c r="I640" s="15" t="n"/>
      <c r="J640" s="16" t="n"/>
      <c r="K640" s="17">
        <f>IF(J640="","",1-J640)</f>
        <v/>
      </c>
      <c r="L640" s="15" t="n"/>
      <c r="M640" s="7" t="n"/>
      <c r="N640" s="7" t="n"/>
      <c r="O640" s="7" t="n"/>
      <c r="P640" s="11" t="n"/>
      <c r="Q640" s="7" t="n"/>
      <c r="R640" s="7" t="n"/>
      <c r="S640" s="7" t="n"/>
      <c r="T640" s="7" t="n"/>
      <c r="U640" s="12">
        <f>IF(A640="","",IF(H640="","建議填分配模式",""))</f>
        <v/>
      </c>
    </row>
    <row r="641" ht="24" customHeight="1">
      <c r="A641" s="7" t="n"/>
      <c r="B641" s="7" t="n"/>
      <c r="C641" s="7" t="n"/>
      <c r="D641" s="12">
        <f>IF($A641="","",IFERROR(INDEX(土地清冊_匯入!$B$6:$B$1005,MATCH($A641,土地清冊_匯入!$A$6:$A$1005,0)),"查無資料"))</f>
        <v/>
      </c>
      <c r="E641" s="9">
        <f>IF($A641="","",IFERROR(INDEX(土地清冊_匯入!$I$6:$I$1005,MATCH($A641,土地清冊_匯入!$A$6:$A$1005,0)),""))</f>
        <v/>
      </c>
      <c r="F641" s="13">
        <f>IF($A641="","",IFERROR(INDEX(建物清冊_匯入!$N$6:$N$1005,MATCH($A641,建物清冊_匯入!$A$6:$A$1005,0)),""))</f>
        <v/>
      </c>
      <c r="G641" s="9">
        <f>IF($A641="","",IFERROR(INDEX(建物清冊_匯入!$S$6:$S$1005,MATCH($A641,建物清冊_匯入!$A$6:$A$1005,0)),""))</f>
        <v/>
      </c>
      <c r="H641" s="7" t="n"/>
      <c r="I641" s="15" t="n"/>
      <c r="J641" s="16" t="n"/>
      <c r="K641" s="17">
        <f>IF(J641="","",1-J641)</f>
        <v/>
      </c>
      <c r="L641" s="15" t="n"/>
      <c r="M641" s="7" t="n"/>
      <c r="N641" s="7" t="n"/>
      <c r="O641" s="7" t="n"/>
      <c r="P641" s="11" t="n"/>
      <c r="Q641" s="7" t="n"/>
      <c r="R641" s="7" t="n"/>
      <c r="S641" s="7" t="n"/>
      <c r="T641" s="7" t="n"/>
      <c r="U641" s="12">
        <f>IF(A641="","",IF(H641="","建議填分配模式",""))</f>
        <v/>
      </c>
    </row>
    <row r="642" ht="24" customHeight="1">
      <c r="A642" s="7" t="n"/>
      <c r="B642" s="7" t="n"/>
      <c r="C642" s="7" t="n"/>
      <c r="D642" s="12">
        <f>IF($A642="","",IFERROR(INDEX(土地清冊_匯入!$B$6:$B$1005,MATCH($A642,土地清冊_匯入!$A$6:$A$1005,0)),"查無資料"))</f>
        <v/>
      </c>
      <c r="E642" s="9">
        <f>IF($A642="","",IFERROR(INDEX(土地清冊_匯入!$I$6:$I$1005,MATCH($A642,土地清冊_匯入!$A$6:$A$1005,0)),""))</f>
        <v/>
      </c>
      <c r="F642" s="13">
        <f>IF($A642="","",IFERROR(INDEX(建物清冊_匯入!$N$6:$N$1005,MATCH($A642,建物清冊_匯入!$A$6:$A$1005,0)),""))</f>
        <v/>
      </c>
      <c r="G642" s="9">
        <f>IF($A642="","",IFERROR(INDEX(建物清冊_匯入!$S$6:$S$1005,MATCH($A642,建物清冊_匯入!$A$6:$A$1005,0)),""))</f>
        <v/>
      </c>
      <c r="H642" s="7" t="n"/>
      <c r="I642" s="15" t="n"/>
      <c r="J642" s="16" t="n"/>
      <c r="K642" s="17">
        <f>IF(J642="","",1-J642)</f>
        <v/>
      </c>
      <c r="L642" s="15" t="n"/>
      <c r="M642" s="7" t="n"/>
      <c r="N642" s="7" t="n"/>
      <c r="O642" s="7" t="n"/>
      <c r="P642" s="11" t="n"/>
      <c r="Q642" s="7" t="n"/>
      <c r="R642" s="7" t="n"/>
      <c r="S642" s="7" t="n"/>
      <c r="T642" s="7" t="n"/>
      <c r="U642" s="12">
        <f>IF(A642="","",IF(H642="","建議填分配模式",""))</f>
        <v/>
      </c>
    </row>
    <row r="643" ht="24" customHeight="1">
      <c r="A643" s="7" t="n"/>
      <c r="B643" s="7" t="n"/>
      <c r="C643" s="7" t="n"/>
      <c r="D643" s="12">
        <f>IF($A643="","",IFERROR(INDEX(土地清冊_匯入!$B$6:$B$1005,MATCH($A643,土地清冊_匯入!$A$6:$A$1005,0)),"查無資料"))</f>
        <v/>
      </c>
      <c r="E643" s="9">
        <f>IF($A643="","",IFERROR(INDEX(土地清冊_匯入!$I$6:$I$1005,MATCH($A643,土地清冊_匯入!$A$6:$A$1005,0)),""))</f>
        <v/>
      </c>
      <c r="F643" s="13">
        <f>IF($A643="","",IFERROR(INDEX(建物清冊_匯入!$N$6:$N$1005,MATCH($A643,建物清冊_匯入!$A$6:$A$1005,0)),""))</f>
        <v/>
      </c>
      <c r="G643" s="9">
        <f>IF($A643="","",IFERROR(INDEX(建物清冊_匯入!$S$6:$S$1005,MATCH($A643,建物清冊_匯入!$A$6:$A$1005,0)),""))</f>
        <v/>
      </c>
      <c r="H643" s="7" t="n"/>
      <c r="I643" s="15" t="n"/>
      <c r="J643" s="16" t="n"/>
      <c r="K643" s="17">
        <f>IF(J643="","",1-J643)</f>
        <v/>
      </c>
      <c r="L643" s="15" t="n"/>
      <c r="M643" s="7" t="n"/>
      <c r="N643" s="7" t="n"/>
      <c r="O643" s="7" t="n"/>
      <c r="P643" s="11" t="n"/>
      <c r="Q643" s="7" t="n"/>
      <c r="R643" s="7" t="n"/>
      <c r="S643" s="7" t="n"/>
      <c r="T643" s="7" t="n"/>
      <c r="U643" s="12">
        <f>IF(A643="","",IF(H643="","建議填分配模式",""))</f>
        <v/>
      </c>
    </row>
    <row r="644" ht="24" customHeight="1">
      <c r="A644" s="7" t="n"/>
      <c r="B644" s="7" t="n"/>
      <c r="C644" s="7" t="n"/>
      <c r="D644" s="12">
        <f>IF($A644="","",IFERROR(INDEX(土地清冊_匯入!$B$6:$B$1005,MATCH($A644,土地清冊_匯入!$A$6:$A$1005,0)),"查無資料"))</f>
        <v/>
      </c>
      <c r="E644" s="9">
        <f>IF($A644="","",IFERROR(INDEX(土地清冊_匯入!$I$6:$I$1005,MATCH($A644,土地清冊_匯入!$A$6:$A$1005,0)),""))</f>
        <v/>
      </c>
      <c r="F644" s="13">
        <f>IF($A644="","",IFERROR(INDEX(建物清冊_匯入!$N$6:$N$1005,MATCH($A644,建物清冊_匯入!$A$6:$A$1005,0)),""))</f>
        <v/>
      </c>
      <c r="G644" s="9">
        <f>IF($A644="","",IFERROR(INDEX(建物清冊_匯入!$S$6:$S$1005,MATCH($A644,建物清冊_匯入!$A$6:$A$1005,0)),""))</f>
        <v/>
      </c>
      <c r="H644" s="7" t="n"/>
      <c r="I644" s="15" t="n"/>
      <c r="J644" s="16" t="n"/>
      <c r="K644" s="17">
        <f>IF(J644="","",1-J644)</f>
        <v/>
      </c>
      <c r="L644" s="15" t="n"/>
      <c r="M644" s="7" t="n"/>
      <c r="N644" s="7" t="n"/>
      <c r="O644" s="7" t="n"/>
      <c r="P644" s="11" t="n"/>
      <c r="Q644" s="7" t="n"/>
      <c r="R644" s="7" t="n"/>
      <c r="S644" s="7" t="n"/>
      <c r="T644" s="7" t="n"/>
      <c r="U644" s="12">
        <f>IF(A644="","",IF(H644="","建議填分配模式",""))</f>
        <v/>
      </c>
    </row>
    <row r="645" ht="24" customHeight="1">
      <c r="A645" s="7" t="n"/>
      <c r="B645" s="7" t="n"/>
      <c r="C645" s="7" t="n"/>
      <c r="D645" s="12">
        <f>IF($A645="","",IFERROR(INDEX(土地清冊_匯入!$B$6:$B$1005,MATCH($A645,土地清冊_匯入!$A$6:$A$1005,0)),"查無資料"))</f>
        <v/>
      </c>
      <c r="E645" s="9">
        <f>IF($A645="","",IFERROR(INDEX(土地清冊_匯入!$I$6:$I$1005,MATCH($A645,土地清冊_匯入!$A$6:$A$1005,0)),""))</f>
        <v/>
      </c>
      <c r="F645" s="13">
        <f>IF($A645="","",IFERROR(INDEX(建物清冊_匯入!$N$6:$N$1005,MATCH($A645,建物清冊_匯入!$A$6:$A$1005,0)),""))</f>
        <v/>
      </c>
      <c r="G645" s="9">
        <f>IF($A645="","",IFERROR(INDEX(建物清冊_匯入!$S$6:$S$1005,MATCH($A645,建物清冊_匯入!$A$6:$A$1005,0)),""))</f>
        <v/>
      </c>
      <c r="H645" s="7" t="n"/>
      <c r="I645" s="15" t="n"/>
      <c r="J645" s="16" t="n"/>
      <c r="K645" s="17">
        <f>IF(J645="","",1-J645)</f>
        <v/>
      </c>
      <c r="L645" s="15" t="n"/>
      <c r="M645" s="7" t="n"/>
      <c r="N645" s="7" t="n"/>
      <c r="O645" s="7" t="n"/>
      <c r="P645" s="11" t="n"/>
      <c r="Q645" s="7" t="n"/>
      <c r="R645" s="7" t="n"/>
      <c r="S645" s="7" t="n"/>
      <c r="T645" s="7" t="n"/>
      <c r="U645" s="12">
        <f>IF(A645="","",IF(H645="","建議填分配模式",""))</f>
        <v/>
      </c>
    </row>
    <row r="646" ht="24" customHeight="1">
      <c r="A646" s="7" t="n"/>
      <c r="B646" s="7" t="n"/>
      <c r="C646" s="7" t="n"/>
      <c r="D646" s="12">
        <f>IF($A646="","",IFERROR(INDEX(土地清冊_匯入!$B$6:$B$1005,MATCH($A646,土地清冊_匯入!$A$6:$A$1005,0)),"查無資料"))</f>
        <v/>
      </c>
      <c r="E646" s="9">
        <f>IF($A646="","",IFERROR(INDEX(土地清冊_匯入!$I$6:$I$1005,MATCH($A646,土地清冊_匯入!$A$6:$A$1005,0)),""))</f>
        <v/>
      </c>
      <c r="F646" s="13">
        <f>IF($A646="","",IFERROR(INDEX(建物清冊_匯入!$N$6:$N$1005,MATCH($A646,建物清冊_匯入!$A$6:$A$1005,0)),""))</f>
        <v/>
      </c>
      <c r="G646" s="9">
        <f>IF($A646="","",IFERROR(INDEX(建物清冊_匯入!$S$6:$S$1005,MATCH($A646,建物清冊_匯入!$A$6:$A$1005,0)),""))</f>
        <v/>
      </c>
      <c r="H646" s="7" t="n"/>
      <c r="I646" s="15" t="n"/>
      <c r="J646" s="16" t="n"/>
      <c r="K646" s="17">
        <f>IF(J646="","",1-J646)</f>
        <v/>
      </c>
      <c r="L646" s="15" t="n"/>
      <c r="M646" s="7" t="n"/>
      <c r="N646" s="7" t="n"/>
      <c r="O646" s="7" t="n"/>
      <c r="P646" s="11" t="n"/>
      <c r="Q646" s="7" t="n"/>
      <c r="R646" s="7" t="n"/>
      <c r="S646" s="7" t="n"/>
      <c r="T646" s="7" t="n"/>
      <c r="U646" s="12">
        <f>IF(A646="","",IF(H646="","建議填分配模式",""))</f>
        <v/>
      </c>
    </row>
    <row r="647" ht="24" customHeight="1">
      <c r="A647" s="7" t="n"/>
      <c r="B647" s="7" t="n"/>
      <c r="C647" s="7" t="n"/>
      <c r="D647" s="12">
        <f>IF($A647="","",IFERROR(INDEX(土地清冊_匯入!$B$6:$B$1005,MATCH($A647,土地清冊_匯入!$A$6:$A$1005,0)),"查無資料"))</f>
        <v/>
      </c>
      <c r="E647" s="9">
        <f>IF($A647="","",IFERROR(INDEX(土地清冊_匯入!$I$6:$I$1005,MATCH($A647,土地清冊_匯入!$A$6:$A$1005,0)),""))</f>
        <v/>
      </c>
      <c r="F647" s="13">
        <f>IF($A647="","",IFERROR(INDEX(建物清冊_匯入!$N$6:$N$1005,MATCH($A647,建物清冊_匯入!$A$6:$A$1005,0)),""))</f>
        <v/>
      </c>
      <c r="G647" s="9">
        <f>IF($A647="","",IFERROR(INDEX(建物清冊_匯入!$S$6:$S$1005,MATCH($A647,建物清冊_匯入!$A$6:$A$1005,0)),""))</f>
        <v/>
      </c>
      <c r="H647" s="7" t="n"/>
      <c r="I647" s="15" t="n"/>
      <c r="J647" s="16" t="n"/>
      <c r="K647" s="17">
        <f>IF(J647="","",1-J647)</f>
        <v/>
      </c>
      <c r="L647" s="15" t="n"/>
      <c r="M647" s="7" t="n"/>
      <c r="N647" s="7" t="n"/>
      <c r="O647" s="7" t="n"/>
      <c r="P647" s="11" t="n"/>
      <c r="Q647" s="7" t="n"/>
      <c r="R647" s="7" t="n"/>
      <c r="S647" s="7" t="n"/>
      <c r="T647" s="7" t="n"/>
      <c r="U647" s="12">
        <f>IF(A647="","",IF(H647="","建議填分配模式",""))</f>
        <v/>
      </c>
    </row>
    <row r="648" ht="24" customHeight="1">
      <c r="A648" s="7" t="n"/>
      <c r="B648" s="7" t="n"/>
      <c r="C648" s="7" t="n"/>
      <c r="D648" s="12">
        <f>IF($A648="","",IFERROR(INDEX(土地清冊_匯入!$B$6:$B$1005,MATCH($A648,土地清冊_匯入!$A$6:$A$1005,0)),"查無資料"))</f>
        <v/>
      </c>
      <c r="E648" s="9">
        <f>IF($A648="","",IFERROR(INDEX(土地清冊_匯入!$I$6:$I$1005,MATCH($A648,土地清冊_匯入!$A$6:$A$1005,0)),""))</f>
        <v/>
      </c>
      <c r="F648" s="13">
        <f>IF($A648="","",IFERROR(INDEX(建物清冊_匯入!$N$6:$N$1005,MATCH($A648,建物清冊_匯入!$A$6:$A$1005,0)),""))</f>
        <v/>
      </c>
      <c r="G648" s="9">
        <f>IF($A648="","",IFERROR(INDEX(建物清冊_匯入!$S$6:$S$1005,MATCH($A648,建物清冊_匯入!$A$6:$A$1005,0)),""))</f>
        <v/>
      </c>
      <c r="H648" s="7" t="n"/>
      <c r="I648" s="15" t="n"/>
      <c r="J648" s="16" t="n"/>
      <c r="K648" s="17">
        <f>IF(J648="","",1-J648)</f>
        <v/>
      </c>
      <c r="L648" s="15" t="n"/>
      <c r="M648" s="7" t="n"/>
      <c r="N648" s="7" t="n"/>
      <c r="O648" s="7" t="n"/>
      <c r="P648" s="11" t="n"/>
      <c r="Q648" s="7" t="n"/>
      <c r="R648" s="7" t="n"/>
      <c r="S648" s="7" t="n"/>
      <c r="T648" s="7" t="n"/>
      <c r="U648" s="12">
        <f>IF(A648="","",IF(H648="","建議填分配模式",""))</f>
        <v/>
      </c>
    </row>
    <row r="649" ht="24" customHeight="1">
      <c r="A649" s="7" t="n"/>
      <c r="B649" s="7" t="n"/>
      <c r="C649" s="7" t="n"/>
      <c r="D649" s="12">
        <f>IF($A649="","",IFERROR(INDEX(土地清冊_匯入!$B$6:$B$1005,MATCH($A649,土地清冊_匯入!$A$6:$A$1005,0)),"查無資料"))</f>
        <v/>
      </c>
      <c r="E649" s="9">
        <f>IF($A649="","",IFERROR(INDEX(土地清冊_匯入!$I$6:$I$1005,MATCH($A649,土地清冊_匯入!$A$6:$A$1005,0)),""))</f>
        <v/>
      </c>
      <c r="F649" s="13">
        <f>IF($A649="","",IFERROR(INDEX(建物清冊_匯入!$N$6:$N$1005,MATCH($A649,建物清冊_匯入!$A$6:$A$1005,0)),""))</f>
        <v/>
      </c>
      <c r="G649" s="9">
        <f>IF($A649="","",IFERROR(INDEX(建物清冊_匯入!$S$6:$S$1005,MATCH($A649,建物清冊_匯入!$A$6:$A$1005,0)),""))</f>
        <v/>
      </c>
      <c r="H649" s="7" t="n"/>
      <c r="I649" s="15" t="n"/>
      <c r="J649" s="16" t="n"/>
      <c r="K649" s="17">
        <f>IF(J649="","",1-J649)</f>
        <v/>
      </c>
      <c r="L649" s="15" t="n"/>
      <c r="M649" s="7" t="n"/>
      <c r="N649" s="7" t="n"/>
      <c r="O649" s="7" t="n"/>
      <c r="P649" s="11" t="n"/>
      <c r="Q649" s="7" t="n"/>
      <c r="R649" s="7" t="n"/>
      <c r="S649" s="7" t="n"/>
      <c r="T649" s="7" t="n"/>
      <c r="U649" s="12">
        <f>IF(A649="","",IF(H649="","建議填分配模式",""))</f>
        <v/>
      </c>
    </row>
    <row r="650" ht="24" customHeight="1">
      <c r="A650" s="7" t="n"/>
      <c r="B650" s="7" t="n"/>
      <c r="C650" s="7" t="n"/>
      <c r="D650" s="12">
        <f>IF($A650="","",IFERROR(INDEX(土地清冊_匯入!$B$6:$B$1005,MATCH($A650,土地清冊_匯入!$A$6:$A$1005,0)),"查無資料"))</f>
        <v/>
      </c>
      <c r="E650" s="9">
        <f>IF($A650="","",IFERROR(INDEX(土地清冊_匯入!$I$6:$I$1005,MATCH($A650,土地清冊_匯入!$A$6:$A$1005,0)),""))</f>
        <v/>
      </c>
      <c r="F650" s="13">
        <f>IF($A650="","",IFERROR(INDEX(建物清冊_匯入!$N$6:$N$1005,MATCH($A650,建物清冊_匯入!$A$6:$A$1005,0)),""))</f>
        <v/>
      </c>
      <c r="G650" s="9">
        <f>IF($A650="","",IFERROR(INDEX(建物清冊_匯入!$S$6:$S$1005,MATCH($A650,建物清冊_匯入!$A$6:$A$1005,0)),""))</f>
        <v/>
      </c>
      <c r="H650" s="7" t="n"/>
      <c r="I650" s="15" t="n"/>
      <c r="J650" s="16" t="n"/>
      <c r="K650" s="17">
        <f>IF(J650="","",1-J650)</f>
        <v/>
      </c>
      <c r="L650" s="15" t="n"/>
      <c r="M650" s="7" t="n"/>
      <c r="N650" s="7" t="n"/>
      <c r="O650" s="7" t="n"/>
      <c r="P650" s="11" t="n"/>
      <c r="Q650" s="7" t="n"/>
      <c r="R650" s="7" t="n"/>
      <c r="S650" s="7" t="n"/>
      <c r="T650" s="7" t="n"/>
      <c r="U650" s="12">
        <f>IF(A650="","",IF(H650="","建議填分配模式",""))</f>
        <v/>
      </c>
    </row>
    <row r="651" ht="24" customHeight="1">
      <c r="A651" s="7" t="n"/>
      <c r="B651" s="7" t="n"/>
      <c r="C651" s="7" t="n"/>
      <c r="D651" s="12">
        <f>IF($A651="","",IFERROR(INDEX(土地清冊_匯入!$B$6:$B$1005,MATCH($A651,土地清冊_匯入!$A$6:$A$1005,0)),"查無資料"))</f>
        <v/>
      </c>
      <c r="E651" s="9">
        <f>IF($A651="","",IFERROR(INDEX(土地清冊_匯入!$I$6:$I$1005,MATCH($A651,土地清冊_匯入!$A$6:$A$1005,0)),""))</f>
        <v/>
      </c>
      <c r="F651" s="13">
        <f>IF($A651="","",IFERROR(INDEX(建物清冊_匯入!$N$6:$N$1005,MATCH($A651,建物清冊_匯入!$A$6:$A$1005,0)),""))</f>
        <v/>
      </c>
      <c r="G651" s="9">
        <f>IF($A651="","",IFERROR(INDEX(建物清冊_匯入!$S$6:$S$1005,MATCH($A651,建物清冊_匯入!$A$6:$A$1005,0)),""))</f>
        <v/>
      </c>
      <c r="H651" s="7" t="n"/>
      <c r="I651" s="15" t="n"/>
      <c r="J651" s="16" t="n"/>
      <c r="K651" s="17">
        <f>IF(J651="","",1-J651)</f>
        <v/>
      </c>
      <c r="L651" s="15" t="n"/>
      <c r="M651" s="7" t="n"/>
      <c r="N651" s="7" t="n"/>
      <c r="O651" s="7" t="n"/>
      <c r="P651" s="11" t="n"/>
      <c r="Q651" s="7" t="n"/>
      <c r="R651" s="7" t="n"/>
      <c r="S651" s="7" t="n"/>
      <c r="T651" s="7" t="n"/>
      <c r="U651" s="12">
        <f>IF(A651="","",IF(H651="","建議填分配模式",""))</f>
        <v/>
      </c>
    </row>
    <row r="652" ht="24" customHeight="1">
      <c r="A652" s="7" t="n"/>
      <c r="B652" s="7" t="n"/>
      <c r="C652" s="7" t="n"/>
      <c r="D652" s="12">
        <f>IF($A652="","",IFERROR(INDEX(土地清冊_匯入!$B$6:$B$1005,MATCH($A652,土地清冊_匯入!$A$6:$A$1005,0)),"查無資料"))</f>
        <v/>
      </c>
      <c r="E652" s="9">
        <f>IF($A652="","",IFERROR(INDEX(土地清冊_匯入!$I$6:$I$1005,MATCH($A652,土地清冊_匯入!$A$6:$A$1005,0)),""))</f>
        <v/>
      </c>
      <c r="F652" s="13">
        <f>IF($A652="","",IFERROR(INDEX(建物清冊_匯入!$N$6:$N$1005,MATCH($A652,建物清冊_匯入!$A$6:$A$1005,0)),""))</f>
        <v/>
      </c>
      <c r="G652" s="9">
        <f>IF($A652="","",IFERROR(INDEX(建物清冊_匯入!$S$6:$S$1005,MATCH($A652,建物清冊_匯入!$A$6:$A$1005,0)),""))</f>
        <v/>
      </c>
      <c r="H652" s="7" t="n"/>
      <c r="I652" s="15" t="n"/>
      <c r="J652" s="16" t="n"/>
      <c r="K652" s="17">
        <f>IF(J652="","",1-J652)</f>
        <v/>
      </c>
      <c r="L652" s="15" t="n"/>
      <c r="M652" s="7" t="n"/>
      <c r="N652" s="7" t="n"/>
      <c r="O652" s="7" t="n"/>
      <c r="P652" s="11" t="n"/>
      <c r="Q652" s="7" t="n"/>
      <c r="R652" s="7" t="n"/>
      <c r="S652" s="7" t="n"/>
      <c r="T652" s="7" t="n"/>
      <c r="U652" s="12">
        <f>IF(A652="","",IF(H652="","建議填分配模式",""))</f>
        <v/>
      </c>
    </row>
    <row r="653" ht="24" customHeight="1">
      <c r="A653" s="7" t="n"/>
      <c r="B653" s="7" t="n"/>
      <c r="C653" s="7" t="n"/>
      <c r="D653" s="12">
        <f>IF($A653="","",IFERROR(INDEX(土地清冊_匯入!$B$6:$B$1005,MATCH($A653,土地清冊_匯入!$A$6:$A$1005,0)),"查無資料"))</f>
        <v/>
      </c>
      <c r="E653" s="9">
        <f>IF($A653="","",IFERROR(INDEX(土地清冊_匯入!$I$6:$I$1005,MATCH($A653,土地清冊_匯入!$A$6:$A$1005,0)),""))</f>
        <v/>
      </c>
      <c r="F653" s="13">
        <f>IF($A653="","",IFERROR(INDEX(建物清冊_匯入!$N$6:$N$1005,MATCH($A653,建物清冊_匯入!$A$6:$A$1005,0)),""))</f>
        <v/>
      </c>
      <c r="G653" s="9">
        <f>IF($A653="","",IFERROR(INDEX(建物清冊_匯入!$S$6:$S$1005,MATCH($A653,建物清冊_匯入!$A$6:$A$1005,0)),""))</f>
        <v/>
      </c>
      <c r="H653" s="7" t="n"/>
      <c r="I653" s="15" t="n"/>
      <c r="J653" s="16" t="n"/>
      <c r="K653" s="17">
        <f>IF(J653="","",1-J653)</f>
        <v/>
      </c>
      <c r="L653" s="15" t="n"/>
      <c r="M653" s="7" t="n"/>
      <c r="N653" s="7" t="n"/>
      <c r="O653" s="7" t="n"/>
      <c r="P653" s="11" t="n"/>
      <c r="Q653" s="7" t="n"/>
      <c r="R653" s="7" t="n"/>
      <c r="S653" s="7" t="n"/>
      <c r="T653" s="7" t="n"/>
      <c r="U653" s="12">
        <f>IF(A653="","",IF(H653="","建議填分配模式",""))</f>
        <v/>
      </c>
    </row>
    <row r="654" ht="24" customHeight="1">
      <c r="A654" s="7" t="n"/>
      <c r="B654" s="7" t="n"/>
      <c r="C654" s="7" t="n"/>
      <c r="D654" s="12">
        <f>IF($A654="","",IFERROR(INDEX(土地清冊_匯入!$B$6:$B$1005,MATCH($A654,土地清冊_匯入!$A$6:$A$1005,0)),"查無資料"))</f>
        <v/>
      </c>
      <c r="E654" s="9">
        <f>IF($A654="","",IFERROR(INDEX(土地清冊_匯入!$I$6:$I$1005,MATCH($A654,土地清冊_匯入!$A$6:$A$1005,0)),""))</f>
        <v/>
      </c>
      <c r="F654" s="13">
        <f>IF($A654="","",IFERROR(INDEX(建物清冊_匯入!$N$6:$N$1005,MATCH($A654,建物清冊_匯入!$A$6:$A$1005,0)),""))</f>
        <v/>
      </c>
      <c r="G654" s="9">
        <f>IF($A654="","",IFERROR(INDEX(建物清冊_匯入!$S$6:$S$1005,MATCH($A654,建物清冊_匯入!$A$6:$A$1005,0)),""))</f>
        <v/>
      </c>
      <c r="H654" s="7" t="n"/>
      <c r="I654" s="15" t="n"/>
      <c r="J654" s="16" t="n"/>
      <c r="K654" s="17">
        <f>IF(J654="","",1-J654)</f>
        <v/>
      </c>
      <c r="L654" s="15" t="n"/>
      <c r="M654" s="7" t="n"/>
      <c r="N654" s="7" t="n"/>
      <c r="O654" s="7" t="n"/>
      <c r="P654" s="11" t="n"/>
      <c r="Q654" s="7" t="n"/>
      <c r="R654" s="7" t="n"/>
      <c r="S654" s="7" t="n"/>
      <c r="T654" s="7" t="n"/>
      <c r="U654" s="12">
        <f>IF(A654="","",IF(H654="","建議填分配模式",""))</f>
        <v/>
      </c>
    </row>
    <row r="655" ht="24" customHeight="1">
      <c r="A655" s="7" t="n"/>
      <c r="B655" s="7" t="n"/>
      <c r="C655" s="7" t="n"/>
      <c r="D655" s="12">
        <f>IF($A655="","",IFERROR(INDEX(土地清冊_匯入!$B$6:$B$1005,MATCH($A655,土地清冊_匯入!$A$6:$A$1005,0)),"查無資料"))</f>
        <v/>
      </c>
      <c r="E655" s="9">
        <f>IF($A655="","",IFERROR(INDEX(土地清冊_匯入!$I$6:$I$1005,MATCH($A655,土地清冊_匯入!$A$6:$A$1005,0)),""))</f>
        <v/>
      </c>
      <c r="F655" s="13">
        <f>IF($A655="","",IFERROR(INDEX(建物清冊_匯入!$N$6:$N$1005,MATCH($A655,建物清冊_匯入!$A$6:$A$1005,0)),""))</f>
        <v/>
      </c>
      <c r="G655" s="9">
        <f>IF($A655="","",IFERROR(INDEX(建物清冊_匯入!$S$6:$S$1005,MATCH($A655,建物清冊_匯入!$A$6:$A$1005,0)),""))</f>
        <v/>
      </c>
      <c r="H655" s="7" t="n"/>
      <c r="I655" s="15" t="n"/>
      <c r="J655" s="16" t="n"/>
      <c r="K655" s="17">
        <f>IF(J655="","",1-J655)</f>
        <v/>
      </c>
      <c r="L655" s="15" t="n"/>
      <c r="M655" s="7" t="n"/>
      <c r="N655" s="7" t="n"/>
      <c r="O655" s="7" t="n"/>
      <c r="P655" s="11" t="n"/>
      <c r="Q655" s="7" t="n"/>
      <c r="R655" s="7" t="n"/>
      <c r="S655" s="7" t="n"/>
      <c r="T655" s="7" t="n"/>
      <c r="U655" s="12">
        <f>IF(A655="","",IF(H655="","建議填分配模式",""))</f>
        <v/>
      </c>
    </row>
    <row r="656" ht="24" customHeight="1">
      <c r="A656" s="7" t="n"/>
      <c r="B656" s="7" t="n"/>
      <c r="C656" s="7" t="n"/>
      <c r="D656" s="12">
        <f>IF($A656="","",IFERROR(INDEX(土地清冊_匯入!$B$6:$B$1005,MATCH($A656,土地清冊_匯入!$A$6:$A$1005,0)),"查無資料"))</f>
        <v/>
      </c>
      <c r="E656" s="9">
        <f>IF($A656="","",IFERROR(INDEX(土地清冊_匯入!$I$6:$I$1005,MATCH($A656,土地清冊_匯入!$A$6:$A$1005,0)),""))</f>
        <v/>
      </c>
      <c r="F656" s="13">
        <f>IF($A656="","",IFERROR(INDEX(建物清冊_匯入!$N$6:$N$1005,MATCH($A656,建物清冊_匯入!$A$6:$A$1005,0)),""))</f>
        <v/>
      </c>
      <c r="G656" s="9">
        <f>IF($A656="","",IFERROR(INDEX(建物清冊_匯入!$S$6:$S$1005,MATCH($A656,建物清冊_匯入!$A$6:$A$1005,0)),""))</f>
        <v/>
      </c>
      <c r="H656" s="7" t="n"/>
      <c r="I656" s="15" t="n"/>
      <c r="J656" s="16" t="n"/>
      <c r="K656" s="17">
        <f>IF(J656="","",1-J656)</f>
        <v/>
      </c>
      <c r="L656" s="15" t="n"/>
      <c r="M656" s="7" t="n"/>
      <c r="N656" s="7" t="n"/>
      <c r="O656" s="7" t="n"/>
      <c r="P656" s="11" t="n"/>
      <c r="Q656" s="7" t="n"/>
      <c r="R656" s="7" t="n"/>
      <c r="S656" s="7" t="n"/>
      <c r="T656" s="7" t="n"/>
      <c r="U656" s="12">
        <f>IF(A656="","",IF(H656="","建議填分配模式",""))</f>
        <v/>
      </c>
    </row>
    <row r="657" ht="24" customHeight="1">
      <c r="A657" s="7" t="n"/>
      <c r="B657" s="7" t="n"/>
      <c r="C657" s="7" t="n"/>
      <c r="D657" s="12">
        <f>IF($A657="","",IFERROR(INDEX(土地清冊_匯入!$B$6:$B$1005,MATCH($A657,土地清冊_匯入!$A$6:$A$1005,0)),"查無資料"))</f>
        <v/>
      </c>
      <c r="E657" s="9">
        <f>IF($A657="","",IFERROR(INDEX(土地清冊_匯入!$I$6:$I$1005,MATCH($A657,土地清冊_匯入!$A$6:$A$1005,0)),""))</f>
        <v/>
      </c>
      <c r="F657" s="13">
        <f>IF($A657="","",IFERROR(INDEX(建物清冊_匯入!$N$6:$N$1005,MATCH($A657,建物清冊_匯入!$A$6:$A$1005,0)),""))</f>
        <v/>
      </c>
      <c r="G657" s="9">
        <f>IF($A657="","",IFERROR(INDEX(建物清冊_匯入!$S$6:$S$1005,MATCH($A657,建物清冊_匯入!$A$6:$A$1005,0)),""))</f>
        <v/>
      </c>
      <c r="H657" s="7" t="n"/>
      <c r="I657" s="15" t="n"/>
      <c r="J657" s="16" t="n"/>
      <c r="K657" s="17">
        <f>IF(J657="","",1-J657)</f>
        <v/>
      </c>
      <c r="L657" s="15" t="n"/>
      <c r="M657" s="7" t="n"/>
      <c r="N657" s="7" t="n"/>
      <c r="O657" s="7" t="n"/>
      <c r="P657" s="11" t="n"/>
      <c r="Q657" s="7" t="n"/>
      <c r="R657" s="7" t="n"/>
      <c r="S657" s="7" t="n"/>
      <c r="T657" s="7" t="n"/>
      <c r="U657" s="12">
        <f>IF(A657="","",IF(H657="","建議填分配模式",""))</f>
        <v/>
      </c>
    </row>
    <row r="658" ht="24" customHeight="1">
      <c r="A658" s="7" t="n"/>
      <c r="B658" s="7" t="n"/>
      <c r="C658" s="7" t="n"/>
      <c r="D658" s="12">
        <f>IF($A658="","",IFERROR(INDEX(土地清冊_匯入!$B$6:$B$1005,MATCH($A658,土地清冊_匯入!$A$6:$A$1005,0)),"查無資料"))</f>
        <v/>
      </c>
      <c r="E658" s="9">
        <f>IF($A658="","",IFERROR(INDEX(土地清冊_匯入!$I$6:$I$1005,MATCH($A658,土地清冊_匯入!$A$6:$A$1005,0)),""))</f>
        <v/>
      </c>
      <c r="F658" s="13">
        <f>IF($A658="","",IFERROR(INDEX(建物清冊_匯入!$N$6:$N$1005,MATCH($A658,建物清冊_匯入!$A$6:$A$1005,0)),""))</f>
        <v/>
      </c>
      <c r="G658" s="9">
        <f>IF($A658="","",IFERROR(INDEX(建物清冊_匯入!$S$6:$S$1005,MATCH($A658,建物清冊_匯入!$A$6:$A$1005,0)),""))</f>
        <v/>
      </c>
      <c r="H658" s="7" t="n"/>
      <c r="I658" s="15" t="n"/>
      <c r="J658" s="16" t="n"/>
      <c r="K658" s="17">
        <f>IF(J658="","",1-J658)</f>
        <v/>
      </c>
      <c r="L658" s="15" t="n"/>
      <c r="M658" s="7" t="n"/>
      <c r="N658" s="7" t="n"/>
      <c r="O658" s="7" t="n"/>
      <c r="P658" s="11" t="n"/>
      <c r="Q658" s="7" t="n"/>
      <c r="R658" s="7" t="n"/>
      <c r="S658" s="7" t="n"/>
      <c r="T658" s="7" t="n"/>
      <c r="U658" s="12">
        <f>IF(A658="","",IF(H658="","建議填分配模式",""))</f>
        <v/>
      </c>
    </row>
    <row r="659" ht="24" customHeight="1">
      <c r="A659" s="7" t="n"/>
      <c r="B659" s="7" t="n"/>
      <c r="C659" s="7" t="n"/>
      <c r="D659" s="12">
        <f>IF($A659="","",IFERROR(INDEX(土地清冊_匯入!$B$6:$B$1005,MATCH($A659,土地清冊_匯入!$A$6:$A$1005,0)),"查無資料"))</f>
        <v/>
      </c>
      <c r="E659" s="9">
        <f>IF($A659="","",IFERROR(INDEX(土地清冊_匯入!$I$6:$I$1005,MATCH($A659,土地清冊_匯入!$A$6:$A$1005,0)),""))</f>
        <v/>
      </c>
      <c r="F659" s="13">
        <f>IF($A659="","",IFERROR(INDEX(建物清冊_匯入!$N$6:$N$1005,MATCH($A659,建物清冊_匯入!$A$6:$A$1005,0)),""))</f>
        <v/>
      </c>
      <c r="G659" s="9">
        <f>IF($A659="","",IFERROR(INDEX(建物清冊_匯入!$S$6:$S$1005,MATCH($A659,建物清冊_匯入!$A$6:$A$1005,0)),""))</f>
        <v/>
      </c>
      <c r="H659" s="7" t="n"/>
      <c r="I659" s="15" t="n"/>
      <c r="J659" s="16" t="n"/>
      <c r="K659" s="17">
        <f>IF(J659="","",1-J659)</f>
        <v/>
      </c>
      <c r="L659" s="15" t="n"/>
      <c r="M659" s="7" t="n"/>
      <c r="N659" s="7" t="n"/>
      <c r="O659" s="7" t="n"/>
      <c r="P659" s="11" t="n"/>
      <c r="Q659" s="7" t="n"/>
      <c r="R659" s="7" t="n"/>
      <c r="S659" s="7" t="n"/>
      <c r="T659" s="7" t="n"/>
      <c r="U659" s="12">
        <f>IF(A659="","",IF(H659="","建議填分配模式",""))</f>
        <v/>
      </c>
    </row>
    <row r="660" ht="24" customHeight="1">
      <c r="A660" s="7" t="n"/>
      <c r="B660" s="7" t="n"/>
      <c r="C660" s="7" t="n"/>
      <c r="D660" s="12">
        <f>IF($A660="","",IFERROR(INDEX(土地清冊_匯入!$B$6:$B$1005,MATCH($A660,土地清冊_匯入!$A$6:$A$1005,0)),"查無資料"))</f>
        <v/>
      </c>
      <c r="E660" s="9">
        <f>IF($A660="","",IFERROR(INDEX(土地清冊_匯入!$I$6:$I$1005,MATCH($A660,土地清冊_匯入!$A$6:$A$1005,0)),""))</f>
        <v/>
      </c>
      <c r="F660" s="13">
        <f>IF($A660="","",IFERROR(INDEX(建物清冊_匯入!$N$6:$N$1005,MATCH($A660,建物清冊_匯入!$A$6:$A$1005,0)),""))</f>
        <v/>
      </c>
      <c r="G660" s="9">
        <f>IF($A660="","",IFERROR(INDEX(建物清冊_匯入!$S$6:$S$1005,MATCH($A660,建物清冊_匯入!$A$6:$A$1005,0)),""))</f>
        <v/>
      </c>
      <c r="H660" s="7" t="n"/>
      <c r="I660" s="15" t="n"/>
      <c r="J660" s="16" t="n"/>
      <c r="K660" s="17">
        <f>IF(J660="","",1-J660)</f>
        <v/>
      </c>
      <c r="L660" s="15" t="n"/>
      <c r="M660" s="7" t="n"/>
      <c r="N660" s="7" t="n"/>
      <c r="O660" s="7" t="n"/>
      <c r="P660" s="11" t="n"/>
      <c r="Q660" s="7" t="n"/>
      <c r="R660" s="7" t="n"/>
      <c r="S660" s="7" t="n"/>
      <c r="T660" s="7" t="n"/>
      <c r="U660" s="12">
        <f>IF(A660="","",IF(H660="","建議填分配模式",""))</f>
        <v/>
      </c>
    </row>
    <row r="661" ht="24" customHeight="1">
      <c r="A661" s="7" t="n"/>
      <c r="B661" s="7" t="n"/>
      <c r="C661" s="7" t="n"/>
      <c r="D661" s="12">
        <f>IF($A661="","",IFERROR(INDEX(土地清冊_匯入!$B$6:$B$1005,MATCH($A661,土地清冊_匯入!$A$6:$A$1005,0)),"查無資料"))</f>
        <v/>
      </c>
      <c r="E661" s="9">
        <f>IF($A661="","",IFERROR(INDEX(土地清冊_匯入!$I$6:$I$1005,MATCH($A661,土地清冊_匯入!$A$6:$A$1005,0)),""))</f>
        <v/>
      </c>
      <c r="F661" s="13">
        <f>IF($A661="","",IFERROR(INDEX(建物清冊_匯入!$N$6:$N$1005,MATCH($A661,建物清冊_匯入!$A$6:$A$1005,0)),""))</f>
        <v/>
      </c>
      <c r="G661" s="9">
        <f>IF($A661="","",IFERROR(INDEX(建物清冊_匯入!$S$6:$S$1005,MATCH($A661,建物清冊_匯入!$A$6:$A$1005,0)),""))</f>
        <v/>
      </c>
      <c r="H661" s="7" t="n"/>
      <c r="I661" s="15" t="n"/>
      <c r="J661" s="16" t="n"/>
      <c r="K661" s="17">
        <f>IF(J661="","",1-J661)</f>
        <v/>
      </c>
      <c r="L661" s="15" t="n"/>
      <c r="M661" s="7" t="n"/>
      <c r="N661" s="7" t="n"/>
      <c r="O661" s="7" t="n"/>
      <c r="P661" s="11" t="n"/>
      <c r="Q661" s="7" t="n"/>
      <c r="R661" s="7" t="n"/>
      <c r="S661" s="7" t="n"/>
      <c r="T661" s="7" t="n"/>
      <c r="U661" s="12">
        <f>IF(A661="","",IF(H661="","建議填分配模式",""))</f>
        <v/>
      </c>
    </row>
    <row r="662" ht="24" customHeight="1">
      <c r="A662" s="7" t="n"/>
      <c r="B662" s="7" t="n"/>
      <c r="C662" s="7" t="n"/>
      <c r="D662" s="12">
        <f>IF($A662="","",IFERROR(INDEX(土地清冊_匯入!$B$6:$B$1005,MATCH($A662,土地清冊_匯入!$A$6:$A$1005,0)),"查無資料"))</f>
        <v/>
      </c>
      <c r="E662" s="9">
        <f>IF($A662="","",IFERROR(INDEX(土地清冊_匯入!$I$6:$I$1005,MATCH($A662,土地清冊_匯入!$A$6:$A$1005,0)),""))</f>
        <v/>
      </c>
      <c r="F662" s="13">
        <f>IF($A662="","",IFERROR(INDEX(建物清冊_匯入!$N$6:$N$1005,MATCH($A662,建物清冊_匯入!$A$6:$A$1005,0)),""))</f>
        <v/>
      </c>
      <c r="G662" s="9">
        <f>IF($A662="","",IFERROR(INDEX(建物清冊_匯入!$S$6:$S$1005,MATCH($A662,建物清冊_匯入!$A$6:$A$1005,0)),""))</f>
        <v/>
      </c>
      <c r="H662" s="7" t="n"/>
      <c r="I662" s="15" t="n"/>
      <c r="J662" s="16" t="n"/>
      <c r="K662" s="17">
        <f>IF(J662="","",1-J662)</f>
        <v/>
      </c>
      <c r="L662" s="15" t="n"/>
      <c r="M662" s="7" t="n"/>
      <c r="N662" s="7" t="n"/>
      <c r="O662" s="7" t="n"/>
      <c r="P662" s="11" t="n"/>
      <c r="Q662" s="7" t="n"/>
      <c r="R662" s="7" t="n"/>
      <c r="S662" s="7" t="n"/>
      <c r="T662" s="7" t="n"/>
      <c r="U662" s="12">
        <f>IF(A662="","",IF(H662="","建議填分配模式",""))</f>
        <v/>
      </c>
    </row>
    <row r="663" ht="24" customHeight="1">
      <c r="A663" s="7" t="n"/>
      <c r="B663" s="7" t="n"/>
      <c r="C663" s="7" t="n"/>
      <c r="D663" s="12">
        <f>IF($A663="","",IFERROR(INDEX(土地清冊_匯入!$B$6:$B$1005,MATCH($A663,土地清冊_匯入!$A$6:$A$1005,0)),"查無資料"))</f>
        <v/>
      </c>
      <c r="E663" s="9">
        <f>IF($A663="","",IFERROR(INDEX(土地清冊_匯入!$I$6:$I$1005,MATCH($A663,土地清冊_匯入!$A$6:$A$1005,0)),""))</f>
        <v/>
      </c>
      <c r="F663" s="13">
        <f>IF($A663="","",IFERROR(INDEX(建物清冊_匯入!$N$6:$N$1005,MATCH($A663,建物清冊_匯入!$A$6:$A$1005,0)),""))</f>
        <v/>
      </c>
      <c r="G663" s="9">
        <f>IF($A663="","",IFERROR(INDEX(建物清冊_匯入!$S$6:$S$1005,MATCH($A663,建物清冊_匯入!$A$6:$A$1005,0)),""))</f>
        <v/>
      </c>
      <c r="H663" s="7" t="n"/>
      <c r="I663" s="15" t="n"/>
      <c r="J663" s="16" t="n"/>
      <c r="K663" s="17">
        <f>IF(J663="","",1-J663)</f>
        <v/>
      </c>
      <c r="L663" s="15" t="n"/>
      <c r="M663" s="7" t="n"/>
      <c r="N663" s="7" t="n"/>
      <c r="O663" s="7" t="n"/>
      <c r="P663" s="11" t="n"/>
      <c r="Q663" s="7" t="n"/>
      <c r="R663" s="7" t="n"/>
      <c r="S663" s="7" t="n"/>
      <c r="T663" s="7" t="n"/>
      <c r="U663" s="12">
        <f>IF(A663="","",IF(H663="","建議填分配模式",""))</f>
        <v/>
      </c>
    </row>
    <row r="664" ht="24" customHeight="1">
      <c r="A664" s="7" t="n"/>
      <c r="B664" s="7" t="n"/>
      <c r="C664" s="7" t="n"/>
      <c r="D664" s="12">
        <f>IF($A664="","",IFERROR(INDEX(土地清冊_匯入!$B$6:$B$1005,MATCH($A664,土地清冊_匯入!$A$6:$A$1005,0)),"查無資料"))</f>
        <v/>
      </c>
      <c r="E664" s="9">
        <f>IF($A664="","",IFERROR(INDEX(土地清冊_匯入!$I$6:$I$1005,MATCH($A664,土地清冊_匯入!$A$6:$A$1005,0)),""))</f>
        <v/>
      </c>
      <c r="F664" s="13">
        <f>IF($A664="","",IFERROR(INDEX(建物清冊_匯入!$N$6:$N$1005,MATCH($A664,建物清冊_匯入!$A$6:$A$1005,0)),""))</f>
        <v/>
      </c>
      <c r="G664" s="9">
        <f>IF($A664="","",IFERROR(INDEX(建物清冊_匯入!$S$6:$S$1005,MATCH($A664,建物清冊_匯入!$A$6:$A$1005,0)),""))</f>
        <v/>
      </c>
      <c r="H664" s="7" t="n"/>
      <c r="I664" s="15" t="n"/>
      <c r="J664" s="16" t="n"/>
      <c r="K664" s="17">
        <f>IF(J664="","",1-J664)</f>
        <v/>
      </c>
      <c r="L664" s="15" t="n"/>
      <c r="M664" s="7" t="n"/>
      <c r="N664" s="7" t="n"/>
      <c r="O664" s="7" t="n"/>
      <c r="P664" s="11" t="n"/>
      <c r="Q664" s="7" t="n"/>
      <c r="R664" s="7" t="n"/>
      <c r="S664" s="7" t="n"/>
      <c r="T664" s="7" t="n"/>
      <c r="U664" s="12">
        <f>IF(A664="","",IF(H664="","建議填分配模式",""))</f>
        <v/>
      </c>
    </row>
    <row r="665" ht="24" customHeight="1">
      <c r="A665" s="7" t="n"/>
      <c r="B665" s="7" t="n"/>
      <c r="C665" s="7" t="n"/>
      <c r="D665" s="12">
        <f>IF($A665="","",IFERROR(INDEX(土地清冊_匯入!$B$6:$B$1005,MATCH($A665,土地清冊_匯入!$A$6:$A$1005,0)),"查無資料"))</f>
        <v/>
      </c>
      <c r="E665" s="9">
        <f>IF($A665="","",IFERROR(INDEX(土地清冊_匯入!$I$6:$I$1005,MATCH($A665,土地清冊_匯入!$A$6:$A$1005,0)),""))</f>
        <v/>
      </c>
      <c r="F665" s="13">
        <f>IF($A665="","",IFERROR(INDEX(建物清冊_匯入!$N$6:$N$1005,MATCH($A665,建物清冊_匯入!$A$6:$A$1005,0)),""))</f>
        <v/>
      </c>
      <c r="G665" s="9">
        <f>IF($A665="","",IFERROR(INDEX(建物清冊_匯入!$S$6:$S$1005,MATCH($A665,建物清冊_匯入!$A$6:$A$1005,0)),""))</f>
        <v/>
      </c>
      <c r="H665" s="7" t="n"/>
      <c r="I665" s="15" t="n"/>
      <c r="J665" s="16" t="n"/>
      <c r="K665" s="17">
        <f>IF(J665="","",1-J665)</f>
        <v/>
      </c>
      <c r="L665" s="15" t="n"/>
      <c r="M665" s="7" t="n"/>
      <c r="N665" s="7" t="n"/>
      <c r="O665" s="7" t="n"/>
      <c r="P665" s="11" t="n"/>
      <c r="Q665" s="7" t="n"/>
      <c r="R665" s="7" t="n"/>
      <c r="S665" s="7" t="n"/>
      <c r="T665" s="7" t="n"/>
      <c r="U665" s="12">
        <f>IF(A665="","",IF(H665="","建議填分配模式",""))</f>
        <v/>
      </c>
    </row>
    <row r="666" ht="24" customHeight="1">
      <c r="A666" s="7" t="n"/>
      <c r="B666" s="7" t="n"/>
      <c r="C666" s="7" t="n"/>
      <c r="D666" s="12">
        <f>IF($A666="","",IFERROR(INDEX(土地清冊_匯入!$B$6:$B$1005,MATCH($A666,土地清冊_匯入!$A$6:$A$1005,0)),"查無資料"))</f>
        <v/>
      </c>
      <c r="E666" s="9">
        <f>IF($A666="","",IFERROR(INDEX(土地清冊_匯入!$I$6:$I$1005,MATCH($A666,土地清冊_匯入!$A$6:$A$1005,0)),""))</f>
        <v/>
      </c>
      <c r="F666" s="13">
        <f>IF($A666="","",IFERROR(INDEX(建物清冊_匯入!$N$6:$N$1005,MATCH($A666,建物清冊_匯入!$A$6:$A$1005,0)),""))</f>
        <v/>
      </c>
      <c r="G666" s="9">
        <f>IF($A666="","",IFERROR(INDEX(建物清冊_匯入!$S$6:$S$1005,MATCH($A666,建物清冊_匯入!$A$6:$A$1005,0)),""))</f>
        <v/>
      </c>
      <c r="H666" s="7" t="n"/>
      <c r="I666" s="15" t="n"/>
      <c r="J666" s="16" t="n"/>
      <c r="K666" s="17">
        <f>IF(J666="","",1-J666)</f>
        <v/>
      </c>
      <c r="L666" s="15" t="n"/>
      <c r="M666" s="7" t="n"/>
      <c r="N666" s="7" t="n"/>
      <c r="O666" s="7" t="n"/>
      <c r="P666" s="11" t="n"/>
      <c r="Q666" s="7" t="n"/>
      <c r="R666" s="7" t="n"/>
      <c r="S666" s="7" t="n"/>
      <c r="T666" s="7" t="n"/>
      <c r="U666" s="12">
        <f>IF(A666="","",IF(H666="","建議填分配模式",""))</f>
        <v/>
      </c>
    </row>
    <row r="667" ht="24" customHeight="1">
      <c r="A667" s="7" t="n"/>
      <c r="B667" s="7" t="n"/>
      <c r="C667" s="7" t="n"/>
      <c r="D667" s="12">
        <f>IF($A667="","",IFERROR(INDEX(土地清冊_匯入!$B$6:$B$1005,MATCH($A667,土地清冊_匯入!$A$6:$A$1005,0)),"查無資料"))</f>
        <v/>
      </c>
      <c r="E667" s="9">
        <f>IF($A667="","",IFERROR(INDEX(土地清冊_匯入!$I$6:$I$1005,MATCH($A667,土地清冊_匯入!$A$6:$A$1005,0)),""))</f>
        <v/>
      </c>
      <c r="F667" s="13">
        <f>IF($A667="","",IFERROR(INDEX(建物清冊_匯入!$N$6:$N$1005,MATCH($A667,建物清冊_匯入!$A$6:$A$1005,0)),""))</f>
        <v/>
      </c>
      <c r="G667" s="9">
        <f>IF($A667="","",IFERROR(INDEX(建物清冊_匯入!$S$6:$S$1005,MATCH($A667,建物清冊_匯入!$A$6:$A$1005,0)),""))</f>
        <v/>
      </c>
      <c r="H667" s="7" t="n"/>
      <c r="I667" s="15" t="n"/>
      <c r="J667" s="16" t="n"/>
      <c r="K667" s="17">
        <f>IF(J667="","",1-J667)</f>
        <v/>
      </c>
      <c r="L667" s="15" t="n"/>
      <c r="M667" s="7" t="n"/>
      <c r="N667" s="7" t="n"/>
      <c r="O667" s="7" t="n"/>
      <c r="P667" s="11" t="n"/>
      <c r="Q667" s="7" t="n"/>
      <c r="R667" s="7" t="n"/>
      <c r="S667" s="7" t="n"/>
      <c r="T667" s="7" t="n"/>
      <c r="U667" s="12">
        <f>IF(A667="","",IF(H667="","建議填分配模式",""))</f>
        <v/>
      </c>
    </row>
    <row r="668" ht="24" customHeight="1">
      <c r="A668" s="7" t="n"/>
      <c r="B668" s="7" t="n"/>
      <c r="C668" s="7" t="n"/>
      <c r="D668" s="12">
        <f>IF($A668="","",IFERROR(INDEX(土地清冊_匯入!$B$6:$B$1005,MATCH($A668,土地清冊_匯入!$A$6:$A$1005,0)),"查無資料"))</f>
        <v/>
      </c>
      <c r="E668" s="9">
        <f>IF($A668="","",IFERROR(INDEX(土地清冊_匯入!$I$6:$I$1005,MATCH($A668,土地清冊_匯入!$A$6:$A$1005,0)),""))</f>
        <v/>
      </c>
      <c r="F668" s="13">
        <f>IF($A668="","",IFERROR(INDEX(建物清冊_匯入!$N$6:$N$1005,MATCH($A668,建物清冊_匯入!$A$6:$A$1005,0)),""))</f>
        <v/>
      </c>
      <c r="G668" s="9">
        <f>IF($A668="","",IFERROR(INDEX(建物清冊_匯入!$S$6:$S$1005,MATCH($A668,建物清冊_匯入!$A$6:$A$1005,0)),""))</f>
        <v/>
      </c>
      <c r="H668" s="7" t="n"/>
      <c r="I668" s="15" t="n"/>
      <c r="J668" s="16" t="n"/>
      <c r="K668" s="17">
        <f>IF(J668="","",1-J668)</f>
        <v/>
      </c>
      <c r="L668" s="15" t="n"/>
      <c r="M668" s="7" t="n"/>
      <c r="N668" s="7" t="n"/>
      <c r="O668" s="7" t="n"/>
      <c r="P668" s="11" t="n"/>
      <c r="Q668" s="7" t="n"/>
      <c r="R668" s="7" t="n"/>
      <c r="S668" s="7" t="n"/>
      <c r="T668" s="7" t="n"/>
      <c r="U668" s="12">
        <f>IF(A668="","",IF(H668="","建議填分配模式",""))</f>
        <v/>
      </c>
    </row>
    <row r="669" ht="24" customHeight="1">
      <c r="A669" s="7" t="n"/>
      <c r="B669" s="7" t="n"/>
      <c r="C669" s="7" t="n"/>
      <c r="D669" s="12">
        <f>IF($A669="","",IFERROR(INDEX(土地清冊_匯入!$B$6:$B$1005,MATCH($A669,土地清冊_匯入!$A$6:$A$1005,0)),"查無資料"))</f>
        <v/>
      </c>
      <c r="E669" s="9">
        <f>IF($A669="","",IFERROR(INDEX(土地清冊_匯入!$I$6:$I$1005,MATCH($A669,土地清冊_匯入!$A$6:$A$1005,0)),""))</f>
        <v/>
      </c>
      <c r="F669" s="13">
        <f>IF($A669="","",IFERROR(INDEX(建物清冊_匯入!$N$6:$N$1005,MATCH($A669,建物清冊_匯入!$A$6:$A$1005,0)),""))</f>
        <v/>
      </c>
      <c r="G669" s="9">
        <f>IF($A669="","",IFERROR(INDEX(建物清冊_匯入!$S$6:$S$1005,MATCH($A669,建物清冊_匯入!$A$6:$A$1005,0)),""))</f>
        <v/>
      </c>
      <c r="H669" s="7" t="n"/>
      <c r="I669" s="15" t="n"/>
      <c r="J669" s="16" t="n"/>
      <c r="K669" s="17">
        <f>IF(J669="","",1-J669)</f>
        <v/>
      </c>
      <c r="L669" s="15" t="n"/>
      <c r="M669" s="7" t="n"/>
      <c r="N669" s="7" t="n"/>
      <c r="O669" s="7" t="n"/>
      <c r="P669" s="11" t="n"/>
      <c r="Q669" s="7" t="n"/>
      <c r="R669" s="7" t="n"/>
      <c r="S669" s="7" t="n"/>
      <c r="T669" s="7" t="n"/>
      <c r="U669" s="12">
        <f>IF(A669="","",IF(H669="","建議填分配模式",""))</f>
        <v/>
      </c>
    </row>
    <row r="670" ht="24" customHeight="1">
      <c r="A670" s="7" t="n"/>
      <c r="B670" s="7" t="n"/>
      <c r="C670" s="7" t="n"/>
      <c r="D670" s="12">
        <f>IF($A670="","",IFERROR(INDEX(土地清冊_匯入!$B$6:$B$1005,MATCH($A670,土地清冊_匯入!$A$6:$A$1005,0)),"查無資料"))</f>
        <v/>
      </c>
      <c r="E670" s="9">
        <f>IF($A670="","",IFERROR(INDEX(土地清冊_匯入!$I$6:$I$1005,MATCH($A670,土地清冊_匯入!$A$6:$A$1005,0)),""))</f>
        <v/>
      </c>
      <c r="F670" s="13">
        <f>IF($A670="","",IFERROR(INDEX(建物清冊_匯入!$N$6:$N$1005,MATCH($A670,建物清冊_匯入!$A$6:$A$1005,0)),""))</f>
        <v/>
      </c>
      <c r="G670" s="9">
        <f>IF($A670="","",IFERROR(INDEX(建物清冊_匯入!$S$6:$S$1005,MATCH($A670,建物清冊_匯入!$A$6:$A$1005,0)),""))</f>
        <v/>
      </c>
      <c r="H670" s="7" t="n"/>
      <c r="I670" s="15" t="n"/>
      <c r="J670" s="16" t="n"/>
      <c r="K670" s="17">
        <f>IF(J670="","",1-J670)</f>
        <v/>
      </c>
      <c r="L670" s="15" t="n"/>
      <c r="M670" s="7" t="n"/>
      <c r="N670" s="7" t="n"/>
      <c r="O670" s="7" t="n"/>
      <c r="P670" s="11" t="n"/>
      <c r="Q670" s="7" t="n"/>
      <c r="R670" s="7" t="n"/>
      <c r="S670" s="7" t="n"/>
      <c r="T670" s="7" t="n"/>
      <c r="U670" s="12">
        <f>IF(A670="","",IF(H670="","建議填分配模式",""))</f>
        <v/>
      </c>
    </row>
    <row r="671" ht="24" customHeight="1">
      <c r="A671" s="7" t="n"/>
      <c r="B671" s="7" t="n"/>
      <c r="C671" s="7" t="n"/>
      <c r="D671" s="12">
        <f>IF($A671="","",IFERROR(INDEX(土地清冊_匯入!$B$6:$B$1005,MATCH($A671,土地清冊_匯入!$A$6:$A$1005,0)),"查無資料"))</f>
        <v/>
      </c>
      <c r="E671" s="9">
        <f>IF($A671="","",IFERROR(INDEX(土地清冊_匯入!$I$6:$I$1005,MATCH($A671,土地清冊_匯入!$A$6:$A$1005,0)),""))</f>
        <v/>
      </c>
      <c r="F671" s="13">
        <f>IF($A671="","",IFERROR(INDEX(建物清冊_匯入!$N$6:$N$1005,MATCH($A671,建物清冊_匯入!$A$6:$A$1005,0)),""))</f>
        <v/>
      </c>
      <c r="G671" s="9">
        <f>IF($A671="","",IFERROR(INDEX(建物清冊_匯入!$S$6:$S$1005,MATCH($A671,建物清冊_匯入!$A$6:$A$1005,0)),""))</f>
        <v/>
      </c>
      <c r="H671" s="7" t="n"/>
      <c r="I671" s="15" t="n"/>
      <c r="J671" s="16" t="n"/>
      <c r="K671" s="17">
        <f>IF(J671="","",1-J671)</f>
        <v/>
      </c>
      <c r="L671" s="15" t="n"/>
      <c r="M671" s="7" t="n"/>
      <c r="N671" s="7" t="n"/>
      <c r="O671" s="7" t="n"/>
      <c r="P671" s="11" t="n"/>
      <c r="Q671" s="7" t="n"/>
      <c r="R671" s="7" t="n"/>
      <c r="S671" s="7" t="n"/>
      <c r="T671" s="7" t="n"/>
      <c r="U671" s="12">
        <f>IF(A671="","",IF(H671="","建議填分配模式",""))</f>
        <v/>
      </c>
    </row>
    <row r="672" ht="24" customHeight="1">
      <c r="A672" s="7" t="n"/>
      <c r="B672" s="7" t="n"/>
      <c r="C672" s="7" t="n"/>
      <c r="D672" s="12">
        <f>IF($A672="","",IFERROR(INDEX(土地清冊_匯入!$B$6:$B$1005,MATCH($A672,土地清冊_匯入!$A$6:$A$1005,0)),"查無資料"))</f>
        <v/>
      </c>
      <c r="E672" s="9">
        <f>IF($A672="","",IFERROR(INDEX(土地清冊_匯入!$I$6:$I$1005,MATCH($A672,土地清冊_匯入!$A$6:$A$1005,0)),""))</f>
        <v/>
      </c>
      <c r="F672" s="13">
        <f>IF($A672="","",IFERROR(INDEX(建物清冊_匯入!$N$6:$N$1005,MATCH($A672,建物清冊_匯入!$A$6:$A$1005,0)),""))</f>
        <v/>
      </c>
      <c r="G672" s="9">
        <f>IF($A672="","",IFERROR(INDEX(建物清冊_匯入!$S$6:$S$1005,MATCH($A672,建物清冊_匯入!$A$6:$A$1005,0)),""))</f>
        <v/>
      </c>
      <c r="H672" s="7" t="n"/>
      <c r="I672" s="15" t="n"/>
      <c r="J672" s="16" t="n"/>
      <c r="K672" s="17">
        <f>IF(J672="","",1-J672)</f>
        <v/>
      </c>
      <c r="L672" s="15" t="n"/>
      <c r="M672" s="7" t="n"/>
      <c r="N672" s="7" t="n"/>
      <c r="O672" s="7" t="n"/>
      <c r="P672" s="11" t="n"/>
      <c r="Q672" s="7" t="n"/>
      <c r="R672" s="7" t="n"/>
      <c r="S672" s="7" t="n"/>
      <c r="T672" s="7" t="n"/>
      <c r="U672" s="12">
        <f>IF(A672="","",IF(H672="","建議填分配模式",""))</f>
        <v/>
      </c>
    </row>
    <row r="673" ht="24" customHeight="1">
      <c r="A673" s="7" t="n"/>
      <c r="B673" s="7" t="n"/>
      <c r="C673" s="7" t="n"/>
      <c r="D673" s="12">
        <f>IF($A673="","",IFERROR(INDEX(土地清冊_匯入!$B$6:$B$1005,MATCH($A673,土地清冊_匯入!$A$6:$A$1005,0)),"查無資料"))</f>
        <v/>
      </c>
      <c r="E673" s="9">
        <f>IF($A673="","",IFERROR(INDEX(土地清冊_匯入!$I$6:$I$1005,MATCH($A673,土地清冊_匯入!$A$6:$A$1005,0)),""))</f>
        <v/>
      </c>
      <c r="F673" s="13">
        <f>IF($A673="","",IFERROR(INDEX(建物清冊_匯入!$N$6:$N$1005,MATCH($A673,建物清冊_匯入!$A$6:$A$1005,0)),""))</f>
        <v/>
      </c>
      <c r="G673" s="9">
        <f>IF($A673="","",IFERROR(INDEX(建物清冊_匯入!$S$6:$S$1005,MATCH($A673,建物清冊_匯入!$A$6:$A$1005,0)),""))</f>
        <v/>
      </c>
      <c r="H673" s="7" t="n"/>
      <c r="I673" s="15" t="n"/>
      <c r="J673" s="16" t="n"/>
      <c r="K673" s="17">
        <f>IF(J673="","",1-J673)</f>
        <v/>
      </c>
      <c r="L673" s="15" t="n"/>
      <c r="M673" s="7" t="n"/>
      <c r="N673" s="7" t="n"/>
      <c r="O673" s="7" t="n"/>
      <c r="P673" s="11" t="n"/>
      <c r="Q673" s="7" t="n"/>
      <c r="R673" s="7" t="n"/>
      <c r="S673" s="7" t="n"/>
      <c r="T673" s="7" t="n"/>
      <c r="U673" s="12">
        <f>IF(A673="","",IF(H673="","建議填分配模式",""))</f>
        <v/>
      </c>
    </row>
    <row r="674" ht="24" customHeight="1">
      <c r="A674" s="7" t="n"/>
      <c r="B674" s="7" t="n"/>
      <c r="C674" s="7" t="n"/>
      <c r="D674" s="12">
        <f>IF($A674="","",IFERROR(INDEX(土地清冊_匯入!$B$6:$B$1005,MATCH($A674,土地清冊_匯入!$A$6:$A$1005,0)),"查無資料"))</f>
        <v/>
      </c>
      <c r="E674" s="9">
        <f>IF($A674="","",IFERROR(INDEX(土地清冊_匯入!$I$6:$I$1005,MATCH($A674,土地清冊_匯入!$A$6:$A$1005,0)),""))</f>
        <v/>
      </c>
      <c r="F674" s="13">
        <f>IF($A674="","",IFERROR(INDEX(建物清冊_匯入!$N$6:$N$1005,MATCH($A674,建物清冊_匯入!$A$6:$A$1005,0)),""))</f>
        <v/>
      </c>
      <c r="G674" s="9">
        <f>IF($A674="","",IFERROR(INDEX(建物清冊_匯入!$S$6:$S$1005,MATCH($A674,建物清冊_匯入!$A$6:$A$1005,0)),""))</f>
        <v/>
      </c>
      <c r="H674" s="7" t="n"/>
      <c r="I674" s="15" t="n"/>
      <c r="J674" s="16" t="n"/>
      <c r="K674" s="17">
        <f>IF(J674="","",1-J674)</f>
        <v/>
      </c>
      <c r="L674" s="15" t="n"/>
      <c r="M674" s="7" t="n"/>
      <c r="N674" s="7" t="n"/>
      <c r="O674" s="7" t="n"/>
      <c r="P674" s="11" t="n"/>
      <c r="Q674" s="7" t="n"/>
      <c r="R674" s="7" t="n"/>
      <c r="S674" s="7" t="n"/>
      <c r="T674" s="7" t="n"/>
      <c r="U674" s="12">
        <f>IF(A674="","",IF(H674="","建議填分配模式",""))</f>
        <v/>
      </c>
    </row>
    <row r="675" ht="24" customHeight="1">
      <c r="A675" s="7" t="n"/>
      <c r="B675" s="7" t="n"/>
      <c r="C675" s="7" t="n"/>
      <c r="D675" s="12">
        <f>IF($A675="","",IFERROR(INDEX(土地清冊_匯入!$B$6:$B$1005,MATCH($A675,土地清冊_匯入!$A$6:$A$1005,0)),"查無資料"))</f>
        <v/>
      </c>
      <c r="E675" s="9">
        <f>IF($A675="","",IFERROR(INDEX(土地清冊_匯入!$I$6:$I$1005,MATCH($A675,土地清冊_匯入!$A$6:$A$1005,0)),""))</f>
        <v/>
      </c>
      <c r="F675" s="13">
        <f>IF($A675="","",IFERROR(INDEX(建物清冊_匯入!$N$6:$N$1005,MATCH($A675,建物清冊_匯入!$A$6:$A$1005,0)),""))</f>
        <v/>
      </c>
      <c r="G675" s="9">
        <f>IF($A675="","",IFERROR(INDEX(建物清冊_匯入!$S$6:$S$1005,MATCH($A675,建物清冊_匯入!$A$6:$A$1005,0)),""))</f>
        <v/>
      </c>
      <c r="H675" s="7" t="n"/>
      <c r="I675" s="15" t="n"/>
      <c r="J675" s="16" t="n"/>
      <c r="K675" s="17">
        <f>IF(J675="","",1-J675)</f>
        <v/>
      </c>
      <c r="L675" s="15" t="n"/>
      <c r="M675" s="7" t="n"/>
      <c r="N675" s="7" t="n"/>
      <c r="O675" s="7" t="n"/>
      <c r="P675" s="11" t="n"/>
      <c r="Q675" s="7" t="n"/>
      <c r="R675" s="7" t="n"/>
      <c r="S675" s="7" t="n"/>
      <c r="T675" s="7" t="n"/>
      <c r="U675" s="12">
        <f>IF(A675="","",IF(H675="","建議填分配模式",""))</f>
        <v/>
      </c>
    </row>
    <row r="676" ht="24" customHeight="1">
      <c r="A676" s="7" t="n"/>
      <c r="B676" s="7" t="n"/>
      <c r="C676" s="7" t="n"/>
      <c r="D676" s="12">
        <f>IF($A676="","",IFERROR(INDEX(土地清冊_匯入!$B$6:$B$1005,MATCH($A676,土地清冊_匯入!$A$6:$A$1005,0)),"查無資料"))</f>
        <v/>
      </c>
      <c r="E676" s="9">
        <f>IF($A676="","",IFERROR(INDEX(土地清冊_匯入!$I$6:$I$1005,MATCH($A676,土地清冊_匯入!$A$6:$A$1005,0)),""))</f>
        <v/>
      </c>
      <c r="F676" s="13">
        <f>IF($A676="","",IFERROR(INDEX(建物清冊_匯入!$N$6:$N$1005,MATCH($A676,建物清冊_匯入!$A$6:$A$1005,0)),""))</f>
        <v/>
      </c>
      <c r="G676" s="9">
        <f>IF($A676="","",IFERROR(INDEX(建物清冊_匯入!$S$6:$S$1005,MATCH($A676,建物清冊_匯入!$A$6:$A$1005,0)),""))</f>
        <v/>
      </c>
      <c r="H676" s="7" t="n"/>
      <c r="I676" s="15" t="n"/>
      <c r="J676" s="16" t="n"/>
      <c r="K676" s="17">
        <f>IF(J676="","",1-J676)</f>
        <v/>
      </c>
      <c r="L676" s="15" t="n"/>
      <c r="M676" s="7" t="n"/>
      <c r="N676" s="7" t="n"/>
      <c r="O676" s="7" t="n"/>
      <c r="P676" s="11" t="n"/>
      <c r="Q676" s="7" t="n"/>
      <c r="R676" s="7" t="n"/>
      <c r="S676" s="7" t="n"/>
      <c r="T676" s="7" t="n"/>
      <c r="U676" s="12">
        <f>IF(A676="","",IF(H676="","建議填分配模式",""))</f>
        <v/>
      </c>
    </row>
    <row r="677" ht="24" customHeight="1">
      <c r="A677" s="7" t="n"/>
      <c r="B677" s="7" t="n"/>
      <c r="C677" s="7" t="n"/>
      <c r="D677" s="12">
        <f>IF($A677="","",IFERROR(INDEX(土地清冊_匯入!$B$6:$B$1005,MATCH($A677,土地清冊_匯入!$A$6:$A$1005,0)),"查無資料"))</f>
        <v/>
      </c>
      <c r="E677" s="9">
        <f>IF($A677="","",IFERROR(INDEX(土地清冊_匯入!$I$6:$I$1005,MATCH($A677,土地清冊_匯入!$A$6:$A$1005,0)),""))</f>
        <v/>
      </c>
      <c r="F677" s="13">
        <f>IF($A677="","",IFERROR(INDEX(建物清冊_匯入!$N$6:$N$1005,MATCH($A677,建物清冊_匯入!$A$6:$A$1005,0)),""))</f>
        <v/>
      </c>
      <c r="G677" s="9">
        <f>IF($A677="","",IFERROR(INDEX(建物清冊_匯入!$S$6:$S$1005,MATCH($A677,建物清冊_匯入!$A$6:$A$1005,0)),""))</f>
        <v/>
      </c>
      <c r="H677" s="7" t="n"/>
      <c r="I677" s="15" t="n"/>
      <c r="J677" s="16" t="n"/>
      <c r="K677" s="17">
        <f>IF(J677="","",1-J677)</f>
        <v/>
      </c>
      <c r="L677" s="15" t="n"/>
      <c r="M677" s="7" t="n"/>
      <c r="N677" s="7" t="n"/>
      <c r="O677" s="7" t="n"/>
      <c r="P677" s="11" t="n"/>
      <c r="Q677" s="7" t="n"/>
      <c r="R677" s="7" t="n"/>
      <c r="S677" s="7" t="n"/>
      <c r="T677" s="7" t="n"/>
      <c r="U677" s="12">
        <f>IF(A677="","",IF(H677="","建議填分配模式",""))</f>
        <v/>
      </c>
    </row>
    <row r="678" ht="24" customHeight="1">
      <c r="A678" s="7" t="n"/>
      <c r="B678" s="7" t="n"/>
      <c r="C678" s="7" t="n"/>
      <c r="D678" s="12">
        <f>IF($A678="","",IFERROR(INDEX(土地清冊_匯入!$B$6:$B$1005,MATCH($A678,土地清冊_匯入!$A$6:$A$1005,0)),"查無資料"))</f>
        <v/>
      </c>
      <c r="E678" s="9">
        <f>IF($A678="","",IFERROR(INDEX(土地清冊_匯入!$I$6:$I$1005,MATCH($A678,土地清冊_匯入!$A$6:$A$1005,0)),""))</f>
        <v/>
      </c>
      <c r="F678" s="13">
        <f>IF($A678="","",IFERROR(INDEX(建物清冊_匯入!$N$6:$N$1005,MATCH($A678,建物清冊_匯入!$A$6:$A$1005,0)),""))</f>
        <v/>
      </c>
      <c r="G678" s="9">
        <f>IF($A678="","",IFERROR(INDEX(建物清冊_匯入!$S$6:$S$1005,MATCH($A678,建物清冊_匯入!$A$6:$A$1005,0)),""))</f>
        <v/>
      </c>
      <c r="H678" s="7" t="n"/>
      <c r="I678" s="15" t="n"/>
      <c r="J678" s="16" t="n"/>
      <c r="K678" s="17">
        <f>IF(J678="","",1-J678)</f>
        <v/>
      </c>
      <c r="L678" s="15" t="n"/>
      <c r="M678" s="7" t="n"/>
      <c r="N678" s="7" t="n"/>
      <c r="O678" s="7" t="n"/>
      <c r="P678" s="11" t="n"/>
      <c r="Q678" s="7" t="n"/>
      <c r="R678" s="7" t="n"/>
      <c r="S678" s="7" t="n"/>
      <c r="T678" s="7" t="n"/>
      <c r="U678" s="12">
        <f>IF(A678="","",IF(H678="","建議填分配模式",""))</f>
        <v/>
      </c>
    </row>
    <row r="679" ht="24" customHeight="1">
      <c r="A679" s="7" t="n"/>
      <c r="B679" s="7" t="n"/>
      <c r="C679" s="7" t="n"/>
      <c r="D679" s="12">
        <f>IF($A679="","",IFERROR(INDEX(土地清冊_匯入!$B$6:$B$1005,MATCH($A679,土地清冊_匯入!$A$6:$A$1005,0)),"查無資料"))</f>
        <v/>
      </c>
      <c r="E679" s="9">
        <f>IF($A679="","",IFERROR(INDEX(土地清冊_匯入!$I$6:$I$1005,MATCH($A679,土地清冊_匯入!$A$6:$A$1005,0)),""))</f>
        <v/>
      </c>
      <c r="F679" s="13">
        <f>IF($A679="","",IFERROR(INDEX(建物清冊_匯入!$N$6:$N$1005,MATCH($A679,建物清冊_匯入!$A$6:$A$1005,0)),""))</f>
        <v/>
      </c>
      <c r="G679" s="9">
        <f>IF($A679="","",IFERROR(INDEX(建物清冊_匯入!$S$6:$S$1005,MATCH($A679,建物清冊_匯入!$A$6:$A$1005,0)),""))</f>
        <v/>
      </c>
      <c r="H679" s="7" t="n"/>
      <c r="I679" s="15" t="n"/>
      <c r="J679" s="16" t="n"/>
      <c r="K679" s="17">
        <f>IF(J679="","",1-J679)</f>
        <v/>
      </c>
      <c r="L679" s="15" t="n"/>
      <c r="M679" s="7" t="n"/>
      <c r="N679" s="7" t="n"/>
      <c r="O679" s="7" t="n"/>
      <c r="P679" s="11" t="n"/>
      <c r="Q679" s="7" t="n"/>
      <c r="R679" s="7" t="n"/>
      <c r="S679" s="7" t="n"/>
      <c r="T679" s="7" t="n"/>
      <c r="U679" s="12">
        <f>IF(A679="","",IF(H679="","建議填分配模式",""))</f>
        <v/>
      </c>
    </row>
    <row r="680" ht="24" customHeight="1">
      <c r="A680" s="7" t="n"/>
      <c r="B680" s="7" t="n"/>
      <c r="C680" s="7" t="n"/>
      <c r="D680" s="12">
        <f>IF($A680="","",IFERROR(INDEX(土地清冊_匯入!$B$6:$B$1005,MATCH($A680,土地清冊_匯入!$A$6:$A$1005,0)),"查無資料"))</f>
        <v/>
      </c>
      <c r="E680" s="9">
        <f>IF($A680="","",IFERROR(INDEX(土地清冊_匯入!$I$6:$I$1005,MATCH($A680,土地清冊_匯入!$A$6:$A$1005,0)),""))</f>
        <v/>
      </c>
      <c r="F680" s="13">
        <f>IF($A680="","",IFERROR(INDEX(建物清冊_匯入!$N$6:$N$1005,MATCH($A680,建物清冊_匯入!$A$6:$A$1005,0)),""))</f>
        <v/>
      </c>
      <c r="G680" s="9">
        <f>IF($A680="","",IFERROR(INDEX(建物清冊_匯入!$S$6:$S$1005,MATCH($A680,建物清冊_匯入!$A$6:$A$1005,0)),""))</f>
        <v/>
      </c>
      <c r="H680" s="7" t="n"/>
      <c r="I680" s="15" t="n"/>
      <c r="J680" s="16" t="n"/>
      <c r="K680" s="17">
        <f>IF(J680="","",1-J680)</f>
        <v/>
      </c>
      <c r="L680" s="15" t="n"/>
      <c r="M680" s="7" t="n"/>
      <c r="N680" s="7" t="n"/>
      <c r="O680" s="7" t="n"/>
      <c r="P680" s="11" t="n"/>
      <c r="Q680" s="7" t="n"/>
      <c r="R680" s="7" t="n"/>
      <c r="S680" s="7" t="n"/>
      <c r="T680" s="7" t="n"/>
      <c r="U680" s="12">
        <f>IF(A680="","",IF(H680="","建議填分配模式",""))</f>
        <v/>
      </c>
    </row>
    <row r="681" ht="24" customHeight="1">
      <c r="A681" s="7" t="n"/>
      <c r="B681" s="7" t="n"/>
      <c r="C681" s="7" t="n"/>
      <c r="D681" s="12">
        <f>IF($A681="","",IFERROR(INDEX(土地清冊_匯入!$B$6:$B$1005,MATCH($A681,土地清冊_匯入!$A$6:$A$1005,0)),"查無資料"))</f>
        <v/>
      </c>
      <c r="E681" s="9">
        <f>IF($A681="","",IFERROR(INDEX(土地清冊_匯入!$I$6:$I$1005,MATCH($A681,土地清冊_匯入!$A$6:$A$1005,0)),""))</f>
        <v/>
      </c>
      <c r="F681" s="13">
        <f>IF($A681="","",IFERROR(INDEX(建物清冊_匯入!$N$6:$N$1005,MATCH($A681,建物清冊_匯入!$A$6:$A$1005,0)),""))</f>
        <v/>
      </c>
      <c r="G681" s="9">
        <f>IF($A681="","",IFERROR(INDEX(建物清冊_匯入!$S$6:$S$1005,MATCH($A681,建物清冊_匯入!$A$6:$A$1005,0)),""))</f>
        <v/>
      </c>
      <c r="H681" s="7" t="n"/>
      <c r="I681" s="15" t="n"/>
      <c r="J681" s="16" t="n"/>
      <c r="K681" s="17">
        <f>IF(J681="","",1-J681)</f>
        <v/>
      </c>
      <c r="L681" s="15" t="n"/>
      <c r="M681" s="7" t="n"/>
      <c r="N681" s="7" t="n"/>
      <c r="O681" s="7" t="n"/>
      <c r="P681" s="11" t="n"/>
      <c r="Q681" s="7" t="n"/>
      <c r="R681" s="7" t="n"/>
      <c r="S681" s="7" t="n"/>
      <c r="T681" s="7" t="n"/>
      <c r="U681" s="12">
        <f>IF(A681="","",IF(H681="","建議填分配模式",""))</f>
        <v/>
      </c>
    </row>
    <row r="682" ht="24" customHeight="1">
      <c r="A682" s="7" t="n"/>
      <c r="B682" s="7" t="n"/>
      <c r="C682" s="7" t="n"/>
      <c r="D682" s="12">
        <f>IF($A682="","",IFERROR(INDEX(土地清冊_匯入!$B$6:$B$1005,MATCH($A682,土地清冊_匯入!$A$6:$A$1005,0)),"查無資料"))</f>
        <v/>
      </c>
      <c r="E682" s="9">
        <f>IF($A682="","",IFERROR(INDEX(土地清冊_匯入!$I$6:$I$1005,MATCH($A682,土地清冊_匯入!$A$6:$A$1005,0)),""))</f>
        <v/>
      </c>
      <c r="F682" s="13">
        <f>IF($A682="","",IFERROR(INDEX(建物清冊_匯入!$N$6:$N$1005,MATCH($A682,建物清冊_匯入!$A$6:$A$1005,0)),""))</f>
        <v/>
      </c>
      <c r="G682" s="9">
        <f>IF($A682="","",IFERROR(INDEX(建物清冊_匯入!$S$6:$S$1005,MATCH($A682,建物清冊_匯入!$A$6:$A$1005,0)),""))</f>
        <v/>
      </c>
      <c r="H682" s="7" t="n"/>
      <c r="I682" s="15" t="n"/>
      <c r="J682" s="16" t="n"/>
      <c r="K682" s="17">
        <f>IF(J682="","",1-J682)</f>
        <v/>
      </c>
      <c r="L682" s="15" t="n"/>
      <c r="M682" s="7" t="n"/>
      <c r="N682" s="7" t="n"/>
      <c r="O682" s="7" t="n"/>
      <c r="P682" s="11" t="n"/>
      <c r="Q682" s="7" t="n"/>
      <c r="R682" s="7" t="n"/>
      <c r="S682" s="7" t="n"/>
      <c r="T682" s="7" t="n"/>
      <c r="U682" s="12">
        <f>IF(A682="","",IF(H682="","建議填分配模式",""))</f>
        <v/>
      </c>
    </row>
    <row r="683" ht="24" customHeight="1">
      <c r="A683" s="7" t="n"/>
      <c r="B683" s="7" t="n"/>
      <c r="C683" s="7" t="n"/>
      <c r="D683" s="12">
        <f>IF($A683="","",IFERROR(INDEX(土地清冊_匯入!$B$6:$B$1005,MATCH($A683,土地清冊_匯入!$A$6:$A$1005,0)),"查無資料"))</f>
        <v/>
      </c>
      <c r="E683" s="9">
        <f>IF($A683="","",IFERROR(INDEX(土地清冊_匯入!$I$6:$I$1005,MATCH($A683,土地清冊_匯入!$A$6:$A$1005,0)),""))</f>
        <v/>
      </c>
      <c r="F683" s="13">
        <f>IF($A683="","",IFERROR(INDEX(建物清冊_匯入!$N$6:$N$1005,MATCH($A683,建物清冊_匯入!$A$6:$A$1005,0)),""))</f>
        <v/>
      </c>
      <c r="G683" s="9">
        <f>IF($A683="","",IFERROR(INDEX(建物清冊_匯入!$S$6:$S$1005,MATCH($A683,建物清冊_匯入!$A$6:$A$1005,0)),""))</f>
        <v/>
      </c>
      <c r="H683" s="7" t="n"/>
      <c r="I683" s="15" t="n"/>
      <c r="J683" s="16" t="n"/>
      <c r="K683" s="17">
        <f>IF(J683="","",1-J683)</f>
        <v/>
      </c>
      <c r="L683" s="15" t="n"/>
      <c r="M683" s="7" t="n"/>
      <c r="N683" s="7" t="n"/>
      <c r="O683" s="7" t="n"/>
      <c r="P683" s="11" t="n"/>
      <c r="Q683" s="7" t="n"/>
      <c r="R683" s="7" t="n"/>
      <c r="S683" s="7" t="n"/>
      <c r="T683" s="7" t="n"/>
      <c r="U683" s="12">
        <f>IF(A683="","",IF(H683="","建議填分配模式",""))</f>
        <v/>
      </c>
    </row>
    <row r="684" ht="24" customHeight="1">
      <c r="A684" s="7" t="n"/>
      <c r="B684" s="7" t="n"/>
      <c r="C684" s="7" t="n"/>
      <c r="D684" s="12">
        <f>IF($A684="","",IFERROR(INDEX(土地清冊_匯入!$B$6:$B$1005,MATCH($A684,土地清冊_匯入!$A$6:$A$1005,0)),"查無資料"))</f>
        <v/>
      </c>
      <c r="E684" s="9">
        <f>IF($A684="","",IFERROR(INDEX(土地清冊_匯入!$I$6:$I$1005,MATCH($A684,土地清冊_匯入!$A$6:$A$1005,0)),""))</f>
        <v/>
      </c>
      <c r="F684" s="13">
        <f>IF($A684="","",IFERROR(INDEX(建物清冊_匯入!$N$6:$N$1005,MATCH($A684,建物清冊_匯入!$A$6:$A$1005,0)),""))</f>
        <v/>
      </c>
      <c r="G684" s="9">
        <f>IF($A684="","",IFERROR(INDEX(建物清冊_匯入!$S$6:$S$1005,MATCH($A684,建物清冊_匯入!$A$6:$A$1005,0)),""))</f>
        <v/>
      </c>
      <c r="H684" s="7" t="n"/>
      <c r="I684" s="15" t="n"/>
      <c r="J684" s="16" t="n"/>
      <c r="K684" s="17">
        <f>IF(J684="","",1-J684)</f>
        <v/>
      </c>
      <c r="L684" s="15" t="n"/>
      <c r="M684" s="7" t="n"/>
      <c r="N684" s="7" t="n"/>
      <c r="O684" s="7" t="n"/>
      <c r="P684" s="11" t="n"/>
      <c r="Q684" s="7" t="n"/>
      <c r="R684" s="7" t="n"/>
      <c r="S684" s="7" t="n"/>
      <c r="T684" s="7" t="n"/>
      <c r="U684" s="12">
        <f>IF(A684="","",IF(H684="","建議填分配模式",""))</f>
        <v/>
      </c>
    </row>
    <row r="685" ht="24" customHeight="1">
      <c r="A685" s="7" t="n"/>
      <c r="B685" s="7" t="n"/>
      <c r="C685" s="7" t="n"/>
      <c r="D685" s="12">
        <f>IF($A685="","",IFERROR(INDEX(土地清冊_匯入!$B$6:$B$1005,MATCH($A685,土地清冊_匯入!$A$6:$A$1005,0)),"查無資料"))</f>
        <v/>
      </c>
      <c r="E685" s="9">
        <f>IF($A685="","",IFERROR(INDEX(土地清冊_匯入!$I$6:$I$1005,MATCH($A685,土地清冊_匯入!$A$6:$A$1005,0)),""))</f>
        <v/>
      </c>
      <c r="F685" s="13">
        <f>IF($A685="","",IFERROR(INDEX(建物清冊_匯入!$N$6:$N$1005,MATCH($A685,建物清冊_匯入!$A$6:$A$1005,0)),""))</f>
        <v/>
      </c>
      <c r="G685" s="9">
        <f>IF($A685="","",IFERROR(INDEX(建物清冊_匯入!$S$6:$S$1005,MATCH($A685,建物清冊_匯入!$A$6:$A$1005,0)),""))</f>
        <v/>
      </c>
      <c r="H685" s="7" t="n"/>
      <c r="I685" s="15" t="n"/>
      <c r="J685" s="16" t="n"/>
      <c r="K685" s="17">
        <f>IF(J685="","",1-J685)</f>
        <v/>
      </c>
      <c r="L685" s="15" t="n"/>
      <c r="M685" s="7" t="n"/>
      <c r="N685" s="7" t="n"/>
      <c r="O685" s="7" t="n"/>
      <c r="P685" s="11" t="n"/>
      <c r="Q685" s="7" t="n"/>
      <c r="R685" s="7" t="n"/>
      <c r="S685" s="7" t="n"/>
      <c r="T685" s="7" t="n"/>
      <c r="U685" s="12">
        <f>IF(A685="","",IF(H685="","建議填分配模式",""))</f>
        <v/>
      </c>
    </row>
    <row r="686" ht="24" customHeight="1">
      <c r="A686" s="7" t="n"/>
      <c r="B686" s="7" t="n"/>
      <c r="C686" s="7" t="n"/>
      <c r="D686" s="12">
        <f>IF($A686="","",IFERROR(INDEX(土地清冊_匯入!$B$6:$B$1005,MATCH($A686,土地清冊_匯入!$A$6:$A$1005,0)),"查無資料"))</f>
        <v/>
      </c>
      <c r="E686" s="9">
        <f>IF($A686="","",IFERROR(INDEX(土地清冊_匯入!$I$6:$I$1005,MATCH($A686,土地清冊_匯入!$A$6:$A$1005,0)),""))</f>
        <v/>
      </c>
      <c r="F686" s="13">
        <f>IF($A686="","",IFERROR(INDEX(建物清冊_匯入!$N$6:$N$1005,MATCH($A686,建物清冊_匯入!$A$6:$A$1005,0)),""))</f>
        <v/>
      </c>
      <c r="G686" s="9">
        <f>IF($A686="","",IFERROR(INDEX(建物清冊_匯入!$S$6:$S$1005,MATCH($A686,建物清冊_匯入!$A$6:$A$1005,0)),""))</f>
        <v/>
      </c>
      <c r="H686" s="7" t="n"/>
      <c r="I686" s="15" t="n"/>
      <c r="J686" s="16" t="n"/>
      <c r="K686" s="17">
        <f>IF(J686="","",1-J686)</f>
        <v/>
      </c>
      <c r="L686" s="15" t="n"/>
      <c r="M686" s="7" t="n"/>
      <c r="N686" s="7" t="n"/>
      <c r="O686" s="7" t="n"/>
      <c r="P686" s="11" t="n"/>
      <c r="Q686" s="7" t="n"/>
      <c r="R686" s="7" t="n"/>
      <c r="S686" s="7" t="n"/>
      <c r="T686" s="7" t="n"/>
      <c r="U686" s="12">
        <f>IF(A686="","",IF(H686="","建議填分配模式",""))</f>
        <v/>
      </c>
    </row>
    <row r="687" ht="24" customHeight="1">
      <c r="A687" s="7" t="n"/>
      <c r="B687" s="7" t="n"/>
      <c r="C687" s="7" t="n"/>
      <c r="D687" s="12">
        <f>IF($A687="","",IFERROR(INDEX(土地清冊_匯入!$B$6:$B$1005,MATCH($A687,土地清冊_匯入!$A$6:$A$1005,0)),"查無資料"))</f>
        <v/>
      </c>
      <c r="E687" s="9">
        <f>IF($A687="","",IFERROR(INDEX(土地清冊_匯入!$I$6:$I$1005,MATCH($A687,土地清冊_匯入!$A$6:$A$1005,0)),""))</f>
        <v/>
      </c>
      <c r="F687" s="13">
        <f>IF($A687="","",IFERROR(INDEX(建物清冊_匯入!$N$6:$N$1005,MATCH($A687,建物清冊_匯入!$A$6:$A$1005,0)),""))</f>
        <v/>
      </c>
      <c r="G687" s="9">
        <f>IF($A687="","",IFERROR(INDEX(建物清冊_匯入!$S$6:$S$1005,MATCH($A687,建物清冊_匯入!$A$6:$A$1005,0)),""))</f>
        <v/>
      </c>
      <c r="H687" s="7" t="n"/>
      <c r="I687" s="15" t="n"/>
      <c r="J687" s="16" t="n"/>
      <c r="K687" s="17">
        <f>IF(J687="","",1-J687)</f>
        <v/>
      </c>
      <c r="L687" s="15" t="n"/>
      <c r="M687" s="7" t="n"/>
      <c r="N687" s="7" t="n"/>
      <c r="O687" s="7" t="n"/>
      <c r="P687" s="11" t="n"/>
      <c r="Q687" s="7" t="n"/>
      <c r="R687" s="7" t="n"/>
      <c r="S687" s="7" t="n"/>
      <c r="T687" s="7" t="n"/>
      <c r="U687" s="12">
        <f>IF(A687="","",IF(H687="","建議填分配模式",""))</f>
        <v/>
      </c>
    </row>
    <row r="688" ht="24" customHeight="1">
      <c r="A688" s="7" t="n"/>
      <c r="B688" s="7" t="n"/>
      <c r="C688" s="7" t="n"/>
      <c r="D688" s="12">
        <f>IF($A688="","",IFERROR(INDEX(土地清冊_匯入!$B$6:$B$1005,MATCH($A688,土地清冊_匯入!$A$6:$A$1005,0)),"查無資料"))</f>
        <v/>
      </c>
      <c r="E688" s="9">
        <f>IF($A688="","",IFERROR(INDEX(土地清冊_匯入!$I$6:$I$1005,MATCH($A688,土地清冊_匯入!$A$6:$A$1005,0)),""))</f>
        <v/>
      </c>
      <c r="F688" s="13">
        <f>IF($A688="","",IFERROR(INDEX(建物清冊_匯入!$N$6:$N$1005,MATCH($A688,建物清冊_匯入!$A$6:$A$1005,0)),""))</f>
        <v/>
      </c>
      <c r="G688" s="9">
        <f>IF($A688="","",IFERROR(INDEX(建物清冊_匯入!$S$6:$S$1005,MATCH($A688,建物清冊_匯入!$A$6:$A$1005,0)),""))</f>
        <v/>
      </c>
      <c r="H688" s="7" t="n"/>
      <c r="I688" s="15" t="n"/>
      <c r="J688" s="16" t="n"/>
      <c r="K688" s="17">
        <f>IF(J688="","",1-J688)</f>
        <v/>
      </c>
      <c r="L688" s="15" t="n"/>
      <c r="M688" s="7" t="n"/>
      <c r="N688" s="7" t="n"/>
      <c r="O688" s="7" t="n"/>
      <c r="P688" s="11" t="n"/>
      <c r="Q688" s="7" t="n"/>
      <c r="R688" s="7" t="n"/>
      <c r="S688" s="7" t="n"/>
      <c r="T688" s="7" t="n"/>
      <c r="U688" s="12">
        <f>IF(A688="","",IF(H688="","建議填分配模式",""))</f>
        <v/>
      </c>
    </row>
    <row r="689" ht="24" customHeight="1">
      <c r="A689" s="7" t="n"/>
      <c r="B689" s="7" t="n"/>
      <c r="C689" s="7" t="n"/>
      <c r="D689" s="12">
        <f>IF($A689="","",IFERROR(INDEX(土地清冊_匯入!$B$6:$B$1005,MATCH($A689,土地清冊_匯入!$A$6:$A$1005,0)),"查無資料"))</f>
        <v/>
      </c>
      <c r="E689" s="9">
        <f>IF($A689="","",IFERROR(INDEX(土地清冊_匯入!$I$6:$I$1005,MATCH($A689,土地清冊_匯入!$A$6:$A$1005,0)),""))</f>
        <v/>
      </c>
      <c r="F689" s="13">
        <f>IF($A689="","",IFERROR(INDEX(建物清冊_匯入!$N$6:$N$1005,MATCH($A689,建物清冊_匯入!$A$6:$A$1005,0)),""))</f>
        <v/>
      </c>
      <c r="G689" s="9">
        <f>IF($A689="","",IFERROR(INDEX(建物清冊_匯入!$S$6:$S$1005,MATCH($A689,建物清冊_匯入!$A$6:$A$1005,0)),""))</f>
        <v/>
      </c>
      <c r="H689" s="7" t="n"/>
      <c r="I689" s="15" t="n"/>
      <c r="J689" s="16" t="n"/>
      <c r="K689" s="17">
        <f>IF(J689="","",1-J689)</f>
        <v/>
      </c>
      <c r="L689" s="15" t="n"/>
      <c r="M689" s="7" t="n"/>
      <c r="N689" s="7" t="n"/>
      <c r="O689" s="7" t="n"/>
      <c r="P689" s="11" t="n"/>
      <c r="Q689" s="7" t="n"/>
      <c r="R689" s="7" t="n"/>
      <c r="S689" s="7" t="n"/>
      <c r="T689" s="7" t="n"/>
      <c r="U689" s="12">
        <f>IF(A689="","",IF(H689="","建議填分配模式",""))</f>
        <v/>
      </c>
    </row>
    <row r="690" ht="24" customHeight="1">
      <c r="A690" s="7" t="n"/>
      <c r="B690" s="7" t="n"/>
      <c r="C690" s="7" t="n"/>
      <c r="D690" s="12">
        <f>IF($A690="","",IFERROR(INDEX(土地清冊_匯入!$B$6:$B$1005,MATCH($A690,土地清冊_匯入!$A$6:$A$1005,0)),"查無資料"))</f>
        <v/>
      </c>
      <c r="E690" s="9">
        <f>IF($A690="","",IFERROR(INDEX(土地清冊_匯入!$I$6:$I$1005,MATCH($A690,土地清冊_匯入!$A$6:$A$1005,0)),""))</f>
        <v/>
      </c>
      <c r="F690" s="13">
        <f>IF($A690="","",IFERROR(INDEX(建物清冊_匯入!$N$6:$N$1005,MATCH($A690,建物清冊_匯入!$A$6:$A$1005,0)),""))</f>
        <v/>
      </c>
      <c r="G690" s="9">
        <f>IF($A690="","",IFERROR(INDEX(建物清冊_匯入!$S$6:$S$1005,MATCH($A690,建物清冊_匯入!$A$6:$A$1005,0)),""))</f>
        <v/>
      </c>
      <c r="H690" s="7" t="n"/>
      <c r="I690" s="15" t="n"/>
      <c r="J690" s="16" t="n"/>
      <c r="K690" s="17">
        <f>IF(J690="","",1-J690)</f>
        <v/>
      </c>
      <c r="L690" s="15" t="n"/>
      <c r="M690" s="7" t="n"/>
      <c r="N690" s="7" t="n"/>
      <c r="O690" s="7" t="n"/>
      <c r="P690" s="11" t="n"/>
      <c r="Q690" s="7" t="n"/>
      <c r="R690" s="7" t="n"/>
      <c r="S690" s="7" t="n"/>
      <c r="T690" s="7" t="n"/>
      <c r="U690" s="12">
        <f>IF(A690="","",IF(H690="","建議填分配模式",""))</f>
        <v/>
      </c>
    </row>
    <row r="691" ht="24" customHeight="1">
      <c r="A691" s="7" t="n"/>
      <c r="B691" s="7" t="n"/>
      <c r="C691" s="7" t="n"/>
      <c r="D691" s="12">
        <f>IF($A691="","",IFERROR(INDEX(土地清冊_匯入!$B$6:$B$1005,MATCH($A691,土地清冊_匯入!$A$6:$A$1005,0)),"查無資料"))</f>
        <v/>
      </c>
      <c r="E691" s="9">
        <f>IF($A691="","",IFERROR(INDEX(土地清冊_匯入!$I$6:$I$1005,MATCH($A691,土地清冊_匯入!$A$6:$A$1005,0)),""))</f>
        <v/>
      </c>
      <c r="F691" s="13">
        <f>IF($A691="","",IFERROR(INDEX(建物清冊_匯入!$N$6:$N$1005,MATCH($A691,建物清冊_匯入!$A$6:$A$1005,0)),""))</f>
        <v/>
      </c>
      <c r="G691" s="9">
        <f>IF($A691="","",IFERROR(INDEX(建物清冊_匯入!$S$6:$S$1005,MATCH($A691,建物清冊_匯入!$A$6:$A$1005,0)),""))</f>
        <v/>
      </c>
      <c r="H691" s="7" t="n"/>
      <c r="I691" s="15" t="n"/>
      <c r="J691" s="16" t="n"/>
      <c r="K691" s="17">
        <f>IF(J691="","",1-J691)</f>
        <v/>
      </c>
      <c r="L691" s="15" t="n"/>
      <c r="M691" s="7" t="n"/>
      <c r="N691" s="7" t="n"/>
      <c r="O691" s="7" t="n"/>
      <c r="P691" s="11" t="n"/>
      <c r="Q691" s="7" t="n"/>
      <c r="R691" s="7" t="n"/>
      <c r="S691" s="7" t="n"/>
      <c r="T691" s="7" t="n"/>
      <c r="U691" s="12">
        <f>IF(A691="","",IF(H691="","建議填分配模式",""))</f>
        <v/>
      </c>
    </row>
    <row r="692" ht="24" customHeight="1">
      <c r="A692" s="7" t="n"/>
      <c r="B692" s="7" t="n"/>
      <c r="C692" s="7" t="n"/>
      <c r="D692" s="12">
        <f>IF($A692="","",IFERROR(INDEX(土地清冊_匯入!$B$6:$B$1005,MATCH($A692,土地清冊_匯入!$A$6:$A$1005,0)),"查無資料"))</f>
        <v/>
      </c>
      <c r="E692" s="9">
        <f>IF($A692="","",IFERROR(INDEX(土地清冊_匯入!$I$6:$I$1005,MATCH($A692,土地清冊_匯入!$A$6:$A$1005,0)),""))</f>
        <v/>
      </c>
      <c r="F692" s="13">
        <f>IF($A692="","",IFERROR(INDEX(建物清冊_匯入!$N$6:$N$1005,MATCH($A692,建物清冊_匯入!$A$6:$A$1005,0)),""))</f>
        <v/>
      </c>
      <c r="G692" s="9">
        <f>IF($A692="","",IFERROR(INDEX(建物清冊_匯入!$S$6:$S$1005,MATCH($A692,建物清冊_匯入!$A$6:$A$1005,0)),""))</f>
        <v/>
      </c>
      <c r="H692" s="7" t="n"/>
      <c r="I692" s="15" t="n"/>
      <c r="J692" s="16" t="n"/>
      <c r="K692" s="17">
        <f>IF(J692="","",1-J692)</f>
        <v/>
      </c>
      <c r="L692" s="15" t="n"/>
      <c r="M692" s="7" t="n"/>
      <c r="N692" s="7" t="n"/>
      <c r="O692" s="7" t="n"/>
      <c r="P692" s="11" t="n"/>
      <c r="Q692" s="7" t="n"/>
      <c r="R692" s="7" t="n"/>
      <c r="S692" s="7" t="n"/>
      <c r="T692" s="7" t="n"/>
      <c r="U692" s="12">
        <f>IF(A692="","",IF(H692="","建議填分配模式",""))</f>
        <v/>
      </c>
    </row>
    <row r="693" ht="24" customHeight="1">
      <c r="A693" s="7" t="n"/>
      <c r="B693" s="7" t="n"/>
      <c r="C693" s="7" t="n"/>
      <c r="D693" s="12">
        <f>IF($A693="","",IFERROR(INDEX(土地清冊_匯入!$B$6:$B$1005,MATCH($A693,土地清冊_匯入!$A$6:$A$1005,0)),"查無資料"))</f>
        <v/>
      </c>
      <c r="E693" s="9">
        <f>IF($A693="","",IFERROR(INDEX(土地清冊_匯入!$I$6:$I$1005,MATCH($A693,土地清冊_匯入!$A$6:$A$1005,0)),""))</f>
        <v/>
      </c>
      <c r="F693" s="13">
        <f>IF($A693="","",IFERROR(INDEX(建物清冊_匯入!$N$6:$N$1005,MATCH($A693,建物清冊_匯入!$A$6:$A$1005,0)),""))</f>
        <v/>
      </c>
      <c r="G693" s="9">
        <f>IF($A693="","",IFERROR(INDEX(建物清冊_匯入!$S$6:$S$1005,MATCH($A693,建物清冊_匯入!$A$6:$A$1005,0)),""))</f>
        <v/>
      </c>
      <c r="H693" s="7" t="n"/>
      <c r="I693" s="15" t="n"/>
      <c r="J693" s="16" t="n"/>
      <c r="K693" s="17">
        <f>IF(J693="","",1-J693)</f>
        <v/>
      </c>
      <c r="L693" s="15" t="n"/>
      <c r="M693" s="7" t="n"/>
      <c r="N693" s="7" t="n"/>
      <c r="O693" s="7" t="n"/>
      <c r="P693" s="11" t="n"/>
      <c r="Q693" s="7" t="n"/>
      <c r="R693" s="7" t="n"/>
      <c r="S693" s="7" t="n"/>
      <c r="T693" s="7" t="n"/>
      <c r="U693" s="12">
        <f>IF(A693="","",IF(H693="","建議填分配模式",""))</f>
        <v/>
      </c>
    </row>
    <row r="694" ht="24" customHeight="1">
      <c r="A694" s="7" t="n"/>
      <c r="B694" s="7" t="n"/>
      <c r="C694" s="7" t="n"/>
      <c r="D694" s="12">
        <f>IF($A694="","",IFERROR(INDEX(土地清冊_匯入!$B$6:$B$1005,MATCH($A694,土地清冊_匯入!$A$6:$A$1005,0)),"查無資料"))</f>
        <v/>
      </c>
      <c r="E694" s="9">
        <f>IF($A694="","",IFERROR(INDEX(土地清冊_匯入!$I$6:$I$1005,MATCH($A694,土地清冊_匯入!$A$6:$A$1005,0)),""))</f>
        <v/>
      </c>
      <c r="F694" s="13">
        <f>IF($A694="","",IFERROR(INDEX(建物清冊_匯入!$N$6:$N$1005,MATCH($A694,建物清冊_匯入!$A$6:$A$1005,0)),""))</f>
        <v/>
      </c>
      <c r="G694" s="9">
        <f>IF($A694="","",IFERROR(INDEX(建物清冊_匯入!$S$6:$S$1005,MATCH($A694,建物清冊_匯入!$A$6:$A$1005,0)),""))</f>
        <v/>
      </c>
      <c r="H694" s="7" t="n"/>
      <c r="I694" s="15" t="n"/>
      <c r="J694" s="16" t="n"/>
      <c r="K694" s="17">
        <f>IF(J694="","",1-J694)</f>
        <v/>
      </c>
      <c r="L694" s="15" t="n"/>
      <c r="M694" s="7" t="n"/>
      <c r="N694" s="7" t="n"/>
      <c r="O694" s="7" t="n"/>
      <c r="P694" s="11" t="n"/>
      <c r="Q694" s="7" t="n"/>
      <c r="R694" s="7" t="n"/>
      <c r="S694" s="7" t="n"/>
      <c r="T694" s="7" t="n"/>
      <c r="U694" s="12">
        <f>IF(A694="","",IF(H694="","建議填分配模式",""))</f>
        <v/>
      </c>
    </row>
    <row r="695" ht="24" customHeight="1">
      <c r="A695" s="7" t="n"/>
      <c r="B695" s="7" t="n"/>
      <c r="C695" s="7" t="n"/>
      <c r="D695" s="12">
        <f>IF($A695="","",IFERROR(INDEX(土地清冊_匯入!$B$6:$B$1005,MATCH($A695,土地清冊_匯入!$A$6:$A$1005,0)),"查無資料"))</f>
        <v/>
      </c>
      <c r="E695" s="9">
        <f>IF($A695="","",IFERROR(INDEX(土地清冊_匯入!$I$6:$I$1005,MATCH($A695,土地清冊_匯入!$A$6:$A$1005,0)),""))</f>
        <v/>
      </c>
      <c r="F695" s="13">
        <f>IF($A695="","",IFERROR(INDEX(建物清冊_匯入!$N$6:$N$1005,MATCH($A695,建物清冊_匯入!$A$6:$A$1005,0)),""))</f>
        <v/>
      </c>
      <c r="G695" s="9">
        <f>IF($A695="","",IFERROR(INDEX(建物清冊_匯入!$S$6:$S$1005,MATCH($A695,建物清冊_匯入!$A$6:$A$1005,0)),""))</f>
        <v/>
      </c>
      <c r="H695" s="7" t="n"/>
      <c r="I695" s="15" t="n"/>
      <c r="J695" s="16" t="n"/>
      <c r="K695" s="17">
        <f>IF(J695="","",1-J695)</f>
        <v/>
      </c>
      <c r="L695" s="15" t="n"/>
      <c r="M695" s="7" t="n"/>
      <c r="N695" s="7" t="n"/>
      <c r="O695" s="7" t="n"/>
      <c r="P695" s="11" t="n"/>
      <c r="Q695" s="7" t="n"/>
      <c r="R695" s="7" t="n"/>
      <c r="S695" s="7" t="n"/>
      <c r="T695" s="7" t="n"/>
      <c r="U695" s="12">
        <f>IF(A695="","",IF(H695="","建議填分配模式",""))</f>
        <v/>
      </c>
    </row>
    <row r="696" ht="24" customHeight="1">
      <c r="A696" s="7" t="n"/>
      <c r="B696" s="7" t="n"/>
      <c r="C696" s="7" t="n"/>
      <c r="D696" s="12">
        <f>IF($A696="","",IFERROR(INDEX(土地清冊_匯入!$B$6:$B$1005,MATCH($A696,土地清冊_匯入!$A$6:$A$1005,0)),"查無資料"))</f>
        <v/>
      </c>
      <c r="E696" s="9">
        <f>IF($A696="","",IFERROR(INDEX(土地清冊_匯入!$I$6:$I$1005,MATCH($A696,土地清冊_匯入!$A$6:$A$1005,0)),""))</f>
        <v/>
      </c>
      <c r="F696" s="13">
        <f>IF($A696="","",IFERROR(INDEX(建物清冊_匯入!$N$6:$N$1005,MATCH($A696,建物清冊_匯入!$A$6:$A$1005,0)),""))</f>
        <v/>
      </c>
      <c r="G696" s="9">
        <f>IF($A696="","",IFERROR(INDEX(建物清冊_匯入!$S$6:$S$1005,MATCH($A696,建物清冊_匯入!$A$6:$A$1005,0)),""))</f>
        <v/>
      </c>
      <c r="H696" s="7" t="n"/>
      <c r="I696" s="15" t="n"/>
      <c r="J696" s="16" t="n"/>
      <c r="K696" s="17">
        <f>IF(J696="","",1-J696)</f>
        <v/>
      </c>
      <c r="L696" s="15" t="n"/>
      <c r="M696" s="7" t="n"/>
      <c r="N696" s="7" t="n"/>
      <c r="O696" s="7" t="n"/>
      <c r="P696" s="11" t="n"/>
      <c r="Q696" s="7" t="n"/>
      <c r="R696" s="7" t="n"/>
      <c r="S696" s="7" t="n"/>
      <c r="T696" s="7" t="n"/>
      <c r="U696" s="12">
        <f>IF(A696="","",IF(H696="","建議填分配模式",""))</f>
        <v/>
      </c>
    </row>
    <row r="697" ht="24" customHeight="1">
      <c r="A697" s="7" t="n"/>
      <c r="B697" s="7" t="n"/>
      <c r="C697" s="7" t="n"/>
      <c r="D697" s="12">
        <f>IF($A697="","",IFERROR(INDEX(土地清冊_匯入!$B$6:$B$1005,MATCH($A697,土地清冊_匯入!$A$6:$A$1005,0)),"查無資料"))</f>
        <v/>
      </c>
      <c r="E697" s="9">
        <f>IF($A697="","",IFERROR(INDEX(土地清冊_匯入!$I$6:$I$1005,MATCH($A697,土地清冊_匯入!$A$6:$A$1005,0)),""))</f>
        <v/>
      </c>
      <c r="F697" s="13">
        <f>IF($A697="","",IFERROR(INDEX(建物清冊_匯入!$N$6:$N$1005,MATCH($A697,建物清冊_匯入!$A$6:$A$1005,0)),""))</f>
        <v/>
      </c>
      <c r="G697" s="9">
        <f>IF($A697="","",IFERROR(INDEX(建物清冊_匯入!$S$6:$S$1005,MATCH($A697,建物清冊_匯入!$A$6:$A$1005,0)),""))</f>
        <v/>
      </c>
      <c r="H697" s="7" t="n"/>
      <c r="I697" s="15" t="n"/>
      <c r="J697" s="16" t="n"/>
      <c r="K697" s="17">
        <f>IF(J697="","",1-J697)</f>
        <v/>
      </c>
      <c r="L697" s="15" t="n"/>
      <c r="M697" s="7" t="n"/>
      <c r="N697" s="7" t="n"/>
      <c r="O697" s="7" t="n"/>
      <c r="P697" s="11" t="n"/>
      <c r="Q697" s="7" t="n"/>
      <c r="R697" s="7" t="n"/>
      <c r="S697" s="7" t="n"/>
      <c r="T697" s="7" t="n"/>
      <c r="U697" s="12">
        <f>IF(A697="","",IF(H697="","建議填分配模式",""))</f>
        <v/>
      </c>
    </row>
    <row r="698" ht="24" customHeight="1">
      <c r="A698" s="7" t="n"/>
      <c r="B698" s="7" t="n"/>
      <c r="C698" s="7" t="n"/>
      <c r="D698" s="12">
        <f>IF($A698="","",IFERROR(INDEX(土地清冊_匯入!$B$6:$B$1005,MATCH($A698,土地清冊_匯入!$A$6:$A$1005,0)),"查無資料"))</f>
        <v/>
      </c>
      <c r="E698" s="9">
        <f>IF($A698="","",IFERROR(INDEX(土地清冊_匯入!$I$6:$I$1005,MATCH($A698,土地清冊_匯入!$A$6:$A$1005,0)),""))</f>
        <v/>
      </c>
      <c r="F698" s="13">
        <f>IF($A698="","",IFERROR(INDEX(建物清冊_匯入!$N$6:$N$1005,MATCH($A698,建物清冊_匯入!$A$6:$A$1005,0)),""))</f>
        <v/>
      </c>
      <c r="G698" s="9">
        <f>IF($A698="","",IFERROR(INDEX(建物清冊_匯入!$S$6:$S$1005,MATCH($A698,建物清冊_匯入!$A$6:$A$1005,0)),""))</f>
        <v/>
      </c>
      <c r="H698" s="7" t="n"/>
      <c r="I698" s="15" t="n"/>
      <c r="J698" s="16" t="n"/>
      <c r="K698" s="17">
        <f>IF(J698="","",1-J698)</f>
        <v/>
      </c>
      <c r="L698" s="15" t="n"/>
      <c r="M698" s="7" t="n"/>
      <c r="N698" s="7" t="n"/>
      <c r="O698" s="7" t="n"/>
      <c r="P698" s="11" t="n"/>
      <c r="Q698" s="7" t="n"/>
      <c r="R698" s="7" t="n"/>
      <c r="S698" s="7" t="n"/>
      <c r="T698" s="7" t="n"/>
      <c r="U698" s="12">
        <f>IF(A698="","",IF(H698="","建議填分配模式",""))</f>
        <v/>
      </c>
    </row>
    <row r="699" ht="24" customHeight="1">
      <c r="A699" s="7" t="n"/>
      <c r="B699" s="7" t="n"/>
      <c r="C699" s="7" t="n"/>
      <c r="D699" s="12">
        <f>IF($A699="","",IFERROR(INDEX(土地清冊_匯入!$B$6:$B$1005,MATCH($A699,土地清冊_匯入!$A$6:$A$1005,0)),"查無資料"))</f>
        <v/>
      </c>
      <c r="E699" s="9">
        <f>IF($A699="","",IFERROR(INDEX(土地清冊_匯入!$I$6:$I$1005,MATCH($A699,土地清冊_匯入!$A$6:$A$1005,0)),""))</f>
        <v/>
      </c>
      <c r="F699" s="13">
        <f>IF($A699="","",IFERROR(INDEX(建物清冊_匯入!$N$6:$N$1005,MATCH($A699,建物清冊_匯入!$A$6:$A$1005,0)),""))</f>
        <v/>
      </c>
      <c r="G699" s="9">
        <f>IF($A699="","",IFERROR(INDEX(建物清冊_匯入!$S$6:$S$1005,MATCH($A699,建物清冊_匯入!$A$6:$A$1005,0)),""))</f>
        <v/>
      </c>
      <c r="H699" s="7" t="n"/>
      <c r="I699" s="15" t="n"/>
      <c r="J699" s="16" t="n"/>
      <c r="K699" s="17">
        <f>IF(J699="","",1-J699)</f>
        <v/>
      </c>
      <c r="L699" s="15" t="n"/>
      <c r="M699" s="7" t="n"/>
      <c r="N699" s="7" t="n"/>
      <c r="O699" s="7" t="n"/>
      <c r="P699" s="11" t="n"/>
      <c r="Q699" s="7" t="n"/>
      <c r="R699" s="7" t="n"/>
      <c r="S699" s="7" t="n"/>
      <c r="T699" s="7" t="n"/>
      <c r="U699" s="12">
        <f>IF(A699="","",IF(H699="","建議填分配模式",""))</f>
        <v/>
      </c>
    </row>
    <row r="700" ht="24" customHeight="1">
      <c r="A700" s="7" t="n"/>
      <c r="B700" s="7" t="n"/>
      <c r="C700" s="7" t="n"/>
      <c r="D700" s="12">
        <f>IF($A700="","",IFERROR(INDEX(土地清冊_匯入!$B$6:$B$1005,MATCH($A700,土地清冊_匯入!$A$6:$A$1005,0)),"查無資料"))</f>
        <v/>
      </c>
      <c r="E700" s="9">
        <f>IF($A700="","",IFERROR(INDEX(土地清冊_匯入!$I$6:$I$1005,MATCH($A700,土地清冊_匯入!$A$6:$A$1005,0)),""))</f>
        <v/>
      </c>
      <c r="F700" s="13">
        <f>IF($A700="","",IFERROR(INDEX(建物清冊_匯入!$N$6:$N$1005,MATCH($A700,建物清冊_匯入!$A$6:$A$1005,0)),""))</f>
        <v/>
      </c>
      <c r="G700" s="9">
        <f>IF($A700="","",IFERROR(INDEX(建物清冊_匯入!$S$6:$S$1005,MATCH($A700,建物清冊_匯入!$A$6:$A$1005,0)),""))</f>
        <v/>
      </c>
      <c r="H700" s="7" t="n"/>
      <c r="I700" s="15" t="n"/>
      <c r="J700" s="16" t="n"/>
      <c r="K700" s="17">
        <f>IF(J700="","",1-J700)</f>
        <v/>
      </c>
      <c r="L700" s="15" t="n"/>
      <c r="M700" s="7" t="n"/>
      <c r="N700" s="7" t="n"/>
      <c r="O700" s="7" t="n"/>
      <c r="P700" s="11" t="n"/>
      <c r="Q700" s="7" t="n"/>
      <c r="R700" s="7" t="n"/>
      <c r="S700" s="7" t="n"/>
      <c r="T700" s="7" t="n"/>
      <c r="U700" s="12">
        <f>IF(A700="","",IF(H700="","建議填分配模式",""))</f>
        <v/>
      </c>
    </row>
    <row r="701" ht="24" customHeight="1">
      <c r="A701" s="7" t="n"/>
      <c r="B701" s="7" t="n"/>
      <c r="C701" s="7" t="n"/>
      <c r="D701" s="12">
        <f>IF($A701="","",IFERROR(INDEX(土地清冊_匯入!$B$6:$B$1005,MATCH($A701,土地清冊_匯入!$A$6:$A$1005,0)),"查無資料"))</f>
        <v/>
      </c>
      <c r="E701" s="9">
        <f>IF($A701="","",IFERROR(INDEX(土地清冊_匯入!$I$6:$I$1005,MATCH($A701,土地清冊_匯入!$A$6:$A$1005,0)),""))</f>
        <v/>
      </c>
      <c r="F701" s="13">
        <f>IF($A701="","",IFERROR(INDEX(建物清冊_匯入!$N$6:$N$1005,MATCH($A701,建物清冊_匯入!$A$6:$A$1005,0)),""))</f>
        <v/>
      </c>
      <c r="G701" s="9">
        <f>IF($A701="","",IFERROR(INDEX(建物清冊_匯入!$S$6:$S$1005,MATCH($A701,建物清冊_匯入!$A$6:$A$1005,0)),""))</f>
        <v/>
      </c>
      <c r="H701" s="7" t="n"/>
      <c r="I701" s="15" t="n"/>
      <c r="J701" s="16" t="n"/>
      <c r="K701" s="17">
        <f>IF(J701="","",1-J701)</f>
        <v/>
      </c>
      <c r="L701" s="15" t="n"/>
      <c r="M701" s="7" t="n"/>
      <c r="N701" s="7" t="n"/>
      <c r="O701" s="7" t="n"/>
      <c r="P701" s="11" t="n"/>
      <c r="Q701" s="7" t="n"/>
      <c r="R701" s="7" t="n"/>
      <c r="S701" s="7" t="n"/>
      <c r="T701" s="7" t="n"/>
      <c r="U701" s="12">
        <f>IF(A701="","",IF(H701="","建議填分配模式",""))</f>
        <v/>
      </c>
    </row>
    <row r="702" ht="24" customHeight="1">
      <c r="A702" s="7" t="n"/>
      <c r="B702" s="7" t="n"/>
      <c r="C702" s="7" t="n"/>
      <c r="D702" s="12">
        <f>IF($A702="","",IFERROR(INDEX(土地清冊_匯入!$B$6:$B$1005,MATCH($A702,土地清冊_匯入!$A$6:$A$1005,0)),"查無資料"))</f>
        <v/>
      </c>
      <c r="E702" s="9">
        <f>IF($A702="","",IFERROR(INDEX(土地清冊_匯入!$I$6:$I$1005,MATCH($A702,土地清冊_匯入!$A$6:$A$1005,0)),""))</f>
        <v/>
      </c>
      <c r="F702" s="13">
        <f>IF($A702="","",IFERROR(INDEX(建物清冊_匯入!$N$6:$N$1005,MATCH($A702,建物清冊_匯入!$A$6:$A$1005,0)),""))</f>
        <v/>
      </c>
      <c r="G702" s="9">
        <f>IF($A702="","",IFERROR(INDEX(建物清冊_匯入!$S$6:$S$1005,MATCH($A702,建物清冊_匯入!$A$6:$A$1005,0)),""))</f>
        <v/>
      </c>
      <c r="H702" s="7" t="n"/>
      <c r="I702" s="15" t="n"/>
      <c r="J702" s="16" t="n"/>
      <c r="K702" s="17">
        <f>IF(J702="","",1-J702)</f>
        <v/>
      </c>
      <c r="L702" s="15" t="n"/>
      <c r="M702" s="7" t="n"/>
      <c r="N702" s="7" t="n"/>
      <c r="O702" s="7" t="n"/>
      <c r="P702" s="11" t="n"/>
      <c r="Q702" s="7" t="n"/>
      <c r="R702" s="7" t="n"/>
      <c r="S702" s="7" t="n"/>
      <c r="T702" s="7" t="n"/>
      <c r="U702" s="12">
        <f>IF(A702="","",IF(H702="","建議填分配模式",""))</f>
        <v/>
      </c>
    </row>
    <row r="703" ht="24" customHeight="1">
      <c r="A703" s="7" t="n"/>
      <c r="B703" s="7" t="n"/>
      <c r="C703" s="7" t="n"/>
      <c r="D703" s="12">
        <f>IF($A703="","",IFERROR(INDEX(土地清冊_匯入!$B$6:$B$1005,MATCH($A703,土地清冊_匯入!$A$6:$A$1005,0)),"查無資料"))</f>
        <v/>
      </c>
      <c r="E703" s="9">
        <f>IF($A703="","",IFERROR(INDEX(土地清冊_匯入!$I$6:$I$1005,MATCH($A703,土地清冊_匯入!$A$6:$A$1005,0)),""))</f>
        <v/>
      </c>
      <c r="F703" s="13">
        <f>IF($A703="","",IFERROR(INDEX(建物清冊_匯入!$N$6:$N$1005,MATCH($A703,建物清冊_匯入!$A$6:$A$1005,0)),""))</f>
        <v/>
      </c>
      <c r="G703" s="9">
        <f>IF($A703="","",IFERROR(INDEX(建物清冊_匯入!$S$6:$S$1005,MATCH($A703,建物清冊_匯入!$A$6:$A$1005,0)),""))</f>
        <v/>
      </c>
      <c r="H703" s="7" t="n"/>
      <c r="I703" s="15" t="n"/>
      <c r="J703" s="16" t="n"/>
      <c r="K703" s="17">
        <f>IF(J703="","",1-J703)</f>
        <v/>
      </c>
      <c r="L703" s="15" t="n"/>
      <c r="M703" s="7" t="n"/>
      <c r="N703" s="7" t="n"/>
      <c r="O703" s="7" t="n"/>
      <c r="P703" s="11" t="n"/>
      <c r="Q703" s="7" t="n"/>
      <c r="R703" s="7" t="n"/>
      <c r="S703" s="7" t="n"/>
      <c r="T703" s="7" t="n"/>
      <c r="U703" s="12">
        <f>IF(A703="","",IF(H703="","建議填分配模式",""))</f>
        <v/>
      </c>
    </row>
    <row r="704" ht="24" customHeight="1">
      <c r="A704" s="7" t="n"/>
      <c r="B704" s="7" t="n"/>
      <c r="C704" s="7" t="n"/>
      <c r="D704" s="12">
        <f>IF($A704="","",IFERROR(INDEX(土地清冊_匯入!$B$6:$B$1005,MATCH($A704,土地清冊_匯入!$A$6:$A$1005,0)),"查無資料"))</f>
        <v/>
      </c>
      <c r="E704" s="9">
        <f>IF($A704="","",IFERROR(INDEX(土地清冊_匯入!$I$6:$I$1005,MATCH($A704,土地清冊_匯入!$A$6:$A$1005,0)),""))</f>
        <v/>
      </c>
      <c r="F704" s="13">
        <f>IF($A704="","",IFERROR(INDEX(建物清冊_匯入!$N$6:$N$1005,MATCH($A704,建物清冊_匯入!$A$6:$A$1005,0)),""))</f>
        <v/>
      </c>
      <c r="G704" s="9">
        <f>IF($A704="","",IFERROR(INDEX(建物清冊_匯入!$S$6:$S$1005,MATCH($A704,建物清冊_匯入!$A$6:$A$1005,0)),""))</f>
        <v/>
      </c>
      <c r="H704" s="7" t="n"/>
      <c r="I704" s="15" t="n"/>
      <c r="J704" s="16" t="n"/>
      <c r="K704" s="17">
        <f>IF(J704="","",1-J704)</f>
        <v/>
      </c>
      <c r="L704" s="15" t="n"/>
      <c r="M704" s="7" t="n"/>
      <c r="N704" s="7" t="n"/>
      <c r="O704" s="7" t="n"/>
      <c r="P704" s="11" t="n"/>
      <c r="Q704" s="7" t="n"/>
      <c r="R704" s="7" t="n"/>
      <c r="S704" s="7" t="n"/>
      <c r="T704" s="7" t="n"/>
      <c r="U704" s="12">
        <f>IF(A704="","",IF(H704="","建議填分配模式",""))</f>
        <v/>
      </c>
    </row>
    <row r="705" ht="24" customHeight="1">
      <c r="A705" s="7" t="n"/>
      <c r="B705" s="7" t="n"/>
      <c r="C705" s="7" t="n"/>
      <c r="D705" s="12">
        <f>IF($A705="","",IFERROR(INDEX(土地清冊_匯入!$B$6:$B$1005,MATCH($A705,土地清冊_匯入!$A$6:$A$1005,0)),"查無資料"))</f>
        <v/>
      </c>
      <c r="E705" s="9">
        <f>IF($A705="","",IFERROR(INDEX(土地清冊_匯入!$I$6:$I$1005,MATCH($A705,土地清冊_匯入!$A$6:$A$1005,0)),""))</f>
        <v/>
      </c>
      <c r="F705" s="13">
        <f>IF($A705="","",IFERROR(INDEX(建物清冊_匯入!$N$6:$N$1005,MATCH($A705,建物清冊_匯入!$A$6:$A$1005,0)),""))</f>
        <v/>
      </c>
      <c r="G705" s="9">
        <f>IF($A705="","",IFERROR(INDEX(建物清冊_匯入!$S$6:$S$1005,MATCH($A705,建物清冊_匯入!$A$6:$A$1005,0)),""))</f>
        <v/>
      </c>
      <c r="H705" s="7" t="n"/>
      <c r="I705" s="15" t="n"/>
      <c r="J705" s="16" t="n"/>
      <c r="K705" s="17">
        <f>IF(J705="","",1-J705)</f>
        <v/>
      </c>
      <c r="L705" s="15" t="n"/>
      <c r="M705" s="7" t="n"/>
      <c r="N705" s="7" t="n"/>
      <c r="O705" s="7" t="n"/>
      <c r="P705" s="11" t="n"/>
      <c r="Q705" s="7" t="n"/>
      <c r="R705" s="7" t="n"/>
      <c r="S705" s="7" t="n"/>
      <c r="T705" s="7" t="n"/>
      <c r="U705" s="12">
        <f>IF(A705="","",IF(H705="","建議填分配模式",""))</f>
        <v/>
      </c>
    </row>
    <row r="706" ht="24" customHeight="1">
      <c r="A706" s="7" t="n"/>
      <c r="B706" s="7" t="n"/>
      <c r="C706" s="7" t="n"/>
      <c r="D706" s="12">
        <f>IF($A706="","",IFERROR(INDEX(土地清冊_匯入!$B$6:$B$1005,MATCH($A706,土地清冊_匯入!$A$6:$A$1005,0)),"查無資料"))</f>
        <v/>
      </c>
      <c r="E706" s="9">
        <f>IF($A706="","",IFERROR(INDEX(土地清冊_匯入!$I$6:$I$1005,MATCH($A706,土地清冊_匯入!$A$6:$A$1005,0)),""))</f>
        <v/>
      </c>
      <c r="F706" s="13">
        <f>IF($A706="","",IFERROR(INDEX(建物清冊_匯入!$N$6:$N$1005,MATCH($A706,建物清冊_匯入!$A$6:$A$1005,0)),""))</f>
        <v/>
      </c>
      <c r="G706" s="9">
        <f>IF($A706="","",IFERROR(INDEX(建物清冊_匯入!$S$6:$S$1005,MATCH($A706,建物清冊_匯入!$A$6:$A$1005,0)),""))</f>
        <v/>
      </c>
      <c r="H706" s="7" t="n"/>
      <c r="I706" s="15" t="n"/>
      <c r="J706" s="16" t="n"/>
      <c r="K706" s="17">
        <f>IF(J706="","",1-J706)</f>
        <v/>
      </c>
      <c r="L706" s="15" t="n"/>
      <c r="M706" s="7" t="n"/>
      <c r="N706" s="7" t="n"/>
      <c r="O706" s="7" t="n"/>
      <c r="P706" s="11" t="n"/>
      <c r="Q706" s="7" t="n"/>
      <c r="R706" s="7" t="n"/>
      <c r="S706" s="7" t="n"/>
      <c r="T706" s="7" t="n"/>
      <c r="U706" s="12">
        <f>IF(A706="","",IF(H706="","建議填分配模式",""))</f>
        <v/>
      </c>
    </row>
    <row r="707" ht="24" customHeight="1">
      <c r="A707" s="7" t="n"/>
      <c r="B707" s="7" t="n"/>
      <c r="C707" s="7" t="n"/>
      <c r="D707" s="12">
        <f>IF($A707="","",IFERROR(INDEX(土地清冊_匯入!$B$6:$B$1005,MATCH($A707,土地清冊_匯入!$A$6:$A$1005,0)),"查無資料"))</f>
        <v/>
      </c>
      <c r="E707" s="9">
        <f>IF($A707="","",IFERROR(INDEX(土地清冊_匯入!$I$6:$I$1005,MATCH($A707,土地清冊_匯入!$A$6:$A$1005,0)),""))</f>
        <v/>
      </c>
      <c r="F707" s="13">
        <f>IF($A707="","",IFERROR(INDEX(建物清冊_匯入!$N$6:$N$1005,MATCH($A707,建物清冊_匯入!$A$6:$A$1005,0)),""))</f>
        <v/>
      </c>
      <c r="G707" s="9">
        <f>IF($A707="","",IFERROR(INDEX(建物清冊_匯入!$S$6:$S$1005,MATCH($A707,建物清冊_匯入!$A$6:$A$1005,0)),""))</f>
        <v/>
      </c>
      <c r="H707" s="7" t="n"/>
      <c r="I707" s="15" t="n"/>
      <c r="J707" s="16" t="n"/>
      <c r="K707" s="17">
        <f>IF(J707="","",1-J707)</f>
        <v/>
      </c>
      <c r="L707" s="15" t="n"/>
      <c r="M707" s="7" t="n"/>
      <c r="N707" s="7" t="n"/>
      <c r="O707" s="7" t="n"/>
      <c r="P707" s="11" t="n"/>
      <c r="Q707" s="7" t="n"/>
      <c r="R707" s="7" t="n"/>
      <c r="S707" s="7" t="n"/>
      <c r="T707" s="7" t="n"/>
      <c r="U707" s="12">
        <f>IF(A707="","",IF(H707="","建議填分配模式",""))</f>
        <v/>
      </c>
    </row>
    <row r="708" ht="24" customHeight="1">
      <c r="A708" s="7" t="n"/>
      <c r="B708" s="7" t="n"/>
      <c r="C708" s="7" t="n"/>
      <c r="D708" s="12">
        <f>IF($A708="","",IFERROR(INDEX(土地清冊_匯入!$B$6:$B$1005,MATCH($A708,土地清冊_匯入!$A$6:$A$1005,0)),"查無資料"))</f>
        <v/>
      </c>
      <c r="E708" s="9">
        <f>IF($A708="","",IFERROR(INDEX(土地清冊_匯入!$I$6:$I$1005,MATCH($A708,土地清冊_匯入!$A$6:$A$1005,0)),""))</f>
        <v/>
      </c>
      <c r="F708" s="13">
        <f>IF($A708="","",IFERROR(INDEX(建物清冊_匯入!$N$6:$N$1005,MATCH($A708,建物清冊_匯入!$A$6:$A$1005,0)),""))</f>
        <v/>
      </c>
      <c r="G708" s="9">
        <f>IF($A708="","",IFERROR(INDEX(建物清冊_匯入!$S$6:$S$1005,MATCH($A708,建物清冊_匯入!$A$6:$A$1005,0)),""))</f>
        <v/>
      </c>
      <c r="H708" s="7" t="n"/>
      <c r="I708" s="15" t="n"/>
      <c r="J708" s="16" t="n"/>
      <c r="K708" s="17">
        <f>IF(J708="","",1-J708)</f>
        <v/>
      </c>
      <c r="L708" s="15" t="n"/>
      <c r="M708" s="7" t="n"/>
      <c r="N708" s="7" t="n"/>
      <c r="O708" s="7" t="n"/>
      <c r="P708" s="11" t="n"/>
      <c r="Q708" s="7" t="n"/>
      <c r="R708" s="7" t="n"/>
      <c r="S708" s="7" t="n"/>
      <c r="T708" s="7" t="n"/>
      <c r="U708" s="12">
        <f>IF(A708="","",IF(H708="","建議填分配模式",""))</f>
        <v/>
      </c>
    </row>
    <row r="709" ht="24" customHeight="1">
      <c r="A709" s="7" t="n"/>
      <c r="B709" s="7" t="n"/>
      <c r="C709" s="7" t="n"/>
      <c r="D709" s="12">
        <f>IF($A709="","",IFERROR(INDEX(土地清冊_匯入!$B$6:$B$1005,MATCH($A709,土地清冊_匯入!$A$6:$A$1005,0)),"查無資料"))</f>
        <v/>
      </c>
      <c r="E709" s="9">
        <f>IF($A709="","",IFERROR(INDEX(土地清冊_匯入!$I$6:$I$1005,MATCH($A709,土地清冊_匯入!$A$6:$A$1005,0)),""))</f>
        <v/>
      </c>
      <c r="F709" s="13">
        <f>IF($A709="","",IFERROR(INDEX(建物清冊_匯入!$N$6:$N$1005,MATCH($A709,建物清冊_匯入!$A$6:$A$1005,0)),""))</f>
        <v/>
      </c>
      <c r="G709" s="9">
        <f>IF($A709="","",IFERROR(INDEX(建物清冊_匯入!$S$6:$S$1005,MATCH($A709,建物清冊_匯入!$A$6:$A$1005,0)),""))</f>
        <v/>
      </c>
      <c r="H709" s="7" t="n"/>
      <c r="I709" s="15" t="n"/>
      <c r="J709" s="16" t="n"/>
      <c r="K709" s="17">
        <f>IF(J709="","",1-J709)</f>
        <v/>
      </c>
      <c r="L709" s="15" t="n"/>
      <c r="M709" s="7" t="n"/>
      <c r="N709" s="7" t="n"/>
      <c r="O709" s="7" t="n"/>
      <c r="P709" s="11" t="n"/>
      <c r="Q709" s="7" t="n"/>
      <c r="R709" s="7" t="n"/>
      <c r="S709" s="7" t="n"/>
      <c r="T709" s="7" t="n"/>
      <c r="U709" s="12">
        <f>IF(A709="","",IF(H709="","建議填分配模式",""))</f>
        <v/>
      </c>
    </row>
    <row r="710" ht="24" customHeight="1">
      <c r="A710" s="7" t="n"/>
      <c r="B710" s="7" t="n"/>
      <c r="C710" s="7" t="n"/>
      <c r="D710" s="12">
        <f>IF($A710="","",IFERROR(INDEX(土地清冊_匯入!$B$6:$B$1005,MATCH($A710,土地清冊_匯入!$A$6:$A$1005,0)),"查無資料"))</f>
        <v/>
      </c>
      <c r="E710" s="9">
        <f>IF($A710="","",IFERROR(INDEX(土地清冊_匯入!$I$6:$I$1005,MATCH($A710,土地清冊_匯入!$A$6:$A$1005,0)),""))</f>
        <v/>
      </c>
      <c r="F710" s="13">
        <f>IF($A710="","",IFERROR(INDEX(建物清冊_匯入!$N$6:$N$1005,MATCH($A710,建物清冊_匯入!$A$6:$A$1005,0)),""))</f>
        <v/>
      </c>
      <c r="G710" s="9">
        <f>IF($A710="","",IFERROR(INDEX(建物清冊_匯入!$S$6:$S$1005,MATCH($A710,建物清冊_匯入!$A$6:$A$1005,0)),""))</f>
        <v/>
      </c>
      <c r="H710" s="7" t="n"/>
      <c r="I710" s="15" t="n"/>
      <c r="J710" s="16" t="n"/>
      <c r="K710" s="17">
        <f>IF(J710="","",1-J710)</f>
        <v/>
      </c>
      <c r="L710" s="15" t="n"/>
      <c r="M710" s="7" t="n"/>
      <c r="N710" s="7" t="n"/>
      <c r="O710" s="7" t="n"/>
      <c r="P710" s="11" t="n"/>
      <c r="Q710" s="7" t="n"/>
      <c r="R710" s="7" t="n"/>
      <c r="S710" s="7" t="n"/>
      <c r="T710" s="7" t="n"/>
      <c r="U710" s="12">
        <f>IF(A710="","",IF(H710="","建議填分配模式",""))</f>
        <v/>
      </c>
    </row>
    <row r="711" ht="24" customHeight="1">
      <c r="A711" s="7" t="n"/>
      <c r="B711" s="7" t="n"/>
      <c r="C711" s="7" t="n"/>
      <c r="D711" s="12">
        <f>IF($A711="","",IFERROR(INDEX(土地清冊_匯入!$B$6:$B$1005,MATCH($A711,土地清冊_匯入!$A$6:$A$1005,0)),"查無資料"))</f>
        <v/>
      </c>
      <c r="E711" s="9">
        <f>IF($A711="","",IFERROR(INDEX(土地清冊_匯入!$I$6:$I$1005,MATCH($A711,土地清冊_匯入!$A$6:$A$1005,0)),""))</f>
        <v/>
      </c>
      <c r="F711" s="13">
        <f>IF($A711="","",IFERROR(INDEX(建物清冊_匯入!$N$6:$N$1005,MATCH($A711,建物清冊_匯入!$A$6:$A$1005,0)),""))</f>
        <v/>
      </c>
      <c r="G711" s="9">
        <f>IF($A711="","",IFERROR(INDEX(建物清冊_匯入!$S$6:$S$1005,MATCH($A711,建物清冊_匯入!$A$6:$A$1005,0)),""))</f>
        <v/>
      </c>
      <c r="H711" s="7" t="n"/>
      <c r="I711" s="15" t="n"/>
      <c r="J711" s="16" t="n"/>
      <c r="K711" s="17">
        <f>IF(J711="","",1-J711)</f>
        <v/>
      </c>
      <c r="L711" s="15" t="n"/>
      <c r="M711" s="7" t="n"/>
      <c r="N711" s="7" t="n"/>
      <c r="O711" s="7" t="n"/>
      <c r="P711" s="11" t="n"/>
      <c r="Q711" s="7" t="n"/>
      <c r="R711" s="7" t="n"/>
      <c r="S711" s="7" t="n"/>
      <c r="T711" s="7" t="n"/>
      <c r="U711" s="12">
        <f>IF(A711="","",IF(H711="","建議填分配模式",""))</f>
        <v/>
      </c>
    </row>
    <row r="712" ht="24" customHeight="1">
      <c r="A712" s="7" t="n"/>
      <c r="B712" s="7" t="n"/>
      <c r="C712" s="7" t="n"/>
      <c r="D712" s="12">
        <f>IF($A712="","",IFERROR(INDEX(土地清冊_匯入!$B$6:$B$1005,MATCH($A712,土地清冊_匯入!$A$6:$A$1005,0)),"查無資料"))</f>
        <v/>
      </c>
      <c r="E712" s="9">
        <f>IF($A712="","",IFERROR(INDEX(土地清冊_匯入!$I$6:$I$1005,MATCH($A712,土地清冊_匯入!$A$6:$A$1005,0)),""))</f>
        <v/>
      </c>
      <c r="F712" s="13">
        <f>IF($A712="","",IFERROR(INDEX(建物清冊_匯入!$N$6:$N$1005,MATCH($A712,建物清冊_匯入!$A$6:$A$1005,0)),""))</f>
        <v/>
      </c>
      <c r="G712" s="9">
        <f>IF($A712="","",IFERROR(INDEX(建物清冊_匯入!$S$6:$S$1005,MATCH($A712,建物清冊_匯入!$A$6:$A$1005,0)),""))</f>
        <v/>
      </c>
      <c r="H712" s="7" t="n"/>
      <c r="I712" s="15" t="n"/>
      <c r="J712" s="16" t="n"/>
      <c r="K712" s="17">
        <f>IF(J712="","",1-J712)</f>
        <v/>
      </c>
      <c r="L712" s="15" t="n"/>
      <c r="M712" s="7" t="n"/>
      <c r="N712" s="7" t="n"/>
      <c r="O712" s="7" t="n"/>
      <c r="P712" s="11" t="n"/>
      <c r="Q712" s="7" t="n"/>
      <c r="R712" s="7" t="n"/>
      <c r="S712" s="7" t="n"/>
      <c r="T712" s="7" t="n"/>
      <c r="U712" s="12">
        <f>IF(A712="","",IF(H712="","建議填分配模式",""))</f>
        <v/>
      </c>
    </row>
    <row r="713" ht="24" customHeight="1">
      <c r="A713" s="7" t="n"/>
      <c r="B713" s="7" t="n"/>
      <c r="C713" s="7" t="n"/>
      <c r="D713" s="12">
        <f>IF($A713="","",IFERROR(INDEX(土地清冊_匯入!$B$6:$B$1005,MATCH($A713,土地清冊_匯入!$A$6:$A$1005,0)),"查無資料"))</f>
        <v/>
      </c>
      <c r="E713" s="9">
        <f>IF($A713="","",IFERROR(INDEX(土地清冊_匯入!$I$6:$I$1005,MATCH($A713,土地清冊_匯入!$A$6:$A$1005,0)),""))</f>
        <v/>
      </c>
      <c r="F713" s="13">
        <f>IF($A713="","",IFERROR(INDEX(建物清冊_匯入!$N$6:$N$1005,MATCH($A713,建物清冊_匯入!$A$6:$A$1005,0)),""))</f>
        <v/>
      </c>
      <c r="G713" s="9">
        <f>IF($A713="","",IFERROR(INDEX(建物清冊_匯入!$S$6:$S$1005,MATCH($A713,建物清冊_匯入!$A$6:$A$1005,0)),""))</f>
        <v/>
      </c>
      <c r="H713" s="7" t="n"/>
      <c r="I713" s="15" t="n"/>
      <c r="J713" s="16" t="n"/>
      <c r="K713" s="17">
        <f>IF(J713="","",1-J713)</f>
        <v/>
      </c>
      <c r="L713" s="15" t="n"/>
      <c r="M713" s="7" t="n"/>
      <c r="N713" s="7" t="n"/>
      <c r="O713" s="7" t="n"/>
      <c r="P713" s="11" t="n"/>
      <c r="Q713" s="7" t="n"/>
      <c r="R713" s="7" t="n"/>
      <c r="S713" s="7" t="n"/>
      <c r="T713" s="7" t="n"/>
      <c r="U713" s="12">
        <f>IF(A713="","",IF(H713="","建議填分配模式",""))</f>
        <v/>
      </c>
    </row>
    <row r="714" ht="24" customHeight="1">
      <c r="A714" s="7" t="n"/>
      <c r="B714" s="7" t="n"/>
      <c r="C714" s="7" t="n"/>
      <c r="D714" s="12">
        <f>IF($A714="","",IFERROR(INDEX(土地清冊_匯入!$B$6:$B$1005,MATCH($A714,土地清冊_匯入!$A$6:$A$1005,0)),"查無資料"))</f>
        <v/>
      </c>
      <c r="E714" s="9">
        <f>IF($A714="","",IFERROR(INDEX(土地清冊_匯入!$I$6:$I$1005,MATCH($A714,土地清冊_匯入!$A$6:$A$1005,0)),""))</f>
        <v/>
      </c>
      <c r="F714" s="13">
        <f>IF($A714="","",IFERROR(INDEX(建物清冊_匯入!$N$6:$N$1005,MATCH($A714,建物清冊_匯入!$A$6:$A$1005,0)),""))</f>
        <v/>
      </c>
      <c r="G714" s="9">
        <f>IF($A714="","",IFERROR(INDEX(建物清冊_匯入!$S$6:$S$1005,MATCH($A714,建物清冊_匯入!$A$6:$A$1005,0)),""))</f>
        <v/>
      </c>
      <c r="H714" s="7" t="n"/>
      <c r="I714" s="15" t="n"/>
      <c r="J714" s="16" t="n"/>
      <c r="K714" s="17">
        <f>IF(J714="","",1-J714)</f>
        <v/>
      </c>
      <c r="L714" s="15" t="n"/>
      <c r="M714" s="7" t="n"/>
      <c r="N714" s="7" t="n"/>
      <c r="O714" s="7" t="n"/>
      <c r="P714" s="11" t="n"/>
      <c r="Q714" s="7" t="n"/>
      <c r="R714" s="7" t="n"/>
      <c r="S714" s="7" t="n"/>
      <c r="T714" s="7" t="n"/>
      <c r="U714" s="12">
        <f>IF(A714="","",IF(H714="","建議填分配模式",""))</f>
        <v/>
      </c>
    </row>
    <row r="715" ht="24" customHeight="1">
      <c r="A715" s="7" t="n"/>
      <c r="B715" s="7" t="n"/>
      <c r="C715" s="7" t="n"/>
      <c r="D715" s="12">
        <f>IF($A715="","",IFERROR(INDEX(土地清冊_匯入!$B$6:$B$1005,MATCH($A715,土地清冊_匯入!$A$6:$A$1005,0)),"查無資料"))</f>
        <v/>
      </c>
      <c r="E715" s="9">
        <f>IF($A715="","",IFERROR(INDEX(土地清冊_匯入!$I$6:$I$1005,MATCH($A715,土地清冊_匯入!$A$6:$A$1005,0)),""))</f>
        <v/>
      </c>
      <c r="F715" s="13">
        <f>IF($A715="","",IFERROR(INDEX(建物清冊_匯入!$N$6:$N$1005,MATCH($A715,建物清冊_匯入!$A$6:$A$1005,0)),""))</f>
        <v/>
      </c>
      <c r="G715" s="9">
        <f>IF($A715="","",IFERROR(INDEX(建物清冊_匯入!$S$6:$S$1005,MATCH($A715,建物清冊_匯入!$A$6:$A$1005,0)),""))</f>
        <v/>
      </c>
      <c r="H715" s="7" t="n"/>
      <c r="I715" s="15" t="n"/>
      <c r="J715" s="16" t="n"/>
      <c r="K715" s="17">
        <f>IF(J715="","",1-J715)</f>
        <v/>
      </c>
      <c r="L715" s="15" t="n"/>
      <c r="M715" s="7" t="n"/>
      <c r="N715" s="7" t="n"/>
      <c r="O715" s="7" t="n"/>
      <c r="P715" s="11" t="n"/>
      <c r="Q715" s="7" t="n"/>
      <c r="R715" s="7" t="n"/>
      <c r="S715" s="7" t="n"/>
      <c r="T715" s="7" t="n"/>
      <c r="U715" s="12">
        <f>IF(A715="","",IF(H715="","建議填分配模式",""))</f>
        <v/>
      </c>
    </row>
    <row r="716" ht="24" customHeight="1">
      <c r="A716" s="7" t="n"/>
      <c r="B716" s="7" t="n"/>
      <c r="C716" s="7" t="n"/>
      <c r="D716" s="12">
        <f>IF($A716="","",IFERROR(INDEX(土地清冊_匯入!$B$6:$B$1005,MATCH($A716,土地清冊_匯入!$A$6:$A$1005,0)),"查無資料"))</f>
        <v/>
      </c>
      <c r="E716" s="9">
        <f>IF($A716="","",IFERROR(INDEX(土地清冊_匯入!$I$6:$I$1005,MATCH($A716,土地清冊_匯入!$A$6:$A$1005,0)),""))</f>
        <v/>
      </c>
      <c r="F716" s="13">
        <f>IF($A716="","",IFERROR(INDEX(建物清冊_匯入!$N$6:$N$1005,MATCH($A716,建物清冊_匯入!$A$6:$A$1005,0)),""))</f>
        <v/>
      </c>
      <c r="G716" s="9">
        <f>IF($A716="","",IFERROR(INDEX(建物清冊_匯入!$S$6:$S$1005,MATCH($A716,建物清冊_匯入!$A$6:$A$1005,0)),""))</f>
        <v/>
      </c>
      <c r="H716" s="7" t="n"/>
      <c r="I716" s="15" t="n"/>
      <c r="J716" s="16" t="n"/>
      <c r="K716" s="17">
        <f>IF(J716="","",1-J716)</f>
        <v/>
      </c>
      <c r="L716" s="15" t="n"/>
      <c r="M716" s="7" t="n"/>
      <c r="N716" s="7" t="n"/>
      <c r="O716" s="7" t="n"/>
      <c r="P716" s="11" t="n"/>
      <c r="Q716" s="7" t="n"/>
      <c r="R716" s="7" t="n"/>
      <c r="S716" s="7" t="n"/>
      <c r="T716" s="7" t="n"/>
      <c r="U716" s="12">
        <f>IF(A716="","",IF(H716="","建議填分配模式",""))</f>
        <v/>
      </c>
    </row>
    <row r="717" ht="24" customHeight="1">
      <c r="A717" s="7" t="n"/>
      <c r="B717" s="7" t="n"/>
      <c r="C717" s="7" t="n"/>
      <c r="D717" s="12">
        <f>IF($A717="","",IFERROR(INDEX(土地清冊_匯入!$B$6:$B$1005,MATCH($A717,土地清冊_匯入!$A$6:$A$1005,0)),"查無資料"))</f>
        <v/>
      </c>
      <c r="E717" s="9">
        <f>IF($A717="","",IFERROR(INDEX(土地清冊_匯入!$I$6:$I$1005,MATCH($A717,土地清冊_匯入!$A$6:$A$1005,0)),""))</f>
        <v/>
      </c>
      <c r="F717" s="13">
        <f>IF($A717="","",IFERROR(INDEX(建物清冊_匯入!$N$6:$N$1005,MATCH($A717,建物清冊_匯入!$A$6:$A$1005,0)),""))</f>
        <v/>
      </c>
      <c r="G717" s="9">
        <f>IF($A717="","",IFERROR(INDEX(建物清冊_匯入!$S$6:$S$1005,MATCH($A717,建物清冊_匯入!$A$6:$A$1005,0)),""))</f>
        <v/>
      </c>
      <c r="H717" s="7" t="n"/>
      <c r="I717" s="15" t="n"/>
      <c r="J717" s="16" t="n"/>
      <c r="K717" s="17">
        <f>IF(J717="","",1-J717)</f>
        <v/>
      </c>
      <c r="L717" s="15" t="n"/>
      <c r="M717" s="7" t="n"/>
      <c r="N717" s="7" t="n"/>
      <c r="O717" s="7" t="n"/>
      <c r="P717" s="11" t="n"/>
      <c r="Q717" s="7" t="n"/>
      <c r="R717" s="7" t="n"/>
      <c r="S717" s="7" t="n"/>
      <c r="T717" s="7" t="n"/>
      <c r="U717" s="12">
        <f>IF(A717="","",IF(H717="","建議填分配模式",""))</f>
        <v/>
      </c>
    </row>
    <row r="718" ht="24" customHeight="1">
      <c r="A718" s="7" t="n"/>
      <c r="B718" s="7" t="n"/>
      <c r="C718" s="7" t="n"/>
      <c r="D718" s="12">
        <f>IF($A718="","",IFERROR(INDEX(土地清冊_匯入!$B$6:$B$1005,MATCH($A718,土地清冊_匯入!$A$6:$A$1005,0)),"查無資料"))</f>
        <v/>
      </c>
      <c r="E718" s="9">
        <f>IF($A718="","",IFERROR(INDEX(土地清冊_匯入!$I$6:$I$1005,MATCH($A718,土地清冊_匯入!$A$6:$A$1005,0)),""))</f>
        <v/>
      </c>
      <c r="F718" s="13">
        <f>IF($A718="","",IFERROR(INDEX(建物清冊_匯入!$N$6:$N$1005,MATCH($A718,建物清冊_匯入!$A$6:$A$1005,0)),""))</f>
        <v/>
      </c>
      <c r="G718" s="9">
        <f>IF($A718="","",IFERROR(INDEX(建物清冊_匯入!$S$6:$S$1005,MATCH($A718,建物清冊_匯入!$A$6:$A$1005,0)),""))</f>
        <v/>
      </c>
      <c r="H718" s="7" t="n"/>
      <c r="I718" s="15" t="n"/>
      <c r="J718" s="16" t="n"/>
      <c r="K718" s="17">
        <f>IF(J718="","",1-J718)</f>
        <v/>
      </c>
      <c r="L718" s="15" t="n"/>
      <c r="M718" s="7" t="n"/>
      <c r="N718" s="7" t="n"/>
      <c r="O718" s="7" t="n"/>
      <c r="P718" s="11" t="n"/>
      <c r="Q718" s="7" t="n"/>
      <c r="R718" s="7" t="n"/>
      <c r="S718" s="7" t="n"/>
      <c r="T718" s="7" t="n"/>
      <c r="U718" s="12">
        <f>IF(A718="","",IF(H718="","建議填分配模式",""))</f>
        <v/>
      </c>
    </row>
    <row r="719" ht="24" customHeight="1">
      <c r="A719" s="7" t="n"/>
      <c r="B719" s="7" t="n"/>
      <c r="C719" s="7" t="n"/>
      <c r="D719" s="12">
        <f>IF($A719="","",IFERROR(INDEX(土地清冊_匯入!$B$6:$B$1005,MATCH($A719,土地清冊_匯入!$A$6:$A$1005,0)),"查無資料"))</f>
        <v/>
      </c>
      <c r="E719" s="9">
        <f>IF($A719="","",IFERROR(INDEX(土地清冊_匯入!$I$6:$I$1005,MATCH($A719,土地清冊_匯入!$A$6:$A$1005,0)),""))</f>
        <v/>
      </c>
      <c r="F719" s="13">
        <f>IF($A719="","",IFERROR(INDEX(建物清冊_匯入!$N$6:$N$1005,MATCH($A719,建物清冊_匯入!$A$6:$A$1005,0)),""))</f>
        <v/>
      </c>
      <c r="G719" s="9">
        <f>IF($A719="","",IFERROR(INDEX(建物清冊_匯入!$S$6:$S$1005,MATCH($A719,建物清冊_匯入!$A$6:$A$1005,0)),""))</f>
        <v/>
      </c>
      <c r="H719" s="7" t="n"/>
      <c r="I719" s="15" t="n"/>
      <c r="J719" s="16" t="n"/>
      <c r="K719" s="17">
        <f>IF(J719="","",1-J719)</f>
        <v/>
      </c>
      <c r="L719" s="15" t="n"/>
      <c r="M719" s="7" t="n"/>
      <c r="N719" s="7" t="n"/>
      <c r="O719" s="7" t="n"/>
      <c r="P719" s="11" t="n"/>
      <c r="Q719" s="7" t="n"/>
      <c r="R719" s="7" t="n"/>
      <c r="S719" s="7" t="n"/>
      <c r="T719" s="7" t="n"/>
      <c r="U719" s="12">
        <f>IF(A719="","",IF(H719="","建議填分配模式",""))</f>
        <v/>
      </c>
    </row>
    <row r="720" ht="24" customHeight="1">
      <c r="A720" s="7" t="n"/>
      <c r="B720" s="7" t="n"/>
      <c r="C720" s="7" t="n"/>
      <c r="D720" s="12">
        <f>IF($A720="","",IFERROR(INDEX(土地清冊_匯入!$B$6:$B$1005,MATCH($A720,土地清冊_匯入!$A$6:$A$1005,0)),"查無資料"))</f>
        <v/>
      </c>
      <c r="E720" s="9">
        <f>IF($A720="","",IFERROR(INDEX(土地清冊_匯入!$I$6:$I$1005,MATCH($A720,土地清冊_匯入!$A$6:$A$1005,0)),""))</f>
        <v/>
      </c>
      <c r="F720" s="13">
        <f>IF($A720="","",IFERROR(INDEX(建物清冊_匯入!$N$6:$N$1005,MATCH($A720,建物清冊_匯入!$A$6:$A$1005,0)),""))</f>
        <v/>
      </c>
      <c r="G720" s="9">
        <f>IF($A720="","",IFERROR(INDEX(建物清冊_匯入!$S$6:$S$1005,MATCH($A720,建物清冊_匯入!$A$6:$A$1005,0)),""))</f>
        <v/>
      </c>
      <c r="H720" s="7" t="n"/>
      <c r="I720" s="15" t="n"/>
      <c r="J720" s="16" t="n"/>
      <c r="K720" s="17">
        <f>IF(J720="","",1-J720)</f>
        <v/>
      </c>
      <c r="L720" s="15" t="n"/>
      <c r="M720" s="7" t="n"/>
      <c r="N720" s="7" t="n"/>
      <c r="O720" s="7" t="n"/>
      <c r="P720" s="11" t="n"/>
      <c r="Q720" s="7" t="n"/>
      <c r="R720" s="7" t="n"/>
      <c r="S720" s="7" t="n"/>
      <c r="T720" s="7" t="n"/>
      <c r="U720" s="12">
        <f>IF(A720="","",IF(H720="","建議填分配模式",""))</f>
        <v/>
      </c>
    </row>
    <row r="721" ht="24" customHeight="1">
      <c r="A721" s="7" t="n"/>
      <c r="B721" s="7" t="n"/>
      <c r="C721" s="7" t="n"/>
      <c r="D721" s="12">
        <f>IF($A721="","",IFERROR(INDEX(土地清冊_匯入!$B$6:$B$1005,MATCH($A721,土地清冊_匯入!$A$6:$A$1005,0)),"查無資料"))</f>
        <v/>
      </c>
      <c r="E721" s="9">
        <f>IF($A721="","",IFERROR(INDEX(土地清冊_匯入!$I$6:$I$1005,MATCH($A721,土地清冊_匯入!$A$6:$A$1005,0)),""))</f>
        <v/>
      </c>
      <c r="F721" s="13">
        <f>IF($A721="","",IFERROR(INDEX(建物清冊_匯入!$N$6:$N$1005,MATCH($A721,建物清冊_匯入!$A$6:$A$1005,0)),""))</f>
        <v/>
      </c>
      <c r="G721" s="9">
        <f>IF($A721="","",IFERROR(INDEX(建物清冊_匯入!$S$6:$S$1005,MATCH($A721,建物清冊_匯入!$A$6:$A$1005,0)),""))</f>
        <v/>
      </c>
      <c r="H721" s="7" t="n"/>
      <c r="I721" s="15" t="n"/>
      <c r="J721" s="16" t="n"/>
      <c r="K721" s="17">
        <f>IF(J721="","",1-J721)</f>
        <v/>
      </c>
      <c r="L721" s="15" t="n"/>
      <c r="M721" s="7" t="n"/>
      <c r="N721" s="7" t="n"/>
      <c r="O721" s="7" t="n"/>
      <c r="P721" s="11" t="n"/>
      <c r="Q721" s="7" t="n"/>
      <c r="R721" s="7" t="n"/>
      <c r="S721" s="7" t="n"/>
      <c r="T721" s="7" t="n"/>
      <c r="U721" s="12">
        <f>IF(A721="","",IF(H721="","建議填分配模式",""))</f>
        <v/>
      </c>
    </row>
    <row r="722" ht="24" customHeight="1">
      <c r="A722" s="7" t="n"/>
      <c r="B722" s="7" t="n"/>
      <c r="C722" s="7" t="n"/>
      <c r="D722" s="12">
        <f>IF($A722="","",IFERROR(INDEX(土地清冊_匯入!$B$6:$B$1005,MATCH($A722,土地清冊_匯入!$A$6:$A$1005,0)),"查無資料"))</f>
        <v/>
      </c>
      <c r="E722" s="9">
        <f>IF($A722="","",IFERROR(INDEX(土地清冊_匯入!$I$6:$I$1005,MATCH($A722,土地清冊_匯入!$A$6:$A$1005,0)),""))</f>
        <v/>
      </c>
      <c r="F722" s="13">
        <f>IF($A722="","",IFERROR(INDEX(建物清冊_匯入!$N$6:$N$1005,MATCH($A722,建物清冊_匯入!$A$6:$A$1005,0)),""))</f>
        <v/>
      </c>
      <c r="G722" s="9">
        <f>IF($A722="","",IFERROR(INDEX(建物清冊_匯入!$S$6:$S$1005,MATCH($A722,建物清冊_匯入!$A$6:$A$1005,0)),""))</f>
        <v/>
      </c>
      <c r="H722" s="7" t="n"/>
      <c r="I722" s="15" t="n"/>
      <c r="J722" s="16" t="n"/>
      <c r="K722" s="17">
        <f>IF(J722="","",1-J722)</f>
        <v/>
      </c>
      <c r="L722" s="15" t="n"/>
      <c r="M722" s="7" t="n"/>
      <c r="N722" s="7" t="n"/>
      <c r="O722" s="7" t="n"/>
      <c r="P722" s="11" t="n"/>
      <c r="Q722" s="7" t="n"/>
      <c r="R722" s="7" t="n"/>
      <c r="S722" s="7" t="n"/>
      <c r="T722" s="7" t="n"/>
      <c r="U722" s="12">
        <f>IF(A722="","",IF(H722="","建議填分配模式",""))</f>
        <v/>
      </c>
    </row>
    <row r="723" ht="24" customHeight="1">
      <c r="A723" s="7" t="n"/>
      <c r="B723" s="7" t="n"/>
      <c r="C723" s="7" t="n"/>
      <c r="D723" s="12">
        <f>IF($A723="","",IFERROR(INDEX(土地清冊_匯入!$B$6:$B$1005,MATCH($A723,土地清冊_匯入!$A$6:$A$1005,0)),"查無資料"))</f>
        <v/>
      </c>
      <c r="E723" s="9">
        <f>IF($A723="","",IFERROR(INDEX(土地清冊_匯入!$I$6:$I$1005,MATCH($A723,土地清冊_匯入!$A$6:$A$1005,0)),""))</f>
        <v/>
      </c>
      <c r="F723" s="13">
        <f>IF($A723="","",IFERROR(INDEX(建物清冊_匯入!$N$6:$N$1005,MATCH($A723,建物清冊_匯入!$A$6:$A$1005,0)),""))</f>
        <v/>
      </c>
      <c r="G723" s="9">
        <f>IF($A723="","",IFERROR(INDEX(建物清冊_匯入!$S$6:$S$1005,MATCH($A723,建物清冊_匯入!$A$6:$A$1005,0)),""))</f>
        <v/>
      </c>
      <c r="H723" s="7" t="n"/>
      <c r="I723" s="15" t="n"/>
      <c r="J723" s="16" t="n"/>
      <c r="K723" s="17">
        <f>IF(J723="","",1-J723)</f>
        <v/>
      </c>
      <c r="L723" s="15" t="n"/>
      <c r="M723" s="7" t="n"/>
      <c r="N723" s="7" t="n"/>
      <c r="O723" s="7" t="n"/>
      <c r="P723" s="11" t="n"/>
      <c r="Q723" s="7" t="n"/>
      <c r="R723" s="7" t="n"/>
      <c r="S723" s="7" t="n"/>
      <c r="T723" s="7" t="n"/>
      <c r="U723" s="12">
        <f>IF(A723="","",IF(H723="","建議填分配模式",""))</f>
        <v/>
      </c>
    </row>
    <row r="724" ht="24" customHeight="1">
      <c r="A724" s="7" t="n"/>
      <c r="B724" s="7" t="n"/>
      <c r="C724" s="7" t="n"/>
      <c r="D724" s="12">
        <f>IF($A724="","",IFERROR(INDEX(土地清冊_匯入!$B$6:$B$1005,MATCH($A724,土地清冊_匯入!$A$6:$A$1005,0)),"查無資料"))</f>
        <v/>
      </c>
      <c r="E724" s="9">
        <f>IF($A724="","",IFERROR(INDEX(土地清冊_匯入!$I$6:$I$1005,MATCH($A724,土地清冊_匯入!$A$6:$A$1005,0)),""))</f>
        <v/>
      </c>
      <c r="F724" s="13">
        <f>IF($A724="","",IFERROR(INDEX(建物清冊_匯入!$N$6:$N$1005,MATCH($A724,建物清冊_匯入!$A$6:$A$1005,0)),""))</f>
        <v/>
      </c>
      <c r="G724" s="9">
        <f>IF($A724="","",IFERROR(INDEX(建物清冊_匯入!$S$6:$S$1005,MATCH($A724,建物清冊_匯入!$A$6:$A$1005,0)),""))</f>
        <v/>
      </c>
      <c r="H724" s="7" t="n"/>
      <c r="I724" s="15" t="n"/>
      <c r="J724" s="16" t="n"/>
      <c r="K724" s="17">
        <f>IF(J724="","",1-J724)</f>
        <v/>
      </c>
      <c r="L724" s="15" t="n"/>
      <c r="M724" s="7" t="n"/>
      <c r="N724" s="7" t="n"/>
      <c r="O724" s="7" t="n"/>
      <c r="P724" s="11" t="n"/>
      <c r="Q724" s="7" t="n"/>
      <c r="R724" s="7" t="n"/>
      <c r="S724" s="7" t="n"/>
      <c r="T724" s="7" t="n"/>
      <c r="U724" s="12">
        <f>IF(A724="","",IF(H724="","建議填分配模式",""))</f>
        <v/>
      </c>
    </row>
    <row r="725" ht="24" customHeight="1">
      <c r="A725" s="7" t="n"/>
      <c r="B725" s="7" t="n"/>
      <c r="C725" s="7" t="n"/>
      <c r="D725" s="12">
        <f>IF($A725="","",IFERROR(INDEX(土地清冊_匯入!$B$6:$B$1005,MATCH($A725,土地清冊_匯入!$A$6:$A$1005,0)),"查無資料"))</f>
        <v/>
      </c>
      <c r="E725" s="9">
        <f>IF($A725="","",IFERROR(INDEX(土地清冊_匯入!$I$6:$I$1005,MATCH($A725,土地清冊_匯入!$A$6:$A$1005,0)),""))</f>
        <v/>
      </c>
      <c r="F725" s="13">
        <f>IF($A725="","",IFERROR(INDEX(建物清冊_匯入!$N$6:$N$1005,MATCH($A725,建物清冊_匯入!$A$6:$A$1005,0)),""))</f>
        <v/>
      </c>
      <c r="G725" s="9">
        <f>IF($A725="","",IFERROR(INDEX(建物清冊_匯入!$S$6:$S$1005,MATCH($A725,建物清冊_匯入!$A$6:$A$1005,0)),""))</f>
        <v/>
      </c>
      <c r="H725" s="7" t="n"/>
      <c r="I725" s="15" t="n"/>
      <c r="J725" s="16" t="n"/>
      <c r="K725" s="17">
        <f>IF(J725="","",1-J725)</f>
        <v/>
      </c>
      <c r="L725" s="15" t="n"/>
      <c r="M725" s="7" t="n"/>
      <c r="N725" s="7" t="n"/>
      <c r="O725" s="7" t="n"/>
      <c r="P725" s="11" t="n"/>
      <c r="Q725" s="7" t="n"/>
      <c r="R725" s="7" t="n"/>
      <c r="S725" s="7" t="n"/>
      <c r="T725" s="7" t="n"/>
      <c r="U725" s="12">
        <f>IF(A725="","",IF(H725="","建議填分配模式",""))</f>
        <v/>
      </c>
    </row>
    <row r="726" ht="24" customHeight="1">
      <c r="A726" s="7" t="n"/>
      <c r="B726" s="7" t="n"/>
      <c r="C726" s="7" t="n"/>
      <c r="D726" s="12">
        <f>IF($A726="","",IFERROR(INDEX(土地清冊_匯入!$B$6:$B$1005,MATCH($A726,土地清冊_匯入!$A$6:$A$1005,0)),"查無資料"))</f>
        <v/>
      </c>
      <c r="E726" s="9">
        <f>IF($A726="","",IFERROR(INDEX(土地清冊_匯入!$I$6:$I$1005,MATCH($A726,土地清冊_匯入!$A$6:$A$1005,0)),""))</f>
        <v/>
      </c>
      <c r="F726" s="13">
        <f>IF($A726="","",IFERROR(INDEX(建物清冊_匯入!$N$6:$N$1005,MATCH($A726,建物清冊_匯入!$A$6:$A$1005,0)),""))</f>
        <v/>
      </c>
      <c r="G726" s="9">
        <f>IF($A726="","",IFERROR(INDEX(建物清冊_匯入!$S$6:$S$1005,MATCH($A726,建物清冊_匯入!$A$6:$A$1005,0)),""))</f>
        <v/>
      </c>
      <c r="H726" s="7" t="n"/>
      <c r="I726" s="15" t="n"/>
      <c r="J726" s="16" t="n"/>
      <c r="K726" s="17">
        <f>IF(J726="","",1-J726)</f>
        <v/>
      </c>
      <c r="L726" s="15" t="n"/>
      <c r="M726" s="7" t="n"/>
      <c r="N726" s="7" t="n"/>
      <c r="O726" s="7" t="n"/>
      <c r="P726" s="11" t="n"/>
      <c r="Q726" s="7" t="n"/>
      <c r="R726" s="7" t="n"/>
      <c r="S726" s="7" t="n"/>
      <c r="T726" s="7" t="n"/>
      <c r="U726" s="12">
        <f>IF(A726="","",IF(H726="","建議填分配模式",""))</f>
        <v/>
      </c>
    </row>
    <row r="727" ht="24" customHeight="1">
      <c r="A727" s="7" t="n"/>
      <c r="B727" s="7" t="n"/>
      <c r="C727" s="7" t="n"/>
      <c r="D727" s="12">
        <f>IF($A727="","",IFERROR(INDEX(土地清冊_匯入!$B$6:$B$1005,MATCH($A727,土地清冊_匯入!$A$6:$A$1005,0)),"查無資料"))</f>
        <v/>
      </c>
      <c r="E727" s="9">
        <f>IF($A727="","",IFERROR(INDEX(土地清冊_匯入!$I$6:$I$1005,MATCH($A727,土地清冊_匯入!$A$6:$A$1005,0)),""))</f>
        <v/>
      </c>
      <c r="F727" s="13">
        <f>IF($A727="","",IFERROR(INDEX(建物清冊_匯入!$N$6:$N$1005,MATCH($A727,建物清冊_匯入!$A$6:$A$1005,0)),""))</f>
        <v/>
      </c>
      <c r="G727" s="9">
        <f>IF($A727="","",IFERROR(INDEX(建物清冊_匯入!$S$6:$S$1005,MATCH($A727,建物清冊_匯入!$A$6:$A$1005,0)),""))</f>
        <v/>
      </c>
      <c r="H727" s="7" t="n"/>
      <c r="I727" s="15" t="n"/>
      <c r="J727" s="16" t="n"/>
      <c r="K727" s="17">
        <f>IF(J727="","",1-J727)</f>
        <v/>
      </c>
      <c r="L727" s="15" t="n"/>
      <c r="M727" s="7" t="n"/>
      <c r="N727" s="7" t="n"/>
      <c r="O727" s="7" t="n"/>
      <c r="P727" s="11" t="n"/>
      <c r="Q727" s="7" t="n"/>
      <c r="R727" s="7" t="n"/>
      <c r="S727" s="7" t="n"/>
      <c r="T727" s="7" t="n"/>
      <c r="U727" s="12">
        <f>IF(A727="","",IF(H727="","建議填分配模式",""))</f>
        <v/>
      </c>
    </row>
    <row r="728" ht="24" customHeight="1">
      <c r="A728" s="7" t="n"/>
      <c r="B728" s="7" t="n"/>
      <c r="C728" s="7" t="n"/>
      <c r="D728" s="12">
        <f>IF($A728="","",IFERROR(INDEX(土地清冊_匯入!$B$6:$B$1005,MATCH($A728,土地清冊_匯入!$A$6:$A$1005,0)),"查無資料"))</f>
        <v/>
      </c>
      <c r="E728" s="9">
        <f>IF($A728="","",IFERROR(INDEX(土地清冊_匯入!$I$6:$I$1005,MATCH($A728,土地清冊_匯入!$A$6:$A$1005,0)),""))</f>
        <v/>
      </c>
      <c r="F728" s="13">
        <f>IF($A728="","",IFERROR(INDEX(建物清冊_匯入!$N$6:$N$1005,MATCH($A728,建物清冊_匯入!$A$6:$A$1005,0)),""))</f>
        <v/>
      </c>
      <c r="G728" s="9">
        <f>IF($A728="","",IFERROR(INDEX(建物清冊_匯入!$S$6:$S$1005,MATCH($A728,建物清冊_匯入!$A$6:$A$1005,0)),""))</f>
        <v/>
      </c>
      <c r="H728" s="7" t="n"/>
      <c r="I728" s="15" t="n"/>
      <c r="J728" s="16" t="n"/>
      <c r="K728" s="17">
        <f>IF(J728="","",1-J728)</f>
        <v/>
      </c>
      <c r="L728" s="15" t="n"/>
      <c r="M728" s="7" t="n"/>
      <c r="N728" s="7" t="n"/>
      <c r="O728" s="7" t="n"/>
      <c r="P728" s="11" t="n"/>
      <c r="Q728" s="7" t="n"/>
      <c r="R728" s="7" t="n"/>
      <c r="S728" s="7" t="n"/>
      <c r="T728" s="7" t="n"/>
      <c r="U728" s="12">
        <f>IF(A728="","",IF(H728="","建議填分配模式",""))</f>
        <v/>
      </c>
    </row>
    <row r="729" ht="24" customHeight="1">
      <c r="A729" s="7" t="n"/>
      <c r="B729" s="7" t="n"/>
      <c r="C729" s="7" t="n"/>
      <c r="D729" s="12">
        <f>IF($A729="","",IFERROR(INDEX(土地清冊_匯入!$B$6:$B$1005,MATCH($A729,土地清冊_匯入!$A$6:$A$1005,0)),"查無資料"))</f>
        <v/>
      </c>
      <c r="E729" s="9">
        <f>IF($A729="","",IFERROR(INDEX(土地清冊_匯入!$I$6:$I$1005,MATCH($A729,土地清冊_匯入!$A$6:$A$1005,0)),""))</f>
        <v/>
      </c>
      <c r="F729" s="13">
        <f>IF($A729="","",IFERROR(INDEX(建物清冊_匯入!$N$6:$N$1005,MATCH($A729,建物清冊_匯入!$A$6:$A$1005,0)),""))</f>
        <v/>
      </c>
      <c r="G729" s="9">
        <f>IF($A729="","",IFERROR(INDEX(建物清冊_匯入!$S$6:$S$1005,MATCH($A729,建物清冊_匯入!$A$6:$A$1005,0)),""))</f>
        <v/>
      </c>
      <c r="H729" s="7" t="n"/>
      <c r="I729" s="15" t="n"/>
      <c r="J729" s="16" t="n"/>
      <c r="K729" s="17">
        <f>IF(J729="","",1-J729)</f>
        <v/>
      </c>
      <c r="L729" s="15" t="n"/>
      <c r="M729" s="7" t="n"/>
      <c r="N729" s="7" t="n"/>
      <c r="O729" s="7" t="n"/>
      <c r="P729" s="11" t="n"/>
      <c r="Q729" s="7" t="n"/>
      <c r="R729" s="7" t="n"/>
      <c r="S729" s="7" t="n"/>
      <c r="T729" s="7" t="n"/>
      <c r="U729" s="12">
        <f>IF(A729="","",IF(H729="","建議填分配模式",""))</f>
        <v/>
      </c>
    </row>
    <row r="730" ht="24" customHeight="1">
      <c r="A730" s="7" t="n"/>
      <c r="B730" s="7" t="n"/>
      <c r="C730" s="7" t="n"/>
      <c r="D730" s="12">
        <f>IF($A730="","",IFERROR(INDEX(土地清冊_匯入!$B$6:$B$1005,MATCH($A730,土地清冊_匯入!$A$6:$A$1005,0)),"查無資料"))</f>
        <v/>
      </c>
      <c r="E730" s="9">
        <f>IF($A730="","",IFERROR(INDEX(土地清冊_匯入!$I$6:$I$1005,MATCH($A730,土地清冊_匯入!$A$6:$A$1005,0)),""))</f>
        <v/>
      </c>
      <c r="F730" s="13">
        <f>IF($A730="","",IFERROR(INDEX(建物清冊_匯入!$N$6:$N$1005,MATCH($A730,建物清冊_匯入!$A$6:$A$1005,0)),""))</f>
        <v/>
      </c>
      <c r="G730" s="9">
        <f>IF($A730="","",IFERROR(INDEX(建物清冊_匯入!$S$6:$S$1005,MATCH($A730,建物清冊_匯入!$A$6:$A$1005,0)),""))</f>
        <v/>
      </c>
      <c r="H730" s="7" t="n"/>
      <c r="I730" s="15" t="n"/>
      <c r="J730" s="16" t="n"/>
      <c r="K730" s="17">
        <f>IF(J730="","",1-J730)</f>
        <v/>
      </c>
      <c r="L730" s="15" t="n"/>
      <c r="M730" s="7" t="n"/>
      <c r="N730" s="7" t="n"/>
      <c r="O730" s="7" t="n"/>
      <c r="P730" s="11" t="n"/>
      <c r="Q730" s="7" t="n"/>
      <c r="R730" s="7" t="n"/>
      <c r="S730" s="7" t="n"/>
      <c r="T730" s="7" t="n"/>
      <c r="U730" s="12">
        <f>IF(A730="","",IF(H730="","建議填分配模式",""))</f>
        <v/>
      </c>
    </row>
    <row r="731" ht="24" customHeight="1">
      <c r="A731" s="7" t="n"/>
      <c r="B731" s="7" t="n"/>
      <c r="C731" s="7" t="n"/>
      <c r="D731" s="12">
        <f>IF($A731="","",IFERROR(INDEX(土地清冊_匯入!$B$6:$B$1005,MATCH($A731,土地清冊_匯入!$A$6:$A$1005,0)),"查無資料"))</f>
        <v/>
      </c>
      <c r="E731" s="9">
        <f>IF($A731="","",IFERROR(INDEX(土地清冊_匯入!$I$6:$I$1005,MATCH($A731,土地清冊_匯入!$A$6:$A$1005,0)),""))</f>
        <v/>
      </c>
      <c r="F731" s="13">
        <f>IF($A731="","",IFERROR(INDEX(建物清冊_匯入!$N$6:$N$1005,MATCH($A731,建物清冊_匯入!$A$6:$A$1005,0)),""))</f>
        <v/>
      </c>
      <c r="G731" s="9">
        <f>IF($A731="","",IFERROR(INDEX(建物清冊_匯入!$S$6:$S$1005,MATCH($A731,建物清冊_匯入!$A$6:$A$1005,0)),""))</f>
        <v/>
      </c>
      <c r="H731" s="7" t="n"/>
      <c r="I731" s="15" t="n"/>
      <c r="J731" s="16" t="n"/>
      <c r="K731" s="17">
        <f>IF(J731="","",1-J731)</f>
        <v/>
      </c>
      <c r="L731" s="15" t="n"/>
      <c r="M731" s="7" t="n"/>
      <c r="N731" s="7" t="n"/>
      <c r="O731" s="7" t="n"/>
      <c r="P731" s="11" t="n"/>
      <c r="Q731" s="7" t="n"/>
      <c r="R731" s="7" t="n"/>
      <c r="S731" s="7" t="n"/>
      <c r="T731" s="7" t="n"/>
      <c r="U731" s="12">
        <f>IF(A731="","",IF(H731="","建議填分配模式",""))</f>
        <v/>
      </c>
    </row>
    <row r="732" ht="24" customHeight="1">
      <c r="A732" s="7" t="n"/>
      <c r="B732" s="7" t="n"/>
      <c r="C732" s="7" t="n"/>
      <c r="D732" s="12">
        <f>IF($A732="","",IFERROR(INDEX(土地清冊_匯入!$B$6:$B$1005,MATCH($A732,土地清冊_匯入!$A$6:$A$1005,0)),"查無資料"))</f>
        <v/>
      </c>
      <c r="E732" s="9">
        <f>IF($A732="","",IFERROR(INDEX(土地清冊_匯入!$I$6:$I$1005,MATCH($A732,土地清冊_匯入!$A$6:$A$1005,0)),""))</f>
        <v/>
      </c>
      <c r="F732" s="13">
        <f>IF($A732="","",IFERROR(INDEX(建物清冊_匯入!$N$6:$N$1005,MATCH($A732,建物清冊_匯入!$A$6:$A$1005,0)),""))</f>
        <v/>
      </c>
      <c r="G732" s="9">
        <f>IF($A732="","",IFERROR(INDEX(建物清冊_匯入!$S$6:$S$1005,MATCH($A732,建物清冊_匯入!$A$6:$A$1005,0)),""))</f>
        <v/>
      </c>
      <c r="H732" s="7" t="n"/>
      <c r="I732" s="15" t="n"/>
      <c r="J732" s="16" t="n"/>
      <c r="K732" s="17">
        <f>IF(J732="","",1-J732)</f>
        <v/>
      </c>
      <c r="L732" s="15" t="n"/>
      <c r="M732" s="7" t="n"/>
      <c r="N732" s="7" t="n"/>
      <c r="O732" s="7" t="n"/>
      <c r="P732" s="11" t="n"/>
      <c r="Q732" s="7" t="n"/>
      <c r="R732" s="7" t="n"/>
      <c r="S732" s="7" t="n"/>
      <c r="T732" s="7" t="n"/>
      <c r="U732" s="12">
        <f>IF(A732="","",IF(H732="","建議填分配模式",""))</f>
        <v/>
      </c>
    </row>
    <row r="733" ht="24" customHeight="1">
      <c r="A733" s="7" t="n"/>
      <c r="B733" s="7" t="n"/>
      <c r="C733" s="7" t="n"/>
      <c r="D733" s="12">
        <f>IF($A733="","",IFERROR(INDEX(土地清冊_匯入!$B$6:$B$1005,MATCH($A733,土地清冊_匯入!$A$6:$A$1005,0)),"查無資料"))</f>
        <v/>
      </c>
      <c r="E733" s="9">
        <f>IF($A733="","",IFERROR(INDEX(土地清冊_匯入!$I$6:$I$1005,MATCH($A733,土地清冊_匯入!$A$6:$A$1005,0)),""))</f>
        <v/>
      </c>
      <c r="F733" s="13">
        <f>IF($A733="","",IFERROR(INDEX(建物清冊_匯入!$N$6:$N$1005,MATCH($A733,建物清冊_匯入!$A$6:$A$1005,0)),""))</f>
        <v/>
      </c>
      <c r="G733" s="9">
        <f>IF($A733="","",IFERROR(INDEX(建物清冊_匯入!$S$6:$S$1005,MATCH($A733,建物清冊_匯入!$A$6:$A$1005,0)),""))</f>
        <v/>
      </c>
      <c r="H733" s="7" t="n"/>
      <c r="I733" s="15" t="n"/>
      <c r="J733" s="16" t="n"/>
      <c r="K733" s="17">
        <f>IF(J733="","",1-J733)</f>
        <v/>
      </c>
      <c r="L733" s="15" t="n"/>
      <c r="M733" s="7" t="n"/>
      <c r="N733" s="7" t="n"/>
      <c r="O733" s="7" t="n"/>
      <c r="P733" s="11" t="n"/>
      <c r="Q733" s="7" t="n"/>
      <c r="R733" s="7" t="n"/>
      <c r="S733" s="7" t="n"/>
      <c r="T733" s="7" t="n"/>
      <c r="U733" s="12">
        <f>IF(A733="","",IF(H733="","建議填分配模式",""))</f>
        <v/>
      </c>
    </row>
    <row r="734" ht="24" customHeight="1">
      <c r="A734" s="7" t="n"/>
      <c r="B734" s="7" t="n"/>
      <c r="C734" s="7" t="n"/>
      <c r="D734" s="12">
        <f>IF($A734="","",IFERROR(INDEX(土地清冊_匯入!$B$6:$B$1005,MATCH($A734,土地清冊_匯入!$A$6:$A$1005,0)),"查無資料"))</f>
        <v/>
      </c>
      <c r="E734" s="9">
        <f>IF($A734="","",IFERROR(INDEX(土地清冊_匯入!$I$6:$I$1005,MATCH($A734,土地清冊_匯入!$A$6:$A$1005,0)),""))</f>
        <v/>
      </c>
      <c r="F734" s="13">
        <f>IF($A734="","",IFERROR(INDEX(建物清冊_匯入!$N$6:$N$1005,MATCH($A734,建物清冊_匯入!$A$6:$A$1005,0)),""))</f>
        <v/>
      </c>
      <c r="G734" s="9">
        <f>IF($A734="","",IFERROR(INDEX(建物清冊_匯入!$S$6:$S$1005,MATCH($A734,建物清冊_匯入!$A$6:$A$1005,0)),""))</f>
        <v/>
      </c>
      <c r="H734" s="7" t="n"/>
      <c r="I734" s="15" t="n"/>
      <c r="J734" s="16" t="n"/>
      <c r="K734" s="17">
        <f>IF(J734="","",1-J734)</f>
        <v/>
      </c>
      <c r="L734" s="15" t="n"/>
      <c r="M734" s="7" t="n"/>
      <c r="N734" s="7" t="n"/>
      <c r="O734" s="7" t="n"/>
      <c r="P734" s="11" t="n"/>
      <c r="Q734" s="7" t="n"/>
      <c r="R734" s="7" t="n"/>
      <c r="S734" s="7" t="n"/>
      <c r="T734" s="7" t="n"/>
      <c r="U734" s="12">
        <f>IF(A734="","",IF(H734="","建議填分配模式",""))</f>
        <v/>
      </c>
    </row>
    <row r="735" ht="24" customHeight="1">
      <c r="A735" s="7" t="n"/>
      <c r="B735" s="7" t="n"/>
      <c r="C735" s="7" t="n"/>
      <c r="D735" s="12">
        <f>IF($A735="","",IFERROR(INDEX(土地清冊_匯入!$B$6:$B$1005,MATCH($A735,土地清冊_匯入!$A$6:$A$1005,0)),"查無資料"))</f>
        <v/>
      </c>
      <c r="E735" s="9">
        <f>IF($A735="","",IFERROR(INDEX(土地清冊_匯入!$I$6:$I$1005,MATCH($A735,土地清冊_匯入!$A$6:$A$1005,0)),""))</f>
        <v/>
      </c>
      <c r="F735" s="13">
        <f>IF($A735="","",IFERROR(INDEX(建物清冊_匯入!$N$6:$N$1005,MATCH($A735,建物清冊_匯入!$A$6:$A$1005,0)),""))</f>
        <v/>
      </c>
      <c r="G735" s="9">
        <f>IF($A735="","",IFERROR(INDEX(建物清冊_匯入!$S$6:$S$1005,MATCH($A735,建物清冊_匯入!$A$6:$A$1005,0)),""))</f>
        <v/>
      </c>
      <c r="H735" s="7" t="n"/>
      <c r="I735" s="15" t="n"/>
      <c r="J735" s="16" t="n"/>
      <c r="K735" s="17">
        <f>IF(J735="","",1-J735)</f>
        <v/>
      </c>
      <c r="L735" s="15" t="n"/>
      <c r="M735" s="7" t="n"/>
      <c r="N735" s="7" t="n"/>
      <c r="O735" s="7" t="n"/>
      <c r="P735" s="11" t="n"/>
      <c r="Q735" s="7" t="n"/>
      <c r="R735" s="7" t="n"/>
      <c r="S735" s="7" t="n"/>
      <c r="T735" s="7" t="n"/>
      <c r="U735" s="12">
        <f>IF(A735="","",IF(H735="","建議填分配模式",""))</f>
        <v/>
      </c>
    </row>
    <row r="736" ht="24" customHeight="1">
      <c r="A736" s="7" t="n"/>
      <c r="B736" s="7" t="n"/>
      <c r="C736" s="7" t="n"/>
      <c r="D736" s="12">
        <f>IF($A736="","",IFERROR(INDEX(土地清冊_匯入!$B$6:$B$1005,MATCH($A736,土地清冊_匯入!$A$6:$A$1005,0)),"查無資料"))</f>
        <v/>
      </c>
      <c r="E736" s="9">
        <f>IF($A736="","",IFERROR(INDEX(土地清冊_匯入!$I$6:$I$1005,MATCH($A736,土地清冊_匯入!$A$6:$A$1005,0)),""))</f>
        <v/>
      </c>
      <c r="F736" s="13">
        <f>IF($A736="","",IFERROR(INDEX(建物清冊_匯入!$N$6:$N$1005,MATCH($A736,建物清冊_匯入!$A$6:$A$1005,0)),""))</f>
        <v/>
      </c>
      <c r="G736" s="9">
        <f>IF($A736="","",IFERROR(INDEX(建物清冊_匯入!$S$6:$S$1005,MATCH($A736,建物清冊_匯入!$A$6:$A$1005,0)),""))</f>
        <v/>
      </c>
      <c r="H736" s="7" t="n"/>
      <c r="I736" s="15" t="n"/>
      <c r="J736" s="16" t="n"/>
      <c r="K736" s="17">
        <f>IF(J736="","",1-J736)</f>
        <v/>
      </c>
      <c r="L736" s="15" t="n"/>
      <c r="M736" s="7" t="n"/>
      <c r="N736" s="7" t="n"/>
      <c r="O736" s="7" t="n"/>
      <c r="P736" s="11" t="n"/>
      <c r="Q736" s="7" t="n"/>
      <c r="R736" s="7" t="n"/>
      <c r="S736" s="7" t="n"/>
      <c r="T736" s="7" t="n"/>
      <c r="U736" s="12">
        <f>IF(A736="","",IF(H736="","建議填分配模式",""))</f>
        <v/>
      </c>
    </row>
    <row r="737" ht="24" customHeight="1">
      <c r="A737" s="7" t="n"/>
      <c r="B737" s="7" t="n"/>
      <c r="C737" s="7" t="n"/>
      <c r="D737" s="12">
        <f>IF($A737="","",IFERROR(INDEX(土地清冊_匯入!$B$6:$B$1005,MATCH($A737,土地清冊_匯入!$A$6:$A$1005,0)),"查無資料"))</f>
        <v/>
      </c>
      <c r="E737" s="9">
        <f>IF($A737="","",IFERROR(INDEX(土地清冊_匯入!$I$6:$I$1005,MATCH($A737,土地清冊_匯入!$A$6:$A$1005,0)),""))</f>
        <v/>
      </c>
      <c r="F737" s="13">
        <f>IF($A737="","",IFERROR(INDEX(建物清冊_匯入!$N$6:$N$1005,MATCH($A737,建物清冊_匯入!$A$6:$A$1005,0)),""))</f>
        <v/>
      </c>
      <c r="G737" s="9">
        <f>IF($A737="","",IFERROR(INDEX(建物清冊_匯入!$S$6:$S$1005,MATCH($A737,建物清冊_匯入!$A$6:$A$1005,0)),""))</f>
        <v/>
      </c>
      <c r="H737" s="7" t="n"/>
      <c r="I737" s="15" t="n"/>
      <c r="J737" s="16" t="n"/>
      <c r="K737" s="17">
        <f>IF(J737="","",1-J737)</f>
        <v/>
      </c>
      <c r="L737" s="15" t="n"/>
      <c r="M737" s="7" t="n"/>
      <c r="N737" s="7" t="n"/>
      <c r="O737" s="7" t="n"/>
      <c r="P737" s="11" t="n"/>
      <c r="Q737" s="7" t="n"/>
      <c r="R737" s="7" t="n"/>
      <c r="S737" s="7" t="n"/>
      <c r="T737" s="7" t="n"/>
      <c r="U737" s="12">
        <f>IF(A737="","",IF(H737="","建議填分配模式",""))</f>
        <v/>
      </c>
    </row>
    <row r="738" ht="24" customHeight="1">
      <c r="A738" s="7" t="n"/>
      <c r="B738" s="7" t="n"/>
      <c r="C738" s="7" t="n"/>
      <c r="D738" s="12">
        <f>IF($A738="","",IFERROR(INDEX(土地清冊_匯入!$B$6:$B$1005,MATCH($A738,土地清冊_匯入!$A$6:$A$1005,0)),"查無資料"))</f>
        <v/>
      </c>
      <c r="E738" s="9">
        <f>IF($A738="","",IFERROR(INDEX(土地清冊_匯入!$I$6:$I$1005,MATCH($A738,土地清冊_匯入!$A$6:$A$1005,0)),""))</f>
        <v/>
      </c>
      <c r="F738" s="13">
        <f>IF($A738="","",IFERROR(INDEX(建物清冊_匯入!$N$6:$N$1005,MATCH($A738,建物清冊_匯入!$A$6:$A$1005,0)),""))</f>
        <v/>
      </c>
      <c r="G738" s="9">
        <f>IF($A738="","",IFERROR(INDEX(建物清冊_匯入!$S$6:$S$1005,MATCH($A738,建物清冊_匯入!$A$6:$A$1005,0)),""))</f>
        <v/>
      </c>
      <c r="H738" s="7" t="n"/>
      <c r="I738" s="15" t="n"/>
      <c r="J738" s="16" t="n"/>
      <c r="K738" s="17">
        <f>IF(J738="","",1-J738)</f>
        <v/>
      </c>
      <c r="L738" s="15" t="n"/>
      <c r="M738" s="7" t="n"/>
      <c r="N738" s="7" t="n"/>
      <c r="O738" s="7" t="n"/>
      <c r="P738" s="11" t="n"/>
      <c r="Q738" s="7" t="n"/>
      <c r="R738" s="7" t="n"/>
      <c r="S738" s="7" t="n"/>
      <c r="T738" s="7" t="n"/>
      <c r="U738" s="12">
        <f>IF(A738="","",IF(H738="","建議填分配模式",""))</f>
        <v/>
      </c>
    </row>
    <row r="739" ht="24" customHeight="1">
      <c r="A739" s="7" t="n"/>
      <c r="B739" s="7" t="n"/>
      <c r="C739" s="7" t="n"/>
      <c r="D739" s="12">
        <f>IF($A739="","",IFERROR(INDEX(土地清冊_匯入!$B$6:$B$1005,MATCH($A739,土地清冊_匯入!$A$6:$A$1005,0)),"查無資料"))</f>
        <v/>
      </c>
      <c r="E739" s="9">
        <f>IF($A739="","",IFERROR(INDEX(土地清冊_匯入!$I$6:$I$1005,MATCH($A739,土地清冊_匯入!$A$6:$A$1005,0)),""))</f>
        <v/>
      </c>
      <c r="F739" s="13">
        <f>IF($A739="","",IFERROR(INDEX(建物清冊_匯入!$N$6:$N$1005,MATCH($A739,建物清冊_匯入!$A$6:$A$1005,0)),""))</f>
        <v/>
      </c>
      <c r="G739" s="9">
        <f>IF($A739="","",IFERROR(INDEX(建物清冊_匯入!$S$6:$S$1005,MATCH($A739,建物清冊_匯入!$A$6:$A$1005,0)),""))</f>
        <v/>
      </c>
      <c r="H739" s="7" t="n"/>
      <c r="I739" s="15" t="n"/>
      <c r="J739" s="16" t="n"/>
      <c r="K739" s="17">
        <f>IF(J739="","",1-J739)</f>
        <v/>
      </c>
      <c r="L739" s="15" t="n"/>
      <c r="M739" s="7" t="n"/>
      <c r="N739" s="7" t="n"/>
      <c r="O739" s="7" t="n"/>
      <c r="P739" s="11" t="n"/>
      <c r="Q739" s="7" t="n"/>
      <c r="R739" s="7" t="n"/>
      <c r="S739" s="7" t="n"/>
      <c r="T739" s="7" t="n"/>
      <c r="U739" s="12">
        <f>IF(A739="","",IF(H739="","建議填分配模式",""))</f>
        <v/>
      </c>
    </row>
    <row r="740" ht="24" customHeight="1">
      <c r="A740" s="7" t="n"/>
      <c r="B740" s="7" t="n"/>
      <c r="C740" s="7" t="n"/>
      <c r="D740" s="12">
        <f>IF($A740="","",IFERROR(INDEX(土地清冊_匯入!$B$6:$B$1005,MATCH($A740,土地清冊_匯入!$A$6:$A$1005,0)),"查無資料"))</f>
        <v/>
      </c>
      <c r="E740" s="9">
        <f>IF($A740="","",IFERROR(INDEX(土地清冊_匯入!$I$6:$I$1005,MATCH($A740,土地清冊_匯入!$A$6:$A$1005,0)),""))</f>
        <v/>
      </c>
      <c r="F740" s="13">
        <f>IF($A740="","",IFERROR(INDEX(建物清冊_匯入!$N$6:$N$1005,MATCH($A740,建物清冊_匯入!$A$6:$A$1005,0)),""))</f>
        <v/>
      </c>
      <c r="G740" s="9">
        <f>IF($A740="","",IFERROR(INDEX(建物清冊_匯入!$S$6:$S$1005,MATCH($A740,建物清冊_匯入!$A$6:$A$1005,0)),""))</f>
        <v/>
      </c>
      <c r="H740" s="7" t="n"/>
      <c r="I740" s="15" t="n"/>
      <c r="J740" s="16" t="n"/>
      <c r="K740" s="17">
        <f>IF(J740="","",1-J740)</f>
        <v/>
      </c>
      <c r="L740" s="15" t="n"/>
      <c r="M740" s="7" t="n"/>
      <c r="N740" s="7" t="n"/>
      <c r="O740" s="7" t="n"/>
      <c r="P740" s="11" t="n"/>
      <c r="Q740" s="7" t="n"/>
      <c r="R740" s="7" t="n"/>
      <c r="S740" s="7" t="n"/>
      <c r="T740" s="7" t="n"/>
      <c r="U740" s="12">
        <f>IF(A740="","",IF(H740="","建議填分配模式",""))</f>
        <v/>
      </c>
    </row>
    <row r="741" ht="24" customHeight="1">
      <c r="A741" s="7" t="n"/>
      <c r="B741" s="7" t="n"/>
      <c r="C741" s="7" t="n"/>
      <c r="D741" s="12">
        <f>IF($A741="","",IFERROR(INDEX(土地清冊_匯入!$B$6:$B$1005,MATCH($A741,土地清冊_匯入!$A$6:$A$1005,0)),"查無資料"))</f>
        <v/>
      </c>
      <c r="E741" s="9">
        <f>IF($A741="","",IFERROR(INDEX(土地清冊_匯入!$I$6:$I$1005,MATCH($A741,土地清冊_匯入!$A$6:$A$1005,0)),""))</f>
        <v/>
      </c>
      <c r="F741" s="13">
        <f>IF($A741="","",IFERROR(INDEX(建物清冊_匯入!$N$6:$N$1005,MATCH($A741,建物清冊_匯入!$A$6:$A$1005,0)),""))</f>
        <v/>
      </c>
      <c r="G741" s="9">
        <f>IF($A741="","",IFERROR(INDEX(建物清冊_匯入!$S$6:$S$1005,MATCH($A741,建物清冊_匯入!$A$6:$A$1005,0)),""))</f>
        <v/>
      </c>
      <c r="H741" s="7" t="n"/>
      <c r="I741" s="15" t="n"/>
      <c r="J741" s="16" t="n"/>
      <c r="K741" s="17">
        <f>IF(J741="","",1-J741)</f>
        <v/>
      </c>
      <c r="L741" s="15" t="n"/>
      <c r="M741" s="7" t="n"/>
      <c r="N741" s="7" t="n"/>
      <c r="O741" s="7" t="n"/>
      <c r="P741" s="11" t="n"/>
      <c r="Q741" s="7" t="n"/>
      <c r="R741" s="7" t="n"/>
      <c r="S741" s="7" t="n"/>
      <c r="T741" s="7" t="n"/>
      <c r="U741" s="12">
        <f>IF(A741="","",IF(H741="","建議填分配模式",""))</f>
        <v/>
      </c>
    </row>
    <row r="742" ht="24" customHeight="1">
      <c r="A742" s="7" t="n"/>
      <c r="B742" s="7" t="n"/>
      <c r="C742" s="7" t="n"/>
      <c r="D742" s="12">
        <f>IF($A742="","",IFERROR(INDEX(土地清冊_匯入!$B$6:$B$1005,MATCH($A742,土地清冊_匯入!$A$6:$A$1005,0)),"查無資料"))</f>
        <v/>
      </c>
      <c r="E742" s="9">
        <f>IF($A742="","",IFERROR(INDEX(土地清冊_匯入!$I$6:$I$1005,MATCH($A742,土地清冊_匯入!$A$6:$A$1005,0)),""))</f>
        <v/>
      </c>
      <c r="F742" s="13">
        <f>IF($A742="","",IFERROR(INDEX(建物清冊_匯入!$N$6:$N$1005,MATCH($A742,建物清冊_匯入!$A$6:$A$1005,0)),""))</f>
        <v/>
      </c>
      <c r="G742" s="9">
        <f>IF($A742="","",IFERROR(INDEX(建物清冊_匯入!$S$6:$S$1005,MATCH($A742,建物清冊_匯入!$A$6:$A$1005,0)),""))</f>
        <v/>
      </c>
      <c r="H742" s="7" t="n"/>
      <c r="I742" s="15" t="n"/>
      <c r="J742" s="16" t="n"/>
      <c r="K742" s="17">
        <f>IF(J742="","",1-J742)</f>
        <v/>
      </c>
      <c r="L742" s="15" t="n"/>
      <c r="M742" s="7" t="n"/>
      <c r="N742" s="7" t="n"/>
      <c r="O742" s="7" t="n"/>
      <c r="P742" s="11" t="n"/>
      <c r="Q742" s="7" t="n"/>
      <c r="R742" s="7" t="n"/>
      <c r="S742" s="7" t="n"/>
      <c r="T742" s="7" t="n"/>
      <c r="U742" s="12">
        <f>IF(A742="","",IF(H742="","建議填分配模式",""))</f>
        <v/>
      </c>
    </row>
    <row r="743" ht="24" customHeight="1">
      <c r="A743" s="7" t="n"/>
      <c r="B743" s="7" t="n"/>
      <c r="C743" s="7" t="n"/>
      <c r="D743" s="12">
        <f>IF($A743="","",IFERROR(INDEX(土地清冊_匯入!$B$6:$B$1005,MATCH($A743,土地清冊_匯入!$A$6:$A$1005,0)),"查無資料"))</f>
        <v/>
      </c>
      <c r="E743" s="9">
        <f>IF($A743="","",IFERROR(INDEX(土地清冊_匯入!$I$6:$I$1005,MATCH($A743,土地清冊_匯入!$A$6:$A$1005,0)),""))</f>
        <v/>
      </c>
      <c r="F743" s="13">
        <f>IF($A743="","",IFERROR(INDEX(建物清冊_匯入!$N$6:$N$1005,MATCH($A743,建物清冊_匯入!$A$6:$A$1005,0)),""))</f>
        <v/>
      </c>
      <c r="G743" s="9">
        <f>IF($A743="","",IFERROR(INDEX(建物清冊_匯入!$S$6:$S$1005,MATCH($A743,建物清冊_匯入!$A$6:$A$1005,0)),""))</f>
        <v/>
      </c>
      <c r="H743" s="7" t="n"/>
      <c r="I743" s="15" t="n"/>
      <c r="J743" s="16" t="n"/>
      <c r="K743" s="17">
        <f>IF(J743="","",1-J743)</f>
        <v/>
      </c>
      <c r="L743" s="15" t="n"/>
      <c r="M743" s="7" t="n"/>
      <c r="N743" s="7" t="n"/>
      <c r="O743" s="7" t="n"/>
      <c r="P743" s="11" t="n"/>
      <c r="Q743" s="7" t="n"/>
      <c r="R743" s="7" t="n"/>
      <c r="S743" s="7" t="n"/>
      <c r="T743" s="7" t="n"/>
      <c r="U743" s="12">
        <f>IF(A743="","",IF(H743="","建議填分配模式",""))</f>
        <v/>
      </c>
    </row>
    <row r="744" ht="24" customHeight="1">
      <c r="A744" s="7" t="n"/>
      <c r="B744" s="7" t="n"/>
      <c r="C744" s="7" t="n"/>
      <c r="D744" s="12">
        <f>IF($A744="","",IFERROR(INDEX(土地清冊_匯入!$B$6:$B$1005,MATCH($A744,土地清冊_匯入!$A$6:$A$1005,0)),"查無資料"))</f>
        <v/>
      </c>
      <c r="E744" s="9">
        <f>IF($A744="","",IFERROR(INDEX(土地清冊_匯入!$I$6:$I$1005,MATCH($A744,土地清冊_匯入!$A$6:$A$1005,0)),""))</f>
        <v/>
      </c>
      <c r="F744" s="13">
        <f>IF($A744="","",IFERROR(INDEX(建物清冊_匯入!$N$6:$N$1005,MATCH($A744,建物清冊_匯入!$A$6:$A$1005,0)),""))</f>
        <v/>
      </c>
      <c r="G744" s="9">
        <f>IF($A744="","",IFERROR(INDEX(建物清冊_匯入!$S$6:$S$1005,MATCH($A744,建物清冊_匯入!$A$6:$A$1005,0)),""))</f>
        <v/>
      </c>
      <c r="H744" s="7" t="n"/>
      <c r="I744" s="15" t="n"/>
      <c r="J744" s="16" t="n"/>
      <c r="K744" s="17">
        <f>IF(J744="","",1-J744)</f>
        <v/>
      </c>
      <c r="L744" s="15" t="n"/>
      <c r="M744" s="7" t="n"/>
      <c r="N744" s="7" t="n"/>
      <c r="O744" s="7" t="n"/>
      <c r="P744" s="11" t="n"/>
      <c r="Q744" s="7" t="n"/>
      <c r="R744" s="7" t="n"/>
      <c r="S744" s="7" t="n"/>
      <c r="T744" s="7" t="n"/>
      <c r="U744" s="12">
        <f>IF(A744="","",IF(H744="","建議填分配模式",""))</f>
        <v/>
      </c>
    </row>
    <row r="745" ht="24" customHeight="1">
      <c r="A745" s="7" t="n"/>
      <c r="B745" s="7" t="n"/>
      <c r="C745" s="7" t="n"/>
      <c r="D745" s="12">
        <f>IF($A745="","",IFERROR(INDEX(土地清冊_匯入!$B$6:$B$1005,MATCH($A745,土地清冊_匯入!$A$6:$A$1005,0)),"查無資料"))</f>
        <v/>
      </c>
      <c r="E745" s="9">
        <f>IF($A745="","",IFERROR(INDEX(土地清冊_匯入!$I$6:$I$1005,MATCH($A745,土地清冊_匯入!$A$6:$A$1005,0)),""))</f>
        <v/>
      </c>
      <c r="F745" s="13">
        <f>IF($A745="","",IFERROR(INDEX(建物清冊_匯入!$N$6:$N$1005,MATCH($A745,建物清冊_匯入!$A$6:$A$1005,0)),""))</f>
        <v/>
      </c>
      <c r="G745" s="9">
        <f>IF($A745="","",IFERROR(INDEX(建物清冊_匯入!$S$6:$S$1005,MATCH($A745,建物清冊_匯入!$A$6:$A$1005,0)),""))</f>
        <v/>
      </c>
      <c r="H745" s="7" t="n"/>
      <c r="I745" s="15" t="n"/>
      <c r="J745" s="16" t="n"/>
      <c r="K745" s="17">
        <f>IF(J745="","",1-J745)</f>
        <v/>
      </c>
      <c r="L745" s="15" t="n"/>
      <c r="M745" s="7" t="n"/>
      <c r="N745" s="7" t="n"/>
      <c r="O745" s="7" t="n"/>
      <c r="P745" s="11" t="n"/>
      <c r="Q745" s="7" t="n"/>
      <c r="R745" s="7" t="n"/>
      <c r="S745" s="7" t="n"/>
      <c r="T745" s="7" t="n"/>
      <c r="U745" s="12">
        <f>IF(A745="","",IF(H745="","建議填分配模式",""))</f>
        <v/>
      </c>
    </row>
    <row r="746" ht="24" customHeight="1">
      <c r="A746" s="7" t="n"/>
      <c r="B746" s="7" t="n"/>
      <c r="C746" s="7" t="n"/>
      <c r="D746" s="12">
        <f>IF($A746="","",IFERROR(INDEX(土地清冊_匯入!$B$6:$B$1005,MATCH($A746,土地清冊_匯入!$A$6:$A$1005,0)),"查無資料"))</f>
        <v/>
      </c>
      <c r="E746" s="9">
        <f>IF($A746="","",IFERROR(INDEX(土地清冊_匯入!$I$6:$I$1005,MATCH($A746,土地清冊_匯入!$A$6:$A$1005,0)),""))</f>
        <v/>
      </c>
      <c r="F746" s="13">
        <f>IF($A746="","",IFERROR(INDEX(建物清冊_匯入!$N$6:$N$1005,MATCH($A746,建物清冊_匯入!$A$6:$A$1005,0)),""))</f>
        <v/>
      </c>
      <c r="G746" s="9">
        <f>IF($A746="","",IFERROR(INDEX(建物清冊_匯入!$S$6:$S$1005,MATCH($A746,建物清冊_匯入!$A$6:$A$1005,0)),""))</f>
        <v/>
      </c>
      <c r="H746" s="7" t="n"/>
      <c r="I746" s="15" t="n"/>
      <c r="J746" s="16" t="n"/>
      <c r="K746" s="17">
        <f>IF(J746="","",1-J746)</f>
        <v/>
      </c>
      <c r="L746" s="15" t="n"/>
      <c r="M746" s="7" t="n"/>
      <c r="N746" s="7" t="n"/>
      <c r="O746" s="7" t="n"/>
      <c r="P746" s="11" t="n"/>
      <c r="Q746" s="7" t="n"/>
      <c r="R746" s="7" t="n"/>
      <c r="S746" s="7" t="n"/>
      <c r="T746" s="7" t="n"/>
      <c r="U746" s="12">
        <f>IF(A746="","",IF(H746="","建議填分配模式",""))</f>
        <v/>
      </c>
    </row>
    <row r="747" ht="24" customHeight="1">
      <c r="A747" s="7" t="n"/>
      <c r="B747" s="7" t="n"/>
      <c r="C747" s="7" t="n"/>
      <c r="D747" s="12">
        <f>IF($A747="","",IFERROR(INDEX(土地清冊_匯入!$B$6:$B$1005,MATCH($A747,土地清冊_匯入!$A$6:$A$1005,0)),"查無資料"))</f>
        <v/>
      </c>
      <c r="E747" s="9">
        <f>IF($A747="","",IFERROR(INDEX(土地清冊_匯入!$I$6:$I$1005,MATCH($A747,土地清冊_匯入!$A$6:$A$1005,0)),""))</f>
        <v/>
      </c>
      <c r="F747" s="13">
        <f>IF($A747="","",IFERROR(INDEX(建物清冊_匯入!$N$6:$N$1005,MATCH($A747,建物清冊_匯入!$A$6:$A$1005,0)),""))</f>
        <v/>
      </c>
      <c r="G747" s="9">
        <f>IF($A747="","",IFERROR(INDEX(建物清冊_匯入!$S$6:$S$1005,MATCH($A747,建物清冊_匯入!$A$6:$A$1005,0)),""))</f>
        <v/>
      </c>
      <c r="H747" s="7" t="n"/>
      <c r="I747" s="15" t="n"/>
      <c r="J747" s="16" t="n"/>
      <c r="K747" s="17">
        <f>IF(J747="","",1-J747)</f>
        <v/>
      </c>
      <c r="L747" s="15" t="n"/>
      <c r="M747" s="7" t="n"/>
      <c r="N747" s="7" t="n"/>
      <c r="O747" s="7" t="n"/>
      <c r="P747" s="11" t="n"/>
      <c r="Q747" s="7" t="n"/>
      <c r="R747" s="7" t="n"/>
      <c r="S747" s="7" t="n"/>
      <c r="T747" s="7" t="n"/>
      <c r="U747" s="12">
        <f>IF(A747="","",IF(H747="","建議填分配模式",""))</f>
        <v/>
      </c>
    </row>
    <row r="748" ht="24" customHeight="1">
      <c r="A748" s="7" t="n"/>
      <c r="B748" s="7" t="n"/>
      <c r="C748" s="7" t="n"/>
      <c r="D748" s="12">
        <f>IF($A748="","",IFERROR(INDEX(土地清冊_匯入!$B$6:$B$1005,MATCH($A748,土地清冊_匯入!$A$6:$A$1005,0)),"查無資料"))</f>
        <v/>
      </c>
      <c r="E748" s="9">
        <f>IF($A748="","",IFERROR(INDEX(土地清冊_匯入!$I$6:$I$1005,MATCH($A748,土地清冊_匯入!$A$6:$A$1005,0)),""))</f>
        <v/>
      </c>
      <c r="F748" s="13">
        <f>IF($A748="","",IFERROR(INDEX(建物清冊_匯入!$N$6:$N$1005,MATCH($A748,建物清冊_匯入!$A$6:$A$1005,0)),""))</f>
        <v/>
      </c>
      <c r="G748" s="9">
        <f>IF($A748="","",IFERROR(INDEX(建物清冊_匯入!$S$6:$S$1005,MATCH($A748,建物清冊_匯入!$A$6:$A$1005,0)),""))</f>
        <v/>
      </c>
      <c r="H748" s="7" t="n"/>
      <c r="I748" s="15" t="n"/>
      <c r="J748" s="16" t="n"/>
      <c r="K748" s="17">
        <f>IF(J748="","",1-J748)</f>
        <v/>
      </c>
      <c r="L748" s="15" t="n"/>
      <c r="M748" s="7" t="n"/>
      <c r="N748" s="7" t="n"/>
      <c r="O748" s="7" t="n"/>
      <c r="P748" s="11" t="n"/>
      <c r="Q748" s="7" t="n"/>
      <c r="R748" s="7" t="n"/>
      <c r="S748" s="7" t="n"/>
      <c r="T748" s="7" t="n"/>
      <c r="U748" s="12">
        <f>IF(A748="","",IF(H748="","建議填分配模式",""))</f>
        <v/>
      </c>
    </row>
    <row r="749" ht="24" customHeight="1">
      <c r="A749" s="7" t="n"/>
      <c r="B749" s="7" t="n"/>
      <c r="C749" s="7" t="n"/>
      <c r="D749" s="12">
        <f>IF($A749="","",IFERROR(INDEX(土地清冊_匯入!$B$6:$B$1005,MATCH($A749,土地清冊_匯入!$A$6:$A$1005,0)),"查無資料"))</f>
        <v/>
      </c>
      <c r="E749" s="9">
        <f>IF($A749="","",IFERROR(INDEX(土地清冊_匯入!$I$6:$I$1005,MATCH($A749,土地清冊_匯入!$A$6:$A$1005,0)),""))</f>
        <v/>
      </c>
      <c r="F749" s="13">
        <f>IF($A749="","",IFERROR(INDEX(建物清冊_匯入!$N$6:$N$1005,MATCH($A749,建物清冊_匯入!$A$6:$A$1005,0)),""))</f>
        <v/>
      </c>
      <c r="G749" s="9">
        <f>IF($A749="","",IFERROR(INDEX(建物清冊_匯入!$S$6:$S$1005,MATCH($A749,建物清冊_匯入!$A$6:$A$1005,0)),""))</f>
        <v/>
      </c>
      <c r="H749" s="7" t="n"/>
      <c r="I749" s="15" t="n"/>
      <c r="J749" s="16" t="n"/>
      <c r="K749" s="17">
        <f>IF(J749="","",1-J749)</f>
        <v/>
      </c>
      <c r="L749" s="15" t="n"/>
      <c r="M749" s="7" t="n"/>
      <c r="N749" s="7" t="n"/>
      <c r="O749" s="7" t="n"/>
      <c r="P749" s="11" t="n"/>
      <c r="Q749" s="7" t="n"/>
      <c r="R749" s="7" t="n"/>
      <c r="S749" s="7" t="n"/>
      <c r="T749" s="7" t="n"/>
      <c r="U749" s="12">
        <f>IF(A749="","",IF(H749="","建議填分配模式",""))</f>
        <v/>
      </c>
    </row>
    <row r="750" ht="24" customHeight="1">
      <c r="A750" s="7" t="n"/>
      <c r="B750" s="7" t="n"/>
      <c r="C750" s="7" t="n"/>
      <c r="D750" s="12">
        <f>IF($A750="","",IFERROR(INDEX(土地清冊_匯入!$B$6:$B$1005,MATCH($A750,土地清冊_匯入!$A$6:$A$1005,0)),"查無資料"))</f>
        <v/>
      </c>
      <c r="E750" s="9">
        <f>IF($A750="","",IFERROR(INDEX(土地清冊_匯入!$I$6:$I$1005,MATCH($A750,土地清冊_匯入!$A$6:$A$1005,0)),""))</f>
        <v/>
      </c>
      <c r="F750" s="13">
        <f>IF($A750="","",IFERROR(INDEX(建物清冊_匯入!$N$6:$N$1005,MATCH($A750,建物清冊_匯入!$A$6:$A$1005,0)),""))</f>
        <v/>
      </c>
      <c r="G750" s="9">
        <f>IF($A750="","",IFERROR(INDEX(建物清冊_匯入!$S$6:$S$1005,MATCH($A750,建物清冊_匯入!$A$6:$A$1005,0)),""))</f>
        <v/>
      </c>
      <c r="H750" s="7" t="n"/>
      <c r="I750" s="15" t="n"/>
      <c r="J750" s="16" t="n"/>
      <c r="K750" s="17">
        <f>IF(J750="","",1-J750)</f>
        <v/>
      </c>
      <c r="L750" s="15" t="n"/>
      <c r="M750" s="7" t="n"/>
      <c r="N750" s="7" t="n"/>
      <c r="O750" s="7" t="n"/>
      <c r="P750" s="11" t="n"/>
      <c r="Q750" s="7" t="n"/>
      <c r="R750" s="7" t="n"/>
      <c r="S750" s="7" t="n"/>
      <c r="T750" s="7" t="n"/>
      <c r="U750" s="12">
        <f>IF(A750="","",IF(H750="","建議填分配模式",""))</f>
        <v/>
      </c>
    </row>
    <row r="751" ht="24" customHeight="1">
      <c r="A751" s="7" t="n"/>
      <c r="B751" s="7" t="n"/>
      <c r="C751" s="7" t="n"/>
      <c r="D751" s="12">
        <f>IF($A751="","",IFERROR(INDEX(土地清冊_匯入!$B$6:$B$1005,MATCH($A751,土地清冊_匯入!$A$6:$A$1005,0)),"查無資料"))</f>
        <v/>
      </c>
      <c r="E751" s="9">
        <f>IF($A751="","",IFERROR(INDEX(土地清冊_匯入!$I$6:$I$1005,MATCH($A751,土地清冊_匯入!$A$6:$A$1005,0)),""))</f>
        <v/>
      </c>
      <c r="F751" s="13">
        <f>IF($A751="","",IFERROR(INDEX(建物清冊_匯入!$N$6:$N$1005,MATCH($A751,建物清冊_匯入!$A$6:$A$1005,0)),""))</f>
        <v/>
      </c>
      <c r="G751" s="9">
        <f>IF($A751="","",IFERROR(INDEX(建物清冊_匯入!$S$6:$S$1005,MATCH($A751,建物清冊_匯入!$A$6:$A$1005,0)),""))</f>
        <v/>
      </c>
      <c r="H751" s="7" t="n"/>
      <c r="I751" s="15" t="n"/>
      <c r="J751" s="16" t="n"/>
      <c r="K751" s="17">
        <f>IF(J751="","",1-J751)</f>
        <v/>
      </c>
      <c r="L751" s="15" t="n"/>
      <c r="M751" s="7" t="n"/>
      <c r="N751" s="7" t="n"/>
      <c r="O751" s="7" t="n"/>
      <c r="P751" s="11" t="n"/>
      <c r="Q751" s="7" t="n"/>
      <c r="R751" s="7" t="n"/>
      <c r="S751" s="7" t="n"/>
      <c r="T751" s="7" t="n"/>
      <c r="U751" s="12">
        <f>IF(A751="","",IF(H751="","建議填分配模式",""))</f>
        <v/>
      </c>
    </row>
    <row r="752" ht="24" customHeight="1">
      <c r="A752" s="7" t="n"/>
      <c r="B752" s="7" t="n"/>
      <c r="C752" s="7" t="n"/>
      <c r="D752" s="12">
        <f>IF($A752="","",IFERROR(INDEX(土地清冊_匯入!$B$6:$B$1005,MATCH($A752,土地清冊_匯入!$A$6:$A$1005,0)),"查無資料"))</f>
        <v/>
      </c>
      <c r="E752" s="9">
        <f>IF($A752="","",IFERROR(INDEX(土地清冊_匯入!$I$6:$I$1005,MATCH($A752,土地清冊_匯入!$A$6:$A$1005,0)),""))</f>
        <v/>
      </c>
      <c r="F752" s="13">
        <f>IF($A752="","",IFERROR(INDEX(建物清冊_匯入!$N$6:$N$1005,MATCH($A752,建物清冊_匯入!$A$6:$A$1005,0)),""))</f>
        <v/>
      </c>
      <c r="G752" s="9">
        <f>IF($A752="","",IFERROR(INDEX(建物清冊_匯入!$S$6:$S$1005,MATCH($A752,建物清冊_匯入!$A$6:$A$1005,0)),""))</f>
        <v/>
      </c>
      <c r="H752" s="7" t="n"/>
      <c r="I752" s="15" t="n"/>
      <c r="J752" s="16" t="n"/>
      <c r="K752" s="17">
        <f>IF(J752="","",1-J752)</f>
        <v/>
      </c>
      <c r="L752" s="15" t="n"/>
      <c r="M752" s="7" t="n"/>
      <c r="N752" s="7" t="n"/>
      <c r="O752" s="7" t="n"/>
      <c r="P752" s="11" t="n"/>
      <c r="Q752" s="7" t="n"/>
      <c r="R752" s="7" t="n"/>
      <c r="S752" s="7" t="n"/>
      <c r="T752" s="7" t="n"/>
      <c r="U752" s="12">
        <f>IF(A752="","",IF(H752="","建議填分配模式",""))</f>
        <v/>
      </c>
    </row>
    <row r="753" ht="24" customHeight="1">
      <c r="A753" s="7" t="n"/>
      <c r="B753" s="7" t="n"/>
      <c r="C753" s="7" t="n"/>
      <c r="D753" s="12">
        <f>IF($A753="","",IFERROR(INDEX(土地清冊_匯入!$B$6:$B$1005,MATCH($A753,土地清冊_匯入!$A$6:$A$1005,0)),"查無資料"))</f>
        <v/>
      </c>
      <c r="E753" s="9">
        <f>IF($A753="","",IFERROR(INDEX(土地清冊_匯入!$I$6:$I$1005,MATCH($A753,土地清冊_匯入!$A$6:$A$1005,0)),""))</f>
        <v/>
      </c>
      <c r="F753" s="13">
        <f>IF($A753="","",IFERROR(INDEX(建物清冊_匯入!$N$6:$N$1005,MATCH($A753,建物清冊_匯入!$A$6:$A$1005,0)),""))</f>
        <v/>
      </c>
      <c r="G753" s="9">
        <f>IF($A753="","",IFERROR(INDEX(建物清冊_匯入!$S$6:$S$1005,MATCH($A753,建物清冊_匯入!$A$6:$A$1005,0)),""))</f>
        <v/>
      </c>
      <c r="H753" s="7" t="n"/>
      <c r="I753" s="15" t="n"/>
      <c r="J753" s="16" t="n"/>
      <c r="K753" s="17">
        <f>IF(J753="","",1-J753)</f>
        <v/>
      </c>
      <c r="L753" s="15" t="n"/>
      <c r="M753" s="7" t="n"/>
      <c r="N753" s="7" t="n"/>
      <c r="O753" s="7" t="n"/>
      <c r="P753" s="11" t="n"/>
      <c r="Q753" s="7" t="n"/>
      <c r="R753" s="7" t="n"/>
      <c r="S753" s="7" t="n"/>
      <c r="T753" s="7" t="n"/>
      <c r="U753" s="12">
        <f>IF(A753="","",IF(H753="","建議填分配模式",""))</f>
        <v/>
      </c>
    </row>
    <row r="754" ht="24" customHeight="1">
      <c r="A754" s="7" t="n"/>
      <c r="B754" s="7" t="n"/>
      <c r="C754" s="7" t="n"/>
      <c r="D754" s="12">
        <f>IF($A754="","",IFERROR(INDEX(土地清冊_匯入!$B$6:$B$1005,MATCH($A754,土地清冊_匯入!$A$6:$A$1005,0)),"查無資料"))</f>
        <v/>
      </c>
      <c r="E754" s="9">
        <f>IF($A754="","",IFERROR(INDEX(土地清冊_匯入!$I$6:$I$1005,MATCH($A754,土地清冊_匯入!$A$6:$A$1005,0)),""))</f>
        <v/>
      </c>
      <c r="F754" s="13">
        <f>IF($A754="","",IFERROR(INDEX(建物清冊_匯入!$N$6:$N$1005,MATCH($A754,建物清冊_匯入!$A$6:$A$1005,0)),""))</f>
        <v/>
      </c>
      <c r="G754" s="9">
        <f>IF($A754="","",IFERROR(INDEX(建物清冊_匯入!$S$6:$S$1005,MATCH($A754,建物清冊_匯入!$A$6:$A$1005,0)),""))</f>
        <v/>
      </c>
      <c r="H754" s="7" t="n"/>
      <c r="I754" s="15" t="n"/>
      <c r="J754" s="16" t="n"/>
      <c r="K754" s="17">
        <f>IF(J754="","",1-J754)</f>
        <v/>
      </c>
      <c r="L754" s="15" t="n"/>
      <c r="M754" s="7" t="n"/>
      <c r="N754" s="7" t="n"/>
      <c r="O754" s="7" t="n"/>
      <c r="P754" s="11" t="n"/>
      <c r="Q754" s="7" t="n"/>
      <c r="R754" s="7" t="n"/>
      <c r="S754" s="7" t="n"/>
      <c r="T754" s="7" t="n"/>
      <c r="U754" s="12">
        <f>IF(A754="","",IF(H754="","建議填分配模式",""))</f>
        <v/>
      </c>
    </row>
    <row r="755" ht="24" customHeight="1">
      <c r="A755" s="7" t="n"/>
      <c r="B755" s="7" t="n"/>
      <c r="C755" s="7" t="n"/>
      <c r="D755" s="12">
        <f>IF($A755="","",IFERROR(INDEX(土地清冊_匯入!$B$6:$B$1005,MATCH($A755,土地清冊_匯入!$A$6:$A$1005,0)),"查無資料"))</f>
        <v/>
      </c>
      <c r="E755" s="9">
        <f>IF($A755="","",IFERROR(INDEX(土地清冊_匯入!$I$6:$I$1005,MATCH($A755,土地清冊_匯入!$A$6:$A$1005,0)),""))</f>
        <v/>
      </c>
      <c r="F755" s="13">
        <f>IF($A755="","",IFERROR(INDEX(建物清冊_匯入!$N$6:$N$1005,MATCH($A755,建物清冊_匯入!$A$6:$A$1005,0)),""))</f>
        <v/>
      </c>
      <c r="G755" s="9">
        <f>IF($A755="","",IFERROR(INDEX(建物清冊_匯入!$S$6:$S$1005,MATCH($A755,建物清冊_匯入!$A$6:$A$1005,0)),""))</f>
        <v/>
      </c>
      <c r="H755" s="7" t="n"/>
      <c r="I755" s="15" t="n"/>
      <c r="J755" s="16" t="n"/>
      <c r="K755" s="17">
        <f>IF(J755="","",1-J755)</f>
        <v/>
      </c>
      <c r="L755" s="15" t="n"/>
      <c r="M755" s="7" t="n"/>
      <c r="N755" s="7" t="n"/>
      <c r="O755" s="7" t="n"/>
      <c r="P755" s="11" t="n"/>
      <c r="Q755" s="7" t="n"/>
      <c r="R755" s="7" t="n"/>
      <c r="S755" s="7" t="n"/>
      <c r="T755" s="7" t="n"/>
      <c r="U755" s="12">
        <f>IF(A755="","",IF(H755="","建議填分配模式",""))</f>
        <v/>
      </c>
    </row>
    <row r="756" ht="24" customHeight="1">
      <c r="A756" s="7" t="n"/>
      <c r="B756" s="7" t="n"/>
      <c r="C756" s="7" t="n"/>
      <c r="D756" s="12">
        <f>IF($A756="","",IFERROR(INDEX(土地清冊_匯入!$B$6:$B$1005,MATCH($A756,土地清冊_匯入!$A$6:$A$1005,0)),"查無資料"))</f>
        <v/>
      </c>
      <c r="E756" s="9">
        <f>IF($A756="","",IFERROR(INDEX(土地清冊_匯入!$I$6:$I$1005,MATCH($A756,土地清冊_匯入!$A$6:$A$1005,0)),""))</f>
        <v/>
      </c>
      <c r="F756" s="13">
        <f>IF($A756="","",IFERROR(INDEX(建物清冊_匯入!$N$6:$N$1005,MATCH($A756,建物清冊_匯入!$A$6:$A$1005,0)),""))</f>
        <v/>
      </c>
      <c r="G756" s="9">
        <f>IF($A756="","",IFERROR(INDEX(建物清冊_匯入!$S$6:$S$1005,MATCH($A756,建物清冊_匯入!$A$6:$A$1005,0)),""))</f>
        <v/>
      </c>
      <c r="H756" s="7" t="n"/>
      <c r="I756" s="15" t="n"/>
      <c r="J756" s="16" t="n"/>
      <c r="K756" s="17">
        <f>IF(J756="","",1-J756)</f>
        <v/>
      </c>
      <c r="L756" s="15" t="n"/>
      <c r="M756" s="7" t="n"/>
      <c r="N756" s="7" t="n"/>
      <c r="O756" s="7" t="n"/>
      <c r="P756" s="11" t="n"/>
      <c r="Q756" s="7" t="n"/>
      <c r="R756" s="7" t="n"/>
      <c r="S756" s="7" t="n"/>
      <c r="T756" s="7" t="n"/>
      <c r="U756" s="12">
        <f>IF(A756="","",IF(H756="","建議填分配模式",""))</f>
        <v/>
      </c>
    </row>
    <row r="757" ht="24" customHeight="1">
      <c r="A757" s="7" t="n"/>
      <c r="B757" s="7" t="n"/>
      <c r="C757" s="7" t="n"/>
      <c r="D757" s="12">
        <f>IF($A757="","",IFERROR(INDEX(土地清冊_匯入!$B$6:$B$1005,MATCH($A757,土地清冊_匯入!$A$6:$A$1005,0)),"查無資料"))</f>
        <v/>
      </c>
      <c r="E757" s="9">
        <f>IF($A757="","",IFERROR(INDEX(土地清冊_匯入!$I$6:$I$1005,MATCH($A757,土地清冊_匯入!$A$6:$A$1005,0)),""))</f>
        <v/>
      </c>
      <c r="F757" s="13">
        <f>IF($A757="","",IFERROR(INDEX(建物清冊_匯入!$N$6:$N$1005,MATCH($A757,建物清冊_匯入!$A$6:$A$1005,0)),""))</f>
        <v/>
      </c>
      <c r="G757" s="9">
        <f>IF($A757="","",IFERROR(INDEX(建物清冊_匯入!$S$6:$S$1005,MATCH($A757,建物清冊_匯入!$A$6:$A$1005,0)),""))</f>
        <v/>
      </c>
      <c r="H757" s="7" t="n"/>
      <c r="I757" s="15" t="n"/>
      <c r="J757" s="16" t="n"/>
      <c r="K757" s="17">
        <f>IF(J757="","",1-J757)</f>
        <v/>
      </c>
      <c r="L757" s="15" t="n"/>
      <c r="M757" s="7" t="n"/>
      <c r="N757" s="7" t="n"/>
      <c r="O757" s="7" t="n"/>
      <c r="P757" s="11" t="n"/>
      <c r="Q757" s="7" t="n"/>
      <c r="R757" s="7" t="n"/>
      <c r="S757" s="7" t="n"/>
      <c r="T757" s="7" t="n"/>
      <c r="U757" s="12">
        <f>IF(A757="","",IF(H757="","建議填分配模式",""))</f>
        <v/>
      </c>
    </row>
    <row r="758" ht="24" customHeight="1">
      <c r="A758" s="7" t="n"/>
      <c r="B758" s="7" t="n"/>
      <c r="C758" s="7" t="n"/>
      <c r="D758" s="12">
        <f>IF($A758="","",IFERROR(INDEX(土地清冊_匯入!$B$6:$B$1005,MATCH($A758,土地清冊_匯入!$A$6:$A$1005,0)),"查無資料"))</f>
        <v/>
      </c>
      <c r="E758" s="9">
        <f>IF($A758="","",IFERROR(INDEX(土地清冊_匯入!$I$6:$I$1005,MATCH($A758,土地清冊_匯入!$A$6:$A$1005,0)),""))</f>
        <v/>
      </c>
      <c r="F758" s="13">
        <f>IF($A758="","",IFERROR(INDEX(建物清冊_匯入!$N$6:$N$1005,MATCH($A758,建物清冊_匯入!$A$6:$A$1005,0)),""))</f>
        <v/>
      </c>
      <c r="G758" s="9">
        <f>IF($A758="","",IFERROR(INDEX(建物清冊_匯入!$S$6:$S$1005,MATCH($A758,建物清冊_匯入!$A$6:$A$1005,0)),""))</f>
        <v/>
      </c>
      <c r="H758" s="7" t="n"/>
      <c r="I758" s="15" t="n"/>
      <c r="J758" s="16" t="n"/>
      <c r="K758" s="17">
        <f>IF(J758="","",1-J758)</f>
        <v/>
      </c>
      <c r="L758" s="15" t="n"/>
      <c r="M758" s="7" t="n"/>
      <c r="N758" s="7" t="n"/>
      <c r="O758" s="7" t="n"/>
      <c r="P758" s="11" t="n"/>
      <c r="Q758" s="7" t="n"/>
      <c r="R758" s="7" t="n"/>
      <c r="S758" s="7" t="n"/>
      <c r="T758" s="7" t="n"/>
      <c r="U758" s="12">
        <f>IF(A758="","",IF(H758="","建議填分配模式",""))</f>
        <v/>
      </c>
    </row>
    <row r="759" ht="24" customHeight="1">
      <c r="A759" s="7" t="n"/>
      <c r="B759" s="7" t="n"/>
      <c r="C759" s="7" t="n"/>
      <c r="D759" s="12">
        <f>IF($A759="","",IFERROR(INDEX(土地清冊_匯入!$B$6:$B$1005,MATCH($A759,土地清冊_匯入!$A$6:$A$1005,0)),"查無資料"))</f>
        <v/>
      </c>
      <c r="E759" s="9">
        <f>IF($A759="","",IFERROR(INDEX(土地清冊_匯入!$I$6:$I$1005,MATCH($A759,土地清冊_匯入!$A$6:$A$1005,0)),""))</f>
        <v/>
      </c>
      <c r="F759" s="13">
        <f>IF($A759="","",IFERROR(INDEX(建物清冊_匯入!$N$6:$N$1005,MATCH($A759,建物清冊_匯入!$A$6:$A$1005,0)),""))</f>
        <v/>
      </c>
      <c r="G759" s="9">
        <f>IF($A759="","",IFERROR(INDEX(建物清冊_匯入!$S$6:$S$1005,MATCH($A759,建物清冊_匯入!$A$6:$A$1005,0)),""))</f>
        <v/>
      </c>
      <c r="H759" s="7" t="n"/>
      <c r="I759" s="15" t="n"/>
      <c r="J759" s="16" t="n"/>
      <c r="K759" s="17">
        <f>IF(J759="","",1-J759)</f>
        <v/>
      </c>
      <c r="L759" s="15" t="n"/>
      <c r="M759" s="7" t="n"/>
      <c r="N759" s="7" t="n"/>
      <c r="O759" s="7" t="n"/>
      <c r="P759" s="11" t="n"/>
      <c r="Q759" s="7" t="n"/>
      <c r="R759" s="7" t="n"/>
      <c r="S759" s="7" t="n"/>
      <c r="T759" s="7" t="n"/>
      <c r="U759" s="12">
        <f>IF(A759="","",IF(H759="","建議填分配模式",""))</f>
        <v/>
      </c>
    </row>
    <row r="760" ht="24" customHeight="1">
      <c r="A760" s="7" t="n"/>
      <c r="B760" s="7" t="n"/>
      <c r="C760" s="7" t="n"/>
      <c r="D760" s="12">
        <f>IF($A760="","",IFERROR(INDEX(土地清冊_匯入!$B$6:$B$1005,MATCH($A760,土地清冊_匯入!$A$6:$A$1005,0)),"查無資料"))</f>
        <v/>
      </c>
      <c r="E760" s="9">
        <f>IF($A760="","",IFERROR(INDEX(土地清冊_匯入!$I$6:$I$1005,MATCH($A760,土地清冊_匯入!$A$6:$A$1005,0)),""))</f>
        <v/>
      </c>
      <c r="F760" s="13">
        <f>IF($A760="","",IFERROR(INDEX(建物清冊_匯入!$N$6:$N$1005,MATCH($A760,建物清冊_匯入!$A$6:$A$1005,0)),""))</f>
        <v/>
      </c>
      <c r="G760" s="9">
        <f>IF($A760="","",IFERROR(INDEX(建物清冊_匯入!$S$6:$S$1005,MATCH($A760,建物清冊_匯入!$A$6:$A$1005,0)),""))</f>
        <v/>
      </c>
      <c r="H760" s="7" t="n"/>
      <c r="I760" s="15" t="n"/>
      <c r="J760" s="16" t="n"/>
      <c r="K760" s="17">
        <f>IF(J760="","",1-J760)</f>
        <v/>
      </c>
      <c r="L760" s="15" t="n"/>
      <c r="M760" s="7" t="n"/>
      <c r="N760" s="7" t="n"/>
      <c r="O760" s="7" t="n"/>
      <c r="P760" s="11" t="n"/>
      <c r="Q760" s="7" t="n"/>
      <c r="R760" s="7" t="n"/>
      <c r="S760" s="7" t="n"/>
      <c r="T760" s="7" t="n"/>
      <c r="U760" s="12">
        <f>IF(A760="","",IF(H760="","建議填分配模式",""))</f>
        <v/>
      </c>
    </row>
    <row r="761" ht="24" customHeight="1">
      <c r="A761" s="7" t="n"/>
      <c r="B761" s="7" t="n"/>
      <c r="C761" s="7" t="n"/>
      <c r="D761" s="12">
        <f>IF($A761="","",IFERROR(INDEX(土地清冊_匯入!$B$6:$B$1005,MATCH($A761,土地清冊_匯入!$A$6:$A$1005,0)),"查無資料"))</f>
        <v/>
      </c>
      <c r="E761" s="9">
        <f>IF($A761="","",IFERROR(INDEX(土地清冊_匯入!$I$6:$I$1005,MATCH($A761,土地清冊_匯入!$A$6:$A$1005,0)),""))</f>
        <v/>
      </c>
      <c r="F761" s="13">
        <f>IF($A761="","",IFERROR(INDEX(建物清冊_匯入!$N$6:$N$1005,MATCH($A761,建物清冊_匯入!$A$6:$A$1005,0)),""))</f>
        <v/>
      </c>
      <c r="G761" s="9">
        <f>IF($A761="","",IFERROR(INDEX(建物清冊_匯入!$S$6:$S$1005,MATCH($A761,建物清冊_匯入!$A$6:$A$1005,0)),""))</f>
        <v/>
      </c>
      <c r="H761" s="7" t="n"/>
      <c r="I761" s="15" t="n"/>
      <c r="J761" s="16" t="n"/>
      <c r="K761" s="17">
        <f>IF(J761="","",1-J761)</f>
        <v/>
      </c>
      <c r="L761" s="15" t="n"/>
      <c r="M761" s="7" t="n"/>
      <c r="N761" s="7" t="n"/>
      <c r="O761" s="7" t="n"/>
      <c r="P761" s="11" t="n"/>
      <c r="Q761" s="7" t="n"/>
      <c r="R761" s="7" t="n"/>
      <c r="S761" s="7" t="n"/>
      <c r="T761" s="7" t="n"/>
      <c r="U761" s="12">
        <f>IF(A761="","",IF(H761="","建議填分配模式",""))</f>
        <v/>
      </c>
    </row>
    <row r="762" ht="24" customHeight="1">
      <c r="A762" s="7" t="n"/>
      <c r="B762" s="7" t="n"/>
      <c r="C762" s="7" t="n"/>
      <c r="D762" s="12">
        <f>IF($A762="","",IFERROR(INDEX(土地清冊_匯入!$B$6:$B$1005,MATCH($A762,土地清冊_匯入!$A$6:$A$1005,0)),"查無資料"))</f>
        <v/>
      </c>
      <c r="E762" s="9">
        <f>IF($A762="","",IFERROR(INDEX(土地清冊_匯入!$I$6:$I$1005,MATCH($A762,土地清冊_匯入!$A$6:$A$1005,0)),""))</f>
        <v/>
      </c>
      <c r="F762" s="13">
        <f>IF($A762="","",IFERROR(INDEX(建物清冊_匯入!$N$6:$N$1005,MATCH($A762,建物清冊_匯入!$A$6:$A$1005,0)),""))</f>
        <v/>
      </c>
      <c r="G762" s="9">
        <f>IF($A762="","",IFERROR(INDEX(建物清冊_匯入!$S$6:$S$1005,MATCH($A762,建物清冊_匯入!$A$6:$A$1005,0)),""))</f>
        <v/>
      </c>
      <c r="H762" s="7" t="n"/>
      <c r="I762" s="15" t="n"/>
      <c r="J762" s="16" t="n"/>
      <c r="K762" s="17">
        <f>IF(J762="","",1-J762)</f>
        <v/>
      </c>
      <c r="L762" s="15" t="n"/>
      <c r="M762" s="7" t="n"/>
      <c r="N762" s="7" t="n"/>
      <c r="O762" s="7" t="n"/>
      <c r="P762" s="11" t="n"/>
      <c r="Q762" s="7" t="n"/>
      <c r="R762" s="7" t="n"/>
      <c r="S762" s="7" t="n"/>
      <c r="T762" s="7" t="n"/>
      <c r="U762" s="12">
        <f>IF(A762="","",IF(H762="","建議填分配模式",""))</f>
        <v/>
      </c>
    </row>
    <row r="763" ht="24" customHeight="1">
      <c r="A763" s="7" t="n"/>
      <c r="B763" s="7" t="n"/>
      <c r="C763" s="7" t="n"/>
      <c r="D763" s="12">
        <f>IF($A763="","",IFERROR(INDEX(土地清冊_匯入!$B$6:$B$1005,MATCH($A763,土地清冊_匯入!$A$6:$A$1005,0)),"查無資料"))</f>
        <v/>
      </c>
      <c r="E763" s="9">
        <f>IF($A763="","",IFERROR(INDEX(土地清冊_匯入!$I$6:$I$1005,MATCH($A763,土地清冊_匯入!$A$6:$A$1005,0)),""))</f>
        <v/>
      </c>
      <c r="F763" s="13">
        <f>IF($A763="","",IFERROR(INDEX(建物清冊_匯入!$N$6:$N$1005,MATCH($A763,建物清冊_匯入!$A$6:$A$1005,0)),""))</f>
        <v/>
      </c>
      <c r="G763" s="9">
        <f>IF($A763="","",IFERROR(INDEX(建物清冊_匯入!$S$6:$S$1005,MATCH($A763,建物清冊_匯入!$A$6:$A$1005,0)),""))</f>
        <v/>
      </c>
      <c r="H763" s="7" t="n"/>
      <c r="I763" s="15" t="n"/>
      <c r="J763" s="16" t="n"/>
      <c r="K763" s="17">
        <f>IF(J763="","",1-J763)</f>
        <v/>
      </c>
      <c r="L763" s="15" t="n"/>
      <c r="M763" s="7" t="n"/>
      <c r="N763" s="7" t="n"/>
      <c r="O763" s="7" t="n"/>
      <c r="P763" s="11" t="n"/>
      <c r="Q763" s="7" t="n"/>
      <c r="R763" s="7" t="n"/>
      <c r="S763" s="7" t="n"/>
      <c r="T763" s="7" t="n"/>
      <c r="U763" s="12">
        <f>IF(A763="","",IF(H763="","建議填分配模式",""))</f>
        <v/>
      </c>
    </row>
    <row r="764" ht="24" customHeight="1">
      <c r="A764" s="7" t="n"/>
      <c r="B764" s="7" t="n"/>
      <c r="C764" s="7" t="n"/>
      <c r="D764" s="12">
        <f>IF($A764="","",IFERROR(INDEX(土地清冊_匯入!$B$6:$B$1005,MATCH($A764,土地清冊_匯入!$A$6:$A$1005,0)),"查無資料"))</f>
        <v/>
      </c>
      <c r="E764" s="9">
        <f>IF($A764="","",IFERROR(INDEX(土地清冊_匯入!$I$6:$I$1005,MATCH($A764,土地清冊_匯入!$A$6:$A$1005,0)),""))</f>
        <v/>
      </c>
      <c r="F764" s="13">
        <f>IF($A764="","",IFERROR(INDEX(建物清冊_匯入!$N$6:$N$1005,MATCH($A764,建物清冊_匯入!$A$6:$A$1005,0)),""))</f>
        <v/>
      </c>
      <c r="G764" s="9">
        <f>IF($A764="","",IFERROR(INDEX(建物清冊_匯入!$S$6:$S$1005,MATCH($A764,建物清冊_匯入!$A$6:$A$1005,0)),""))</f>
        <v/>
      </c>
      <c r="H764" s="7" t="n"/>
      <c r="I764" s="15" t="n"/>
      <c r="J764" s="16" t="n"/>
      <c r="K764" s="17">
        <f>IF(J764="","",1-J764)</f>
        <v/>
      </c>
      <c r="L764" s="15" t="n"/>
      <c r="M764" s="7" t="n"/>
      <c r="N764" s="7" t="n"/>
      <c r="O764" s="7" t="n"/>
      <c r="P764" s="11" t="n"/>
      <c r="Q764" s="7" t="n"/>
      <c r="R764" s="7" t="n"/>
      <c r="S764" s="7" t="n"/>
      <c r="T764" s="7" t="n"/>
      <c r="U764" s="12">
        <f>IF(A764="","",IF(H764="","建議填分配模式",""))</f>
        <v/>
      </c>
    </row>
    <row r="765" ht="24" customHeight="1">
      <c r="A765" s="7" t="n"/>
      <c r="B765" s="7" t="n"/>
      <c r="C765" s="7" t="n"/>
      <c r="D765" s="12">
        <f>IF($A765="","",IFERROR(INDEX(土地清冊_匯入!$B$6:$B$1005,MATCH($A765,土地清冊_匯入!$A$6:$A$1005,0)),"查無資料"))</f>
        <v/>
      </c>
      <c r="E765" s="9">
        <f>IF($A765="","",IFERROR(INDEX(土地清冊_匯入!$I$6:$I$1005,MATCH($A765,土地清冊_匯入!$A$6:$A$1005,0)),""))</f>
        <v/>
      </c>
      <c r="F765" s="13">
        <f>IF($A765="","",IFERROR(INDEX(建物清冊_匯入!$N$6:$N$1005,MATCH($A765,建物清冊_匯入!$A$6:$A$1005,0)),""))</f>
        <v/>
      </c>
      <c r="G765" s="9">
        <f>IF($A765="","",IFERROR(INDEX(建物清冊_匯入!$S$6:$S$1005,MATCH($A765,建物清冊_匯入!$A$6:$A$1005,0)),""))</f>
        <v/>
      </c>
      <c r="H765" s="7" t="n"/>
      <c r="I765" s="15" t="n"/>
      <c r="J765" s="16" t="n"/>
      <c r="K765" s="17">
        <f>IF(J765="","",1-J765)</f>
        <v/>
      </c>
      <c r="L765" s="15" t="n"/>
      <c r="M765" s="7" t="n"/>
      <c r="N765" s="7" t="n"/>
      <c r="O765" s="7" t="n"/>
      <c r="P765" s="11" t="n"/>
      <c r="Q765" s="7" t="n"/>
      <c r="R765" s="7" t="n"/>
      <c r="S765" s="7" t="n"/>
      <c r="T765" s="7" t="n"/>
      <c r="U765" s="12">
        <f>IF(A765="","",IF(H765="","建議填分配模式",""))</f>
        <v/>
      </c>
    </row>
    <row r="766" ht="24" customHeight="1">
      <c r="A766" s="7" t="n"/>
      <c r="B766" s="7" t="n"/>
      <c r="C766" s="7" t="n"/>
      <c r="D766" s="12">
        <f>IF($A766="","",IFERROR(INDEX(土地清冊_匯入!$B$6:$B$1005,MATCH($A766,土地清冊_匯入!$A$6:$A$1005,0)),"查無資料"))</f>
        <v/>
      </c>
      <c r="E766" s="9">
        <f>IF($A766="","",IFERROR(INDEX(土地清冊_匯入!$I$6:$I$1005,MATCH($A766,土地清冊_匯入!$A$6:$A$1005,0)),""))</f>
        <v/>
      </c>
      <c r="F766" s="13">
        <f>IF($A766="","",IFERROR(INDEX(建物清冊_匯入!$N$6:$N$1005,MATCH($A766,建物清冊_匯入!$A$6:$A$1005,0)),""))</f>
        <v/>
      </c>
      <c r="G766" s="9">
        <f>IF($A766="","",IFERROR(INDEX(建物清冊_匯入!$S$6:$S$1005,MATCH($A766,建物清冊_匯入!$A$6:$A$1005,0)),""))</f>
        <v/>
      </c>
      <c r="H766" s="7" t="n"/>
      <c r="I766" s="15" t="n"/>
      <c r="J766" s="16" t="n"/>
      <c r="K766" s="17">
        <f>IF(J766="","",1-J766)</f>
        <v/>
      </c>
      <c r="L766" s="15" t="n"/>
      <c r="M766" s="7" t="n"/>
      <c r="N766" s="7" t="n"/>
      <c r="O766" s="7" t="n"/>
      <c r="P766" s="11" t="n"/>
      <c r="Q766" s="7" t="n"/>
      <c r="R766" s="7" t="n"/>
      <c r="S766" s="7" t="n"/>
      <c r="T766" s="7" t="n"/>
      <c r="U766" s="12">
        <f>IF(A766="","",IF(H766="","建議填分配模式",""))</f>
        <v/>
      </c>
    </row>
    <row r="767" ht="24" customHeight="1">
      <c r="A767" s="7" t="n"/>
      <c r="B767" s="7" t="n"/>
      <c r="C767" s="7" t="n"/>
      <c r="D767" s="12">
        <f>IF($A767="","",IFERROR(INDEX(土地清冊_匯入!$B$6:$B$1005,MATCH($A767,土地清冊_匯入!$A$6:$A$1005,0)),"查無資料"))</f>
        <v/>
      </c>
      <c r="E767" s="9">
        <f>IF($A767="","",IFERROR(INDEX(土地清冊_匯入!$I$6:$I$1005,MATCH($A767,土地清冊_匯入!$A$6:$A$1005,0)),""))</f>
        <v/>
      </c>
      <c r="F767" s="13">
        <f>IF($A767="","",IFERROR(INDEX(建物清冊_匯入!$N$6:$N$1005,MATCH($A767,建物清冊_匯入!$A$6:$A$1005,0)),""))</f>
        <v/>
      </c>
      <c r="G767" s="9">
        <f>IF($A767="","",IFERROR(INDEX(建物清冊_匯入!$S$6:$S$1005,MATCH($A767,建物清冊_匯入!$A$6:$A$1005,0)),""))</f>
        <v/>
      </c>
      <c r="H767" s="7" t="n"/>
      <c r="I767" s="15" t="n"/>
      <c r="J767" s="16" t="n"/>
      <c r="K767" s="17">
        <f>IF(J767="","",1-J767)</f>
        <v/>
      </c>
      <c r="L767" s="15" t="n"/>
      <c r="M767" s="7" t="n"/>
      <c r="N767" s="7" t="n"/>
      <c r="O767" s="7" t="n"/>
      <c r="P767" s="11" t="n"/>
      <c r="Q767" s="7" t="n"/>
      <c r="R767" s="7" t="n"/>
      <c r="S767" s="7" t="n"/>
      <c r="T767" s="7" t="n"/>
      <c r="U767" s="12">
        <f>IF(A767="","",IF(H767="","建議填分配模式",""))</f>
        <v/>
      </c>
    </row>
    <row r="768" ht="24" customHeight="1">
      <c r="A768" s="7" t="n"/>
      <c r="B768" s="7" t="n"/>
      <c r="C768" s="7" t="n"/>
      <c r="D768" s="12">
        <f>IF($A768="","",IFERROR(INDEX(土地清冊_匯入!$B$6:$B$1005,MATCH($A768,土地清冊_匯入!$A$6:$A$1005,0)),"查無資料"))</f>
        <v/>
      </c>
      <c r="E768" s="9">
        <f>IF($A768="","",IFERROR(INDEX(土地清冊_匯入!$I$6:$I$1005,MATCH($A768,土地清冊_匯入!$A$6:$A$1005,0)),""))</f>
        <v/>
      </c>
      <c r="F768" s="13">
        <f>IF($A768="","",IFERROR(INDEX(建物清冊_匯入!$N$6:$N$1005,MATCH($A768,建物清冊_匯入!$A$6:$A$1005,0)),""))</f>
        <v/>
      </c>
      <c r="G768" s="9">
        <f>IF($A768="","",IFERROR(INDEX(建物清冊_匯入!$S$6:$S$1005,MATCH($A768,建物清冊_匯入!$A$6:$A$1005,0)),""))</f>
        <v/>
      </c>
      <c r="H768" s="7" t="n"/>
      <c r="I768" s="15" t="n"/>
      <c r="J768" s="16" t="n"/>
      <c r="K768" s="17">
        <f>IF(J768="","",1-J768)</f>
        <v/>
      </c>
      <c r="L768" s="15" t="n"/>
      <c r="M768" s="7" t="n"/>
      <c r="N768" s="7" t="n"/>
      <c r="O768" s="7" t="n"/>
      <c r="P768" s="11" t="n"/>
      <c r="Q768" s="7" t="n"/>
      <c r="R768" s="7" t="n"/>
      <c r="S768" s="7" t="n"/>
      <c r="T768" s="7" t="n"/>
      <c r="U768" s="12">
        <f>IF(A768="","",IF(H768="","建議填分配模式",""))</f>
        <v/>
      </c>
    </row>
    <row r="769" ht="24" customHeight="1">
      <c r="A769" s="7" t="n"/>
      <c r="B769" s="7" t="n"/>
      <c r="C769" s="7" t="n"/>
      <c r="D769" s="12">
        <f>IF($A769="","",IFERROR(INDEX(土地清冊_匯入!$B$6:$B$1005,MATCH($A769,土地清冊_匯入!$A$6:$A$1005,0)),"查無資料"))</f>
        <v/>
      </c>
      <c r="E769" s="9">
        <f>IF($A769="","",IFERROR(INDEX(土地清冊_匯入!$I$6:$I$1005,MATCH($A769,土地清冊_匯入!$A$6:$A$1005,0)),""))</f>
        <v/>
      </c>
      <c r="F769" s="13">
        <f>IF($A769="","",IFERROR(INDEX(建物清冊_匯入!$N$6:$N$1005,MATCH($A769,建物清冊_匯入!$A$6:$A$1005,0)),""))</f>
        <v/>
      </c>
      <c r="G769" s="9">
        <f>IF($A769="","",IFERROR(INDEX(建物清冊_匯入!$S$6:$S$1005,MATCH($A769,建物清冊_匯入!$A$6:$A$1005,0)),""))</f>
        <v/>
      </c>
      <c r="H769" s="7" t="n"/>
      <c r="I769" s="15" t="n"/>
      <c r="J769" s="16" t="n"/>
      <c r="K769" s="17">
        <f>IF(J769="","",1-J769)</f>
        <v/>
      </c>
      <c r="L769" s="15" t="n"/>
      <c r="M769" s="7" t="n"/>
      <c r="N769" s="7" t="n"/>
      <c r="O769" s="7" t="n"/>
      <c r="P769" s="11" t="n"/>
      <c r="Q769" s="7" t="n"/>
      <c r="R769" s="7" t="n"/>
      <c r="S769" s="7" t="n"/>
      <c r="T769" s="7" t="n"/>
      <c r="U769" s="12">
        <f>IF(A769="","",IF(H769="","建議填分配模式",""))</f>
        <v/>
      </c>
    </row>
    <row r="770" ht="24" customHeight="1">
      <c r="A770" s="7" t="n"/>
      <c r="B770" s="7" t="n"/>
      <c r="C770" s="7" t="n"/>
      <c r="D770" s="12">
        <f>IF($A770="","",IFERROR(INDEX(土地清冊_匯入!$B$6:$B$1005,MATCH($A770,土地清冊_匯入!$A$6:$A$1005,0)),"查無資料"))</f>
        <v/>
      </c>
      <c r="E770" s="9">
        <f>IF($A770="","",IFERROR(INDEX(土地清冊_匯入!$I$6:$I$1005,MATCH($A770,土地清冊_匯入!$A$6:$A$1005,0)),""))</f>
        <v/>
      </c>
      <c r="F770" s="13">
        <f>IF($A770="","",IFERROR(INDEX(建物清冊_匯入!$N$6:$N$1005,MATCH($A770,建物清冊_匯入!$A$6:$A$1005,0)),""))</f>
        <v/>
      </c>
      <c r="G770" s="9">
        <f>IF($A770="","",IFERROR(INDEX(建物清冊_匯入!$S$6:$S$1005,MATCH($A770,建物清冊_匯入!$A$6:$A$1005,0)),""))</f>
        <v/>
      </c>
      <c r="H770" s="7" t="n"/>
      <c r="I770" s="15" t="n"/>
      <c r="J770" s="16" t="n"/>
      <c r="K770" s="17">
        <f>IF(J770="","",1-J770)</f>
        <v/>
      </c>
      <c r="L770" s="15" t="n"/>
      <c r="M770" s="7" t="n"/>
      <c r="N770" s="7" t="n"/>
      <c r="O770" s="7" t="n"/>
      <c r="P770" s="11" t="n"/>
      <c r="Q770" s="7" t="n"/>
      <c r="R770" s="7" t="n"/>
      <c r="S770" s="7" t="n"/>
      <c r="T770" s="7" t="n"/>
      <c r="U770" s="12">
        <f>IF(A770="","",IF(H770="","建議填分配模式",""))</f>
        <v/>
      </c>
    </row>
    <row r="771" ht="24" customHeight="1">
      <c r="A771" s="7" t="n"/>
      <c r="B771" s="7" t="n"/>
      <c r="C771" s="7" t="n"/>
      <c r="D771" s="12">
        <f>IF($A771="","",IFERROR(INDEX(土地清冊_匯入!$B$6:$B$1005,MATCH($A771,土地清冊_匯入!$A$6:$A$1005,0)),"查無資料"))</f>
        <v/>
      </c>
      <c r="E771" s="9">
        <f>IF($A771="","",IFERROR(INDEX(土地清冊_匯入!$I$6:$I$1005,MATCH($A771,土地清冊_匯入!$A$6:$A$1005,0)),""))</f>
        <v/>
      </c>
      <c r="F771" s="13">
        <f>IF($A771="","",IFERROR(INDEX(建物清冊_匯入!$N$6:$N$1005,MATCH($A771,建物清冊_匯入!$A$6:$A$1005,0)),""))</f>
        <v/>
      </c>
      <c r="G771" s="9">
        <f>IF($A771="","",IFERROR(INDEX(建物清冊_匯入!$S$6:$S$1005,MATCH($A771,建物清冊_匯入!$A$6:$A$1005,0)),""))</f>
        <v/>
      </c>
      <c r="H771" s="7" t="n"/>
      <c r="I771" s="15" t="n"/>
      <c r="J771" s="16" t="n"/>
      <c r="K771" s="17">
        <f>IF(J771="","",1-J771)</f>
        <v/>
      </c>
      <c r="L771" s="15" t="n"/>
      <c r="M771" s="7" t="n"/>
      <c r="N771" s="7" t="n"/>
      <c r="O771" s="7" t="n"/>
      <c r="P771" s="11" t="n"/>
      <c r="Q771" s="7" t="n"/>
      <c r="R771" s="7" t="n"/>
      <c r="S771" s="7" t="n"/>
      <c r="T771" s="7" t="n"/>
      <c r="U771" s="12">
        <f>IF(A771="","",IF(H771="","建議填分配模式",""))</f>
        <v/>
      </c>
    </row>
    <row r="772" ht="24" customHeight="1">
      <c r="A772" s="7" t="n"/>
      <c r="B772" s="7" t="n"/>
      <c r="C772" s="7" t="n"/>
      <c r="D772" s="12">
        <f>IF($A772="","",IFERROR(INDEX(土地清冊_匯入!$B$6:$B$1005,MATCH($A772,土地清冊_匯入!$A$6:$A$1005,0)),"查無資料"))</f>
        <v/>
      </c>
      <c r="E772" s="9">
        <f>IF($A772="","",IFERROR(INDEX(土地清冊_匯入!$I$6:$I$1005,MATCH($A772,土地清冊_匯入!$A$6:$A$1005,0)),""))</f>
        <v/>
      </c>
      <c r="F772" s="13">
        <f>IF($A772="","",IFERROR(INDEX(建物清冊_匯入!$N$6:$N$1005,MATCH($A772,建物清冊_匯入!$A$6:$A$1005,0)),""))</f>
        <v/>
      </c>
      <c r="G772" s="9">
        <f>IF($A772="","",IFERROR(INDEX(建物清冊_匯入!$S$6:$S$1005,MATCH($A772,建物清冊_匯入!$A$6:$A$1005,0)),""))</f>
        <v/>
      </c>
      <c r="H772" s="7" t="n"/>
      <c r="I772" s="15" t="n"/>
      <c r="J772" s="16" t="n"/>
      <c r="K772" s="17">
        <f>IF(J772="","",1-J772)</f>
        <v/>
      </c>
      <c r="L772" s="15" t="n"/>
      <c r="M772" s="7" t="n"/>
      <c r="N772" s="7" t="n"/>
      <c r="O772" s="7" t="n"/>
      <c r="P772" s="11" t="n"/>
      <c r="Q772" s="7" t="n"/>
      <c r="R772" s="7" t="n"/>
      <c r="S772" s="7" t="n"/>
      <c r="T772" s="7" t="n"/>
      <c r="U772" s="12">
        <f>IF(A772="","",IF(H772="","建議填分配模式",""))</f>
        <v/>
      </c>
    </row>
    <row r="773" ht="24" customHeight="1">
      <c r="A773" s="7" t="n"/>
      <c r="B773" s="7" t="n"/>
      <c r="C773" s="7" t="n"/>
      <c r="D773" s="12">
        <f>IF($A773="","",IFERROR(INDEX(土地清冊_匯入!$B$6:$B$1005,MATCH($A773,土地清冊_匯入!$A$6:$A$1005,0)),"查無資料"))</f>
        <v/>
      </c>
      <c r="E773" s="9">
        <f>IF($A773="","",IFERROR(INDEX(土地清冊_匯入!$I$6:$I$1005,MATCH($A773,土地清冊_匯入!$A$6:$A$1005,0)),""))</f>
        <v/>
      </c>
      <c r="F773" s="13">
        <f>IF($A773="","",IFERROR(INDEX(建物清冊_匯入!$N$6:$N$1005,MATCH($A773,建物清冊_匯入!$A$6:$A$1005,0)),""))</f>
        <v/>
      </c>
      <c r="G773" s="9">
        <f>IF($A773="","",IFERROR(INDEX(建物清冊_匯入!$S$6:$S$1005,MATCH($A773,建物清冊_匯入!$A$6:$A$1005,0)),""))</f>
        <v/>
      </c>
      <c r="H773" s="7" t="n"/>
      <c r="I773" s="15" t="n"/>
      <c r="J773" s="16" t="n"/>
      <c r="K773" s="17">
        <f>IF(J773="","",1-J773)</f>
        <v/>
      </c>
      <c r="L773" s="15" t="n"/>
      <c r="M773" s="7" t="n"/>
      <c r="N773" s="7" t="n"/>
      <c r="O773" s="7" t="n"/>
      <c r="P773" s="11" t="n"/>
      <c r="Q773" s="7" t="n"/>
      <c r="R773" s="7" t="n"/>
      <c r="S773" s="7" t="n"/>
      <c r="T773" s="7" t="n"/>
      <c r="U773" s="12">
        <f>IF(A773="","",IF(H773="","建議填分配模式",""))</f>
        <v/>
      </c>
    </row>
    <row r="774" ht="24" customHeight="1">
      <c r="A774" s="7" t="n"/>
      <c r="B774" s="7" t="n"/>
      <c r="C774" s="7" t="n"/>
      <c r="D774" s="12">
        <f>IF($A774="","",IFERROR(INDEX(土地清冊_匯入!$B$6:$B$1005,MATCH($A774,土地清冊_匯入!$A$6:$A$1005,0)),"查無資料"))</f>
        <v/>
      </c>
      <c r="E774" s="9">
        <f>IF($A774="","",IFERROR(INDEX(土地清冊_匯入!$I$6:$I$1005,MATCH($A774,土地清冊_匯入!$A$6:$A$1005,0)),""))</f>
        <v/>
      </c>
      <c r="F774" s="13">
        <f>IF($A774="","",IFERROR(INDEX(建物清冊_匯入!$N$6:$N$1005,MATCH($A774,建物清冊_匯入!$A$6:$A$1005,0)),""))</f>
        <v/>
      </c>
      <c r="G774" s="9">
        <f>IF($A774="","",IFERROR(INDEX(建物清冊_匯入!$S$6:$S$1005,MATCH($A774,建物清冊_匯入!$A$6:$A$1005,0)),""))</f>
        <v/>
      </c>
      <c r="H774" s="7" t="n"/>
      <c r="I774" s="15" t="n"/>
      <c r="J774" s="16" t="n"/>
      <c r="K774" s="17">
        <f>IF(J774="","",1-J774)</f>
        <v/>
      </c>
      <c r="L774" s="15" t="n"/>
      <c r="M774" s="7" t="n"/>
      <c r="N774" s="7" t="n"/>
      <c r="O774" s="7" t="n"/>
      <c r="P774" s="11" t="n"/>
      <c r="Q774" s="7" t="n"/>
      <c r="R774" s="7" t="n"/>
      <c r="S774" s="7" t="n"/>
      <c r="T774" s="7" t="n"/>
      <c r="U774" s="12">
        <f>IF(A774="","",IF(H774="","建議填分配模式",""))</f>
        <v/>
      </c>
    </row>
    <row r="775" ht="24" customHeight="1">
      <c r="A775" s="7" t="n"/>
      <c r="B775" s="7" t="n"/>
      <c r="C775" s="7" t="n"/>
      <c r="D775" s="12">
        <f>IF($A775="","",IFERROR(INDEX(土地清冊_匯入!$B$6:$B$1005,MATCH($A775,土地清冊_匯入!$A$6:$A$1005,0)),"查無資料"))</f>
        <v/>
      </c>
      <c r="E775" s="9">
        <f>IF($A775="","",IFERROR(INDEX(土地清冊_匯入!$I$6:$I$1005,MATCH($A775,土地清冊_匯入!$A$6:$A$1005,0)),""))</f>
        <v/>
      </c>
      <c r="F775" s="13">
        <f>IF($A775="","",IFERROR(INDEX(建物清冊_匯入!$N$6:$N$1005,MATCH($A775,建物清冊_匯入!$A$6:$A$1005,0)),""))</f>
        <v/>
      </c>
      <c r="G775" s="9">
        <f>IF($A775="","",IFERROR(INDEX(建物清冊_匯入!$S$6:$S$1005,MATCH($A775,建物清冊_匯入!$A$6:$A$1005,0)),""))</f>
        <v/>
      </c>
      <c r="H775" s="7" t="n"/>
      <c r="I775" s="15" t="n"/>
      <c r="J775" s="16" t="n"/>
      <c r="K775" s="17">
        <f>IF(J775="","",1-J775)</f>
        <v/>
      </c>
      <c r="L775" s="15" t="n"/>
      <c r="M775" s="7" t="n"/>
      <c r="N775" s="7" t="n"/>
      <c r="O775" s="7" t="n"/>
      <c r="P775" s="11" t="n"/>
      <c r="Q775" s="7" t="n"/>
      <c r="R775" s="7" t="n"/>
      <c r="S775" s="7" t="n"/>
      <c r="T775" s="7" t="n"/>
      <c r="U775" s="12">
        <f>IF(A775="","",IF(H775="","建議填分配模式",""))</f>
        <v/>
      </c>
    </row>
    <row r="776" ht="24" customHeight="1">
      <c r="A776" s="7" t="n"/>
      <c r="B776" s="7" t="n"/>
      <c r="C776" s="7" t="n"/>
      <c r="D776" s="12">
        <f>IF($A776="","",IFERROR(INDEX(土地清冊_匯入!$B$6:$B$1005,MATCH($A776,土地清冊_匯入!$A$6:$A$1005,0)),"查無資料"))</f>
        <v/>
      </c>
      <c r="E776" s="9">
        <f>IF($A776="","",IFERROR(INDEX(土地清冊_匯入!$I$6:$I$1005,MATCH($A776,土地清冊_匯入!$A$6:$A$1005,0)),""))</f>
        <v/>
      </c>
      <c r="F776" s="13">
        <f>IF($A776="","",IFERROR(INDEX(建物清冊_匯入!$N$6:$N$1005,MATCH($A776,建物清冊_匯入!$A$6:$A$1005,0)),""))</f>
        <v/>
      </c>
      <c r="G776" s="9">
        <f>IF($A776="","",IFERROR(INDEX(建物清冊_匯入!$S$6:$S$1005,MATCH($A776,建物清冊_匯入!$A$6:$A$1005,0)),""))</f>
        <v/>
      </c>
      <c r="H776" s="7" t="n"/>
      <c r="I776" s="15" t="n"/>
      <c r="J776" s="16" t="n"/>
      <c r="K776" s="17">
        <f>IF(J776="","",1-J776)</f>
        <v/>
      </c>
      <c r="L776" s="15" t="n"/>
      <c r="M776" s="7" t="n"/>
      <c r="N776" s="7" t="n"/>
      <c r="O776" s="7" t="n"/>
      <c r="P776" s="11" t="n"/>
      <c r="Q776" s="7" t="n"/>
      <c r="R776" s="7" t="n"/>
      <c r="S776" s="7" t="n"/>
      <c r="T776" s="7" t="n"/>
      <c r="U776" s="12">
        <f>IF(A776="","",IF(H776="","建議填分配模式",""))</f>
        <v/>
      </c>
    </row>
    <row r="777" ht="24" customHeight="1">
      <c r="A777" s="7" t="n"/>
      <c r="B777" s="7" t="n"/>
      <c r="C777" s="7" t="n"/>
      <c r="D777" s="12">
        <f>IF($A777="","",IFERROR(INDEX(土地清冊_匯入!$B$6:$B$1005,MATCH($A777,土地清冊_匯入!$A$6:$A$1005,0)),"查無資料"))</f>
        <v/>
      </c>
      <c r="E777" s="9">
        <f>IF($A777="","",IFERROR(INDEX(土地清冊_匯入!$I$6:$I$1005,MATCH($A777,土地清冊_匯入!$A$6:$A$1005,0)),""))</f>
        <v/>
      </c>
      <c r="F777" s="13">
        <f>IF($A777="","",IFERROR(INDEX(建物清冊_匯入!$N$6:$N$1005,MATCH($A777,建物清冊_匯入!$A$6:$A$1005,0)),""))</f>
        <v/>
      </c>
      <c r="G777" s="9">
        <f>IF($A777="","",IFERROR(INDEX(建物清冊_匯入!$S$6:$S$1005,MATCH($A777,建物清冊_匯入!$A$6:$A$1005,0)),""))</f>
        <v/>
      </c>
      <c r="H777" s="7" t="n"/>
      <c r="I777" s="15" t="n"/>
      <c r="J777" s="16" t="n"/>
      <c r="K777" s="17">
        <f>IF(J777="","",1-J777)</f>
        <v/>
      </c>
      <c r="L777" s="15" t="n"/>
      <c r="M777" s="7" t="n"/>
      <c r="N777" s="7" t="n"/>
      <c r="O777" s="7" t="n"/>
      <c r="P777" s="11" t="n"/>
      <c r="Q777" s="7" t="n"/>
      <c r="R777" s="7" t="n"/>
      <c r="S777" s="7" t="n"/>
      <c r="T777" s="7" t="n"/>
      <c r="U777" s="12">
        <f>IF(A777="","",IF(H777="","建議填分配模式",""))</f>
        <v/>
      </c>
    </row>
    <row r="778" ht="24" customHeight="1">
      <c r="A778" s="7" t="n"/>
      <c r="B778" s="7" t="n"/>
      <c r="C778" s="7" t="n"/>
      <c r="D778" s="12">
        <f>IF($A778="","",IFERROR(INDEX(土地清冊_匯入!$B$6:$B$1005,MATCH($A778,土地清冊_匯入!$A$6:$A$1005,0)),"查無資料"))</f>
        <v/>
      </c>
      <c r="E778" s="9">
        <f>IF($A778="","",IFERROR(INDEX(土地清冊_匯入!$I$6:$I$1005,MATCH($A778,土地清冊_匯入!$A$6:$A$1005,0)),""))</f>
        <v/>
      </c>
      <c r="F778" s="13">
        <f>IF($A778="","",IFERROR(INDEX(建物清冊_匯入!$N$6:$N$1005,MATCH($A778,建物清冊_匯入!$A$6:$A$1005,0)),""))</f>
        <v/>
      </c>
      <c r="G778" s="9">
        <f>IF($A778="","",IFERROR(INDEX(建物清冊_匯入!$S$6:$S$1005,MATCH($A778,建物清冊_匯入!$A$6:$A$1005,0)),""))</f>
        <v/>
      </c>
      <c r="H778" s="7" t="n"/>
      <c r="I778" s="15" t="n"/>
      <c r="J778" s="16" t="n"/>
      <c r="K778" s="17">
        <f>IF(J778="","",1-J778)</f>
        <v/>
      </c>
      <c r="L778" s="15" t="n"/>
      <c r="M778" s="7" t="n"/>
      <c r="N778" s="7" t="n"/>
      <c r="O778" s="7" t="n"/>
      <c r="P778" s="11" t="n"/>
      <c r="Q778" s="7" t="n"/>
      <c r="R778" s="7" t="n"/>
      <c r="S778" s="7" t="n"/>
      <c r="T778" s="7" t="n"/>
      <c r="U778" s="12">
        <f>IF(A778="","",IF(H778="","建議填分配模式",""))</f>
        <v/>
      </c>
    </row>
    <row r="779" ht="24" customHeight="1">
      <c r="A779" s="7" t="n"/>
      <c r="B779" s="7" t="n"/>
      <c r="C779" s="7" t="n"/>
      <c r="D779" s="12">
        <f>IF($A779="","",IFERROR(INDEX(土地清冊_匯入!$B$6:$B$1005,MATCH($A779,土地清冊_匯入!$A$6:$A$1005,0)),"查無資料"))</f>
        <v/>
      </c>
      <c r="E779" s="9">
        <f>IF($A779="","",IFERROR(INDEX(土地清冊_匯入!$I$6:$I$1005,MATCH($A779,土地清冊_匯入!$A$6:$A$1005,0)),""))</f>
        <v/>
      </c>
      <c r="F779" s="13">
        <f>IF($A779="","",IFERROR(INDEX(建物清冊_匯入!$N$6:$N$1005,MATCH($A779,建物清冊_匯入!$A$6:$A$1005,0)),""))</f>
        <v/>
      </c>
      <c r="G779" s="9">
        <f>IF($A779="","",IFERROR(INDEX(建物清冊_匯入!$S$6:$S$1005,MATCH($A779,建物清冊_匯入!$A$6:$A$1005,0)),""))</f>
        <v/>
      </c>
      <c r="H779" s="7" t="n"/>
      <c r="I779" s="15" t="n"/>
      <c r="J779" s="16" t="n"/>
      <c r="K779" s="17">
        <f>IF(J779="","",1-J779)</f>
        <v/>
      </c>
      <c r="L779" s="15" t="n"/>
      <c r="M779" s="7" t="n"/>
      <c r="N779" s="7" t="n"/>
      <c r="O779" s="7" t="n"/>
      <c r="P779" s="11" t="n"/>
      <c r="Q779" s="7" t="n"/>
      <c r="R779" s="7" t="n"/>
      <c r="S779" s="7" t="n"/>
      <c r="T779" s="7" t="n"/>
      <c r="U779" s="12">
        <f>IF(A779="","",IF(H779="","建議填分配模式",""))</f>
        <v/>
      </c>
    </row>
    <row r="780" ht="24" customHeight="1">
      <c r="A780" s="7" t="n"/>
      <c r="B780" s="7" t="n"/>
      <c r="C780" s="7" t="n"/>
      <c r="D780" s="12">
        <f>IF($A780="","",IFERROR(INDEX(土地清冊_匯入!$B$6:$B$1005,MATCH($A780,土地清冊_匯入!$A$6:$A$1005,0)),"查無資料"))</f>
        <v/>
      </c>
      <c r="E780" s="9">
        <f>IF($A780="","",IFERROR(INDEX(土地清冊_匯入!$I$6:$I$1005,MATCH($A780,土地清冊_匯入!$A$6:$A$1005,0)),""))</f>
        <v/>
      </c>
      <c r="F780" s="13">
        <f>IF($A780="","",IFERROR(INDEX(建物清冊_匯入!$N$6:$N$1005,MATCH($A780,建物清冊_匯入!$A$6:$A$1005,0)),""))</f>
        <v/>
      </c>
      <c r="G780" s="9">
        <f>IF($A780="","",IFERROR(INDEX(建物清冊_匯入!$S$6:$S$1005,MATCH($A780,建物清冊_匯入!$A$6:$A$1005,0)),""))</f>
        <v/>
      </c>
      <c r="H780" s="7" t="n"/>
      <c r="I780" s="15" t="n"/>
      <c r="J780" s="16" t="n"/>
      <c r="K780" s="17">
        <f>IF(J780="","",1-J780)</f>
        <v/>
      </c>
      <c r="L780" s="15" t="n"/>
      <c r="M780" s="7" t="n"/>
      <c r="N780" s="7" t="n"/>
      <c r="O780" s="7" t="n"/>
      <c r="P780" s="11" t="n"/>
      <c r="Q780" s="7" t="n"/>
      <c r="R780" s="7" t="n"/>
      <c r="S780" s="7" t="n"/>
      <c r="T780" s="7" t="n"/>
      <c r="U780" s="12">
        <f>IF(A780="","",IF(H780="","建議填分配模式",""))</f>
        <v/>
      </c>
    </row>
    <row r="781" ht="24" customHeight="1">
      <c r="A781" s="7" t="n"/>
      <c r="B781" s="7" t="n"/>
      <c r="C781" s="7" t="n"/>
      <c r="D781" s="12">
        <f>IF($A781="","",IFERROR(INDEX(土地清冊_匯入!$B$6:$B$1005,MATCH($A781,土地清冊_匯入!$A$6:$A$1005,0)),"查無資料"))</f>
        <v/>
      </c>
      <c r="E781" s="9">
        <f>IF($A781="","",IFERROR(INDEX(土地清冊_匯入!$I$6:$I$1005,MATCH($A781,土地清冊_匯入!$A$6:$A$1005,0)),""))</f>
        <v/>
      </c>
      <c r="F781" s="13">
        <f>IF($A781="","",IFERROR(INDEX(建物清冊_匯入!$N$6:$N$1005,MATCH($A781,建物清冊_匯入!$A$6:$A$1005,0)),""))</f>
        <v/>
      </c>
      <c r="G781" s="9">
        <f>IF($A781="","",IFERROR(INDEX(建物清冊_匯入!$S$6:$S$1005,MATCH($A781,建物清冊_匯入!$A$6:$A$1005,0)),""))</f>
        <v/>
      </c>
      <c r="H781" s="7" t="n"/>
      <c r="I781" s="15" t="n"/>
      <c r="J781" s="16" t="n"/>
      <c r="K781" s="17">
        <f>IF(J781="","",1-J781)</f>
        <v/>
      </c>
      <c r="L781" s="15" t="n"/>
      <c r="M781" s="7" t="n"/>
      <c r="N781" s="7" t="n"/>
      <c r="O781" s="7" t="n"/>
      <c r="P781" s="11" t="n"/>
      <c r="Q781" s="7" t="n"/>
      <c r="R781" s="7" t="n"/>
      <c r="S781" s="7" t="n"/>
      <c r="T781" s="7" t="n"/>
      <c r="U781" s="12">
        <f>IF(A781="","",IF(H781="","建議填分配模式",""))</f>
        <v/>
      </c>
    </row>
    <row r="782" ht="24" customHeight="1">
      <c r="A782" s="7" t="n"/>
      <c r="B782" s="7" t="n"/>
      <c r="C782" s="7" t="n"/>
      <c r="D782" s="12">
        <f>IF($A782="","",IFERROR(INDEX(土地清冊_匯入!$B$6:$B$1005,MATCH($A782,土地清冊_匯入!$A$6:$A$1005,0)),"查無資料"))</f>
        <v/>
      </c>
      <c r="E782" s="9">
        <f>IF($A782="","",IFERROR(INDEX(土地清冊_匯入!$I$6:$I$1005,MATCH($A782,土地清冊_匯入!$A$6:$A$1005,0)),""))</f>
        <v/>
      </c>
      <c r="F782" s="13">
        <f>IF($A782="","",IFERROR(INDEX(建物清冊_匯入!$N$6:$N$1005,MATCH($A782,建物清冊_匯入!$A$6:$A$1005,0)),""))</f>
        <v/>
      </c>
      <c r="G782" s="9">
        <f>IF($A782="","",IFERROR(INDEX(建物清冊_匯入!$S$6:$S$1005,MATCH($A782,建物清冊_匯入!$A$6:$A$1005,0)),""))</f>
        <v/>
      </c>
      <c r="H782" s="7" t="n"/>
      <c r="I782" s="15" t="n"/>
      <c r="J782" s="16" t="n"/>
      <c r="K782" s="17">
        <f>IF(J782="","",1-J782)</f>
        <v/>
      </c>
      <c r="L782" s="15" t="n"/>
      <c r="M782" s="7" t="n"/>
      <c r="N782" s="7" t="n"/>
      <c r="O782" s="7" t="n"/>
      <c r="P782" s="11" t="n"/>
      <c r="Q782" s="7" t="n"/>
      <c r="R782" s="7" t="n"/>
      <c r="S782" s="7" t="n"/>
      <c r="T782" s="7" t="n"/>
      <c r="U782" s="12">
        <f>IF(A782="","",IF(H782="","建議填分配模式",""))</f>
        <v/>
      </c>
    </row>
    <row r="783" ht="24" customHeight="1">
      <c r="A783" s="7" t="n"/>
      <c r="B783" s="7" t="n"/>
      <c r="C783" s="7" t="n"/>
      <c r="D783" s="12">
        <f>IF($A783="","",IFERROR(INDEX(土地清冊_匯入!$B$6:$B$1005,MATCH($A783,土地清冊_匯入!$A$6:$A$1005,0)),"查無資料"))</f>
        <v/>
      </c>
      <c r="E783" s="9">
        <f>IF($A783="","",IFERROR(INDEX(土地清冊_匯入!$I$6:$I$1005,MATCH($A783,土地清冊_匯入!$A$6:$A$1005,0)),""))</f>
        <v/>
      </c>
      <c r="F783" s="13">
        <f>IF($A783="","",IFERROR(INDEX(建物清冊_匯入!$N$6:$N$1005,MATCH($A783,建物清冊_匯入!$A$6:$A$1005,0)),""))</f>
        <v/>
      </c>
      <c r="G783" s="9">
        <f>IF($A783="","",IFERROR(INDEX(建物清冊_匯入!$S$6:$S$1005,MATCH($A783,建物清冊_匯入!$A$6:$A$1005,0)),""))</f>
        <v/>
      </c>
      <c r="H783" s="7" t="n"/>
      <c r="I783" s="15" t="n"/>
      <c r="J783" s="16" t="n"/>
      <c r="K783" s="17">
        <f>IF(J783="","",1-J783)</f>
        <v/>
      </c>
      <c r="L783" s="15" t="n"/>
      <c r="M783" s="7" t="n"/>
      <c r="N783" s="7" t="n"/>
      <c r="O783" s="7" t="n"/>
      <c r="P783" s="11" t="n"/>
      <c r="Q783" s="7" t="n"/>
      <c r="R783" s="7" t="n"/>
      <c r="S783" s="7" t="n"/>
      <c r="T783" s="7" t="n"/>
      <c r="U783" s="12">
        <f>IF(A783="","",IF(H783="","建議填分配模式",""))</f>
        <v/>
      </c>
    </row>
    <row r="784" ht="24" customHeight="1">
      <c r="A784" s="7" t="n"/>
      <c r="B784" s="7" t="n"/>
      <c r="C784" s="7" t="n"/>
      <c r="D784" s="12">
        <f>IF($A784="","",IFERROR(INDEX(土地清冊_匯入!$B$6:$B$1005,MATCH($A784,土地清冊_匯入!$A$6:$A$1005,0)),"查無資料"))</f>
        <v/>
      </c>
      <c r="E784" s="9">
        <f>IF($A784="","",IFERROR(INDEX(土地清冊_匯入!$I$6:$I$1005,MATCH($A784,土地清冊_匯入!$A$6:$A$1005,0)),""))</f>
        <v/>
      </c>
      <c r="F784" s="13">
        <f>IF($A784="","",IFERROR(INDEX(建物清冊_匯入!$N$6:$N$1005,MATCH($A784,建物清冊_匯入!$A$6:$A$1005,0)),""))</f>
        <v/>
      </c>
      <c r="G784" s="9">
        <f>IF($A784="","",IFERROR(INDEX(建物清冊_匯入!$S$6:$S$1005,MATCH($A784,建物清冊_匯入!$A$6:$A$1005,0)),""))</f>
        <v/>
      </c>
      <c r="H784" s="7" t="n"/>
      <c r="I784" s="15" t="n"/>
      <c r="J784" s="16" t="n"/>
      <c r="K784" s="17">
        <f>IF(J784="","",1-J784)</f>
        <v/>
      </c>
      <c r="L784" s="15" t="n"/>
      <c r="M784" s="7" t="n"/>
      <c r="N784" s="7" t="n"/>
      <c r="O784" s="7" t="n"/>
      <c r="P784" s="11" t="n"/>
      <c r="Q784" s="7" t="n"/>
      <c r="R784" s="7" t="n"/>
      <c r="S784" s="7" t="n"/>
      <c r="T784" s="7" t="n"/>
      <c r="U784" s="12">
        <f>IF(A784="","",IF(H784="","建議填分配模式",""))</f>
        <v/>
      </c>
    </row>
    <row r="785" ht="24" customHeight="1">
      <c r="A785" s="7" t="n"/>
      <c r="B785" s="7" t="n"/>
      <c r="C785" s="7" t="n"/>
      <c r="D785" s="12">
        <f>IF($A785="","",IFERROR(INDEX(土地清冊_匯入!$B$6:$B$1005,MATCH($A785,土地清冊_匯入!$A$6:$A$1005,0)),"查無資料"))</f>
        <v/>
      </c>
      <c r="E785" s="9">
        <f>IF($A785="","",IFERROR(INDEX(土地清冊_匯入!$I$6:$I$1005,MATCH($A785,土地清冊_匯入!$A$6:$A$1005,0)),""))</f>
        <v/>
      </c>
      <c r="F785" s="13">
        <f>IF($A785="","",IFERROR(INDEX(建物清冊_匯入!$N$6:$N$1005,MATCH($A785,建物清冊_匯入!$A$6:$A$1005,0)),""))</f>
        <v/>
      </c>
      <c r="G785" s="9">
        <f>IF($A785="","",IFERROR(INDEX(建物清冊_匯入!$S$6:$S$1005,MATCH($A785,建物清冊_匯入!$A$6:$A$1005,0)),""))</f>
        <v/>
      </c>
      <c r="H785" s="7" t="n"/>
      <c r="I785" s="15" t="n"/>
      <c r="J785" s="16" t="n"/>
      <c r="K785" s="17">
        <f>IF(J785="","",1-J785)</f>
        <v/>
      </c>
      <c r="L785" s="15" t="n"/>
      <c r="M785" s="7" t="n"/>
      <c r="N785" s="7" t="n"/>
      <c r="O785" s="7" t="n"/>
      <c r="P785" s="11" t="n"/>
      <c r="Q785" s="7" t="n"/>
      <c r="R785" s="7" t="n"/>
      <c r="S785" s="7" t="n"/>
      <c r="T785" s="7" t="n"/>
      <c r="U785" s="12">
        <f>IF(A785="","",IF(H785="","建議填分配模式",""))</f>
        <v/>
      </c>
    </row>
    <row r="786" ht="24" customHeight="1">
      <c r="A786" s="7" t="n"/>
      <c r="B786" s="7" t="n"/>
      <c r="C786" s="7" t="n"/>
      <c r="D786" s="12">
        <f>IF($A786="","",IFERROR(INDEX(土地清冊_匯入!$B$6:$B$1005,MATCH($A786,土地清冊_匯入!$A$6:$A$1005,0)),"查無資料"))</f>
        <v/>
      </c>
      <c r="E786" s="9">
        <f>IF($A786="","",IFERROR(INDEX(土地清冊_匯入!$I$6:$I$1005,MATCH($A786,土地清冊_匯入!$A$6:$A$1005,0)),""))</f>
        <v/>
      </c>
      <c r="F786" s="13">
        <f>IF($A786="","",IFERROR(INDEX(建物清冊_匯入!$N$6:$N$1005,MATCH($A786,建物清冊_匯入!$A$6:$A$1005,0)),""))</f>
        <v/>
      </c>
      <c r="G786" s="9">
        <f>IF($A786="","",IFERROR(INDEX(建物清冊_匯入!$S$6:$S$1005,MATCH($A786,建物清冊_匯入!$A$6:$A$1005,0)),""))</f>
        <v/>
      </c>
      <c r="H786" s="7" t="n"/>
      <c r="I786" s="15" t="n"/>
      <c r="J786" s="16" t="n"/>
      <c r="K786" s="17">
        <f>IF(J786="","",1-J786)</f>
        <v/>
      </c>
      <c r="L786" s="15" t="n"/>
      <c r="M786" s="7" t="n"/>
      <c r="N786" s="7" t="n"/>
      <c r="O786" s="7" t="n"/>
      <c r="P786" s="11" t="n"/>
      <c r="Q786" s="7" t="n"/>
      <c r="R786" s="7" t="n"/>
      <c r="S786" s="7" t="n"/>
      <c r="T786" s="7" t="n"/>
      <c r="U786" s="12">
        <f>IF(A786="","",IF(H786="","建議填分配模式",""))</f>
        <v/>
      </c>
    </row>
    <row r="787" ht="24" customHeight="1">
      <c r="A787" s="7" t="n"/>
      <c r="B787" s="7" t="n"/>
      <c r="C787" s="7" t="n"/>
      <c r="D787" s="12">
        <f>IF($A787="","",IFERROR(INDEX(土地清冊_匯入!$B$6:$B$1005,MATCH($A787,土地清冊_匯入!$A$6:$A$1005,0)),"查無資料"))</f>
        <v/>
      </c>
      <c r="E787" s="9">
        <f>IF($A787="","",IFERROR(INDEX(土地清冊_匯入!$I$6:$I$1005,MATCH($A787,土地清冊_匯入!$A$6:$A$1005,0)),""))</f>
        <v/>
      </c>
      <c r="F787" s="13">
        <f>IF($A787="","",IFERROR(INDEX(建物清冊_匯入!$N$6:$N$1005,MATCH($A787,建物清冊_匯入!$A$6:$A$1005,0)),""))</f>
        <v/>
      </c>
      <c r="G787" s="9">
        <f>IF($A787="","",IFERROR(INDEX(建物清冊_匯入!$S$6:$S$1005,MATCH($A787,建物清冊_匯入!$A$6:$A$1005,0)),""))</f>
        <v/>
      </c>
      <c r="H787" s="7" t="n"/>
      <c r="I787" s="15" t="n"/>
      <c r="J787" s="16" t="n"/>
      <c r="K787" s="17">
        <f>IF(J787="","",1-J787)</f>
        <v/>
      </c>
      <c r="L787" s="15" t="n"/>
      <c r="M787" s="7" t="n"/>
      <c r="N787" s="7" t="n"/>
      <c r="O787" s="7" t="n"/>
      <c r="P787" s="11" t="n"/>
      <c r="Q787" s="7" t="n"/>
      <c r="R787" s="7" t="n"/>
      <c r="S787" s="7" t="n"/>
      <c r="T787" s="7" t="n"/>
      <c r="U787" s="12">
        <f>IF(A787="","",IF(H787="","建議填分配模式",""))</f>
        <v/>
      </c>
    </row>
    <row r="788" ht="24" customHeight="1">
      <c r="A788" s="7" t="n"/>
      <c r="B788" s="7" t="n"/>
      <c r="C788" s="7" t="n"/>
      <c r="D788" s="12">
        <f>IF($A788="","",IFERROR(INDEX(土地清冊_匯入!$B$6:$B$1005,MATCH($A788,土地清冊_匯入!$A$6:$A$1005,0)),"查無資料"))</f>
        <v/>
      </c>
      <c r="E788" s="9">
        <f>IF($A788="","",IFERROR(INDEX(土地清冊_匯入!$I$6:$I$1005,MATCH($A788,土地清冊_匯入!$A$6:$A$1005,0)),""))</f>
        <v/>
      </c>
      <c r="F788" s="13">
        <f>IF($A788="","",IFERROR(INDEX(建物清冊_匯入!$N$6:$N$1005,MATCH($A788,建物清冊_匯入!$A$6:$A$1005,0)),""))</f>
        <v/>
      </c>
      <c r="G788" s="9">
        <f>IF($A788="","",IFERROR(INDEX(建物清冊_匯入!$S$6:$S$1005,MATCH($A788,建物清冊_匯入!$A$6:$A$1005,0)),""))</f>
        <v/>
      </c>
      <c r="H788" s="7" t="n"/>
      <c r="I788" s="15" t="n"/>
      <c r="J788" s="16" t="n"/>
      <c r="K788" s="17">
        <f>IF(J788="","",1-J788)</f>
        <v/>
      </c>
      <c r="L788" s="15" t="n"/>
      <c r="M788" s="7" t="n"/>
      <c r="N788" s="7" t="n"/>
      <c r="O788" s="7" t="n"/>
      <c r="P788" s="11" t="n"/>
      <c r="Q788" s="7" t="n"/>
      <c r="R788" s="7" t="n"/>
      <c r="S788" s="7" t="n"/>
      <c r="T788" s="7" t="n"/>
      <c r="U788" s="12">
        <f>IF(A788="","",IF(H788="","建議填分配模式",""))</f>
        <v/>
      </c>
    </row>
    <row r="789" ht="24" customHeight="1">
      <c r="A789" s="7" t="n"/>
      <c r="B789" s="7" t="n"/>
      <c r="C789" s="7" t="n"/>
      <c r="D789" s="12">
        <f>IF($A789="","",IFERROR(INDEX(土地清冊_匯入!$B$6:$B$1005,MATCH($A789,土地清冊_匯入!$A$6:$A$1005,0)),"查無資料"))</f>
        <v/>
      </c>
      <c r="E789" s="9">
        <f>IF($A789="","",IFERROR(INDEX(土地清冊_匯入!$I$6:$I$1005,MATCH($A789,土地清冊_匯入!$A$6:$A$1005,0)),""))</f>
        <v/>
      </c>
      <c r="F789" s="13">
        <f>IF($A789="","",IFERROR(INDEX(建物清冊_匯入!$N$6:$N$1005,MATCH($A789,建物清冊_匯入!$A$6:$A$1005,0)),""))</f>
        <v/>
      </c>
      <c r="G789" s="9">
        <f>IF($A789="","",IFERROR(INDEX(建物清冊_匯入!$S$6:$S$1005,MATCH($A789,建物清冊_匯入!$A$6:$A$1005,0)),""))</f>
        <v/>
      </c>
      <c r="H789" s="7" t="n"/>
      <c r="I789" s="15" t="n"/>
      <c r="J789" s="16" t="n"/>
      <c r="K789" s="17">
        <f>IF(J789="","",1-J789)</f>
        <v/>
      </c>
      <c r="L789" s="15" t="n"/>
      <c r="M789" s="7" t="n"/>
      <c r="N789" s="7" t="n"/>
      <c r="O789" s="7" t="n"/>
      <c r="P789" s="11" t="n"/>
      <c r="Q789" s="7" t="n"/>
      <c r="R789" s="7" t="n"/>
      <c r="S789" s="7" t="n"/>
      <c r="T789" s="7" t="n"/>
      <c r="U789" s="12">
        <f>IF(A789="","",IF(H789="","建議填分配模式",""))</f>
        <v/>
      </c>
    </row>
    <row r="790" ht="24" customHeight="1">
      <c r="A790" s="7" t="n"/>
      <c r="B790" s="7" t="n"/>
      <c r="C790" s="7" t="n"/>
      <c r="D790" s="12">
        <f>IF($A790="","",IFERROR(INDEX(土地清冊_匯入!$B$6:$B$1005,MATCH($A790,土地清冊_匯入!$A$6:$A$1005,0)),"查無資料"))</f>
        <v/>
      </c>
      <c r="E790" s="9">
        <f>IF($A790="","",IFERROR(INDEX(土地清冊_匯入!$I$6:$I$1005,MATCH($A790,土地清冊_匯入!$A$6:$A$1005,0)),""))</f>
        <v/>
      </c>
      <c r="F790" s="13">
        <f>IF($A790="","",IFERROR(INDEX(建物清冊_匯入!$N$6:$N$1005,MATCH($A790,建物清冊_匯入!$A$6:$A$1005,0)),""))</f>
        <v/>
      </c>
      <c r="G790" s="9">
        <f>IF($A790="","",IFERROR(INDEX(建物清冊_匯入!$S$6:$S$1005,MATCH($A790,建物清冊_匯入!$A$6:$A$1005,0)),""))</f>
        <v/>
      </c>
      <c r="H790" s="7" t="n"/>
      <c r="I790" s="15" t="n"/>
      <c r="J790" s="16" t="n"/>
      <c r="K790" s="17">
        <f>IF(J790="","",1-J790)</f>
        <v/>
      </c>
      <c r="L790" s="15" t="n"/>
      <c r="M790" s="7" t="n"/>
      <c r="N790" s="7" t="n"/>
      <c r="O790" s="7" t="n"/>
      <c r="P790" s="11" t="n"/>
      <c r="Q790" s="7" t="n"/>
      <c r="R790" s="7" t="n"/>
      <c r="S790" s="7" t="n"/>
      <c r="T790" s="7" t="n"/>
      <c r="U790" s="12">
        <f>IF(A790="","",IF(H790="","建議填分配模式",""))</f>
        <v/>
      </c>
    </row>
    <row r="791" ht="24" customHeight="1">
      <c r="A791" s="7" t="n"/>
      <c r="B791" s="7" t="n"/>
      <c r="C791" s="7" t="n"/>
      <c r="D791" s="12">
        <f>IF($A791="","",IFERROR(INDEX(土地清冊_匯入!$B$6:$B$1005,MATCH($A791,土地清冊_匯入!$A$6:$A$1005,0)),"查無資料"))</f>
        <v/>
      </c>
      <c r="E791" s="9">
        <f>IF($A791="","",IFERROR(INDEX(土地清冊_匯入!$I$6:$I$1005,MATCH($A791,土地清冊_匯入!$A$6:$A$1005,0)),""))</f>
        <v/>
      </c>
      <c r="F791" s="13">
        <f>IF($A791="","",IFERROR(INDEX(建物清冊_匯入!$N$6:$N$1005,MATCH($A791,建物清冊_匯入!$A$6:$A$1005,0)),""))</f>
        <v/>
      </c>
      <c r="G791" s="9">
        <f>IF($A791="","",IFERROR(INDEX(建物清冊_匯入!$S$6:$S$1005,MATCH($A791,建物清冊_匯入!$A$6:$A$1005,0)),""))</f>
        <v/>
      </c>
      <c r="H791" s="7" t="n"/>
      <c r="I791" s="15" t="n"/>
      <c r="J791" s="16" t="n"/>
      <c r="K791" s="17">
        <f>IF(J791="","",1-J791)</f>
        <v/>
      </c>
      <c r="L791" s="15" t="n"/>
      <c r="M791" s="7" t="n"/>
      <c r="N791" s="7" t="n"/>
      <c r="O791" s="7" t="n"/>
      <c r="P791" s="11" t="n"/>
      <c r="Q791" s="7" t="n"/>
      <c r="R791" s="7" t="n"/>
      <c r="S791" s="7" t="n"/>
      <c r="T791" s="7" t="n"/>
      <c r="U791" s="12">
        <f>IF(A791="","",IF(H791="","建議填分配模式",""))</f>
        <v/>
      </c>
    </row>
    <row r="792" ht="24" customHeight="1">
      <c r="A792" s="7" t="n"/>
      <c r="B792" s="7" t="n"/>
      <c r="C792" s="7" t="n"/>
      <c r="D792" s="12">
        <f>IF($A792="","",IFERROR(INDEX(土地清冊_匯入!$B$6:$B$1005,MATCH($A792,土地清冊_匯入!$A$6:$A$1005,0)),"查無資料"))</f>
        <v/>
      </c>
      <c r="E792" s="9">
        <f>IF($A792="","",IFERROR(INDEX(土地清冊_匯入!$I$6:$I$1005,MATCH($A792,土地清冊_匯入!$A$6:$A$1005,0)),""))</f>
        <v/>
      </c>
      <c r="F792" s="13">
        <f>IF($A792="","",IFERROR(INDEX(建物清冊_匯入!$N$6:$N$1005,MATCH($A792,建物清冊_匯入!$A$6:$A$1005,0)),""))</f>
        <v/>
      </c>
      <c r="G792" s="9">
        <f>IF($A792="","",IFERROR(INDEX(建物清冊_匯入!$S$6:$S$1005,MATCH($A792,建物清冊_匯入!$A$6:$A$1005,0)),""))</f>
        <v/>
      </c>
      <c r="H792" s="7" t="n"/>
      <c r="I792" s="15" t="n"/>
      <c r="J792" s="16" t="n"/>
      <c r="K792" s="17">
        <f>IF(J792="","",1-J792)</f>
        <v/>
      </c>
      <c r="L792" s="15" t="n"/>
      <c r="M792" s="7" t="n"/>
      <c r="N792" s="7" t="n"/>
      <c r="O792" s="7" t="n"/>
      <c r="P792" s="11" t="n"/>
      <c r="Q792" s="7" t="n"/>
      <c r="R792" s="7" t="n"/>
      <c r="S792" s="7" t="n"/>
      <c r="T792" s="7" t="n"/>
      <c r="U792" s="12">
        <f>IF(A792="","",IF(H792="","建議填分配模式",""))</f>
        <v/>
      </c>
    </row>
    <row r="793" ht="24" customHeight="1">
      <c r="A793" s="7" t="n"/>
      <c r="B793" s="7" t="n"/>
      <c r="C793" s="7" t="n"/>
      <c r="D793" s="12">
        <f>IF($A793="","",IFERROR(INDEX(土地清冊_匯入!$B$6:$B$1005,MATCH($A793,土地清冊_匯入!$A$6:$A$1005,0)),"查無資料"))</f>
        <v/>
      </c>
      <c r="E793" s="9">
        <f>IF($A793="","",IFERROR(INDEX(土地清冊_匯入!$I$6:$I$1005,MATCH($A793,土地清冊_匯入!$A$6:$A$1005,0)),""))</f>
        <v/>
      </c>
      <c r="F793" s="13">
        <f>IF($A793="","",IFERROR(INDEX(建物清冊_匯入!$N$6:$N$1005,MATCH($A793,建物清冊_匯入!$A$6:$A$1005,0)),""))</f>
        <v/>
      </c>
      <c r="G793" s="9">
        <f>IF($A793="","",IFERROR(INDEX(建物清冊_匯入!$S$6:$S$1005,MATCH($A793,建物清冊_匯入!$A$6:$A$1005,0)),""))</f>
        <v/>
      </c>
      <c r="H793" s="7" t="n"/>
      <c r="I793" s="15" t="n"/>
      <c r="J793" s="16" t="n"/>
      <c r="K793" s="17">
        <f>IF(J793="","",1-J793)</f>
        <v/>
      </c>
      <c r="L793" s="15" t="n"/>
      <c r="M793" s="7" t="n"/>
      <c r="N793" s="7" t="n"/>
      <c r="O793" s="7" t="n"/>
      <c r="P793" s="11" t="n"/>
      <c r="Q793" s="7" t="n"/>
      <c r="R793" s="7" t="n"/>
      <c r="S793" s="7" t="n"/>
      <c r="T793" s="7" t="n"/>
      <c r="U793" s="12">
        <f>IF(A793="","",IF(H793="","建議填分配模式",""))</f>
        <v/>
      </c>
    </row>
    <row r="794" ht="24" customHeight="1">
      <c r="A794" s="7" t="n"/>
      <c r="B794" s="7" t="n"/>
      <c r="C794" s="7" t="n"/>
      <c r="D794" s="12">
        <f>IF($A794="","",IFERROR(INDEX(土地清冊_匯入!$B$6:$B$1005,MATCH($A794,土地清冊_匯入!$A$6:$A$1005,0)),"查無資料"))</f>
        <v/>
      </c>
      <c r="E794" s="9">
        <f>IF($A794="","",IFERROR(INDEX(土地清冊_匯入!$I$6:$I$1005,MATCH($A794,土地清冊_匯入!$A$6:$A$1005,0)),""))</f>
        <v/>
      </c>
      <c r="F794" s="13">
        <f>IF($A794="","",IFERROR(INDEX(建物清冊_匯入!$N$6:$N$1005,MATCH($A794,建物清冊_匯入!$A$6:$A$1005,0)),""))</f>
        <v/>
      </c>
      <c r="G794" s="9">
        <f>IF($A794="","",IFERROR(INDEX(建物清冊_匯入!$S$6:$S$1005,MATCH($A794,建物清冊_匯入!$A$6:$A$1005,0)),""))</f>
        <v/>
      </c>
      <c r="H794" s="7" t="n"/>
      <c r="I794" s="15" t="n"/>
      <c r="J794" s="16" t="n"/>
      <c r="K794" s="17">
        <f>IF(J794="","",1-J794)</f>
        <v/>
      </c>
      <c r="L794" s="15" t="n"/>
      <c r="M794" s="7" t="n"/>
      <c r="N794" s="7" t="n"/>
      <c r="O794" s="7" t="n"/>
      <c r="P794" s="11" t="n"/>
      <c r="Q794" s="7" t="n"/>
      <c r="R794" s="7" t="n"/>
      <c r="S794" s="7" t="n"/>
      <c r="T794" s="7" t="n"/>
      <c r="U794" s="12">
        <f>IF(A794="","",IF(H794="","建議填分配模式",""))</f>
        <v/>
      </c>
    </row>
    <row r="795" ht="24" customHeight="1">
      <c r="A795" s="7" t="n"/>
      <c r="B795" s="7" t="n"/>
      <c r="C795" s="7" t="n"/>
      <c r="D795" s="12">
        <f>IF($A795="","",IFERROR(INDEX(土地清冊_匯入!$B$6:$B$1005,MATCH($A795,土地清冊_匯入!$A$6:$A$1005,0)),"查無資料"))</f>
        <v/>
      </c>
      <c r="E795" s="9">
        <f>IF($A795="","",IFERROR(INDEX(土地清冊_匯入!$I$6:$I$1005,MATCH($A795,土地清冊_匯入!$A$6:$A$1005,0)),""))</f>
        <v/>
      </c>
      <c r="F795" s="13">
        <f>IF($A795="","",IFERROR(INDEX(建物清冊_匯入!$N$6:$N$1005,MATCH($A795,建物清冊_匯入!$A$6:$A$1005,0)),""))</f>
        <v/>
      </c>
      <c r="G795" s="9">
        <f>IF($A795="","",IFERROR(INDEX(建物清冊_匯入!$S$6:$S$1005,MATCH($A795,建物清冊_匯入!$A$6:$A$1005,0)),""))</f>
        <v/>
      </c>
      <c r="H795" s="7" t="n"/>
      <c r="I795" s="15" t="n"/>
      <c r="J795" s="16" t="n"/>
      <c r="K795" s="17">
        <f>IF(J795="","",1-J795)</f>
        <v/>
      </c>
      <c r="L795" s="15" t="n"/>
      <c r="M795" s="7" t="n"/>
      <c r="N795" s="7" t="n"/>
      <c r="O795" s="7" t="n"/>
      <c r="P795" s="11" t="n"/>
      <c r="Q795" s="7" t="n"/>
      <c r="R795" s="7" t="n"/>
      <c r="S795" s="7" t="n"/>
      <c r="T795" s="7" t="n"/>
      <c r="U795" s="12">
        <f>IF(A795="","",IF(H795="","建議填分配模式",""))</f>
        <v/>
      </c>
    </row>
    <row r="796" ht="24" customHeight="1">
      <c r="A796" s="7" t="n"/>
      <c r="B796" s="7" t="n"/>
      <c r="C796" s="7" t="n"/>
      <c r="D796" s="12">
        <f>IF($A796="","",IFERROR(INDEX(土地清冊_匯入!$B$6:$B$1005,MATCH($A796,土地清冊_匯入!$A$6:$A$1005,0)),"查無資料"))</f>
        <v/>
      </c>
      <c r="E796" s="9">
        <f>IF($A796="","",IFERROR(INDEX(土地清冊_匯入!$I$6:$I$1005,MATCH($A796,土地清冊_匯入!$A$6:$A$1005,0)),""))</f>
        <v/>
      </c>
      <c r="F796" s="13">
        <f>IF($A796="","",IFERROR(INDEX(建物清冊_匯入!$N$6:$N$1005,MATCH($A796,建物清冊_匯入!$A$6:$A$1005,0)),""))</f>
        <v/>
      </c>
      <c r="G796" s="9">
        <f>IF($A796="","",IFERROR(INDEX(建物清冊_匯入!$S$6:$S$1005,MATCH($A796,建物清冊_匯入!$A$6:$A$1005,0)),""))</f>
        <v/>
      </c>
      <c r="H796" s="7" t="n"/>
      <c r="I796" s="15" t="n"/>
      <c r="J796" s="16" t="n"/>
      <c r="K796" s="17">
        <f>IF(J796="","",1-J796)</f>
        <v/>
      </c>
      <c r="L796" s="15" t="n"/>
      <c r="M796" s="7" t="n"/>
      <c r="N796" s="7" t="n"/>
      <c r="O796" s="7" t="n"/>
      <c r="P796" s="11" t="n"/>
      <c r="Q796" s="7" t="n"/>
      <c r="R796" s="7" t="n"/>
      <c r="S796" s="7" t="n"/>
      <c r="T796" s="7" t="n"/>
      <c r="U796" s="12">
        <f>IF(A796="","",IF(H796="","建議填分配模式",""))</f>
        <v/>
      </c>
    </row>
    <row r="797" ht="24" customHeight="1">
      <c r="A797" s="7" t="n"/>
      <c r="B797" s="7" t="n"/>
      <c r="C797" s="7" t="n"/>
      <c r="D797" s="12">
        <f>IF($A797="","",IFERROR(INDEX(土地清冊_匯入!$B$6:$B$1005,MATCH($A797,土地清冊_匯入!$A$6:$A$1005,0)),"查無資料"))</f>
        <v/>
      </c>
      <c r="E797" s="9">
        <f>IF($A797="","",IFERROR(INDEX(土地清冊_匯入!$I$6:$I$1005,MATCH($A797,土地清冊_匯入!$A$6:$A$1005,0)),""))</f>
        <v/>
      </c>
      <c r="F797" s="13">
        <f>IF($A797="","",IFERROR(INDEX(建物清冊_匯入!$N$6:$N$1005,MATCH($A797,建物清冊_匯入!$A$6:$A$1005,0)),""))</f>
        <v/>
      </c>
      <c r="G797" s="9">
        <f>IF($A797="","",IFERROR(INDEX(建物清冊_匯入!$S$6:$S$1005,MATCH($A797,建物清冊_匯入!$A$6:$A$1005,0)),""))</f>
        <v/>
      </c>
      <c r="H797" s="7" t="n"/>
      <c r="I797" s="15" t="n"/>
      <c r="J797" s="16" t="n"/>
      <c r="K797" s="17">
        <f>IF(J797="","",1-J797)</f>
        <v/>
      </c>
      <c r="L797" s="15" t="n"/>
      <c r="M797" s="7" t="n"/>
      <c r="N797" s="7" t="n"/>
      <c r="O797" s="7" t="n"/>
      <c r="P797" s="11" t="n"/>
      <c r="Q797" s="7" t="n"/>
      <c r="R797" s="7" t="n"/>
      <c r="S797" s="7" t="n"/>
      <c r="T797" s="7" t="n"/>
      <c r="U797" s="12">
        <f>IF(A797="","",IF(H797="","建議填分配模式",""))</f>
        <v/>
      </c>
    </row>
    <row r="798" ht="24" customHeight="1">
      <c r="A798" s="7" t="n"/>
      <c r="B798" s="7" t="n"/>
      <c r="C798" s="7" t="n"/>
      <c r="D798" s="12">
        <f>IF($A798="","",IFERROR(INDEX(土地清冊_匯入!$B$6:$B$1005,MATCH($A798,土地清冊_匯入!$A$6:$A$1005,0)),"查無資料"))</f>
        <v/>
      </c>
      <c r="E798" s="9">
        <f>IF($A798="","",IFERROR(INDEX(土地清冊_匯入!$I$6:$I$1005,MATCH($A798,土地清冊_匯入!$A$6:$A$1005,0)),""))</f>
        <v/>
      </c>
      <c r="F798" s="13">
        <f>IF($A798="","",IFERROR(INDEX(建物清冊_匯入!$N$6:$N$1005,MATCH($A798,建物清冊_匯入!$A$6:$A$1005,0)),""))</f>
        <v/>
      </c>
      <c r="G798" s="9">
        <f>IF($A798="","",IFERROR(INDEX(建物清冊_匯入!$S$6:$S$1005,MATCH($A798,建物清冊_匯入!$A$6:$A$1005,0)),""))</f>
        <v/>
      </c>
      <c r="H798" s="7" t="n"/>
      <c r="I798" s="15" t="n"/>
      <c r="J798" s="16" t="n"/>
      <c r="K798" s="17">
        <f>IF(J798="","",1-J798)</f>
        <v/>
      </c>
      <c r="L798" s="15" t="n"/>
      <c r="M798" s="7" t="n"/>
      <c r="N798" s="7" t="n"/>
      <c r="O798" s="7" t="n"/>
      <c r="P798" s="11" t="n"/>
      <c r="Q798" s="7" t="n"/>
      <c r="R798" s="7" t="n"/>
      <c r="S798" s="7" t="n"/>
      <c r="T798" s="7" t="n"/>
      <c r="U798" s="12">
        <f>IF(A798="","",IF(H798="","建議填分配模式",""))</f>
        <v/>
      </c>
    </row>
    <row r="799" ht="24" customHeight="1">
      <c r="A799" s="7" t="n"/>
      <c r="B799" s="7" t="n"/>
      <c r="C799" s="7" t="n"/>
      <c r="D799" s="12">
        <f>IF($A799="","",IFERROR(INDEX(土地清冊_匯入!$B$6:$B$1005,MATCH($A799,土地清冊_匯入!$A$6:$A$1005,0)),"查無資料"))</f>
        <v/>
      </c>
      <c r="E799" s="9">
        <f>IF($A799="","",IFERROR(INDEX(土地清冊_匯入!$I$6:$I$1005,MATCH($A799,土地清冊_匯入!$A$6:$A$1005,0)),""))</f>
        <v/>
      </c>
      <c r="F799" s="13">
        <f>IF($A799="","",IFERROR(INDEX(建物清冊_匯入!$N$6:$N$1005,MATCH($A799,建物清冊_匯入!$A$6:$A$1005,0)),""))</f>
        <v/>
      </c>
      <c r="G799" s="9">
        <f>IF($A799="","",IFERROR(INDEX(建物清冊_匯入!$S$6:$S$1005,MATCH($A799,建物清冊_匯入!$A$6:$A$1005,0)),""))</f>
        <v/>
      </c>
      <c r="H799" s="7" t="n"/>
      <c r="I799" s="15" t="n"/>
      <c r="J799" s="16" t="n"/>
      <c r="K799" s="17">
        <f>IF(J799="","",1-J799)</f>
        <v/>
      </c>
      <c r="L799" s="15" t="n"/>
      <c r="M799" s="7" t="n"/>
      <c r="N799" s="7" t="n"/>
      <c r="O799" s="7" t="n"/>
      <c r="P799" s="11" t="n"/>
      <c r="Q799" s="7" t="n"/>
      <c r="R799" s="7" t="n"/>
      <c r="S799" s="7" t="n"/>
      <c r="T799" s="7" t="n"/>
      <c r="U799" s="12">
        <f>IF(A799="","",IF(H799="","建議填分配模式",""))</f>
        <v/>
      </c>
    </row>
    <row r="800" ht="24" customHeight="1">
      <c r="A800" s="7" t="n"/>
      <c r="B800" s="7" t="n"/>
      <c r="C800" s="7" t="n"/>
      <c r="D800" s="12">
        <f>IF($A800="","",IFERROR(INDEX(土地清冊_匯入!$B$6:$B$1005,MATCH($A800,土地清冊_匯入!$A$6:$A$1005,0)),"查無資料"))</f>
        <v/>
      </c>
      <c r="E800" s="9">
        <f>IF($A800="","",IFERROR(INDEX(土地清冊_匯入!$I$6:$I$1005,MATCH($A800,土地清冊_匯入!$A$6:$A$1005,0)),""))</f>
        <v/>
      </c>
      <c r="F800" s="13">
        <f>IF($A800="","",IFERROR(INDEX(建物清冊_匯入!$N$6:$N$1005,MATCH($A800,建物清冊_匯入!$A$6:$A$1005,0)),""))</f>
        <v/>
      </c>
      <c r="G800" s="9">
        <f>IF($A800="","",IFERROR(INDEX(建物清冊_匯入!$S$6:$S$1005,MATCH($A800,建物清冊_匯入!$A$6:$A$1005,0)),""))</f>
        <v/>
      </c>
      <c r="H800" s="7" t="n"/>
      <c r="I800" s="15" t="n"/>
      <c r="J800" s="16" t="n"/>
      <c r="K800" s="17">
        <f>IF(J800="","",1-J800)</f>
        <v/>
      </c>
      <c r="L800" s="15" t="n"/>
      <c r="M800" s="7" t="n"/>
      <c r="N800" s="7" t="n"/>
      <c r="O800" s="7" t="n"/>
      <c r="P800" s="11" t="n"/>
      <c r="Q800" s="7" t="n"/>
      <c r="R800" s="7" t="n"/>
      <c r="S800" s="7" t="n"/>
      <c r="T800" s="7" t="n"/>
      <c r="U800" s="12">
        <f>IF(A800="","",IF(H800="","建議填分配模式",""))</f>
        <v/>
      </c>
    </row>
    <row r="801" ht="24" customHeight="1">
      <c r="A801" s="7" t="n"/>
      <c r="B801" s="7" t="n"/>
      <c r="C801" s="7" t="n"/>
      <c r="D801" s="12">
        <f>IF($A801="","",IFERROR(INDEX(土地清冊_匯入!$B$6:$B$1005,MATCH($A801,土地清冊_匯入!$A$6:$A$1005,0)),"查無資料"))</f>
        <v/>
      </c>
      <c r="E801" s="9">
        <f>IF($A801="","",IFERROR(INDEX(土地清冊_匯入!$I$6:$I$1005,MATCH($A801,土地清冊_匯入!$A$6:$A$1005,0)),""))</f>
        <v/>
      </c>
      <c r="F801" s="13">
        <f>IF($A801="","",IFERROR(INDEX(建物清冊_匯入!$N$6:$N$1005,MATCH($A801,建物清冊_匯入!$A$6:$A$1005,0)),""))</f>
        <v/>
      </c>
      <c r="G801" s="9">
        <f>IF($A801="","",IFERROR(INDEX(建物清冊_匯入!$S$6:$S$1005,MATCH($A801,建物清冊_匯入!$A$6:$A$1005,0)),""))</f>
        <v/>
      </c>
      <c r="H801" s="7" t="n"/>
      <c r="I801" s="15" t="n"/>
      <c r="J801" s="16" t="n"/>
      <c r="K801" s="17">
        <f>IF(J801="","",1-J801)</f>
        <v/>
      </c>
      <c r="L801" s="15" t="n"/>
      <c r="M801" s="7" t="n"/>
      <c r="N801" s="7" t="n"/>
      <c r="O801" s="7" t="n"/>
      <c r="P801" s="11" t="n"/>
      <c r="Q801" s="7" t="n"/>
      <c r="R801" s="7" t="n"/>
      <c r="S801" s="7" t="n"/>
      <c r="T801" s="7" t="n"/>
      <c r="U801" s="12">
        <f>IF(A801="","",IF(H801="","建議填分配模式",""))</f>
        <v/>
      </c>
    </row>
    <row r="802" ht="24" customHeight="1">
      <c r="A802" s="7" t="n"/>
      <c r="B802" s="7" t="n"/>
      <c r="C802" s="7" t="n"/>
      <c r="D802" s="12">
        <f>IF($A802="","",IFERROR(INDEX(土地清冊_匯入!$B$6:$B$1005,MATCH($A802,土地清冊_匯入!$A$6:$A$1005,0)),"查無資料"))</f>
        <v/>
      </c>
      <c r="E802" s="9">
        <f>IF($A802="","",IFERROR(INDEX(土地清冊_匯入!$I$6:$I$1005,MATCH($A802,土地清冊_匯入!$A$6:$A$1005,0)),""))</f>
        <v/>
      </c>
      <c r="F802" s="13">
        <f>IF($A802="","",IFERROR(INDEX(建物清冊_匯入!$N$6:$N$1005,MATCH($A802,建物清冊_匯入!$A$6:$A$1005,0)),""))</f>
        <v/>
      </c>
      <c r="G802" s="9">
        <f>IF($A802="","",IFERROR(INDEX(建物清冊_匯入!$S$6:$S$1005,MATCH($A802,建物清冊_匯入!$A$6:$A$1005,0)),""))</f>
        <v/>
      </c>
      <c r="H802" s="7" t="n"/>
      <c r="I802" s="15" t="n"/>
      <c r="J802" s="16" t="n"/>
      <c r="K802" s="17">
        <f>IF(J802="","",1-J802)</f>
        <v/>
      </c>
      <c r="L802" s="15" t="n"/>
      <c r="M802" s="7" t="n"/>
      <c r="N802" s="7" t="n"/>
      <c r="O802" s="7" t="n"/>
      <c r="P802" s="11" t="n"/>
      <c r="Q802" s="7" t="n"/>
      <c r="R802" s="7" t="n"/>
      <c r="S802" s="7" t="n"/>
      <c r="T802" s="7" t="n"/>
      <c r="U802" s="12">
        <f>IF(A802="","",IF(H802="","建議填分配模式",""))</f>
        <v/>
      </c>
    </row>
    <row r="803" ht="24" customHeight="1">
      <c r="A803" s="7" t="n"/>
      <c r="B803" s="7" t="n"/>
      <c r="C803" s="7" t="n"/>
      <c r="D803" s="12">
        <f>IF($A803="","",IFERROR(INDEX(土地清冊_匯入!$B$6:$B$1005,MATCH($A803,土地清冊_匯入!$A$6:$A$1005,0)),"查無資料"))</f>
        <v/>
      </c>
      <c r="E803" s="9">
        <f>IF($A803="","",IFERROR(INDEX(土地清冊_匯入!$I$6:$I$1005,MATCH($A803,土地清冊_匯入!$A$6:$A$1005,0)),""))</f>
        <v/>
      </c>
      <c r="F803" s="13">
        <f>IF($A803="","",IFERROR(INDEX(建物清冊_匯入!$N$6:$N$1005,MATCH($A803,建物清冊_匯入!$A$6:$A$1005,0)),""))</f>
        <v/>
      </c>
      <c r="G803" s="9">
        <f>IF($A803="","",IFERROR(INDEX(建物清冊_匯入!$S$6:$S$1005,MATCH($A803,建物清冊_匯入!$A$6:$A$1005,0)),""))</f>
        <v/>
      </c>
      <c r="H803" s="7" t="n"/>
      <c r="I803" s="15" t="n"/>
      <c r="J803" s="16" t="n"/>
      <c r="K803" s="17">
        <f>IF(J803="","",1-J803)</f>
        <v/>
      </c>
      <c r="L803" s="15" t="n"/>
      <c r="M803" s="7" t="n"/>
      <c r="N803" s="7" t="n"/>
      <c r="O803" s="7" t="n"/>
      <c r="P803" s="11" t="n"/>
      <c r="Q803" s="7" t="n"/>
      <c r="R803" s="7" t="n"/>
      <c r="S803" s="7" t="n"/>
      <c r="T803" s="7" t="n"/>
      <c r="U803" s="12">
        <f>IF(A803="","",IF(H803="","建議填分配模式",""))</f>
        <v/>
      </c>
    </row>
    <row r="804" ht="24" customHeight="1">
      <c r="A804" s="7" t="n"/>
      <c r="B804" s="7" t="n"/>
      <c r="C804" s="7" t="n"/>
      <c r="D804" s="12">
        <f>IF($A804="","",IFERROR(INDEX(土地清冊_匯入!$B$6:$B$1005,MATCH($A804,土地清冊_匯入!$A$6:$A$1005,0)),"查無資料"))</f>
        <v/>
      </c>
      <c r="E804" s="9">
        <f>IF($A804="","",IFERROR(INDEX(土地清冊_匯入!$I$6:$I$1005,MATCH($A804,土地清冊_匯入!$A$6:$A$1005,0)),""))</f>
        <v/>
      </c>
      <c r="F804" s="13">
        <f>IF($A804="","",IFERROR(INDEX(建物清冊_匯入!$N$6:$N$1005,MATCH($A804,建物清冊_匯入!$A$6:$A$1005,0)),""))</f>
        <v/>
      </c>
      <c r="G804" s="9">
        <f>IF($A804="","",IFERROR(INDEX(建物清冊_匯入!$S$6:$S$1005,MATCH($A804,建物清冊_匯入!$A$6:$A$1005,0)),""))</f>
        <v/>
      </c>
      <c r="H804" s="7" t="n"/>
      <c r="I804" s="15" t="n"/>
      <c r="J804" s="16" t="n"/>
      <c r="K804" s="17">
        <f>IF(J804="","",1-J804)</f>
        <v/>
      </c>
      <c r="L804" s="15" t="n"/>
      <c r="M804" s="7" t="n"/>
      <c r="N804" s="7" t="n"/>
      <c r="O804" s="7" t="n"/>
      <c r="P804" s="11" t="n"/>
      <c r="Q804" s="7" t="n"/>
      <c r="R804" s="7" t="n"/>
      <c r="S804" s="7" t="n"/>
      <c r="T804" s="7" t="n"/>
      <c r="U804" s="12">
        <f>IF(A804="","",IF(H804="","建議填分配模式",""))</f>
        <v/>
      </c>
    </row>
    <row r="805" ht="24" customHeight="1">
      <c r="A805" s="7" t="n"/>
      <c r="B805" s="7" t="n"/>
      <c r="C805" s="7" t="n"/>
      <c r="D805" s="12">
        <f>IF($A805="","",IFERROR(INDEX(土地清冊_匯入!$B$6:$B$1005,MATCH($A805,土地清冊_匯入!$A$6:$A$1005,0)),"查無資料"))</f>
        <v/>
      </c>
      <c r="E805" s="9">
        <f>IF($A805="","",IFERROR(INDEX(土地清冊_匯入!$I$6:$I$1005,MATCH($A805,土地清冊_匯入!$A$6:$A$1005,0)),""))</f>
        <v/>
      </c>
      <c r="F805" s="13">
        <f>IF($A805="","",IFERROR(INDEX(建物清冊_匯入!$N$6:$N$1005,MATCH($A805,建物清冊_匯入!$A$6:$A$1005,0)),""))</f>
        <v/>
      </c>
      <c r="G805" s="9">
        <f>IF($A805="","",IFERROR(INDEX(建物清冊_匯入!$S$6:$S$1005,MATCH($A805,建物清冊_匯入!$A$6:$A$1005,0)),""))</f>
        <v/>
      </c>
      <c r="H805" s="7" t="n"/>
      <c r="I805" s="15" t="n"/>
      <c r="J805" s="16" t="n"/>
      <c r="K805" s="17">
        <f>IF(J805="","",1-J805)</f>
        <v/>
      </c>
      <c r="L805" s="15" t="n"/>
      <c r="M805" s="7" t="n"/>
      <c r="N805" s="7" t="n"/>
      <c r="O805" s="7" t="n"/>
      <c r="P805" s="11" t="n"/>
      <c r="Q805" s="7" t="n"/>
      <c r="R805" s="7" t="n"/>
      <c r="S805" s="7" t="n"/>
      <c r="T805" s="7" t="n"/>
      <c r="U805" s="12">
        <f>IF(A805="","",IF(H805="","建議填分配模式",""))</f>
        <v/>
      </c>
    </row>
    <row r="806" ht="24" customHeight="1">
      <c r="A806" s="7" t="n"/>
      <c r="B806" s="7" t="n"/>
      <c r="C806" s="7" t="n"/>
      <c r="D806" s="12">
        <f>IF($A806="","",IFERROR(INDEX(土地清冊_匯入!$B$6:$B$1005,MATCH($A806,土地清冊_匯入!$A$6:$A$1005,0)),"查無資料"))</f>
        <v/>
      </c>
      <c r="E806" s="9">
        <f>IF($A806="","",IFERROR(INDEX(土地清冊_匯入!$I$6:$I$1005,MATCH($A806,土地清冊_匯入!$A$6:$A$1005,0)),""))</f>
        <v/>
      </c>
      <c r="F806" s="13">
        <f>IF($A806="","",IFERROR(INDEX(建物清冊_匯入!$N$6:$N$1005,MATCH($A806,建物清冊_匯入!$A$6:$A$1005,0)),""))</f>
        <v/>
      </c>
      <c r="G806" s="9">
        <f>IF($A806="","",IFERROR(INDEX(建物清冊_匯入!$S$6:$S$1005,MATCH($A806,建物清冊_匯入!$A$6:$A$1005,0)),""))</f>
        <v/>
      </c>
      <c r="H806" s="7" t="n"/>
      <c r="I806" s="15" t="n"/>
      <c r="J806" s="16" t="n"/>
      <c r="K806" s="17">
        <f>IF(J806="","",1-J806)</f>
        <v/>
      </c>
      <c r="L806" s="15" t="n"/>
      <c r="M806" s="7" t="n"/>
      <c r="N806" s="7" t="n"/>
      <c r="O806" s="7" t="n"/>
      <c r="P806" s="11" t="n"/>
      <c r="Q806" s="7" t="n"/>
      <c r="R806" s="7" t="n"/>
      <c r="S806" s="7" t="n"/>
      <c r="T806" s="7" t="n"/>
      <c r="U806" s="12">
        <f>IF(A806="","",IF(H806="","建議填分配模式",""))</f>
        <v/>
      </c>
    </row>
    <row r="807" ht="24" customHeight="1">
      <c r="A807" s="7" t="n"/>
      <c r="B807" s="7" t="n"/>
      <c r="C807" s="7" t="n"/>
      <c r="D807" s="12">
        <f>IF($A807="","",IFERROR(INDEX(土地清冊_匯入!$B$6:$B$1005,MATCH($A807,土地清冊_匯入!$A$6:$A$1005,0)),"查無資料"))</f>
        <v/>
      </c>
      <c r="E807" s="9">
        <f>IF($A807="","",IFERROR(INDEX(土地清冊_匯入!$I$6:$I$1005,MATCH($A807,土地清冊_匯入!$A$6:$A$1005,0)),""))</f>
        <v/>
      </c>
      <c r="F807" s="13">
        <f>IF($A807="","",IFERROR(INDEX(建物清冊_匯入!$N$6:$N$1005,MATCH($A807,建物清冊_匯入!$A$6:$A$1005,0)),""))</f>
        <v/>
      </c>
      <c r="G807" s="9">
        <f>IF($A807="","",IFERROR(INDEX(建物清冊_匯入!$S$6:$S$1005,MATCH($A807,建物清冊_匯入!$A$6:$A$1005,0)),""))</f>
        <v/>
      </c>
      <c r="H807" s="7" t="n"/>
      <c r="I807" s="15" t="n"/>
      <c r="J807" s="16" t="n"/>
      <c r="K807" s="17">
        <f>IF(J807="","",1-J807)</f>
        <v/>
      </c>
      <c r="L807" s="15" t="n"/>
      <c r="M807" s="7" t="n"/>
      <c r="N807" s="7" t="n"/>
      <c r="O807" s="7" t="n"/>
      <c r="P807" s="11" t="n"/>
      <c r="Q807" s="7" t="n"/>
      <c r="R807" s="7" t="n"/>
      <c r="S807" s="7" t="n"/>
      <c r="T807" s="7" t="n"/>
      <c r="U807" s="12">
        <f>IF(A807="","",IF(H807="","建議填分配模式",""))</f>
        <v/>
      </c>
    </row>
    <row r="808" ht="24" customHeight="1">
      <c r="A808" s="7" t="n"/>
      <c r="B808" s="7" t="n"/>
      <c r="C808" s="7" t="n"/>
      <c r="D808" s="12">
        <f>IF($A808="","",IFERROR(INDEX(土地清冊_匯入!$B$6:$B$1005,MATCH($A808,土地清冊_匯入!$A$6:$A$1005,0)),"查無資料"))</f>
        <v/>
      </c>
      <c r="E808" s="9">
        <f>IF($A808="","",IFERROR(INDEX(土地清冊_匯入!$I$6:$I$1005,MATCH($A808,土地清冊_匯入!$A$6:$A$1005,0)),""))</f>
        <v/>
      </c>
      <c r="F808" s="13">
        <f>IF($A808="","",IFERROR(INDEX(建物清冊_匯入!$N$6:$N$1005,MATCH($A808,建物清冊_匯入!$A$6:$A$1005,0)),""))</f>
        <v/>
      </c>
      <c r="G808" s="9">
        <f>IF($A808="","",IFERROR(INDEX(建物清冊_匯入!$S$6:$S$1005,MATCH($A808,建物清冊_匯入!$A$6:$A$1005,0)),""))</f>
        <v/>
      </c>
      <c r="H808" s="7" t="n"/>
      <c r="I808" s="15" t="n"/>
      <c r="J808" s="16" t="n"/>
      <c r="K808" s="17">
        <f>IF(J808="","",1-J808)</f>
        <v/>
      </c>
      <c r="L808" s="15" t="n"/>
      <c r="M808" s="7" t="n"/>
      <c r="N808" s="7" t="n"/>
      <c r="O808" s="7" t="n"/>
      <c r="P808" s="11" t="n"/>
      <c r="Q808" s="7" t="n"/>
      <c r="R808" s="7" t="n"/>
      <c r="S808" s="7" t="n"/>
      <c r="T808" s="7" t="n"/>
      <c r="U808" s="12">
        <f>IF(A808="","",IF(H808="","建議填分配模式",""))</f>
        <v/>
      </c>
    </row>
    <row r="809" ht="24" customHeight="1">
      <c r="A809" s="7" t="n"/>
      <c r="B809" s="7" t="n"/>
      <c r="C809" s="7" t="n"/>
      <c r="D809" s="12">
        <f>IF($A809="","",IFERROR(INDEX(土地清冊_匯入!$B$6:$B$1005,MATCH($A809,土地清冊_匯入!$A$6:$A$1005,0)),"查無資料"))</f>
        <v/>
      </c>
      <c r="E809" s="9">
        <f>IF($A809="","",IFERROR(INDEX(土地清冊_匯入!$I$6:$I$1005,MATCH($A809,土地清冊_匯入!$A$6:$A$1005,0)),""))</f>
        <v/>
      </c>
      <c r="F809" s="13">
        <f>IF($A809="","",IFERROR(INDEX(建物清冊_匯入!$N$6:$N$1005,MATCH($A809,建物清冊_匯入!$A$6:$A$1005,0)),""))</f>
        <v/>
      </c>
      <c r="G809" s="9">
        <f>IF($A809="","",IFERROR(INDEX(建物清冊_匯入!$S$6:$S$1005,MATCH($A809,建物清冊_匯入!$A$6:$A$1005,0)),""))</f>
        <v/>
      </c>
      <c r="H809" s="7" t="n"/>
      <c r="I809" s="15" t="n"/>
      <c r="J809" s="16" t="n"/>
      <c r="K809" s="17">
        <f>IF(J809="","",1-J809)</f>
        <v/>
      </c>
      <c r="L809" s="15" t="n"/>
      <c r="M809" s="7" t="n"/>
      <c r="N809" s="7" t="n"/>
      <c r="O809" s="7" t="n"/>
      <c r="P809" s="11" t="n"/>
      <c r="Q809" s="7" t="n"/>
      <c r="R809" s="7" t="n"/>
      <c r="S809" s="7" t="n"/>
      <c r="T809" s="7" t="n"/>
      <c r="U809" s="12">
        <f>IF(A809="","",IF(H809="","建議填分配模式",""))</f>
        <v/>
      </c>
    </row>
    <row r="810" ht="24" customHeight="1">
      <c r="A810" s="7" t="n"/>
      <c r="B810" s="7" t="n"/>
      <c r="C810" s="7" t="n"/>
      <c r="D810" s="12">
        <f>IF($A810="","",IFERROR(INDEX(土地清冊_匯入!$B$6:$B$1005,MATCH($A810,土地清冊_匯入!$A$6:$A$1005,0)),"查無資料"))</f>
        <v/>
      </c>
      <c r="E810" s="9">
        <f>IF($A810="","",IFERROR(INDEX(土地清冊_匯入!$I$6:$I$1005,MATCH($A810,土地清冊_匯入!$A$6:$A$1005,0)),""))</f>
        <v/>
      </c>
      <c r="F810" s="13">
        <f>IF($A810="","",IFERROR(INDEX(建物清冊_匯入!$N$6:$N$1005,MATCH($A810,建物清冊_匯入!$A$6:$A$1005,0)),""))</f>
        <v/>
      </c>
      <c r="G810" s="9">
        <f>IF($A810="","",IFERROR(INDEX(建物清冊_匯入!$S$6:$S$1005,MATCH($A810,建物清冊_匯入!$A$6:$A$1005,0)),""))</f>
        <v/>
      </c>
      <c r="H810" s="7" t="n"/>
      <c r="I810" s="15" t="n"/>
      <c r="J810" s="16" t="n"/>
      <c r="K810" s="17">
        <f>IF(J810="","",1-J810)</f>
        <v/>
      </c>
      <c r="L810" s="15" t="n"/>
      <c r="M810" s="7" t="n"/>
      <c r="N810" s="7" t="n"/>
      <c r="O810" s="7" t="n"/>
      <c r="P810" s="11" t="n"/>
      <c r="Q810" s="7" t="n"/>
      <c r="R810" s="7" t="n"/>
      <c r="S810" s="7" t="n"/>
      <c r="T810" s="7" t="n"/>
      <c r="U810" s="12">
        <f>IF(A810="","",IF(H810="","建議填分配模式",""))</f>
        <v/>
      </c>
    </row>
    <row r="811" ht="24" customHeight="1">
      <c r="A811" s="7" t="n"/>
      <c r="B811" s="7" t="n"/>
      <c r="C811" s="7" t="n"/>
      <c r="D811" s="12">
        <f>IF($A811="","",IFERROR(INDEX(土地清冊_匯入!$B$6:$B$1005,MATCH($A811,土地清冊_匯入!$A$6:$A$1005,0)),"查無資料"))</f>
        <v/>
      </c>
      <c r="E811" s="9">
        <f>IF($A811="","",IFERROR(INDEX(土地清冊_匯入!$I$6:$I$1005,MATCH($A811,土地清冊_匯入!$A$6:$A$1005,0)),""))</f>
        <v/>
      </c>
      <c r="F811" s="13">
        <f>IF($A811="","",IFERROR(INDEX(建物清冊_匯入!$N$6:$N$1005,MATCH($A811,建物清冊_匯入!$A$6:$A$1005,0)),""))</f>
        <v/>
      </c>
      <c r="G811" s="9">
        <f>IF($A811="","",IFERROR(INDEX(建物清冊_匯入!$S$6:$S$1005,MATCH($A811,建物清冊_匯入!$A$6:$A$1005,0)),""))</f>
        <v/>
      </c>
      <c r="H811" s="7" t="n"/>
      <c r="I811" s="15" t="n"/>
      <c r="J811" s="16" t="n"/>
      <c r="K811" s="17">
        <f>IF(J811="","",1-J811)</f>
        <v/>
      </c>
      <c r="L811" s="15" t="n"/>
      <c r="M811" s="7" t="n"/>
      <c r="N811" s="7" t="n"/>
      <c r="O811" s="7" t="n"/>
      <c r="P811" s="11" t="n"/>
      <c r="Q811" s="7" t="n"/>
      <c r="R811" s="7" t="n"/>
      <c r="S811" s="7" t="n"/>
      <c r="T811" s="7" t="n"/>
      <c r="U811" s="12">
        <f>IF(A811="","",IF(H811="","建議填分配模式",""))</f>
        <v/>
      </c>
    </row>
    <row r="812" ht="24" customHeight="1">
      <c r="A812" s="7" t="n"/>
      <c r="B812" s="7" t="n"/>
      <c r="C812" s="7" t="n"/>
      <c r="D812" s="12">
        <f>IF($A812="","",IFERROR(INDEX(土地清冊_匯入!$B$6:$B$1005,MATCH($A812,土地清冊_匯入!$A$6:$A$1005,0)),"查無資料"))</f>
        <v/>
      </c>
      <c r="E812" s="9">
        <f>IF($A812="","",IFERROR(INDEX(土地清冊_匯入!$I$6:$I$1005,MATCH($A812,土地清冊_匯入!$A$6:$A$1005,0)),""))</f>
        <v/>
      </c>
      <c r="F812" s="13">
        <f>IF($A812="","",IFERROR(INDEX(建物清冊_匯入!$N$6:$N$1005,MATCH($A812,建物清冊_匯入!$A$6:$A$1005,0)),""))</f>
        <v/>
      </c>
      <c r="G812" s="9">
        <f>IF($A812="","",IFERROR(INDEX(建物清冊_匯入!$S$6:$S$1005,MATCH($A812,建物清冊_匯入!$A$6:$A$1005,0)),""))</f>
        <v/>
      </c>
      <c r="H812" s="7" t="n"/>
      <c r="I812" s="15" t="n"/>
      <c r="J812" s="16" t="n"/>
      <c r="K812" s="17">
        <f>IF(J812="","",1-J812)</f>
        <v/>
      </c>
      <c r="L812" s="15" t="n"/>
      <c r="M812" s="7" t="n"/>
      <c r="N812" s="7" t="n"/>
      <c r="O812" s="7" t="n"/>
      <c r="P812" s="11" t="n"/>
      <c r="Q812" s="7" t="n"/>
      <c r="R812" s="7" t="n"/>
      <c r="S812" s="7" t="n"/>
      <c r="T812" s="7" t="n"/>
      <c r="U812" s="12">
        <f>IF(A812="","",IF(H812="","建議填分配模式",""))</f>
        <v/>
      </c>
    </row>
    <row r="813" ht="24" customHeight="1">
      <c r="A813" s="7" t="n"/>
      <c r="B813" s="7" t="n"/>
      <c r="C813" s="7" t="n"/>
      <c r="D813" s="12">
        <f>IF($A813="","",IFERROR(INDEX(土地清冊_匯入!$B$6:$B$1005,MATCH($A813,土地清冊_匯入!$A$6:$A$1005,0)),"查無資料"))</f>
        <v/>
      </c>
      <c r="E813" s="9">
        <f>IF($A813="","",IFERROR(INDEX(土地清冊_匯入!$I$6:$I$1005,MATCH($A813,土地清冊_匯入!$A$6:$A$1005,0)),""))</f>
        <v/>
      </c>
      <c r="F813" s="13">
        <f>IF($A813="","",IFERROR(INDEX(建物清冊_匯入!$N$6:$N$1005,MATCH($A813,建物清冊_匯入!$A$6:$A$1005,0)),""))</f>
        <v/>
      </c>
      <c r="G813" s="9">
        <f>IF($A813="","",IFERROR(INDEX(建物清冊_匯入!$S$6:$S$1005,MATCH($A813,建物清冊_匯入!$A$6:$A$1005,0)),""))</f>
        <v/>
      </c>
      <c r="H813" s="7" t="n"/>
      <c r="I813" s="15" t="n"/>
      <c r="J813" s="16" t="n"/>
      <c r="K813" s="17">
        <f>IF(J813="","",1-J813)</f>
        <v/>
      </c>
      <c r="L813" s="15" t="n"/>
      <c r="M813" s="7" t="n"/>
      <c r="N813" s="7" t="n"/>
      <c r="O813" s="7" t="n"/>
      <c r="P813" s="11" t="n"/>
      <c r="Q813" s="7" t="n"/>
      <c r="R813" s="7" t="n"/>
      <c r="S813" s="7" t="n"/>
      <c r="T813" s="7" t="n"/>
      <c r="U813" s="12">
        <f>IF(A813="","",IF(H813="","建議填分配模式",""))</f>
        <v/>
      </c>
    </row>
    <row r="814" ht="24" customHeight="1">
      <c r="A814" s="7" t="n"/>
      <c r="B814" s="7" t="n"/>
      <c r="C814" s="7" t="n"/>
      <c r="D814" s="12">
        <f>IF($A814="","",IFERROR(INDEX(土地清冊_匯入!$B$6:$B$1005,MATCH($A814,土地清冊_匯入!$A$6:$A$1005,0)),"查無資料"))</f>
        <v/>
      </c>
      <c r="E814" s="9">
        <f>IF($A814="","",IFERROR(INDEX(土地清冊_匯入!$I$6:$I$1005,MATCH($A814,土地清冊_匯入!$A$6:$A$1005,0)),""))</f>
        <v/>
      </c>
      <c r="F814" s="13">
        <f>IF($A814="","",IFERROR(INDEX(建物清冊_匯入!$N$6:$N$1005,MATCH($A814,建物清冊_匯入!$A$6:$A$1005,0)),""))</f>
        <v/>
      </c>
      <c r="G814" s="9">
        <f>IF($A814="","",IFERROR(INDEX(建物清冊_匯入!$S$6:$S$1005,MATCH($A814,建物清冊_匯入!$A$6:$A$1005,0)),""))</f>
        <v/>
      </c>
      <c r="H814" s="7" t="n"/>
      <c r="I814" s="15" t="n"/>
      <c r="J814" s="16" t="n"/>
      <c r="K814" s="17">
        <f>IF(J814="","",1-J814)</f>
        <v/>
      </c>
      <c r="L814" s="15" t="n"/>
      <c r="M814" s="7" t="n"/>
      <c r="N814" s="7" t="n"/>
      <c r="O814" s="7" t="n"/>
      <c r="P814" s="11" t="n"/>
      <c r="Q814" s="7" t="n"/>
      <c r="R814" s="7" t="n"/>
      <c r="S814" s="7" t="n"/>
      <c r="T814" s="7" t="n"/>
      <c r="U814" s="12">
        <f>IF(A814="","",IF(H814="","建議填分配模式",""))</f>
        <v/>
      </c>
    </row>
    <row r="815" ht="24" customHeight="1">
      <c r="A815" s="7" t="n"/>
      <c r="B815" s="7" t="n"/>
      <c r="C815" s="7" t="n"/>
      <c r="D815" s="12">
        <f>IF($A815="","",IFERROR(INDEX(土地清冊_匯入!$B$6:$B$1005,MATCH($A815,土地清冊_匯入!$A$6:$A$1005,0)),"查無資料"))</f>
        <v/>
      </c>
      <c r="E815" s="9">
        <f>IF($A815="","",IFERROR(INDEX(土地清冊_匯入!$I$6:$I$1005,MATCH($A815,土地清冊_匯入!$A$6:$A$1005,0)),""))</f>
        <v/>
      </c>
      <c r="F815" s="13">
        <f>IF($A815="","",IFERROR(INDEX(建物清冊_匯入!$N$6:$N$1005,MATCH($A815,建物清冊_匯入!$A$6:$A$1005,0)),""))</f>
        <v/>
      </c>
      <c r="G815" s="9">
        <f>IF($A815="","",IFERROR(INDEX(建物清冊_匯入!$S$6:$S$1005,MATCH($A815,建物清冊_匯入!$A$6:$A$1005,0)),""))</f>
        <v/>
      </c>
      <c r="H815" s="7" t="n"/>
      <c r="I815" s="15" t="n"/>
      <c r="J815" s="16" t="n"/>
      <c r="K815" s="17">
        <f>IF(J815="","",1-J815)</f>
        <v/>
      </c>
      <c r="L815" s="15" t="n"/>
      <c r="M815" s="7" t="n"/>
      <c r="N815" s="7" t="n"/>
      <c r="O815" s="7" t="n"/>
      <c r="P815" s="11" t="n"/>
      <c r="Q815" s="7" t="n"/>
      <c r="R815" s="7" t="n"/>
      <c r="S815" s="7" t="n"/>
      <c r="T815" s="7" t="n"/>
      <c r="U815" s="12">
        <f>IF(A815="","",IF(H815="","建議填分配模式",""))</f>
        <v/>
      </c>
    </row>
    <row r="816" ht="24" customHeight="1">
      <c r="A816" s="7" t="n"/>
      <c r="B816" s="7" t="n"/>
      <c r="C816" s="7" t="n"/>
      <c r="D816" s="12">
        <f>IF($A816="","",IFERROR(INDEX(土地清冊_匯入!$B$6:$B$1005,MATCH($A816,土地清冊_匯入!$A$6:$A$1005,0)),"查無資料"))</f>
        <v/>
      </c>
      <c r="E816" s="9">
        <f>IF($A816="","",IFERROR(INDEX(土地清冊_匯入!$I$6:$I$1005,MATCH($A816,土地清冊_匯入!$A$6:$A$1005,0)),""))</f>
        <v/>
      </c>
      <c r="F816" s="13">
        <f>IF($A816="","",IFERROR(INDEX(建物清冊_匯入!$N$6:$N$1005,MATCH($A816,建物清冊_匯入!$A$6:$A$1005,0)),""))</f>
        <v/>
      </c>
      <c r="G816" s="9">
        <f>IF($A816="","",IFERROR(INDEX(建物清冊_匯入!$S$6:$S$1005,MATCH($A816,建物清冊_匯入!$A$6:$A$1005,0)),""))</f>
        <v/>
      </c>
      <c r="H816" s="7" t="n"/>
      <c r="I816" s="15" t="n"/>
      <c r="J816" s="16" t="n"/>
      <c r="K816" s="17">
        <f>IF(J816="","",1-J816)</f>
        <v/>
      </c>
      <c r="L816" s="15" t="n"/>
      <c r="M816" s="7" t="n"/>
      <c r="N816" s="7" t="n"/>
      <c r="O816" s="7" t="n"/>
      <c r="P816" s="11" t="n"/>
      <c r="Q816" s="7" t="n"/>
      <c r="R816" s="7" t="n"/>
      <c r="S816" s="7" t="n"/>
      <c r="T816" s="7" t="n"/>
      <c r="U816" s="12">
        <f>IF(A816="","",IF(H816="","建議填分配模式",""))</f>
        <v/>
      </c>
    </row>
    <row r="817" ht="24" customHeight="1">
      <c r="A817" s="7" t="n"/>
      <c r="B817" s="7" t="n"/>
      <c r="C817" s="7" t="n"/>
      <c r="D817" s="12">
        <f>IF($A817="","",IFERROR(INDEX(土地清冊_匯入!$B$6:$B$1005,MATCH($A817,土地清冊_匯入!$A$6:$A$1005,0)),"查無資料"))</f>
        <v/>
      </c>
      <c r="E817" s="9">
        <f>IF($A817="","",IFERROR(INDEX(土地清冊_匯入!$I$6:$I$1005,MATCH($A817,土地清冊_匯入!$A$6:$A$1005,0)),""))</f>
        <v/>
      </c>
      <c r="F817" s="13">
        <f>IF($A817="","",IFERROR(INDEX(建物清冊_匯入!$N$6:$N$1005,MATCH($A817,建物清冊_匯入!$A$6:$A$1005,0)),""))</f>
        <v/>
      </c>
      <c r="G817" s="9">
        <f>IF($A817="","",IFERROR(INDEX(建物清冊_匯入!$S$6:$S$1005,MATCH($A817,建物清冊_匯入!$A$6:$A$1005,0)),""))</f>
        <v/>
      </c>
      <c r="H817" s="7" t="n"/>
      <c r="I817" s="15" t="n"/>
      <c r="J817" s="16" t="n"/>
      <c r="K817" s="17">
        <f>IF(J817="","",1-J817)</f>
        <v/>
      </c>
      <c r="L817" s="15" t="n"/>
      <c r="M817" s="7" t="n"/>
      <c r="N817" s="7" t="n"/>
      <c r="O817" s="7" t="n"/>
      <c r="P817" s="11" t="n"/>
      <c r="Q817" s="7" t="n"/>
      <c r="R817" s="7" t="n"/>
      <c r="S817" s="7" t="n"/>
      <c r="T817" s="7" t="n"/>
      <c r="U817" s="12">
        <f>IF(A817="","",IF(H817="","建議填分配模式",""))</f>
        <v/>
      </c>
    </row>
    <row r="818" ht="24" customHeight="1">
      <c r="A818" s="7" t="n"/>
      <c r="B818" s="7" t="n"/>
      <c r="C818" s="7" t="n"/>
      <c r="D818" s="12">
        <f>IF($A818="","",IFERROR(INDEX(土地清冊_匯入!$B$6:$B$1005,MATCH($A818,土地清冊_匯入!$A$6:$A$1005,0)),"查無資料"))</f>
        <v/>
      </c>
      <c r="E818" s="9">
        <f>IF($A818="","",IFERROR(INDEX(土地清冊_匯入!$I$6:$I$1005,MATCH($A818,土地清冊_匯入!$A$6:$A$1005,0)),""))</f>
        <v/>
      </c>
      <c r="F818" s="13">
        <f>IF($A818="","",IFERROR(INDEX(建物清冊_匯入!$N$6:$N$1005,MATCH($A818,建物清冊_匯入!$A$6:$A$1005,0)),""))</f>
        <v/>
      </c>
      <c r="G818" s="9">
        <f>IF($A818="","",IFERROR(INDEX(建物清冊_匯入!$S$6:$S$1005,MATCH($A818,建物清冊_匯入!$A$6:$A$1005,0)),""))</f>
        <v/>
      </c>
      <c r="H818" s="7" t="n"/>
      <c r="I818" s="15" t="n"/>
      <c r="J818" s="16" t="n"/>
      <c r="K818" s="17">
        <f>IF(J818="","",1-J818)</f>
        <v/>
      </c>
      <c r="L818" s="15" t="n"/>
      <c r="M818" s="7" t="n"/>
      <c r="N818" s="7" t="n"/>
      <c r="O818" s="7" t="n"/>
      <c r="P818" s="11" t="n"/>
      <c r="Q818" s="7" t="n"/>
      <c r="R818" s="7" t="n"/>
      <c r="S818" s="7" t="n"/>
      <c r="T818" s="7" t="n"/>
      <c r="U818" s="12">
        <f>IF(A818="","",IF(H818="","建議填分配模式",""))</f>
        <v/>
      </c>
    </row>
    <row r="819" ht="24" customHeight="1">
      <c r="A819" s="7" t="n"/>
      <c r="B819" s="7" t="n"/>
      <c r="C819" s="7" t="n"/>
      <c r="D819" s="12">
        <f>IF($A819="","",IFERROR(INDEX(土地清冊_匯入!$B$6:$B$1005,MATCH($A819,土地清冊_匯入!$A$6:$A$1005,0)),"查無資料"))</f>
        <v/>
      </c>
      <c r="E819" s="9">
        <f>IF($A819="","",IFERROR(INDEX(土地清冊_匯入!$I$6:$I$1005,MATCH($A819,土地清冊_匯入!$A$6:$A$1005,0)),""))</f>
        <v/>
      </c>
      <c r="F819" s="13">
        <f>IF($A819="","",IFERROR(INDEX(建物清冊_匯入!$N$6:$N$1005,MATCH($A819,建物清冊_匯入!$A$6:$A$1005,0)),""))</f>
        <v/>
      </c>
      <c r="G819" s="9">
        <f>IF($A819="","",IFERROR(INDEX(建物清冊_匯入!$S$6:$S$1005,MATCH($A819,建物清冊_匯入!$A$6:$A$1005,0)),""))</f>
        <v/>
      </c>
      <c r="H819" s="7" t="n"/>
      <c r="I819" s="15" t="n"/>
      <c r="J819" s="16" t="n"/>
      <c r="K819" s="17">
        <f>IF(J819="","",1-J819)</f>
        <v/>
      </c>
      <c r="L819" s="15" t="n"/>
      <c r="M819" s="7" t="n"/>
      <c r="N819" s="7" t="n"/>
      <c r="O819" s="7" t="n"/>
      <c r="P819" s="11" t="n"/>
      <c r="Q819" s="7" t="n"/>
      <c r="R819" s="7" t="n"/>
      <c r="S819" s="7" t="n"/>
      <c r="T819" s="7" t="n"/>
      <c r="U819" s="12">
        <f>IF(A819="","",IF(H819="","建議填分配模式",""))</f>
        <v/>
      </c>
    </row>
    <row r="820" ht="24" customHeight="1">
      <c r="A820" s="7" t="n"/>
      <c r="B820" s="7" t="n"/>
      <c r="C820" s="7" t="n"/>
      <c r="D820" s="12">
        <f>IF($A820="","",IFERROR(INDEX(土地清冊_匯入!$B$6:$B$1005,MATCH($A820,土地清冊_匯入!$A$6:$A$1005,0)),"查無資料"))</f>
        <v/>
      </c>
      <c r="E820" s="9">
        <f>IF($A820="","",IFERROR(INDEX(土地清冊_匯入!$I$6:$I$1005,MATCH($A820,土地清冊_匯入!$A$6:$A$1005,0)),""))</f>
        <v/>
      </c>
      <c r="F820" s="13">
        <f>IF($A820="","",IFERROR(INDEX(建物清冊_匯入!$N$6:$N$1005,MATCH($A820,建物清冊_匯入!$A$6:$A$1005,0)),""))</f>
        <v/>
      </c>
      <c r="G820" s="9">
        <f>IF($A820="","",IFERROR(INDEX(建物清冊_匯入!$S$6:$S$1005,MATCH($A820,建物清冊_匯入!$A$6:$A$1005,0)),""))</f>
        <v/>
      </c>
      <c r="H820" s="7" t="n"/>
      <c r="I820" s="15" t="n"/>
      <c r="J820" s="16" t="n"/>
      <c r="K820" s="17">
        <f>IF(J820="","",1-J820)</f>
        <v/>
      </c>
      <c r="L820" s="15" t="n"/>
      <c r="M820" s="7" t="n"/>
      <c r="N820" s="7" t="n"/>
      <c r="O820" s="7" t="n"/>
      <c r="P820" s="11" t="n"/>
      <c r="Q820" s="7" t="n"/>
      <c r="R820" s="7" t="n"/>
      <c r="S820" s="7" t="n"/>
      <c r="T820" s="7" t="n"/>
      <c r="U820" s="12">
        <f>IF(A820="","",IF(H820="","建議填分配模式",""))</f>
        <v/>
      </c>
    </row>
    <row r="821" ht="24" customHeight="1">
      <c r="A821" s="7" t="n"/>
      <c r="B821" s="7" t="n"/>
      <c r="C821" s="7" t="n"/>
      <c r="D821" s="12">
        <f>IF($A821="","",IFERROR(INDEX(土地清冊_匯入!$B$6:$B$1005,MATCH($A821,土地清冊_匯入!$A$6:$A$1005,0)),"查無資料"))</f>
        <v/>
      </c>
      <c r="E821" s="9">
        <f>IF($A821="","",IFERROR(INDEX(土地清冊_匯入!$I$6:$I$1005,MATCH($A821,土地清冊_匯入!$A$6:$A$1005,0)),""))</f>
        <v/>
      </c>
      <c r="F821" s="13">
        <f>IF($A821="","",IFERROR(INDEX(建物清冊_匯入!$N$6:$N$1005,MATCH($A821,建物清冊_匯入!$A$6:$A$1005,0)),""))</f>
        <v/>
      </c>
      <c r="G821" s="9">
        <f>IF($A821="","",IFERROR(INDEX(建物清冊_匯入!$S$6:$S$1005,MATCH($A821,建物清冊_匯入!$A$6:$A$1005,0)),""))</f>
        <v/>
      </c>
      <c r="H821" s="7" t="n"/>
      <c r="I821" s="15" t="n"/>
      <c r="J821" s="16" t="n"/>
      <c r="K821" s="17">
        <f>IF(J821="","",1-J821)</f>
        <v/>
      </c>
      <c r="L821" s="15" t="n"/>
      <c r="M821" s="7" t="n"/>
      <c r="N821" s="7" t="n"/>
      <c r="O821" s="7" t="n"/>
      <c r="P821" s="11" t="n"/>
      <c r="Q821" s="7" t="n"/>
      <c r="R821" s="7" t="n"/>
      <c r="S821" s="7" t="n"/>
      <c r="T821" s="7" t="n"/>
      <c r="U821" s="12">
        <f>IF(A821="","",IF(H821="","建議填分配模式",""))</f>
        <v/>
      </c>
    </row>
    <row r="822" ht="24" customHeight="1">
      <c r="A822" s="7" t="n"/>
      <c r="B822" s="7" t="n"/>
      <c r="C822" s="7" t="n"/>
      <c r="D822" s="12">
        <f>IF($A822="","",IFERROR(INDEX(土地清冊_匯入!$B$6:$B$1005,MATCH($A822,土地清冊_匯入!$A$6:$A$1005,0)),"查無資料"))</f>
        <v/>
      </c>
      <c r="E822" s="9">
        <f>IF($A822="","",IFERROR(INDEX(土地清冊_匯入!$I$6:$I$1005,MATCH($A822,土地清冊_匯入!$A$6:$A$1005,0)),""))</f>
        <v/>
      </c>
      <c r="F822" s="13">
        <f>IF($A822="","",IFERROR(INDEX(建物清冊_匯入!$N$6:$N$1005,MATCH($A822,建物清冊_匯入!$A$6:$A$1005,0)),""))</f>
        <v/>
      </c>
      <c r="G822" s="9">
        <f>IF($A822="","",IFERROR(INDEX(建物清冊_匯入!$S$6:$S$1005,MATCH($A822,建物清冊_匯入!$A$6:$A$1005,0)),""))</f>
        <v/>
      </c>
      <c r="H822" s="7" t="n"/>
      <c r="I822" s="15" t="n"/>
      <c r="J822" s="16" t="n"/>
      <c r="K822" s="17">
        <f>IF(J822="","",1-J822)</f>
        <v/>
      </c>
      <c r="L822" s="15" t="n"/>
      <c r="M822" s="7" t="n"/>
      <c r="N822" s="7" t="n"/>
      <c r="O822" s="7" t="n"/>
      <c r="P822" s="11" t="n"/>
      <c r="Q822" s="7" t="n"/>
      <c r="R822" s="7" t="n"/>
      <c r="S822" s="7" t="n"/>
      <c r="T822" s="7" t="n"/>
      <c r="U822" s="12">
        <f>IF(A822="","",IF(H822="","建議填分配模式",""))</f>
        <v/>
      </c>
    </row>
    <row r="823" ht="24" customHeight="1">
      <c r="A823" s="7" t="n"/>
      <c r="B823" s="7" t="n"/>
      <c r="C823" s="7" t="n"/>
      <c r="D823" s="12">
        <f>IF($A823="","",IFERROR(INDEX(土地清冊_匯入!$B$6:$B$1005,MATCH($A823,土地清冊_匯入!$A$6:$A$1005,0)),"查無資料"))</f>
        <v/>
      </c>
      <c r="E823" s="9">
        <f>IF($A823="","",IFERROR(INDEX(土地清冊_匯入!$I$6:$I$1005,MATCH($A823,土地清冊_匯入!$A$6:$A$1005,0)),""))</f>
        <v/>
      </c>
      <c r="F823" s="13">
        <f>IF($A823="","",IFERROR(INDEX(建物清冊_匯入!$N$6:$N$1005,MATCH($A823,建物清冊_匯入!$A$6:$A$1005,0)),""))</f>
        <v/>
      </c>
      <c r="G823" s="9">
        <f>IF($A823="","",IFERROR(INDEX(建物清冊_匯入!$S$6:$S$1005,MATCH($A823,建物清冊_匯入!$A$6:$A$1005,0)),""))</f>
        <v/>
      </c>
      <c r="H823" s="7" t="n"/>
      <c r="I823" s="15" t="n"/>
      <c r="J823" s="16" t="n"/>
      <c r="K823" s="17">
        <f>IF(J823="","",1-J823)</f>
        <v/>
      </c>
      <c r="L823" s="15" t="n"/>
      <c r="M823" s="7" t="n"/>
      <c r="N823" s="7" t="n"/>
      <c r="O823" s="7" t="n"/>
      <c r="P823" s="11" t="n"/>
      <c r="Q823" s="7" t="n"/>
      <c r="R823" s="7" t="n"/>
      <c r="S823" s="7" t="n"/>
      <c r="T823" s="7" t="n"/>
      <c r="U823" s="12">
        <f>IF(A823="","",IF(H823="","建議填分配模式",""))</f>
        <v/>
      </c>
    </row>
    <row r="824" ht="24" customHeight="1">
      <c r="A824" s="7" t="n"/>
      <c r="B824" s="7" t="n"/>
      <c r="C824" s="7" t="n"/>
      <c r="D824" s="12">
        <f>IF($A824="","",IFERROR(INDEX(土地清冊_匯入!$B$6:$B$1005,MATCH($A824,土地清冊_匯入!$A$6:$A$1005,0)),"查無資料"))</f>
        <v/>
      </c>
      <c r="E824" s="9">
        <f>IF($A824="","",IFERROR(INDEX(土地清冊_匯入!$I$6:$I$1005,MATCH($A824,土地清冊_匯入!$A$6:$A$1005,0)),""))</f>
        <v/>
      </c>
      <c r="F824" s="13">
        <f>IF($A824="","",IFERROR(INDEX(建物清冊_匯入!$N$6:$N$1005,MATCH($A824,建物清冊_匯入!$A$6:$A$1005,0)),""))</f>
        <v/>
      </c>
      <c r="G824" s="9">
        <f>IF($A824="","",IFERROR(INDEX(建物清冊_匯入!$S$6:$S$1005,MATCH($A824,建物清冊_匯入!$A$6:$A$1005,0)),""))</f>
        <v/>
      </c>
      <c r="H824" s="7" t="n"/>
      <c r="I824" s="15" t="n"/>
      <c r="J824" s="16" t="n"/>
      <c r="K824" s="17">
        <f>IF(J824="","",1-J824)</f>
        <v/>
      </c>
      <c r="L824" s="15" t="n"/>
      <c r="M824" s="7" t="n"/>
      <c r="N824" s="7" t="n"/>
      <c r="O824" s="7" t="n"/>
      <c r="P824" s="11" t="n"/>
      <c r="Q824" s="7" t="n"/>
      <c r="R824" s="7" t="n"/>
      <c r="S824" s="7" t="n"/>
      <c r="T824" s="7" t="n"/>
      <c r="U824" s="12">
        <f>IF(A824="","",IF(H824="","建議填分配模式",""))</f>
        <v/>
      </c>
    </row>
    <row r="825" ht="24" customHeight="1">
      <c r="A825" s="7" t="n"/>
      <c r="B825" s="7" t="n"/>
      <c r="C825" s="7" t="n"/>
      <c r="D825" s="12">
        <f>IF($A825="","",IFERROR(INDEX(土地清冊_匯入!$B$6:$B$1005,MATCH($A825,土地清冊_匯入!$A$6:$A$1005,0)),"查無資料"))</f>
        <v/>
      </c>
      <c r="E825" s="9">
        <f>IF($A825="","",IFERROR(INDEX(土地清冊_匯入!$I$6:$I$1005,MATCH($A825,土地清冊_匯入!$A$6:$A$1005,0)),""))</f>
        <v/>
      </c>
      <c r="F825" s="13">
        <f>IF($A825="","",IFERROR(INDEX(建物清冊_匯入!$N$6:$N$1005,MATCH($A825,建物清冊_匯入!$A$6:$A$1005,0)),""))</f>
        <v/>
      </c>
      <c r="G825" s="9">
        <f>IF($A825="","",IFERROR(INDEX(建物清冊_匯入!$S$6:$S$1005,MATCH($A825,建物清冊_匯入!$A$6:$A$1005,0)),""))</f>
        <v/>
      </c>
      <c r="H825" s="7" t="n"/>
      <c r="I825" s="15" t="n"/>
      <c r="J825" s="16" t="n"/>
      <c r="K825" s="17">
        <f>IF(J825="","",1-J825)</f>
        <v/>
      </c>
      <c r="L825" s="15" t="n"/>
      <c r="M825" s="7" t="n"/>
      <c r="N825" s="7" t="n"/>
      <c r="O825" s="7" t="n"/>
      <c r="P825" s="11" t="n"/>
      <c r="Q825" s="7" t="n"/>
      <c r="R825" s="7" t="n"/>
      <c r="S825" s="7" t="n"/>
      <c r="T825" s="7" t="n"/>
      <c r="U825" s="12">
        <f>IF(A825="","",IF(H825="","建議填分配模式",""))</f>
        <v/>
      </c>
    </row>
    <row r="826" ht="24" customHeight="1">
      <c r="A826" s="7" t="n"/>
      <c r="B826" s="7" t="n"/>
      <c r="C826" s="7" t="n"/>
      <c r="D826" s="12">
        <f>IF($A826="","",IFERROR(INDEX(土地清冊_匯入!$B$6:$B$1005,MATCH($A826,土地清冊_匯入!$A$6:$A$1005,0)),"查無資料"))</f>
        <v/>
      </c>
      <c r="E826" s="9">
        <f>IF($A826="","",IFERROR(INDEX(土地清冊_匯入!$I$6:$I$1005,MATCH($A826,土地清冊_匯入!$A$6:$A$1005,0)),""))</f>
        <v/>
      </c>
      <c r="F826" s="13">
        <f>IF($A826="","",IFERROR(INDEX(建物清冊_匯入!$N$6:$N$1005,MATCH($A826,建物清冊_匯入!$A$6:$A$1005,0)),""))</f>
        <v/>
      </c>
      <c r="G826" s="9">
        <f>IF($A826="","",IFERROR(INDEX(建物清冊_匯入!$S$6:$S$1005,MATCH($A826,建物清冊_匯入!$A$6:$A$1005,0)),""))</f>
        <v/>
      </c>
      <c r="H826" s="7" t="n"/>
      <c r="I826" s="15" t="n"/>
      <c r="J826" s="16" t="n"/>
      <c r="K826" s="17">
        <f>IF(J826="","",1-J826)</f>
        <v/>
      </c>
      <c r="L826" s="15" t="n"/>
      <c r="M826" s="7" t="n"/>
      <c r="N826" s="7" t="n"/>
      <c r="O826" s="7" t="n"/>
      <c r="P826" s="11" t="n"/>
      <c r="Q826" s="7" t="n"/>
      <c r="R826" s="7" t="n"/>
      <c r="S826" s="7" t="n"/>
      <c r="T826" s="7" t="n"/>
      <c r="U826" s="12">
        <f>IF(A826="","",IF(H826="","建議填分配模式",""))</f>
        <v/>
      </c>
    </row>
    <row r="827" ht="24" customHeight="1">
      <c r="A827" s="7" t="n"/>
      <c r="B827" s="7" t="n"/>
      <c r="C827" s="7" t="n"/>
      <c r="D827" s="12">
        <f>IF($A827="","",IFERROR(INDEX(土地清冊_匯入!$B$6:$B$1005,MATCH($A827,土地清冊_匯入!$A$6:$A$1005,0)),"查無資料"))</f>
        <v/>
      </c>
      <c r="E827" s="9">
        <f>IF($A827="","",IFERROR(INDEX(土地清冊_匯入!$I$6:$I$1005,MATCH($A827,土地清冊_匯入!$A$6:$A$1005,0)),""))</f>
        <v/>
      </c>
      <c r="F827" s="13">
        <f>IF($A827="","",IFERROR(INDEX(建物清冊_匯入!$N$6:$N$1005,MATCH($A827,建物清冊_匯入!$A$6:$A$1005,0)),""))</f>
        <v/>
      </c>
      <c r="G827" s="9">
        <f>IF($A827="","",IFERROR(INDEX(建物清冊_匯入!$S$6:$S$1005,MATCH($A827,建物清冊_匯入!$A$6:$A$1005,0)),""))</f>
        <v/>
      </c>
      <c r="H827" s="7" t="n"/>
      <c r="I827" s="15" t="n"/>
      <c r="J827" s="16" t="n"/>
      <c r="K827" s="17">
        <f>IF(J827="","",1-J827)</f>
        <v/>
      </c>
      <c r="L827" s="15" t="n"/>
      <c r="M827" s="7" t="n"/>
      <c r="N827" s="7" t="n"/>
      <c r="O827" s="7" t="n"/>
      <c r="P827" s="11" t="n"/>
      <c r="Q827" s="7" t="n"/>
      <c r="R827" s="7" t="n"/>
      <c r="S827" s="7" t="n"/>
      <c r="T827" s="7" t="n"/>
      <c r="U827" s="12">
        <f>IF(A827="","",IF(H827="","建議填分配模式",""))</f>
        <v/>
      </c>
    </row>
    <row r="828" ht="24" customHeight="1">
      <c r="A828" s="7" t="n"/>
      <c r="B828" s="7" t="n"/>
      <c r="C828" s="7" t="n"/>
      <c r="D828" s="12">
        <f>IF($A828="","",IFERROR(INDEX(土地清冊_匯入!$B$6:$B$1005,MATCH($A828,土地清冊_匯入!$A$6:$A$1005,0)),"查無資料"))</f>
        <v/>
      </c>
      <c r="E828" s="9">
        <f>IF($A828="","",IFERROR(INDEX(土地清冊_匯入!$I$6:$I$1005,MATCH($A828,土地清冊_匯入!$A$6:$A$1005,0)),""))</f>
        <v/>
      </c>
      <c r="F828" s="13">
        <f>IF($A828="","",IFERROR(INDEX(建物清冊_匯入!$N$6:$N$1005,MATCH($A828,建物清冊_匯入!$A$6:$A$1005,0)),""))</f>
        <v/>
      </c>
      <c r="G828" s="9">
        <f>IF($A828="","",IFERROR(INDEX(建物清冊_匯入!$S$6:$S$1005,MATCH($A828,建物清冊_匯入!$A$6:$A$1005,0)),""))</f>
        <v/>
      </c>
      <c r="H828" s="7" t="n"/>
      <c r="I828" s="15" t="n"/>
      <c r="J828" s="16" t="n"/>
      <c r="K828" s="17">
        <f>IF(J828="","",1-J828)</f>
        <v/>
      </c>
      <c r="L828" s="15" t="n"/>
      <c r="M828" s="7" t="n"/>
      <c r="N828" s="7" t="n"/>
      <c r="O828" s="7" t="n"/>
      <c r="P828" s="11" t="n"/>
      <c r="Q828" s="7" t="n"/>
      <c r="R828" s="7" t="n"/>
      <c r="S828" s="7" t="n"/>
      <c r="T828" s="7" t="n"/>
      <c r="U828" s="12">
        <f>IF(A828="","",IF(H828="","建議填分配模式",""))</f>
        <v/>
      </c>
    </row>
    <row r="829" ht="24" customHeight="1">
      <c r="A829" s="7" t="n"/>
      <c r="B829" s="7" t="n"/>
      <c r="C829" s="7" t="n"/>
      <c r="D829" s="12">
        <f>IF($A829="","",IFERROR(INDEX(土地清冊_匯入!$B$6:$B$1005,MATCH($A829,土地清冊_匯入!$A$6:$A$1005,0)),"查無資料"))</f>
        <v/>
      </c>
      <c r="E829" s="9">
        <f>IF($A829="","",IFERROR(INDEX(土地清冊_匯入!$I$6:$I$1005,MATCH($A829,土地清冊_匯入!$A$6:$A$1005,0)),""))</f>
        <v/>
      </c>
      <c r="F829" s="13">
        <f>IF($A829="","",IFERROR(INDEX(建物清冊_匯入!$N$6:$N$1005,MATCH($A829,建物清冊_匯入!$A$6:$A$1005,0)),""))</f>
        <v/>
      </c>
      <c r="G829" s="9">
        <f>IF($A829="","",IFERROR(INDEX(建物清冊_匯入!$S$6:$S$1005,MATCH($A829,建物清冊_匯入!$A$6:$A$1005,0)),""))</f>
        <v/>
      </c>
      <c r="H829" s="7" t="n"/>
      <c r="I829" s="15" t="n"/>
      <c r="J829" s="16" t="n"/>
      <c r="K829" s="17">
        <f>IF(J829="","",1-J829)</f>
        <v/>
      </c>
      <c r="L829" s="15" t="n"/>
      <c r="M829" s="7" t="n"/>
      <c r="N829" s="7" t="n"/>
      <c r="O829" s="7" t="n"/>
      <c r="P829" s="11" t="n"/>
      <c r="Q829" s="7" t="n"/>
      <c r="R829" s="7" t="n"/>
      <c r="S829" s="7" t="n"/>
      <c r="T829" s="7" t="n"/>
      <c r="U829" s="12">
        <f>IF(A829="","",IF(H829="","建議填分配模式",""))</f>
        <v/>
      </c>
    </row>
    <row r="830" ht="24" customHeight="1">
      <c r="A830" s="7" t="n"/>
      <c r="B830" s="7" t="n"/>
      <c r="C830" s="7" t="n"/>
      <c r="D830" s="12">
        <f>IF($A830="","",IFERROR(INDEX(土地清冊_匯入!$B$6:$B$1005,MATCH($A830,土地清冊_匯入!$A$6:$A$1005,0)),"查無資料"))</f>
        <v/>
      </c>
      <c r="E830" s="9">
        <f>IF($A830="","",IFERROR(INDEX(土地清冊_匯入!$I$6:$I$1005,MATCH($A830,土地清冊_匯入!$A$6:$A$1005,0)),""))</f>
        <v/>
      </c>
      <c r="F830" s="13">
        <f>IF($A830="","",IFERROR(INDEX(建物清冊_匯入!$N$6:$N$1005,MATCH($A830,建物清冊_匯入!$A$6:$A$1005,0)),""))</f>
        <v/>
      </c>
      <c r="G830" s="9">
        <f>IF($A830="","",IFERROR(INDEX(建物清冊_匯入!$S$6:$S$1005,MATCH($A830,建物清冊_匯入!$A$6:$A$1005,0)),""))</f>
        <v/>
      </c>
      <c r="H830" s="7" t="n"/>
      <c r="I830" s="15" t="n"/>
      <c r="J830" s="16" t="n"/>
      <c r="K830" s="17">
        <f>IF(J830="","",1-J830)</f>
        <v/>
      </c>
      <c r="L830" s="15" t="n"/>
      <c r="M830" s="7" t="n"/>
      <c r="N830" s="7" t="n"/>
      <c r="O830" s="7" t="n"/>
      <c r="P830" s="11" t="n"/>
      <c r="Q830" s="7" t="n"/>
      <c r="R830" s="7" t="n"/>
      <c r="S830" s="7" t="n"/>
      <c r="T830" s="7" t="n"/>
      <c r="U830" s="12">
        <f>IF(A830="","",IF(H830="","建議填分配模式",""))</f>
        <v/>
      </c>
    </row>
    <row r="831" ht="24" customHeight="1">
      <c r="A831" s="7" t="n"/>
      <c r="B831" s="7" t="n"/>
      <c r="C831" s="7" t="n"/>
      <c r="D831" s="12">
        <f>IF($A831="","",IFERROR(INDEX(土地清冊_匯入!$B$6:$B$1005,MATCH($A831,土地清冊_匯入!$A$6:$A$1005,0)),"查無資料"))</f>
        <v/>
      </c>
      <c r="E831" s="9">
        <f>IF($A831="","",IFERROR(INDEX(土地清冊_匯入!$I$6:$I$1005,MATCH($A831,土地清冊_匯入!$A$6:$A$1005,0)),""))</f>
        <v/>
      </c>
      <c r="F831" s="13">
        <f>IF($A831="","",IFERROR(INDEX(建物清冊_匯入!$N$6:$N$1005,MATCH($A831,建物清冊_匯入!$A$6:$A$1005,0)),""))</f>
        <v/>
      </c>
      <c r="G831" s="9">
        <f>IF($A831="","",IFERROR(INDEX(建物清冊_匯入!$S$6:$S$1005,MATCH($A831,建物清冊_匯入!$A$6:$A$1005,0)),""))</f>
        <v/>
      </c>
      <c r="H831" s="7" t="n"/>
      <c r="I831" s="15" t="n"/>
      <c r="J831" s="16" t="n"/>
      <c r="K831" s="17">
        <f>IF(J831="","",1-J831)</f>
        <v/>
      </c>
      <c r="L831" s="15" t="n"/>
      <c r="M831" s="7" t="n"/>
      <c r="N831" s="7" t="n"/>
      <c r="O831" s="7" t="n"/>
      <c r="P831" s="11" t="n"/>
      <c r="Q831" s="7" t="n"/>
      <c r="R831" s="7" t="n"/>
      <c r="S831" s="7" t="n"/>
      <c r="T831" s="7" t="n"/>
      <c r="U831" s="12">
        <f>IF(A831="","",IF(H831="","建議填分配模式",""))</f>
        <v/>
      </c>
    </row>
    <row r="832" ht="24" customHeight="1">
      <c r="A832" s="7" t="n"/>
      <c r="B832" s="7" t="n"/>
      <c r="C832" s="7" t="n"/>
      <c r="D832" s="12">
        <f>IF($A832="","",IFERROR(INDEX(土地清冊_匯入!$B$6:$B$1005,MATCH($A832,土地清冊_匯入!$A$6:$A$1005,0)),"查無資料"))</f>
        <v/>
      </c>
      <c r="E832" s="9">
        <f>IF($A832="","",IFERROR(INDEX(土地清冊_匯入!$I$6:$I$1005,MATCH($A832,土地清冊_匯入!$A$6:$A$1005,0)),""))</f>
        <v/>
      </c>
      <c r="F832" s="13">
        <f>IF($A832="","",IFERROR(INDEX(建物清冊_匯入!$N$6:$N$1005,MATCH($A832,建物清冊_匯入!$A$6:$A$1005,0)),""))</f>
        <v/>
      </c>
      <c r="G832" s="9">
        <f>IF($A832="","",IFERROR(INDEX(建物清冊_匯入!$S$6:$S$1005,MATCH($A832,建物清冊_匯入!$A$6:$A$1005,0)),""))</f>
        <v/>
      </c>
      <c r="H832" s="7" t="n"/>
      <c r="I832" s="15" t="n"/>
      <c r="J832" s="16" t="n"/>
      <c r="K832" s="17">
        <f>IF(J832="","",1-J832)</f>
        <v/>
      </c>
      <c r="L832" s="15" t="n"/>
      <c r="M832" s="7" t="n"/>
      <c r="N832" s="7" t="n"/>
      <c r="O832" s="7" t="n"/>
      <c r="P832" s="11" t="n"/>
      <c r="Q832" s="7" t="n"/>
      <c r="R832" s="7" t="n"/>
      <c r="S832" s="7" t="n"/>
      <c r="T832" s="7" t="n"/>
      <c r="U832" s="12">
        <f>IF(A832="","",IF(H832="","建議填分配模式",""))</f>
        <v/>
      </c>
    </row>
    <row r="833" ht="24" customHeight="1">
      <c r="A833" s="7" t="n"/>
      <c r="B833" s="7" t="n"/>
      <c r="C833" s="7" t="n"/>
      <c r="D833" s="12">
        <f>IF($A833="","",IFERROR(INDEX(土地清冊_匯入!$B$6:$B$1005,MATCH($A833,土地清冊_匯入!$A$6:$A$1005,0)),"查無資料"))</f>
        <v/>
      </c>
      <c r="E833" s="9">
        <f>IF($A833="","",IFERROR(INDEX(土地清冊_匯入!$I$6:$I$1005,MATCH($A833,土地清冊_匯入!$A$6:$A$1005,0)),""))</f>
        <v/>
      </c>
      <c r="F833" s="13">
        <f>IF($A833="","",IFERROR(INDEX(建物清冊_匯入!$N$6:$N$1005,MATCH($A833,建物清冊_匯入!$A$6:$A$1005,0)),""))</f>
        <v/>
      </c>
      <c r="G833" s="9">
        <f>IF($A833="","",IFERROR(INDEX(建物清冊_匯入!$S$6:$S$1005,MATCH($A833,建物清冊_匯入!$A$6:$A$1005,0)),""))</f>
        <v/>
      </c>
      <c r="H833" s="7" t="n"/>
      <c r="I833" s="15" t="n"/>
      <c r="J833" s="16" t="n"/>
      <c r="K833" s="17">
        <f>IF(J833="","",1-J833)</f>
        <v/>
      </c>
      <c r="L833" s="15" t="n"/>
      <c r="M833" s="7" t="n"/>
      <c r="N833" s="7" t="n"/>
      <c r="O833" s="7" t="n"/>
      <c r="P833" s="11" t="n"/>
      <c r="Q833" s="7" t="n"/>
      <c r="R833" s="7" t="n"/>
      <c r="S833" s="7" t="n"/>
      <c r="T833" s="7" t="n"/>
      <c r="U833" s="12">
        <f>IF(A833="","",IF(H833="","建議填分配模式",""))</f>
        <v/>
      </c>
    </row>
    <row r="834" ht="24" customHeight="1">
      <c r="A834" s="7" t="n"/>
      <c r="B834" s="7" t="n"/>
      <c r="C834" s="7" t="n"/>
      <c r="D834" s="12">
        <f>IF($A834="","",IFERROR(INDEX(土地清冊_匯入!$B$6:$B$1005,MATCH($A834,土地清冊_匯入!$A$6:$A$1005,0)),"查無資料"))</f>
        <v/>
      </c>
      <c r="E834" s="9">
        <f>IF($A834="","",IFERROR(INDEX(土地清冊_匯入!$I$6:$I$1005,MATCH($A834,土地清冊_匯入!$A$6:$A$1005,0)),""))</f>
        <v/>
      </c>
      <c r="F834" s="13">
        <f>IF($A834="","",IFERROR(INDEX(建物清冊_匯入!$N$6:$N$1005,MATCH($A834,建物清冊_匯入!$A$6:$A$1005,0)),""))</f>
        <v/>
      </c>
      <c r="G834" s="9">
        <f>IF($A834="","",IFERROR(INDEX(建物清冊_匯入!$S$6:$S$1005,MATCH($A834,建物清冊_匯入!$A$6:$A$1005,0)),""))</f>
        <v/>
      </c>
      <c r="H834" s="7" t="n"/>
      <c r="I834" s="15" t="n"/>
      <c r="J834" s="16" t="n"/>
      <c r="K834" s="17">
        <f>IF(J834="","",1-J834)</f>
        <v/>
      </c>
      <c r="L834" s="15" t="n"/>
      <c r="M834" s="7" t="n"/>
      <c r="N834" s="7" t="n"/>
      <c r="O834" s="7" t="n"/>
      <c r="P834" s="11" t="n"/>
      <c r="Q834" s="7" t="n"/>
      <c r="R834" s="7" t="n"/>
      <c r="S834" s="7" t="n"/>
      <c r="T834" s="7" t="n"/>
      <c r="U834" s="12">
        <f>IF(A834="","",IF(H834="","建議填分配模式",""))</f>
        <v/>
      </c>
    </row>
    <row r="835" ht="24" customHeight="1">
      <c r="A835" s="7" t="n"/>
      <c r="B835" s="7" t="n"/>
      <c r="C835" s="7" t="n"/>
      <c r="D835" s="12">
        <f>IF($A835="","",IFERROR(INDEX(土地清冊_匯入!$B$6:$B$1005,MATCH($A835,土地清冊_匯入!$A$6:$A$1005,0)),"查無資料"))</f>
        <v/>
      </c>
      <c r="E835" s="9">
        <f>IF($A835="","",IFERROR(INDEX(土地清冊_匯入!$I$6:$I$1005,MATCH($A835,土地清冊_匯入!$A$6:$A$1005,0)),""))</f>
        <v/>
      </c>
      <c r="F835" s="13">
        <f>IF($A835="","",IFERROR(INDEX(建物清冊_匯入!$N$6:$N$1005,MATCH($A835,建物清冊_匯入!$A$6:$A$1005,0)),""))</f>
        <v/>
      </c>
      <c r="G835" s="9">
        <f>IF($A835="","",IFERROR(INDEX(建物清冊_匯入!$S$6:$S$1005,MATCH($A835,建物清冊_匯入!$A$6:$A$1005,0)),""))</f>
        <v/>
      </c>
      <c r="H835" s="7" t="n"/>
      <c r="I835" s="15" t="n"/>
      <c r="J835" s="16" t="n"/>
      <c r="K835" s="17">
        <f>IF(J835="","",1-J835)</f>
        <v/>
      </c>
      <c r="L835" s="15" t="n"/>
      <c r="M835" s="7" t="n"/>
      <c r="N835" s="7" t="n"/>
      <c r="O835" s="7" t="n"/>
      <c r="P835" s="11" t="n"/>
      <c r="Q835" s="7" t="n"/>
      <c r="R835" s="7" t="n"/>
      <c r="S835" s="7" t="n"/>
      <c r="T835" s="7" t="n"/>
      <c r="U835" s="12">
        <f>IF(A835="","",IF(H835="","建議填分配模式",""))</f>
        <v/>
      </c>
    </row>
    <row r="836" ht="24" customHeight="1">
      <c r="A836" s="7" t="n"/>
      <c r="B836" s="7" t="n"/>
      <c r="C836" s="7" t="n"/>
      <c r="D836" s="12">
        <f>IF($A836="","",IFERROR(INDEX(土地清冊_匯入!$B$6:$B$1005,MATCH($A836,土地清冊_匯入!$A$6:$A$1005,0)),"查無資料"))</f>
        <v/>
      </c>
      <c r="E836" s="9">
        <f>IF($A836="","",IFERROR(INDEX(土地清冊_匯入!$I$6:$I$1005,MATCH($A836,土地清冊_匯入!$A$6:$A$1005,0)),""))</f>
        <v/>
      </c>
      <c r="F836" s="13">
        <f>IF($A836="","",IFERROR(INDEX(建物清冊_匯入!$N$6:$N$1005,MATCH($A836,建物清冊_匯入!$A$6:$A$1005,0)),""))</f>
        <v/>
      </c>
      <c r="G836" s="9">
        <f>IF($A836="","",IFERROR(INDEX(建物清冊_匯入!$S$6:$S$1005,MATCH($A836,建物清冊_匯入!$A$6:$A$1005,0)),""))</f>
        <v/>
      </c>
      <c r="H836" s="7" t="n"/>
      <c r="I836" s="15" t="n"/>
      <c r="J836" s="16" t="n"/>
      <c r="K836" s="17">
        <f>IF(J836="","",1-J836)</f>
        <v/>
      </c>
      <c r="L836" s="15" t="n"/>
      <c r="M836" s="7" t="n"/>
      <c r="N836" s="7" t="n"/>
      <c r="O836" s="7" t="n"/>
      <c r="P836" s="11" t="n"/>
      <c r="Q836" s="7" t="n"/>
      <c r="R836" s="7" t="n"/>
      <c r="S836" s="7" t="n"/>
      <c r="T836" s="7" t="n"/>
      <c r="U836" s="12">
        <f>IF(A836="","",IF(H836="","建議填分配模式",""))</f>
        <v/>
      </c>
    </row>
    <row r="837" ht="24" customHeight="1">
      <c r="A837" s="7" t="n"/>
      <c r="B837" s="7" t="n"/>
      <c r="C837" s="7" t="n"/>
      <c r="D837" s="12">
        <f>IF($A837="","",IFERROR(INDEX(土地清冊_匯入!$B$6:$B$1005,MATCH($A837,土地清冊_匯入!$A$6:$A$1005,0)),"查無資料"))</f>
        <v/>
      </c>
      <c r="E837" s="9">
        <f>IF($A837="","",IFERROR(INDEX(土地清冊_匯入!$I$6:$I$1005,MATCH($A837,土地清冊_匯入!$A$6:$A$1005,0)),""))</f>
        <v/>
      </c>
      <c r="F837" s="13">
        <f>IF($A837="","",IFERROR(INDEX(建物清冊_匯入!$N$6:$N$1005,MATCH($A837,建物清冊_匯入!$A$6:$A$1005,0)),""))</f>
        <v/>
      </c>
      <c r="G837" s="9">
        <f>IF($A837="","",IFERROR(INDEX(建物清冊_匯入!$S$6:$S$1005,MATCH($A837,建物清冊_匯入!$A$6:$A$1005,0)),""))</f>
        <v/>
      </c>
      <c r="H837" s="7" t="n"/>
      <c r="I837" s="15" t="n"/>
      <c r="J837" s="16" t="n"/>
      <c r="K837" s="17">
        <f>IF(J837="","",1-J837)</f>
        <v/>
      </c>
      <c r="L837" s="15" t="n"/>
      <c r="M837" s="7" t="n"/>
      <c r="N837" s="7" t="n"/>
      <c r="O837" s="7" t="n"/>
      <c r="P837" s="11" t="n"/>
      <c r="Q837" s="7" t="n"/>
      <c r="R837" s="7" t="n"/>
      <c r="S837" s="7" t="n"/>
      <c r="T837" s="7" t="n"/>
      <c r="U837" s="12">
        <f>IF(A837="","",IF(H837="","建議填分配模式",""))</f>
        <v/>
      </c>
    </row>
    <row r="838" ht="24" customHeight="1">
      <c r="A838" s="7" t="n"/>
      <c r="B838" s="7" t="n"/>
      <c r="C838" s="7" t="n"/>
      <c r="D838" s="12">
        <f>IF($A838="","",IFERROR(INDEX(土地清冊_匯入!$B$6:$B$1005,MATCH($A838,土地清冊_匯入!$A$6:$A$1005,0)),"查無資料"))</f>
        <v/>
      </c>
      <c r="E838" s="9">
        <f>IF($A838="","",IFERROR(INDEX(土地清冊_匯入!$I$6:$I$1005,MATCH($A838,土地清冊_匯入!$A$6:$A$1005,0)),""))</f>
        <v/>
      </c>
      <c r="F838" s="13">
        <f>IF($A838="","",IFERROR(INDEX(建物清冊_匯入!$N$6:$N$1005,MATCH($A838,建物清冊_匯入!$A$6:$A$1005,0)),""))</f>
        <v/>
      </c>
      <c r="G838" s="9">
        <f>IF($A838="","",IFERROR(INDEX(建物清冊_匯入!$S$6:$S$1005,MATCH($A838,建物清冊_匯入!$A$6:$A$1005,0)),""))</f>
        <v/>
      </c>
      <c r="H838" s="7" t="n"/>
      <c r="I838" s="15" t="n"/>
      <c r="J838" s="16" t="n"/>
      <c r="K838" s="17">
        <f>IF(J838="","",1-J838)</f>
        <v/>
      </c>
      <c r="L838" s="15" t="n"/>
      <c r="M838" s="7" t="n"/>
      <c r="N838" s="7" t="n"/>
      <c r="O838" s="7" t="n"/>
      <c r="P838" s="11" t="n"/>
      <c r="Q838" s="7" t="n"/>
      <c r="R838" s="7" t="n"/>
      <c r="S838" s="7" t="n"/>
      <c r="T838" s="7" t="n"/>
      <c r="U838" s="12">
        <f>IF(A838="","",IF(H838="","建議填分配模式",""))</f>
        <v/>
      </c>
    </row>
    <row r="839" ht="24" customHeight="1">
      <c r="A839" s="7" t="n"/>
      <c r="B839" s="7" t="n"/>
      <c r="C839" s="7" t="n"/>
      <c r="D839" s="12">
        <f>IF($A839="","",IFERROR(INDEX(土地清冊_匯入!$B$6:$B$1005,MATCH($A839,土地清冊_匯入!$A$6:$A$1005,0)),"查無資料"))</f>
        <v/>
      </c>
      <c r="E839" s="9">
        <f>IF($A839="","",IFERROR(INDEX(土地清冊_匯入!$I$6:$I$1005,MATCH($A839,土地清冊_匯入!$A$6:$A$1005,0)),""))</f>
        <v/>
      </c>
      <c r="F839" s="13">
        <f>IF($A839="","",IFERROR(INDEX(建物清冊_匯入!$N$6:$N$1005,MATCH($A839,建物清冊_匯入!$A$6:$A$1005,0)),""))</f>
        <v/>
      </c>
      <c r="G839" s="9">
        <f>IF($A839="","",IFERROR(INDEX(建物清冊_匯入!$S$6:$S$1005,MATCH($A839,建物清冊_匯入!$A$6:$A$1005,0)),""))</f>
        <v/>
      </c>
      <c r="H839" s="7" t="n"/>
      <c r="I839" s="15" t="n"/>
      <c r="J839" s="16" t="n"/>
      <c r="K839" s="17">
        <f>IF(J839="","",1-J839)</f>
        <v/>
      </c>
      <c r="L839" s="15" t="n"/>
      <c r="M839" s="7" t="n"/>
      <c r="N839" s="7" t="n"/>
      <c r="O839" s="7" t="n"/>
      <c r="P839" s="11" t="n"/>
      <c r="Q839" s="7" t="n"/>
      <c r="R839" s="7" t="n"/>
      <c r="S839" s="7" t="n"/>
      <c r="T839" s="7" t="n"/>
      <c r="U839" s="12">
        <f>IF(A839="","",IF(H839="","建議填分配模式",""))</f>
        <v/>
      </c>
    </row>
    <row r="840" ht="24" customHeight="1">
      <c r="A840" s="7" t="n"/>
      <c r="B840" s="7" t="n"/>
      <c r="C840" s="7" t="n"/>
      <c r="D840" s="12">
        <f>IF($A840="","",IFERROR(INDEX(土地清冊_匯入!$B$6:$B$1005,MATCH($A840,土地清冊_匯入!$A$6:$A$1005,0)),"查無資料"))</f>
        <v/>
      </c>
      <c r="E840" s="9">
        <f>IF($A840="","",IFERROR(INDEX(土地清冊_匯入!$I$6:$I$1005,MATCH($A840,土地清冊_匯入!$A$6:$A$1005,0)),""))</f>
        <v/>
      </c>
      <c r="F840" s="13">
        <f>IF($A840="","",IFERROR(INDEX(建物清冊_匯入!$N$6:$N$1005,MATCH($A840,建物清冊_匯入!$A$6:$A$1005,0)),""))</f>
        <v/>
      </c>
      <c r="G840" s="9">
        <f>IF($A840="","",IFERROR(INDEX(建物清冊_匯入!$S$6:$S$1005,MATCH($A840,建物清冊_匯入!$A$6:$A$1005,0)),""))</f>
        <v/>
      </c>
      <c r="H840" s="7" t="n"/>
      <c r="I840" s="15" t="n"/>
      <c r="J840" s="16" t="n"/>
      <c r="K840" s="17">
        <f>IF(J840="","",1-J840)</f>
        <v/>
      </c>
      <c r="L840" s="15" t="n"/>
      <c r="M840" s="7" t="n"/>
      <c r="N840" s="7" t="n"/>
      <c r="O840" s="7" t="n"/>
      <c r="P840" s="11" t="n"/>
      <c r="Q840" s="7" t="n"/>
      <c r="R840" s="7" t="n"/>
      <c r="S840" s="7" t="n"/>
      <c r="T840" s="7" t="n"/>
      <c r="U840" s="12">
        <f>IF(A840="","",IF(H840="","建議填分配模式",""))</f>
        <v/>
      </c>
    </row>
    <row r="841" ht="24" customHeight="1">
      <c r="A841" s="7" t="n"/>
      <c r="B841" s="7" t="n"/>
      <c r="C841" s="7" t="n"/>
      <c r="D841" s="12">
        <f>IF($A841="","",IFERROR(INDEX(土地清冊_匯入!$B$6:$B$1005,MATCH($A841,土地清冊_匯入!$A$6:$A$1005,0)),"查無資料"))</f>
        <v/>
      </c>
      <c r="E841" s="9">
        <f>IF($A841="","",IFERROR(INDEX(土地清冊_匯入!$I$6:$I$1005,MATCH($A841,土地清冊_匯入!$A$6:$A$1005,0)),""))</f>
        <v/>
      </c>
      <c r="F841" s="13">
        <f>IF($A841="","",IFERROR(INDEX(建物清冊_匯入!$N$6:$N$1005,MATCH($A841,建物清冊_匯入!$A$6:$A$1005,0)),""))</f>
        <v/>
      </c>
      <c r="G841" s="9">
        <f>IF($A841="","",IFERROR(INDEX(建物清冊_匯入!$S$6:$S$1005,MATCH($A841,建物清冊_匯入!$A$6:$A$1005,0)),""))</f>
        <v/>
      </c>
      <c r="H841" s="7" t="n"/>
      <c r="I841" s="15" t="n"/>
      <c r="J841" s="16" t="n"/>
      <c r="K841" s="17">
        <f>IF(J841="","",1-J841)</f>
        <v/>
      </c>
      <c r="L841" s="15" t="n"/>
      <c r="M841" s="7" t="n"/>
      <c r="N841" s="7" t="n"/>
      <c r="O841" s="7" t="n"/>
      <c r="P841" s="11" t="n"/>
      <c r="Q841" s="7" t="n"/>
      <c r="R841" s="7" t="n"/>
      <c r="S841" s="7" t="n"/>
      <c r="T841" s="7" t="n"/>
      <c r="U841" s="12">
        <f>IF(A841="","",IF(H841="","建議填分配模式",""))</f>
        <v/>
      </c>
    </row>
    <row r="842" ht="24" customHeight="1">
      <c r="A842" s="7" t="n"/>
      <c r="B842" s="7" t="n"/>
      <c r="C842" s="7" t="n"/>
      <c r="D842" s="12">
        <f>IF($A842="","",IFERROR(INDEX(土地清冊_匯入!$B$6:$B$1005,MATCH($A842,土地清冊_匯入!$A$6:$A$1005,0)),"查無資料"))</f>
        <v/>
      </c>
      <c r="E842" s="9">
        <f>IF($A842="","",IFERROR(INDEX(土地清冊_匯入!$I$6:$I$1005,MATCH($A842,土地清冊_匯入!$A$6:$A$1005,0)),""))</f>
        <v/>
      </c>
      <c r="F842" s="13">
        <f>IF($A842="","",IFERROR(INDEX(建物清冊_匯入!$N$6:$N$1005,MATCH($A842,建物清冊_匯入!$A$6:$A$1005,0)),""))</f>
        <v/>
      </c>
      <c r="G842" s="9">
        <f>IF($A842="","",IFERROR(INDEX(建物清冊_匯入!$S$6:$S$1005,MATCH($A842,建物清冊_匯入!$A$6:$A$1005,0)),""))</f>
        <v/>
      </c>
      <c r="H842" s="7" t="n"/>
      <c r="I842" s="15" t="n"/>
      <c r="J842" s="16" t="n"/>
      <c r="K842" s="17">
        <f>IF(J842="","",1-J842)</f>
        <v/>
      </c>
      <c r="L842" s="15" t="n"/>
      <c r="M842" s="7" t="n"/>
      <c r="N842" s="7" t="n"/>
      <c r="O842" s="7" t="n"/>
      <c r="P842" s="11" t="n"/>
      <c r="Q842" s="7" t="n"/>
      <c r="R842" s="7" t="n"/>
      <c r="S842" s="7" t="n"/>
      <c r="T842" s="7" t="n"/>
      <c r="U842" s="12">
        <f>IF(A842="","",IF(H842="","建議填分配模式",""))</f>
        <v/>
      </c>
    </row>
    <row r="843" ht="24" customHeight="1">
      <c r="A843" s="7" t="n"/>
      <c r="B843" s="7" t="n"/>
      <c r="C843" s="7" t="n"/>
      <c r="D843" s="12">
        <f>IF($A843="","",IFERROR(INDEX(土地清冊_匯入!$B$6:$B$1005,MATCH($A843,土地清冊_匯入!$A$6:$A$1005,0)),"查無資料"))</f>
        <v/>
      </c>
      <c r="E843" s="9">
        <f>IF($A843="","",IFERROR(INDEX(土地清冊_匯入!$I$6:$I$1005,MATCH($A843,土地清冊_匯入!$A$6:$A$1005,0)),""))</f>
        <v/>
      </c>
      <c r="F843" s="13">
        <f>IF($A843="","",IFERROR(INDEX(建物清冊_匯入!$N$6:$N$1005,MATCH($A843,建物清冊_匯入!$A$6:$A$1005,0)),""))</f>
        <v/>
      </c>
      <c r="G843" s="9">
        <f>IF($A843="","",IFERROR(INDEX(建物清冊_匯入!$S$6:$S$1005,MATCH($A843,建物清冊_匯入!$A$6:$A$1005,0)),""))</f>
        <v/>
      </c>
      <c r="H843" s="7" t="n"/>
      <c r="I843" s="15" t="n"/>
      <c r="J843" s="16" t="n"/>
      <c r="K843" s="17">
        <f>IF(J843="","",1-J843)</f>
        <v/>
      </c>
      <c r="L843" s="15" t="n"/>
      <c r="M843" s="7" t="n"/>
      <c r="N843" s="7" t="n"/>
      <c r="O843" s="7" t="n"/>
      <c r="P843" s="11" t="n"/>
      <c r="Q843" s="7" t="n"/>
      <c r="R843" s="7" t="n"/>
      <c r="S843" s="7" t="n"/>
      <c r="T843" s="7" t="n"/>
      <c r="U843" s="12">
        <f>IF(A843="","",IF(H843="","建議填分配模式",""))</f>
        <v/>
      </c>
    </row>
    <row r="844" ht="24" customHeight="1">
      <c r="A844" s="7" t="n"/>
      <c r="B844" s="7" t="n"/>
      <c r="C844" s="7" t="n"/>
      <c r="D844" s="12">
        <f>IF($A844="","",IFERROR(INDEX(土地清冊_匯入!$B$6:$B$1005,MATCH($A844,土地清冊_匯入!$A$6:$A$1005,0)),"查無資料"))</f>
        <v/>
      </c>
      <c r="E844" s="9">
        <f>IF($A844="","",IFERROR(INDEX(土地清冊_匯入!$I$6:$I$1005,MATCH($A844,土地清冊_匯入!$A$6:$A$1005,0)),""))</f>
        <v/>
      </c>
      <c r="F844" s="13">
        <f>IF($A844="","",IFERROR(INDEX(建物清冊_匯入!$N$6:$N$1005,MATCH($A844,建物清冊_匯入!$A$6:$A$1005,0)),""))</f>
        <v/>
      </c>
      <c r="G844" s="9">
        <f>IF($A844="","",IFERROR(INDEX(建物清冊_匯入!$S$6:$S$1005,MATCH($A844,建物清冊_匯入!$A$6:$A$1005,0)),""))</f>
        <v/>
      </c>
      <c r="H844" s="7" t="n"/>
      <c r="I844" s="15" t="n"/>
      <c r="J844" s="16" t="n"/>
      <c r="K844" s="17">
        <f>IF(J844="","",1-J844)</f>
        <v/>
      </c>
      <c r="L844" s="15" t="n"/>
      <c r="M844" s="7" t="n"/>
      <c r="N844" s="7" t="n"/>
      <c r="O844" s="7" t="n"/>
      <c r="P844" s="11" t="n"/>
      <c r="Q844" s="7" t="n"/>
      <c r="R844" s="7" t="n"/>
      <c r="S844" s="7" t="n"/>
      <c r="T844" s="7" t="n"/>
      <c r="U844" s="12">
        <f>IF(A844="","",IF(H844="","建議填分配模式",""))</f>
        <v/>
      </c>
    </row>
    <row r="845" ht="24" customHeight="1">
      <c r="A845" s="7" t="n"/>
      <c r="B845" s="7" t="n"/>
      <c r="C845" s="7" t="n"/>
      <c r="D845" s="12">
        <f>IF($A845="","",IFERROR(INDEX(土地清冊_匯入!$B$6:$B$1005,MATCH($A845,土地清冊_匯入!$A$6:$A$1005,0)),"查無資料"))</f>
        <v/>
      </c>
      <c r="E845" s="9">
        <f>IF($A845="","",IFERROR(INDEX(土地清冊_匯入!$I$6:$I$1005,MATCH($A845,土地清冊_匯入!$A$6:$A$1005,0)),""))</f>
        <v/>
      </c>
      <c r="F845" s="13">
        <f>IF($A845="","",IFERROR(INDEX(建物清冊_匯入!$N$6:$N$1005,MATCH($A845,建物清冊_匯入!$A$6:$A$1005,0)),""))</f>
        <v/>
      </c>
      <c r="G845" s="9">
        <f>IF($A845="","",IFERROR(INDEX(建物清冊_匯入!$S$6:$S$1005,MATCH($A845,建物清冊_匯入!$A$6:$A$1005,0)),""))</f>
        <v/>
      </c>
      <c r="H845" s="7" t="n"/>
      <c r="I845" s="15" t="n"/>
      <c r="J845" s="16" t="n"/>
      <c r="K845" s="17">
        <f>IF(J845="","",1-J845)</f>
        <v/>
      </c>
      <c r="L845" s="15" t="n"/>
      <c r="M845" s="7" t="n"/>
      <c r="N845" s="7" t="n"/>
      <c r="O845" s="7" t="n"/>
      <c r="P845" s="11" t="n"/>
      <c r="Q845" s="7" t="n"/>
      <c r="R845" s="7" t="n"/>
      <c r="S845" s="7" t="n"/>
      <c r="T845" s="7" t="n"/>
      <c r="U845" s="12">
        <f>IF(A845="","",IF(H845="","建議填分配模式",""))</f>
        <v/>
      </c>
    </row>
    <row r="846" ht="24" customHeight="1">
      <c r="A846" s="7" t="n"/>
      <c r="B846" s="7" t="n"/>
      <c r="C846" s="7" t="n"/>
      <c r="D846" s="12">
        <f>IF($A846="","",IFERROR(INDEX(土地清冊_匯入!$B$6:$B$1005,MATCH($A846,土地清冊_匯入!$A$6:$A$1005,0)),"查無資料"))</f>
        <v/>
      </c>
      <c r="E846" s="9">
        <f>IF($A846="","",IFERROR(INDEX(土地清冊_匯入!$I$6:$I$1005,MATCH($A846,土地清冊_匯入!$A$6:$A$1005,0)),""))</f>
        <v/>
      </c>
      <c r="F846" s="13">
        <f>IF($A846="","",IFERROR(INDEX(建物清冊_匯入!$N$6:$N$1005,MATCH($A846,建物清冊_匯入!$A$6:$A$1005,0)),""))</f>
        <v/>
      </c>
      <c r="G846" s="9">
        <f>IF($A846="","",IFERROR(INDEX(建物清冊_匯入!$S$6:$S$1005,MATCH($A846,建物清冊_匯入!$A$6:$A$1005,0)),""))</f>
        <v/>
      </c>
      <c r="H846" s="7" t="n"/>
      <c r="I846" s="15" t="n"/>
      <c r="J846" s="16" t="n"/>
      <c r="K846" s="17">
        <f>IF(J846="","",1-J846)</f>
        <v/>
      </c>
      <c r="L846" s="15" t="n"/>
      <c r="M846" s="7" t="n"/>
      <c r="N846" s="7" t="n"/>
      <c r="O846" s="7" t="n"/>
      <c r="P846" s="11" t="n"/>
      <c r="Q846" s="7" t="n"/>
      <c r="R846" s="7" t="n"/>
      <c r="S846" s="7" t="n"/>
      <c r="T846" s="7" t="n"/>
      <c r="U846" s="12">
        <f>IF(A846="","",IF(H846="","建議填分配模式",""))</f>
        <v/>
      </c>
    </row>
    <row r="847" ht="24" customHeight="1">
      <c r="A847" s="7" t="n"/>
      <c r="B847" s="7" t="n"/>
      <c r="C847" s="7" t="n"/>
      <c r="D847" s="12">
        <f>IF($A847="","",IFERROR(INDEX(土地清冊_匯入!$B$6:$B$1005,MATCH($A847,土地清冊_匯入!$A$6:$A$1005,0)),"查無資料"))</f>
        <v/>
      </c>
      <c r="E847" s="9">
        <f>IF($A847="","",IFERROR(INDEX(土地清冊_匯入!$I$6:$I$1005,MATCH($A847,土地清冊_匯入!$A$6:$A$1005,0)),""))</f>
        <v/>
      </c>
      <c r="F847" s="13">
        <f>IF($A847="","",IFERROR(INDEX(建物清冊_匯入!$N$6:$N$1005,MATCH($A847,建物清冊_匯入!$A$6:$A$1005,0)),""))</f>
        <v/>
      </c>
      <c r="G847" s="9">
        <f>IF($A847="","",IFERROR(INDEX(建物清冊_匯入!$S$6:$S$1005,MATCH($A847,建物清冊_匯入!$A$6:$A$1005,0)),""))</f>
        <v/>
      </c>
      <c r="H847" s="7" t="n"/>
      <c r="I847" s="15" t="n"/>
      <c r="J847" s="16" t="n"/>
      <c r="K847" s="17">
        <f>IF(J847="","",1-J847)</f>
        <v/>
      </c>
      <c r="L847" s="15" t="n"/>
      <c r="M847" s="7" t="n"/>
      <c r="N847" s="7" t="n"/>
      <c r="O847" s="7" t="n"/>
      <c r="P847" s="11" t="n"/>
      <c r="Q847" s="7" t="n"/>
      <c r="R847" s="7" t="n"/>
      <c r="S847" s="7" t="n"/>
      <c r="T847" s="7" t="n"/>
      <c r="U847" s="12">
        <f>IF(A847="","",IF(H847="","建議填分配模式",""))</f>
        <v/>
      </c>
    </row>
    <row r="848" ht="24" customHeight="1">
      <c r="A848" s="7" t="n"/>
      <c r="B848" s="7" t="n"/>
      <c r="C848" s="7" t="n"/>
      <c r="D848" s="12">
        <f>IF($A848="","",IFERROR(INDEX(土地清冊_匯入!$B$6:$B$1005,MATCH($A848,土地清冊_匯入!$A$6:$A$1005,0)),"查無資料"))</f>
        <v/>
      </c>
      <c r="E848" s="9">
        <f>IF($A848="","",IFERROR(INDEX(土地清冊_匯入!$I$6:$I$1005,MATCH($A848,土地清冊_匯入!$A$6:$A$1005,0)),""))</f>
        <v/>
      </c>
      <c r="F848" s="13">
        <f>IF($A848="","",IFERROR(INDEX(建物清冊_匯入!$N$6:$N$1005,MATCH($A848,建物清冊_匯入!$A$6:$A$1005,0)),""))</f>
        <v/>
      </c>
      <c r="G848" s="9">
        <f>IF($A848="","",IFERROR(INDEX(建物清冊_匯入!$S$6:$S$1005,MATCH($A848,建物清冊_匯入!$A$6:$A$1005,0)),""))</f>
        <v/>
      </c>
      <c r="H848" s="7" t="n"/>
      <c r="I848" s="15" t="n"/>
      <c r="J848" s="16" t="n"/>
      <c r="K848" s="17">
        <f>IF(J848="","",1-J848)</f>
        <v/>
      </c>
      <c r="L848" s="15" t="n"/>
      <c r="M848" s="7" t="n"/>
      <c r="N848" s="7" t="n"/>
      <c r="O848" s="7" t="n"/>
      <c r="P848" s="11" t="n"/>
      <c r="Q848" s="7" t="n"/>
      <c r="R848" s="7" t="n"/>
      <c r="S848" s="7" t="n"/>
      <c r="T848" s="7" t="n"/>
      <c r="U848" s="12">
        <f>IF(A848="","",IF(H848="","建議填分配模式",""))</f>
        <v/>
      </c>
    </row>
    <row r="849" ht="24" customHeight="1">
      <c r="A849" s="7" t="n"/>
      <c r="B849" s="7" t="n"/>
      <c r="C849" s="7" t="n"/>
      <c r="D849" s="12">
        <f>IF($A849="","",IFERROR(INDEX(土地清冊_匯入!$B$6:$B$1005,MATCH($A849,土地清冊_匯入!$A$6:$A$1005,0)),"查無資料"))</f>
        <v/>
      </c>
      <c r="E849" s="9">
        <f>IF($A849="","",IFERROR(INDEX(土地清冊_匯入!$I$6:$I$1005,MATCH($A849,土地清冊_匯入!$A$6:$A$1005,0)),""))</f>
        <v/>
      </c>
      <c r="F849" s="13">
        <f>IF($A849="","",IFERROR(INDEX(建物清冊_匯入!$N$6:$N$1005,MATCH($A849,建物清冊_匯入!$A$6:$A$1005,0)),""))</f>
        <v/>
      </c>
      <c r="G849" s="9">
        <f>IF($A849="","",IFERROR(INDEX(建物清冊_匯入!$S$6:$S$1005,MATCH($A849,建物清冊_匯入!$A$6:$A$1005,0)),""))</f>
        <v/>
      </c>
      <c r="H849" s="7" t="n"/>
      <c r="I849" s="15" t="n"/>
      <c r="J849" s="16" t="n"/>
      <c r="K849" s="17">
        <f>IF(J849="","",1-J849)</f>
        <v/>
      </c>
      <c r="L849" s="15" t="n"/>
      <c r="M849" s="7" t="n"/>
      <c r="N849" s="7" t="n"/>
      <c r="O849" s="7" t="n"/>
      <c r="P849" s="11" t="n"/>
      <c r="Q849" s="7" t="n"/>
      <c r="R849" s="7" t="n"/>
      <c r="S849" s="7" t="n"/>
      <c r="T849" s="7" t="n"/>
      <c r="U849" s="12">
        <f>IF(A849="","",IF(H849="","建議填分配模式",""))</f>
        <v/>
      </c>
    </row>
    <row r="850" ht="24" customHeight="1">
      <c r="A850" s="7" t="n"/>
      <c r="B850" s="7" t="n"/>
      <c r="C850" s="7" t="n"/>
      <c r="D850" s="12">
        <f>IF($A850="","",IFERROR(INDEX(土地清冊_匯入!$B$6:$B$1005,MATCH($A850,土地清冊_匯入!$A$6:$A$1005,0)),"查無資料"))</f>
        <v/>
      </c>
      <c r="E850" s="9">
        <f>IF($A850="","",IFERROR(INDEX(土地清冊_匯入!$I$6:$I$1005,MATCH($A850,土地清冊_匯入!$A$6:$A$1005,0)),""))</f>
        <v/>
      </c>
      <c r="F850" s="13">
        <f>IF($A850="","",IFERROR(INDEX(建物清冊_匯入!$N$6:$N$1005,MATCH($A850,建物清冊_匯入!$A$6:$A$1005,0)),""))</f>
        <v/>
      </c>
      <c r="G850" s="9">
        <f>IF($A850="","",IFERROR(INDEX(建物清冊_匯入!$S$6:$S$1005,MATCH($A850,建物清冊_匯入!$A$6:$A$1005,0)),""))</f>
        <v/>
      </c>
      <c r="H850" s="7" t="n"/>
      <c r="I850" s="15" t="n"/>
      <c r="J850" s="16" t="n"/>
      <c r="K850" s="17">
        <f>IF(J850="","",1-J850)</f>
        <v/>
      </c>
      <c r="L850" s="15" t="n"/>
      <c r="M850" s="7" t="n"/>
      <c r="N850" s="7" t="n"/>
      <c r="O850" s="7" t="n"/>
      <c r="P850" s="11" t="n"/>
      <c r="Q850" s="7" t="n"/>
      <c r="R850" s="7" t="n"/>
      <c r="S850" s="7" t="n"/>
      <c r="T850" s="7" t="n"/>
      <c r="U850" s="12">
        <f>IF(A850="","",IF(H850="","建議填分配模式",""))</f>
        <v/>
      </c>
    </row>
    <row r="851" ht="24" customHeight="1">
      <c r="A851" s="7" t="n"/>
      <c r="B851" s="7" t="n"/>
      <c r="C851" s="7" t="n"/>
      <c r="D851" s="12">
        <f>IF($A851="","",IFERROR(INDEX(土地清冊_匯入!$B$6:$B$1005,MATCH($A851,土地清冊_匯入!$A$6:$A$1005,0)),"查無資料"))</f>
        <v/>
      </c>
      <c r="E851" s="9">
        <f>IF($A851="","",IFERROR(INDEX(土地清冊_匯入!$I$6:$I$1005,MATCH($A851,土地清冊_匯入!$A$6:$A$1005,0)),""))</f>
        <v/>
      </c>
      <c r="F851" s="13">
        <f>IF($A851="","",IFERROR(INDEX(建物清冊_匯入!$N$6:$N$1005,MATCH($A851,建物清冊_匯入!$A$6:$A$1005,0)),""))</f>
        <v/>
      </c>
      <c r="G851" s="9">
        <f>IF($A851="","",IFERROR(INDEX(建物清冊_匯入!$S$6:$S$1005,MATCH($A851,建物清冊_匯入!$A$6:$A$1005,0)),""))</f>
        <v/>
      </c>
      <c r="H851" s="7" t="n"/>
      <c r="I851" s="15" t="n"/>
      <c r="J851" s="16" t="n"/>
      <c r="K851" s="17">
        <f>IF(J851="","",1-J851)</f>
        <v/>
      </c>
      <c r="L851" s="15" t="n"/>
      <c r="M851" s="7" t="n"/>
      <c r="N851" s="7" t="n"/>
      <c r="O851" s="7" t="n"/>
      <c r="P851" s="11" t="n"/>
      <c r="Q851" s="7" t="n"/>
      <c r="R851" s="7" t="n"/>
      <c r="S851" s="7" t="n"/>
      <c r="T851" s="7" t="n"/>
      <c r="U851" s="12">
        <f>IF(A851="","",IF(H851="","建議填分配模式",""))</f>
        <v/>
      </c>
    </row>
    <row r="852" ht="24" customHeight="1">
      <c r="A852" s="7" t="n"/>
      <c r="B852" s="7" t="n"/>
      <c r="C852" s="7" t="n"/>
      <c r="D852" s="12">
        <f>IF($A852="","",IFERROR(INDEX(土地清冊_匯入!$B$6:$B$1005,MATCH($A852,土地清冊_匯入!$A$6:$A$1005,0)),"查無資料"))</f>
        <v/>
      </c>
      <c r="E852" s="9">
        <f>IF($A852="","",IFERROR(INDEX(土地清冊_匯入!$I$6:$I$1005,MATCH($A852,土地清冊_匯入!$A$6:$A$1005,0)),""))</f>
        <v/>
      </c>
      <c r="F852" s="13">
        <f>IF($A852="","",IFERROR(INDEX(建物清冊_匯入!$N$6:$N$1005,MATCH($A852,建物清冊_匯入!$A$6:$A$1005,0)),""))</f>
        <v/>
      </c>
      <c r="G852" s="9">
        <f>IF($A852="","",IFERROR(INDEX(建物清冊_匯入!$S$6:$S$1005,MATCH($A852,建物清冊_匯入!$A$6:$A$1005,0)),""))</f>
        <v/>
      </c>
      <c r="H852" s="7" t="n"/>
      <c r="I852" s="15" t="n"/>
      <c r="J852" s="16" t="n"/>
      <c r="K852" s="17">
        <f>IF(J852="","",1-J852)</f>
        <v/>
      </c>
      <c r="L852" s="15" t="n"/>
      <c r="M852" s="7" t="n"/>
      <c r="N852" s="7" t="n"/>
      <c r="O852" s="7" t="n"/>
      <c r="P852" s="11" t="n"/>
      <c r="Q852" s="7" t="n"/>
      <c r="R852" s="7" t="n"/>
      <c r="S852" s="7" t="n"/>
      <c r="T852" s="7" t="n"/>
      <c r="U852" s="12">
        <f>IF(A852="","",IF(H852="","建議填分配模式",""))</f>
        <v/>
      </c>
    </row>
    <row r="853" ht="24" customHeight="1">
      <c r="A853" s="7" t="n"/>
      <c r="B853" s="7" t="n"/>
      <c r="C853" s="7" t="n"/>
      <c r="D853" s="12">
        <f>IF($A853="","",IFERROR(INDEX(土地清冊_匯入!$B$6:$B$1005,MATCH($A853,土地清冊_匯入!$A$6:$A$1005,0)),"查無資料"))</f>
        <v/>
      </c>
      <c r="E853" s="9">
        <f>IF($A853="","",IFERROR(INDEX(土地清冊_匯入!$I$6:$I$1005,MATCH($A853,土地清冊_匯入!$A$6:$A$1005,0)),""))</f>
        <v/>
      </c>
      <c r="F853" s="13">
        <f>IF($A853="","",IFERROR(INDEX(建物清冊_匯入!$N$6:$N$1005,MATCH($A853,建物清冊_匯入!$A$6:$A$1005,0)),""))</f>
        <v/>
      </c>
      <c r="G853" s="9">
        <f>IF($A853="","",IFERROR(INDEX(建物清冊_匯入!$S$6:$S$1005,MATCH($A853,建物清冊_匯入!$A$6:$A$1005,0)),""))</f>
        <v/>
      </c>
      <c r="H853" s="7" t="n"/>
      <c r="I853" s="15" t="n"/>
      <c r="J853" s="16" t="n"/>
      <c r="K853" s="17">
        <f>IF(J853="","",1-J853)</f>
        <v/>
      </c>
      <c r="L853" s="15" t="n"/>
      <c r="M853" s="7" t="n"/>
      <c r="N853" s="7" t="n"/>
      <c r="O853" s="7" t="n"/>
      <c r="P853" s="11" t="n"/>
      <c r="Q853" s="7" t="n"/>
      <c r="R853" s="7" t="n"/>
      <c r="S853" s="7" t="n"/>
      <c r="T853" s="7" t="n"/>
      <c r="U853" s="12">
        <f>IF(A853="","",IF(H853="","建議填分配模式",""))</f>
        <v/>
      </c>
    </row>
    <row r="854" ht="24" customHeight="1">
      <c r="A854" s="7" t="n"/>
      <c r="B854" s="7" t="n"/>
      <c r="C854" s="7" t="n"/>
      <c r="D854" s="12">
        <f>IF($A854="","",IFERROR(INDEX(土地清冊_匯入!$B$6:$B$1005,MATCH($A854,土地清冊_匯入!$A$6:$A$1005,0)),"查無資料"))</f>
        <v/>
      </c>
      <c r="E854" s="9">
        <f>IF($A854="","",IFERROR(INDEX(土地清冊_匯入!$I$6:$I$1005,MATCH($A854,土地清冊_匯入!$A$6:$A$1005,0)),""))</f>
        <v/>
      </c>
      <c r="F854" s="13">
        <f>IF($A854="","",IFERROR(INDEX(建物清冊_匯入!$N$6:$N$1005,MATCH($A854,建物清冊_匯入!$A$6:$A$1005,0)),""))</f>
        <v/>
      </c>
      <c r="G854" s="9">
        <f>IF($A854="","",IFERROR(INDEX(建物清冊_匯入!$S$6:$S$1005,MATCH($A854,建物清冊_匯入!$A$6:$A$1005,0)),""))</f>
        <v/>
      </c>
      <c r="H854" s="7" t="n"/>
      <c r="I854" s="15" t="n"/>
      <c r="J854" s="16" t="n"/>
      <c r="K854" s="17">
        <f>IF(J854="","",1-J854)</f>
        <v/>
      </c>
      <c r="L854" s="15" t="n"/>
      <c r="M854" s="7" t="n"/>
      <c r="N854" s="7" t="n"/>
      <c r="O854" s="7" t="n"/>
      <c r="P854" s="11" t="n"/>
      <c r="Q854" s="7" t="n"/>
      <c r="R854" s="7" t="n"/>
      <c r="S854" s="7" t="n"/>
      <c r="T854" s="7" t="n"/>
      <c r="U854" s="12">
        <f>IF(A854="","",IF(H854="","建議填分配模式",""))</f>
        <v/>
      </c>
    </row>
    <row r="855" ht="24" customHeight="1">
      <c r="A855" s="7" t="n"/>
      <c r="B855" s="7" t="n"/>
      <c r="C855" s="7" t="n"/>
      <c r="D855" s="12">
        <f>IF($A855="","",IFERROR(INDEX(土地清冊_匯入!$B$6:$B$1005,MATCH($A855,土地清冊_匯入!$A$6:$A$1005,0)),"查無資料"))</f>
        <v/>
      </c>
      <c r="E855" s="9">
        <f>IF($A855="","",IFERROR(INDEX(土地清冊_匯入!$I$6:$I$1005,MATCH($A855,土地清冊_匯入!$A$6:$A$1005,0)),""))</f>
        <v/>
      </c>
      <c r="F855" s="13">
        <f>IF($A855="","",IFERROR(INDEX(建物清冊_匯入!$N$6:$N$1005,MATCH($A855,建物清冊_匯入!$A$6:$A$1005,0)),""))</f>
        <v/>
      </c>
      <c r="G855" s="9">
        <f>IF($A855="","",IFERROR(INDEX(建物清冊_匯入!$S$6:$S$1005,MATCH($A855,建物清冊_匯入!$A$6:$A$1005,0)),""))</f>
        <v/>
      </c>
      <c r="H855" s="7" t="n"/>
      <c r="I855" s="15" t="n"/>
      <c r="J855" s="16" t="n"/>
      <c r="K855" s="17">
        <f>IF(J855="","",1-J855)</f>
        <v/>
      </c>
      <c r="L855" s="15" t="n"/>
      <c r="M855" s="7" t="n"/>
      <c r="N855" s="7" t="n"/>
      <c r="O855" s="7" t="n"/>
      <c r="P855" s="11" t="n"/>
      <c r="Q855" s="7" t="n"/>
      <c r="R855" s="7" t="n"/>
      <c r="S855" s="7" t="n"/>
      <c r="T855" s="7" t="n"/>
      <c r="U855" s="12">
        <f>IF(A855="","",IF(H855="","建議填分配模式",""))</f>
        <v/>
      </c>
    </row>
    <row r="856" ht="24" customHeight="1">
      <c r="A856" s="7" t="n"/>
      <c r="B856" s="7" t="n"/>
      <c r="C856" s="7" t="n"/>
      <c r="D856" s="12">
        <f>IF($A856="","",IFERROR(INDEX(土地清冊_匯入!$B$6:$B$1005,MATCH($A856,土地清冊_匯入!$A$6:$A$1005,0)),"查無資料"))</f>
        <v/>
      </c>
      <c r="E856" s="9">
        <f>IF($A856="","",IFERROR(INDEX(土地清冊_匯入!$I$6:$I$1005,MATCH($A856,土地清冊_匯入!$A$6:$A$1005,0)),""))</f>
        <v/>
      </c>
      <c r="F856" s="13">
        <f>IF($A856="","",IFERROR(INDEX(建物清冊_匯入!$N$6:$N$1005,MATCH($A856,建物清冊_匯入!$A$6:$A$1005,0)),""))</f>
        <v/>
      </c>
      <c r="G856" s="9">
        <f>IF($A856="","",IFERROR(INDEX(建物清冊_匯入!$S$6:$S$1005,MATCH($A856,建物清冊_匯入!$A$6:$A$1005,0)),""))</f>
        <v/>
      </c>
      <c r="H856" s="7" t="n"/>
      <c r="I856" s="15" t="n"/>
      <c r="J856" s="16" t="n"/>
      <c r="K856" s="17">
        <f>IF(J856="","",1-J856)</f>
        <v/>
      </c>
      <c r="L856" s="15" t="n"/>
      <c r="M856" s="7" t="n"/>
      <c r="N856" s="7" t="n"/>
      <c r="O856" s="7" t="n"/>
      <c r="P856" s="11" t="n"/>
      <c r="Q856" s="7" t="n"/>
      <c r="R856" s="7" t="n"/>
      <c r="S856" s="7" t="n"/>
      <c r="T856" s="7" t="n"/>
      <c r="U856" s="12">
        <f>IF(A856="","",IF(H856="","建議填分配模式",""))</f>
        <v/>
      </c>
    </row>
    <row r="857" ht="24" customHeight="1">
      <c r="A857" s="7" t="n"/>
      <c r="B857" s="7" t="n"/>
      <c r="C857" s="7" t="n"/>
      <c r="D857" s="12">
        <f>IF($A857="","",IFERROR(INDEX(土地清冊_匯入!$B$6:$B$1005,MATCH($A857,土地清冊_匯入!$A$6:$A$1005,0)),"查無資料"))</f>
        <v/>
      </c>
      <c r="E857" s="9">
        <f>IF($A857="","",IFERROR(INDEX(土地清冊_匯入!$I$6:$I$1005,MATCH($A857,土地清冊_匯入!$A$6:$A$1005,0)),""))</f>
        <v/>
      </c>
      <c r="F857" s="13">
        <f>IF($A857="","",IFERROR(INDEX(建物清冊_匯入!$N$6:$N$1005,MATCH($A857,建物清冊_匯入!$A$6:$A$1005,0)),""))</f>
        <v/>
      </c>
      <c r="G857" s="9">
        <f>IF($A857="","",IFERROR(INDEX(建物清冊_匯入!$S$6:$S$1005,MATCH($A857,建物清冊_匯入!$A$6:$A$1005,0)),""))</f>
        <v/>
      </c>
      <c r="H857" s="7" t="n"/>
      <c r="I857" s="15" t="n"/>
      <c r="J857" s="16" t="n"/>
      <c r="K857" s="17">
        <f>IF(J857="","",1-J857)</f>
        <v/>
      </c>
      <c r="L857" s="15" t="n"/>
      <c r="M857" s="7" t="n"/>
      <c r="N857" s="7" t="n"/>
      <c r="O857" s="7" t="n"/>
      <c r="P857" s="11" t="n"/>
      <c r="Q857" s="7" t="n"/>
      <c r="R857" s="7" t="n"/>
      <c r="S857" s="7" t="n"/>
      <c r="T857" s="7" t="n"/>
      <c r="U857" s="12">
        <f>IF(A857="","",IF(H857="","建議填分配模式",""))</f>
        <v/>
      </c>
    </row>
    <row r="858" ht="24" customHeight="1">
      <c r="A858" s="7" t="n"/>
      <c r="B858" s="7" t="n"/>
      <c r="C858" s="7" t="n"/>
      <c r="D858" s="12">
        <f>IF($A858="","",IFERROR(INDEX(土地清冊_匯入!$B$6:$B$1005,MATCH($A858,土地清冊_匯入!$A$6:$A$1005,0)),"查無資料"))</f>
        <v/>
      </c>
      <c r="E858" s="9">
        <f>IF($A858="","",IFERROR(INDEX(土地清冊_匯入!$I$6:$I$1005,MATCH($A858,土地清冊_匯入!$A$6:$A$1005,0)),""))</f>
        <v/>
      </c>
      <c r="F858" s="13">
        <f>IF($A858="","",IFERROR(INDEX(建物清冊_匯入!$N$6:$N$1005,MATCH($A858,建物清冊_匯入!$A$6:$A$1005,0)),""))</f>
        <v/>
      </c>
      <c r="G858" s="9">
        <f>IF($A858="","",IFERROR(INDEX(建物清冊_匯入!$S$6:$S$1005,MATCH($A858,建物清冊_匯入!$A$6:$A$1005,0)),""))</f>
        <v/>
      </c>
      <c r="H858" s="7" t="n"/>
      <c r="I858" s="15" t="n"/>
      <c r="J858" s="16" t="n"/>
      <c r="K858" s="17">
        <f>IF(J858="","",1-J858)</f>
        <v/>
      </c>
      <c r="L858" s="15" t="n"/>
      <c r="M858" s="7" t="n"/>
      <c r="N858" s="7" t="n"/>
      <c r="O858" s="7" t="n"/>
      <c r="P858" s="11" t="n"/>
      <c r="Q858" s="7" t="n"/>
      <c r="R858" s="7" t="n"/>
      <c r="S858" s="7" t="n"/>
      <c r="T858" s="7" t="n"/>
      <c r="U858" s="12">
        <f>IF(A858="","",IF(H858="","建議填分配模式",""))</f>
        <v/>
      </c>
    </row>
    <row r="859" ht="24" customHeight="1">
      <c r="A859" s="7" t="n"/>
      <c r="B859" s="7" t="n"/>
      <c r="C859" s="7" t="n"/>
      <c r="D859" s="12">
        <f>IF($A859="","",IFERROR(INDEX(土地清冊_匯入!$B$6:$B$1005,MATCH($A859,土地清冊_匯入!$A$6:$A$1005,0)),"查無資料"))</f>
        <v/>
      </c>
      <c r="E859" s="9">
        <f>IF($A859="","",IFERROR(INDEX(土地清冊_匯入!$I$6:$I$1005,MATCH($A859,土地清冊_匯入!$A$6:$A$1005,0)),""))</f>
        <v/>
      </c>
      <c r="F859" s="13">
        <f>IF($A859="","",IFERROR(INDEX(建物清冊_匯入!$N$6:$N$1005,MATCH($A859,建物清冊_匯入!$A$6:$A$1005,0)),""))</f>
        <v/>
      </c>
      <c r="G859" s="9">
        <f>IF($A859="","",IFERROR(INDEX(建物清冊_匯入!$S$6:$S$1005,MATCH($A859,建物清冊_匯入!$A$6:$A$1005,0)),""))</f>
        <v/>
      </c>
      <c r="H859" s="7" t="n"/>
      <c r="I859" s="15" t="n"/>
      <c r="J859" s="16" t="n"/>
      <c r="K859" s="17">
        <f>IF(J859="","",1-J859)</f>
        <v/>
      </c>
      <c r="L859" s="15" t="n"/>
      <c r="M859" s="7" t="n"/>
      <c r="N859" s="7" t="n"/>
      <c r="O859" s="7" t="n"/>
      <c r="P859" s="11" t="n"/>
      <c r="Q859" s="7" t="n"/>
      <c r="R859" s="7" t="n"/>
      <c r="S859" s="7" t="n"/>
      <c r="T859" s="7" t="n"/>
      <c r="U859" s="12">
        <f>IF(A859="","",IF(H859="","建議填分配模式",""))</f>
        <v/>
      </c>
    </row>
    <row r="860" ht="24" customHeight="1">
      <c r="A860" s="7" t="n"/>
      <c r="B860" s="7" t="n"/>
      <c r="C860" s="7" t="n"/>
      <c r="D860" s="12">
        <f>IF($A860="","",IFERROR(INDEX(土地清冊_匯入!$B$6:$B$1005,MATCH($A860,土地清冊_匯入!$A$6:$A$1005,0)),"查無資料"))</f>
        <v/>
      </c>
      <c r="E860" s="9">
        <f>IF($A860="","",IFERROR(INDEX(土地清冊_匯入!$I$6:$I$1005,MATCH($A860,土地清冊_匯入!$A$6:$A$1005,0)),""))</f>
        <v/>
      </c>
      <c r="F860" s="13">
        <f>IF($A860="","",IFERROR(INDEX(建物清冊_匯入!$N$6:$N$1005,MATCH($A860,建物清冊_匯入!$A$6:$A$1005,0)),""))</f>
        <v/>
      </c>
      <c r="G860" s="9">
        <f>IF($A860="","",IFERROR(INDEX(建物清冊_匯入!$S$6:$S$1005,MATCH($A860,建物清冊_匯入!$A$6:$A$1005,0)),""))</f>
        <v/>
      </c>
      <c r="H860" s="7" t="n"/>
      <c r="I860" s="15" t="n"/>
      <c r="J860" s="16" t="n"/>
      <c r="K860" s="17">
        <f>IF(J860="","",1-J860)</f>
        <v/>
      </c>
      <c r="L860" s="15" t="n"/>
      <c r="M860" s="7" t="n"/>
      <c r="N860" s="7" t="n"/>
      <c r="O860" s="7" t="n"/>
      <c r="P860" s="11" t="n"/>
      <c r="Q860" s="7" t="n"/>
      <c r="R860" s="7" t="n"/>
      <c r="S860" s="7" t="n"/>
      <c r="T860" s="7" t="n"/>
      <c r="U860" s="12">
        <f>IF(A860="","",IF(H860="","建議填分配模式",""))</f>
        <v/>
      </c>
    </row>
    <row r="861" ht="24" customHeight="1">
      <c r="A861" s="7" t="n"/>
      <c r="B861" s="7" t="n"/>
      <c r="C861" s="7" t="n"/>
      <c r="D861" s="12">
        <f>IF($A861="","",IFERROR(INDEX(土地清冊_匯入!$B$6:$B$1005,MATCH($A861,土地清冊_匯入!$A$6:$A$1005,0)),"查無資料"))</f>
        <v/>
      </c>
      <c r="E861" s="9">
        <f>IF($A861="","",IFERROR(INDEX(土地清冊_匯入!$I$6:$I$1005,MATCH($A861,土地清冊_匯入!$A$6:$A$1005,0)),""))</f>
        <v/>
      </c>
      <c r="F861" s="13">
        <f>IF($A861="","",IFERROR(INDEX(建物清冊_匯入!$N$6:$N$1005,MATCH($A861,建物清冊_匯入!$A$6:$A$1005,0)),""))</f>
        <v/>
      </c>
      <c r="G861" s="9">
        <f>IF($A861="","",IFERROR(INDEX(建物清冊_匯入!$S$6:$S$1005,MATCH($A861,建物清冊_匯入!$A$6:$A$1005,0)),""))</f>
        <v/>
      </c>
      <c r="H861" s="7" t="n"/>
      <c r="I861" s="15" t="n"/>
      <c r="J861" s="16" t="n"/>
      <c r="K861" s="17">
        <f>IF(J861="","",1-J861)</f>
        <v/>
      </c>
      <c r="L861" s="15" t="n"/>
      <c r="M861" s="7" t="n"/>
      <c r="N861" s="7" t="n"/>
      <c r="O861" s="7" t="n"/>
      <c r="P861" s="11" t="n"/>
      <c r="Q861" s="7" t="n"/>
      <c r="R861" s="7" t="n"/>
      <c r="S861" s="7" t="n"/>
      <c r="T861" s="7" t="n"/>
      <c r="U861" s="12">
        <f>IF(A861="","",IF(H861="","建議填分配模式",""))</f>
        <v/>
      </c>
    </row>
    <row r="862" ht="24" customHeight="1">
      <c r="A862" s="7" t="n"/>
      <c r="B862" s="7" t="n"/>
      <c r="C862" s="7" t="n"/>
      <c r="D862" s="12">
        <f>IF($A862="","",IFERROR(INDEX(土地清冊_匯入!$B$6:$B$1005,MATCH($A862,土地清冊_匯入!$A$6:$A$1005,0)),"查無資料"))</f>
        <v/>
      </c>
      <c r="E862" s="9">
        <f>IF($A862="","",IFERROR(INDEX(土地清冊_匯入!$I$6:$I$1005,MATCH($A862,土地清冊_匯入!$A$6:$A$1005,0)),""))</f>
        <v/>
      </c>
      <c r="F862" s="13">
        <f>IF($A862="","",IFERROR(INDEX(建物清冊_匯入!$N$6:$N$1005,MATCH($A862,建物清冊_匯入!$A$6:$A$1005,0)),""))</f>
        <v/>
      </c>
      <c r="G862" s="9">
        <f>IF($A862="","",IFERROR(INDEX(建物清冊_匯入!$S$6:$S$1005,MATCH($A862,建物清冊_匯入!$A$6:$A$1005,0)),""))</f>
        <v/>
      </c>
      <c r="H862" s="7" t="n"/>
      <c r="I862" s="15" t="n"/>
      <c r="J862" s="16" t="n"/>
      <c r="K862" s="17">
        <f>IF(J862="","",1-J862)</f>
        <v/>
      </c>
      <c r="L862" s="15" t="n"/>
      <c r="M862" s="7" t="n"/>
      <c r="N862" s="7" t="n"/>
      <c r="O862" s="7" t="n"/>
      <c r="P862" s="11" t="n"/>
      <c r="Q862" s="7" t="n"/>
      <c r="R862" s="7" t="n"/>
      <c r="S862" s="7" t="n"/>
      <c r="T862" s="7" t="n"/>
      <c r="U862" s="12">
        <f>IF(A862="","",IF(H862="","建議填分配模式",""))</f>
        <v/>
      </c>
    </row>
    <row r="863" ht="24" customHeight="1">
      <c r="A863" s="7" t="n"/>
      <c r="B863" s="7" t="n"/>
      <c r="C863" s="7" t="n"/>
      <c r="D863" s="12">
        <f>IF($A863="","",IFERROR(INDEX(土地清冊_匯入!$B$6:$B$1005,MATCH($A863,土地清冊_匯入!$A$6:$A$1005,0)),"查無資料"))</f>
        <v/>
      </c>
      <c r="E863" s="9">
        <f>IF($A863="","",IFERROR(INDEX(土地清冊_匯入!$I$6:$I$1005,MATCH($A863,土地清冊_匯入!$A$6:$A$1005,0)),""))</f>
        <v/>
      </c>
      <c r="F863" s="13">
        <f>IF($A863="","",IFERROR(INDEX(建物清冊_匯入!$N$6:$N$1005,MATCH($A863,建物清冊_匯入!$A$6:$A$1005,0)),""))</f>
        <v/>
      </c>
      <c r="G863" s="9">
        <f>IF($A863="","",IFERROR(INDEX(建物清冊_匯入!$S$6:$S$1005,MATCH($A863,建物清冊_匯入!$A$6:$A$1005,0)),""))</f>
        <v/>
      </c>
      <c r="H863" s="7" t="n"/>
      <c r="I863" s="15" t="n"/>
      <c r="J863" s="16" t="n"/>
      <c r="K863" s="17">
        <f>IF(J863="","",1-J863)</f>
        <v/>
      </c>
      <c r="L863" s="15" t="n"/>
      <c r="M863" s="7" t="n"/>
      <c r="N863" s="7" t="n"/>
      <c r="O863" s="7" t="n"/>
      <c r="P863" s="11" t="n"/>
      <c r="Q863" s="7" t="n"/>
      <c r="R863" s="7" t="n"/>
      <c r="S863" s="7" t="n"/>
      <c r="T863" s="7" t="n"/>
      <c r="U863" s="12">
        <f>IF(A863="","",IF(H863="","建議填分配模式",""))</f>
        <v/>
      </c>
    </row>
    <row r="864" ht="24" customHeight="1">
      <c r="A864" s="7" t="n"/>
      <c r="B864" s="7" t="n"/>
      <c r="C864" s="7" t="n"/>
      <c r="D864" s="12">
        <f>IF($A864="","",IFERROR(INDEX(土地清冊_匯入!$B$6:$B$1005,MATCH($A864,土地清冊_匯入!$A$6:$A$1005,0)),"查無資料"))</f>
        <v/>
      </c>
      <c r="E864" s="9">
        <f>IF($A864="","",IFERROR(INDEX(土地清冊_匯入!$I$6:$I$1005,MATCH($A864,土地清冊_匯入!$A$6:$A$1005,0)),""))</f>
        <v/>
      </c>
      <c r="F864" s="13">
        <f>IF($A864="","",IFERROR(INDEX(建物清冊_匯入!$N$6:$N$1005,MATCH($A864,建物清冊_匯入!$A$6:$A$1005,0)),""))</f>
        <v/>
      </c>
      <c r="G864" s="9">
        <f>IF($A864="","",IFERROR(INDEX(建物清冊_匯入!$S$6:$S$1005,MATCH($A864,建物清冊_匯入!$A$6:$A$1005,0)),""))</f>
        <v/>
      </c>
      <c r="H864" s="7" t="n"/>
      <c r="I864" s="15" t="n"/>
      <c r="J864" s="16" t="n"/>
      <c r="K864" s="17">
        <f>IF(J864="","",1-J864)</f>
        <v/>
      </c>
      <c r="L864" s="15" t="n"/>
      <c r="M864" s="7" t="n"/>
      <c r="N864" s="7" t="n"/>
      <c r="O864" s="7" t="n"/>
      <c r="P864" s="11" t="n"/>
      <c r="Q864" s="7" t="n"/>
      <c r="R864" s="7" t="n"/>
      <c r="S864" s="7" t="n"/>
      <c r="T864" s="7" t="n"/>
      <c r="U864" s="12">
        <f>IF(A864="","",IF(H864="","建議填分配模式",""))</f>
        <v/>
      </c>
    </row>
    <row r="865" ht="24" customHeight="1">
      <c r="A865" s="7" t="n"/>
      <c r="B865" s="7" t="n"/>
      <c r="C865" s="7" t="n"/>
      <c r="D865" s="12">
        <f>IF($A865="","",IFERROR(INDEX(土地清冊_匯入!$B$6:$B$1005,MATCH($A865,土地清冊_匯入!$A$6:$A$1005,0)),"查無資料"))</f>
        <v/>
      </c>
      <c r="E865" s="9">
        <f>IF($A865="","",IFERROR(INDEX(土地清冊_匯入!$I$6:$I$1005,MATCH($A865,土地清冊_匯入!$A$6:$A$1005,0)),""))</f>
        <v/>
      </c>
      <c r="F865" s="13">
        <f>IF($A865="","",IFERROR(INDEX(建物清冊_匯入!$N$6:$N$1005,MATCH($A865,建物清冊_匯入!$A$6:$A$1005,0)),""))</f>
        <v/>
      </c>
      <c r="G865" s="9">
        <f>IF($A865="","",IFERROR(INDEX(建物清冊_匯入!$S$6:$S$1005,MATCH($A865,建物清冊_匯入!$A$6:$A$1005,0)),""))</f>
        <v/>
      </c>
      <c r="H865" s="7" t="n"/>
      <c r="I865" s="15" t="n"/>
      <c r="J865" s="16" t="n"/>
      <c r="K865" s="17">
        <f>IF(J865="","",1-J865)</f>
        <v/>
      </c>
      <c r="L865" s="15" t="n"/>
      <c r="M865" s="7" t="n"/>
      <c r="N865" s="7" t="n"/>
      <c r="O865" s="7" t="n"/>
      <c r="P865" s="11" t="n"/>
      <c r="Q865" s="7" t="n"/>
      <c r="R865" s="7" t="n"/>
      <c r="S865" s="7" t="n"/>
      <c r="T865" s="7" t="n"/>
      <c r="U865" s="12">
        <f>IF(A865="","",IF(H865="","建議填分配模式",""))</f>
        <v/>
      </c>
    </row>
    <row r="866" ht="24" customHeight="1">
      <c r="A866" s="7" t="n"/>
      <c r="B866" s="7" t="n"/>
      <c r="C866" s="7" t="n"/>
      <c r="D866" s="12">
        <f>IF($A866="","",IFERROR(INDEX(土地清冊_匯入!$B$6:$B$1005,MATCH($A866,土地清冊_匯入!$A$6:$A$1005,0)),"查無資料"))</f>
        <v/>
      </c>
      <c r="E866" s="9">
        <f>IF($A866="","",IFERROR(INDEX(土地清冊_匯入!$I$6:$I$1005,MATCH($A866,土地清冊_匯入!$A$6:$A$1005,0)),""))</f>
        <v/>
      </c>
      <c r="F866" s="13">
        <f>IF($A866="","",IFERROR(INDEX(建物清冊_匯入!$N$6:$N$1005,MATCH($A866,建物清冊_匯入!$A$6:$A$1005,0)),""))</f>
        <v/>
      </c>
      <c r="G866" s="9">
        <f>IF($A866="","",IFERROR(INDEX(建物清冊_匯入!$S$6:$S$1005,MATCH($A866,建物清冊_匯入!$A$6:$A$1005,0)),""))</f>
        <v/>
      </c>
      <c r="H866" s="7" t="n"/>
      <c r="I866" s="15" t="n"/>
      <c r="J866" s="16" t="n"/>
      <c r="K866" s="17">
        <f>IF(J866="","",1-J866)</f>
        <v/>
      </c>
      <c r="L866" s="15" t="n"/>
      <c r="M866" s="7" t="n"/>
      <c r="N866" s="7" t="n"/>
      <c r="O866" s="7" t="n"/>
      <c r="P866" s="11" t="n"/>
      <c r="Q866" s="7" t="n"/>
      <c r="R866" s="7" t="n"/>
      <c r="S866" s="7" t="n"/>
      <c r="T866" s="7" t="n"/>
      <c r="U866" s="12">
        <f>IF(A866="","",IF(H866="","建議填分配模式",""))</f>
        <v/>
      </c>
    </row>
    <row r="867" ht="24" customHeight="1">
      <c r="A867" s="7" t="n"/>
      <c r="B867" s="7" t="n"/>
      <c r="C867" s="7" t="n"/>
      <c r="D867" s="12">
        <f>IF($A867="","",IFERROR(INDEX(土地清冊_匯入!$B$6:$B$1005,MATCH($A867,土地清冊_匯入!$A$6:$A$1005,0)),"查無資料"))</f>
        <v/>
      </c>
      <c r="E867" s="9">
        <f>IF($A867="","",IFERROR(INDEX(土地清冊_匯入!$I$6:$I$1005,MATCH($A867,土地清冊_匯入!$A$6:$A$1005,0)),""))</f>
        <v/>
      </c>
      <c r="F867" s="13">
        <f>IF($A867="","",IFERROR(INDEX(建物清冊_匯入!$N$6:$N$1005,MATCH($A867,建物清冊_匯入!$A$6:$A$1005,0)),""))</f>
        <v/>
      </c>
      <c r="G867" s="9">
        <f>IF($A867="","",IFERROR(INDEX(建物清冊_匯入!$S$6:$S$1005,MATCH($A867,建物清冊_匯入!$A$6:$A$1005,0)),""))</f>
        <v/>
      </c>
      <c r="H867" s="7" t="n"/>
      <c r="I867" s="15" t="n"/>
      <c r="J867" s="16" t="n"/>
      <c r="K867" s="17">
        <f>IF(J867="","",1-J867)</f>
        <v/>
      </c>
      <c r="L867" s="15" t="n"/>
      <c r="M867" s="7" t="n"/>
      <c r="N867" s="7" t="n"/>
      <c r="O867" s="7" t="n"/>
      <c r="P867" s="11" t="n"/>
      <c r="Q867" s="7" t="n"/>
      <c r="R867" s="7" t="n"/>
      <c r="S867" s="7" t="n"/>
      <c r="T867" s="7" t="n"/>
      <c r="U867" s="12">
        <f>IF(A867="","",IF(H867="","建議填分配模式",""))</f>
        <v/>
      </c>
    </row>
    <row r="868" ht="24" customHeight="1">
      <c r="A868" s="7" t="n"/>
      <c r="B868" s="7" t="n"/>
      <c r="C868" s="7" t="n"/>
      <c r="D868" s="12">
        <f>IF($A868="","",IFERROR(INDEX(土地清冊_匯入!$B$6:$B$1005,MATCH($A868,土地清冊_匯入!$A$6:$A$1005,0)),"查無資料"))</f>
        <v/>
      </c>
      <c r="E868" s="9">
        <f>IF($A868="","",IFERROR(INDEX(土地清冊_匯入!$I$6:$I$1005,MATCH($A868,土地清冊_匯入!$A$6:$A$1005,0)),""))</f>
        <v/>
      </c>
      <c r="F868" s="13">
        <f>IF($A868="","",IFERROR(INDEX(建物清冊_匯入!$N$6:$N$1005,MATCH($A868,建物清冊_匯入!$A$6:$A$1005,0)),""))</f>
        <v/>
      </c>
      <c r="G868" s="9">
        <f>IF($A868="","",IFERROR(INDEX(建物清冊_匯入!$S$6:$S$1005,MATCH($A868,建物清冊_匯入!$A$6:$A$1005,0)),""))</f>
        <v/>
      </c>
      <c r="H868" s="7" t="n"/>
      <c r="I868" s="15" t="n"/>
      <c r="J868" s="16" t="n"/>
      <c r="K868" s="17">
        <f>IF(J868="","",1-J868)</f>
        <v/>
      </c>
      <c r="L868" s="15" t="n"/>
      <c r="M868" s="7" t="n"/>
      <c r="N868" s="7" t="n"/>
      <c r="O868" s="7" t="n"/>
      <c r="P868" s="11" t="n"/>
      <c r="Q868" s="7" t="n"/>
      <c r="R868" s="7" t="n"/>
      <c r="S868" s="7" t="n"/>
      <c r="T868" s="7" t="n"/>
      <c r="U868" s="12">
        <f>IF(A868="","",IF(H868="","建議填分配模式",""))</f>
        <v/>
      </c>
    </row>
    <row r="869" ht="24" customHeight="1">
      <c r="A869" s="7" t="n"/>
      <c r="B869" s="7" t="n"/>
      <c r="C869" s="7" t="n"/>
      <c r="D869" s="12">
        <f>IF($A869="","",IFERROR(INDEX(土地清冊_匯入!$B$6:$B$1005,MATCH($A869,土地清冊_匯入!$A$6:$A$1005,0)),"查無資料"))</f>
        <v/>
      </c>
      <c r="E869" s="9">
        <f>IF($A869="","",IFERROR(INDEX(土地清冊_匯入!$I$6:$I$1005,MATCH($A869,土地清冊_匯入!$A$6:$A$1005,0)),""))</f>
        <v/>
      </c>
      <c r="F869" s="13">
        <f>IF($A869="","",IFERROR(INDEX(建物清冊_匯入!$N$6:$N$1005,MATCH($A869,建物清冊_匯入!$A$6:$A$1005,0)),""))</f>
        <v/>
      </c>
      <c r="G869" s="9">
        <f>IF($A869="","",IFERROR(INDEX(建物清冊_匯入!$S$6:$S$1005,MATCH($A869,建物清冊_匯入!$A$6:$A$1005,0)),""))</f>
        <v/>
      </c>
      <c r="H869" s="7" t="n"/>
      <c r="I869" s="15" t="n"/>
      <c r="J869" s="16" t="n"/>
      <c r="K869" s="17">
        <f>IF(J869="","",1-J869)</f>
        <v/>
      </c>
      <c r="L869" s="15" t="n"/>
      <c r="M869" s="7" t="n"/>
      <c r="N869" s="7" t="n"/>
      <c r="O869" s="7" t="n"/>
      <c r="P869" s="11" t="n"/>
      <c r="Q869" s="7" t="n"/>
      <c r="R869" s="7" t="n"/>
      <c r="S869" s="7" t="n"/>
      <c r="T869" s="7" t="n"/>
      <c r="U869" s="12">
        <f>IF(A869="","",IF(H869="","建議填分配模式",""))</f>
        <v/>
      </c>
    </row>
    <row r="870" ht="24" customHeight="1">
      <c r="A870" s="7" t="n"/>
      <c r="B870" s="7" t="n"/>
      <c r="C870" s="7" t="n"/>
      <c r="D870" s="12">
        <f>IF($A870="","",IFERROR(INDEX(土地清冊_匯入!$B$6:$B$1005,MATCH($A870,土地清冊_匯入!$A$6:$A$1005,0)),"查無資料"))</f>
        <v/>
      </c>
      <c r="E870" s="9">
        <f>IF($A870="","",IFERROR(INDEX(土地清冊_匯入!$I$6:$I$1005,MATCH($A870,土地清冊_匯入!$A$6:$A$1005,0)),""))</f>
        <v/>
      </c>
      <c r="F870" s="13">
        <f>IF($A870="","",IFERROR(INDEX(建物清冊_匯入!$N$6:$N$1005,MATCH($A870,建物清冊_匯入!$A$6:$A$1005,0)),""))</f>
        <v/>
      </c>
      <c r="G870" s="9">
        <f>IF($A870="","",IFERROR(INDEX(建物清冊_匯入!$S$6:$S$1005,MATCH($A870,建物清冊_匯入!$A$6:$A$1005,0)),""))</f>
        <v/>
      </c>
      <c r="H870" s="7" t="n"/>
      <c r="I870" s="15" t="n"/>
      <c r="J870" s="16" t="n"/>
      <c r="K870" s="17">
        <f>IF(J870="","",1-J870)</f>
        <v/>
      </c>
      <c r="L870" s="15" t="n"/>
      <c r="M870" s="7" t="n"/>
      <c r="N870" s="7" t="n"/>
      <c r="O870" s="7" t="n"/>
      <c r="P870" s="11" t="n"/>
      <c r="Q870" s="7" t="n"/>
      <c r="R870" s="7" t="n"/>
      <c r="S870" s="7" t="n"/>
      <c r="T870" s="7" t="n"/>
      <c r="U870" s="12">
        <f>IF(A870="","",IF(H870="","建議填分配模式",""))</f>
        <v/>
      </c>
    </row>
    <row r="871" ht="24" customHeight="1">
      <c r="A871" s="7" t="n"/>
      <c r="B871" s="7" t="n"/>
      <c r="C871" s="7" t="n"/>
      <c r="D871" s="12">
        <f>IF($A871="","",IFERROR(INDEX(土地清冊_匯入!$B$6:$B$1005,MATCH($A871,土地清冊_匯入!$A$6:$A$1005,0)),"查無資料"))</f>
        <v/>
      </c>
      <c r="E871" s="9">
        <f>IF($A871="","",IFERROR(INDEX(土地清冊_匯入!$I$6:$I$1005,MATCH($A871,土地清冊_匯入!$A$6:$A$1005,0)),""))</f>
        <v/>
      </c>
      <c r="F871" s="13">
        <f>IF($A871="","",IFERROR(INDEX(建物清冊_匯入!$N$6:$N$1005,MATCH($A871,建物清冊_匯入!$A$6:$A$1005,0)),""))</f>
        <v/>
      </c>
      <c r="G871" s="9">
        <f>IF($A871="","",IFERROR(INDEX(建物清冊_匯入!$S$6:$S$1005,MATCH($A871,建物清冊_匯入!$A$6:$A$1005,0)),""))</f>
        <v/>
      </c>
      <c r="H871" s="7" t="n"/>
      <c r="I871" s="15" t="n"/>
      <c r="J871" s="16" t="n"/>
      <c r="K871" s="17">
        <f>IF(J871="","",1-J871)</f>
        <v/>
      </c>
      <c r="L871" s="15" t="n"/>
      <c r="M871" s="7" t="n"/>
      <c r="N871" s="7" t="n"/>
      <c r="O871" s="7" t="n"/>
      <c r="P871" s="11" t="n"/>
      <c r="Q871" s="7" t="n"/>
      <c r="R871" s="7" t="n"/>
      <c r="S871" s="7" t="n"/>
      <c r="T871" s="7" t="n"/>
      <c r="U871" s="12">
        <f>IF(A871="","",IF(H871="","建議填分配模式",""))</f>
        <v/>
      </c>
    </row>
    <row r="872" ht="24" customHeight="1">
      <c r="A872" s="7" t="n"/>
      <c r="B872" s="7" t="n"/>
      <c r="C872" s="7" t="n"/>
      <c r="D872" s="12">
        <f>IF($A872="","",IFERROR(INDEX(土地清冊_匯入!$B$6:$B$1005,MATCH($A872,土地清冊_匯入!$A$6:$A$1005,0)),"查無資料"))</f>
        <v/>
      </c>
      <c r="E872" s="9">
        <f>IF($A872="","",IFERROR(INDEX(土地清冊_匯入!$I$6:$I$1005,MATCH($A872,土地清冊_匯入!$A$6:$A$1005,0)),""))</f>
        <v/>
      </c>
      <c r="F872" s="13">
        <f>IF($A872="","",IFERROR(INDEX(建物清冊_匯入!$N$6:$N$1005,MATCH($A872,建物清冊_匯入!$A$6:$A$1005,0)),""))</f>
        <v/>
      </c>
      <c r="G872" s="9">
        <f>IF($A872="","",IFERROR(INDEX(建物清冊_匯入!$S$6:$S$1005,MATCH($A872,建物清冊_匯入!$A$6:$A$1005,0)),""))</f>
        <v/>
      </c>
      <c r="H872" s="7" t="n"/>
      <c r="I872" s="15" t="n"/>
      <c r="J872" s="16" t="n"/>
      <c r="K872" s="17">
        <f>IF(J872="","",1-J872)</f>
        <v/>
      </c>
      <c r="L872" s="15" t="n"/>
      <c r="M872" s="7" t="n"/>
      <c r="N872" s="7" t="n"/>
      <c r="O872" s="7" t="n"/>
      <c r="P872" s="11" t="n"/>
      <c r="Q872" s="7" t="n"/>
      <c r="R872" s="7" t="n"/>
      <c r="S872" s="7" t="n"/>
      <c r="T872" s="7" t="n"/>
      <c r="U872" s="12">
        <f>IF(A872="","",IF(H872="","建議填分配模式",""))</f>
        <v/>
      </c>
    </row>
    <row r="873" ht="24" customHeight="1">
      <c r="A873" s="7" t="n"/>
      <c r="B873" s="7" t="n"/>
      <c r="C873" s="7" t="n"/>
      <c r="D873" s="12">
        <f>IF($A873="","",IFERROR(INDEX(土地清冊_匯入!$B$6:$B$1005,MATCH($A873,土地清冊_匯入!$A$6:$A$1005,0)),"查無資料"))</f>
        <v/>
      </c>
      <c r="E873" s="9">
        <f>IF($A873="","",IFERROR(INDEX(土地清冊_匯入!$I$6:$I$1005,MATCH($A873,土地清冊_匯入!$A$6:$A$1005,0)),""))</f>
        <v/>
      </c>
      <c r="F873" s="13">
        <f>IF($A873="","",IFERROR(INDEX(建物清冊_匯入!$N$6:$N$1005,MATCH($A873,建物清冊_匯入!$A$6:$A$1005,0)),""))</f>
        <v/>
      </c>
      <c r="G873" s="9">
        <f>IF($A873="","",IFERROR(INDEX(建物清冊_匯入!$S$6:$S$1005,MATCH($A873,建物清冊_匯入!$A$6:$A$1005,0)),""))</f>
        <v/>
      </c>
      <c r="H873" s="7" t="n"/>
      <c r="I873" s="15" t="n"/>
      <c r="J873" s="16" t="n"/>
      <c r="K873" s="17">
        <f>IF(J873="","",1-J873)</f>
        <v/>
      </c>
      <c r="L873" s="15" t="n"/>
      <c r="M873" s="7" t="n"/>
      <c r="N873" s="7" t="n"/>
      <c r="O873" s="7" t="n"/>
      <c r="P873" s="11" t="n"/>
      <c r="Q873" s="7" t="n"/>
      <c r="R873" s="7" t="n"/>
      <c r="S873" s="7" t="n"/>
      <c r="T873" s="7" t="n"/>
      <c r="U873" s="12">
        <f>IF(A873="","",IF(H873="","建議填分配模式",""))</f>
        <v/>
      </c>
    </row>
    <row r="874" ht="24" customHeight="1">
      <c r="A874" s="7" t="n"/>
      <c r="B874" s="7" t="n"/>
      <c r="C874" s="7" t="n"/>
      <c r="D874" s="12">
        <f>IF($A874="","",IFERROR(INDEX(土地清冊_匯入!$B$6:$B$1005,MATCH($A874,土地清冊_匯入!$A$6:$A$1005,0)),"查無資料"))</f>
        <v/>
      </c>
      <c r="E874" s="9">
        <f>IF($A874="","",IFERROR(INDEX(土地清冊_匯入!$I$6:$I$1005,MATCH($A874,土地清冊_匯入!$A$6:$A$1005,0)),""))</f>
        <v/>
      </c>
      <c r="F874" s="13">
        <f>IF($A874="","",IFERROR(INDEX(建物清冊_匯入!$N$6:$N$1005,MATCH($A874,建物清冊_匯入!$A$6:$A$1005,0)),""))</f>
        <v/>
      </c>
      <c r="G874" s="9">
        <f>IF($A874="","",IFERROR(INDEX(建物清冊_匯入!$S$6:$S$1005,MATCH($A874,建物清冊_匯入!$A$6:$A$1005,0)),""))</f>
        <v/>
      </c>
      <c r="H874" s="7" t="n"/>
      <c r="I874" s="15" t="n"/>
      <c r="J874" s="16" t="n"/>
      <c r="K874" s="17">
        <f>IF(J874="","",1-J874)</f>
        <v/>
      </c>
      <c r="L874" s="15" t="n"/>
      <c r="M874" s="7" t="n"/>
      <c r="N874" s="7" t="n"/>
      <c r="O874" s="7" t="n"/>
      <c r="P874" s="11" t="n"/>
      <c r="Q874" s="7" t="n"/>
      <c r="R874" s="7" t="n"/>
      <c r="S874" s="7" t="n"/>
      <c r="T874" s="7" t="n"/>
      <c r="U874" s="12">
        <f>IF(A874="","",IF(H874="","建議填分配模式",""))</f>
        <v/>
      </c>
    </row>
    <row r="875" ht="24" customHeight="1">
      <c r="A875" s="7" t="n"/>
      <c r="B875" s="7" t="n"/>
      <c r="C875" s="7" t="n"/>
      <c r="D875" s="12">
        <f>IF($A875="","",IFERROR(INDEX(土地清冊_匯入!$B$6:$B$1005,MATCH($A875,土地清冊_匯入!$A$6:$A$1005,0)),"查無資料"))</f>
        <v/>
      </c>
      <c r="E875" s="9">
        <f>IF($A875="","",IFERROR(INDEX(土地清冊_匯入!$I$6:$I$1005,MATCH($A875,土地清冊_匯入!$A$6:$A$1005,0)),""))</f>
        <v/>
      </c>
      <c r="F875" s="13">
        <f>IF($A875="","",IFERROR(INDEX(建物清冊_匯入!$N$6:$N$1005,MATCH($A875,建物清冊_匯入!$A$6:$A$1005,0)),""))</f>
        <v/>
      </c>
      <c r="G875" s="9">
        <f>IF($A875="","",IFERROR(INDEX(建物清冊_匯入!$S$6:$S$1005,MATCH($A875,建物清冊_匯入!$A$6:$A$1005,0)),""))</f>
        <v/>
      </c>
      <c r="H875" s="7" t="n"/>
      <c r="I875" s="15" t="n"/>
      <c r="J875" s="16" t="n"/>
      <c r="K875" s="17">
        <f>IF(J875="","",1-J875)</f>
        <v/>
      </c>
      <c r="L875" s="15" t="n"/>
      <c r="M875" s="7" t="n"/>
      <c r="N875" s="7" t="n"/>
      <c r="O875" s="7" t="n"/>
      <c r="P875" s="11" t="n"/>
      <c r="Q875" s="7" t="n"/>
      <c r="R875" s="7" t="n"/>
      <c r="S875" s="7" t="n"/>
      <c r="T875" s="7" t="n"/>
      <c r="U875" s="12">
        <f>IF(A875="","",IF(H875="","建議填分配模式",""))</f>
        <v/>
      </c>
    </row>
    <row r="876" ht="24" customHeight="1">
      <c r="A876" s="7" t="n"/>
      <c r="B876" s="7" t="n"/>
      <c r="C876" s="7" t="n"/>
      <c r="D876" s="12">
        <f>IF($A876="","",IFERROR(INDEX(土地清冊_匯入!$B$6:$B$1005,MATCH($A876,土地清冊_匯入!$A$6:$A$1005,0)),"查無資料"))</f>
        <v/>
      </c>
      <c r="E876" s="9">
        <f>IF($A876="","",IFERROR(INDEX(土地清冊_匯入!$I$6:$I$1005,MATCH($A876,土地清冊_匯入!$A$6:$A$1005,0)),""))</f>
        <v/>
      </c>
      <c r="F876" s="13">
        <f>IF($A876="","",IFERROR(INDEX(建物清冊_匯入!$N$6:$N$1005,MATCH($A876,建物清冊_匯入!$A$6:$A$1005,0)),""))</f>
        <v/>
      </c>
      <c r="G876" s="9">
        <f>IF($A876="","",IFERROR(INDEX(建物清冊_匯入!$S$6:$S$1005,MATCH($A876,建物清冊_匯入!$A$6:$A$1005,0)),""))</f>
        <v/>
      </c>
      <c r="H876" s="7" t="n"/>
      <c r="I876" s="15" t="n"/>
      <c r="J876" s="16" t="n"/>
      <c r="K876" s="17">
        <f>IF(J876="","",1-J876)</f>
        <v/>
      </c>
      <c r="L876" s="15" t="n"/>
      <c r="M876" s="7" t="n"/>
      <c r="N876" s="7" t="n"/>
      <c r="O876" s="7" t="n"/>
      <c r="P876" s="11" t="n"/>
      <c r="Q876" s="7" t="n"/>
      <c r="R876" s="7" t="n"/>
      <c r="S876" s="7" t="n"/>
      <c r="T876" s="7" t="n"/>
      <c r="U876" s="12">
        <f>IF(A876="","",IF(H876="","建議填分配模式",""))</f>
        <v/>
      </c>
    </row>
    <row r="877" ht="24" customHeight="1">
      <c r="A877" s="7" t="n"/>
      <c r="B877" s="7" t="n"/>
      <c r="C877" s="7" t="n"/>
      <c r="D877" s="12">
        <f>IF($A877="","",IFERROR(INDEX(土地清冊_匯入!$B$6:$B$1005,MATCH($A877,土地清冊_匯入!$A$6:$A$1005,0)),"查無資料"))</f>
        <v/>
      </c>
      <c r="E877" s="9">
        <f>IF($A877="","",IFERROR(INDEX(土地清冊_匯入!$I$6:$I$1005,MATCH($A877,土地清冊_匯入!$A$6:$A$1005,0)),""))</f>
        <v/>
      </c>
      <c r="F877" s="13">
        <f>IF($A877="","",IFERROR(INDEX(建物清冊_匯入!$N$6:$N$1005,MATCH($A877,建物清冊_匯入!$A$6:$A$1005,0)),""))</f>
        <v/>
      </c>
      <c r="G877" s="9">
        <f>IF($A877="","",IFERROR(INDEX(建物清冊_匯入!$S$6:$S$1005,MATCH($A877,建物清冊_匯入!$A$6:$A$1005,0)),""))</f>
        <v/>
      </c>
      <c r="H877" s="7" t="n"/>
      <c r="I877" s="15" t="n"/>
      <c r="J877" s="16" t="n"/>
      <c r="K877" s="17">
        <f>IF(J877="","",1-J877)</f>
        <v/>
      </c>
      <c r="L877" s="15" t="n"/>
      <c r="M877" s="7" t="n"/>
      <c r="N877" s="7" t="n"/>
      <c r="O877" s="7" t="n"/>
      <c r="P877" s="11" t="n"/>
      <c r="Q877" s="7" t="n"/>
      <c r="R877" s="7" t="n"/>
      <c r="S877" s="7" t="n"/>
      <c r="T877" s="7" t="n"/>
      <c r="U877" s="12">
        <f>IF(A877="","",IF(H877="","建議填分配模式",""))</f>
        <v/>
      </c>
    </row>
    <row r="878" ht="24" customHeight="1">
      <c r="A878" s="7" t="n"/>
      <c r="B878" s="7" t="n"/>
      <c r="C878" s="7" t="n"/>
      <c r="D878" s="12">
        <f>IF($A878="","",IFERROR(INDEX(土地清冊_匯入!$B$6:$B$1005,MATCH($A878,土地清冊_匯入!$A$6:$A$1005,0)),"查無資料"))</f>
        <v/>
      </c>
      <c r="E878" s="9">
        <f>IF($A878="","",IFERROR(INDEX(土地清冊_匯入!$I$6:$I$1005,MATCH($A878,土地清冊_匯入!$A$6:$A$1005,0)),""))</f>
        <v/>
      </c>
      <c r="F878" s="13">
        <f>IF($A878="","",IFERROR(INDEX(建物清冊_匯入!$N$6:$N$1005,MATCH($A878,建物清冊_匯入!$A$6:$A$1005,0)),""))</f>
        <v/>
      </c>
      <c r="G878" s="9">
        <f>IF($A878="","",IFERROR(INDEX(建物清冊_匯入!$S$6:$S$1005,MATCH($A878,建物清冊_匯入!$A$6:$A$1005,0)),""))</f>
        <v/>
      </c>
      <c r="H878" s="7" t="n"/>
      <c r="I878" s="15" t="n"/>
      <c r="J878" s="16" t="n"/>
      <c r="K878" s="17">
        <f>IF(J878="","",1-J878)</f>
        <v/>
      </c>
      <c r="L878" s="15" t="n"/>
      <c r="M878" s="7" t="n"/>
      <c r="N878" s="7" t="n"/>
      <c r="O878" s="7" t="n"/>
      <c r="P878" s="11" t="n"/>
      <c r="Q878" s="7" t="n"/>
      <c r="R878" s="7" t="n"/>
      <c r="S878" s="7" t="n"/>
      <c r="T878" s="7" t="n"/>
      <c r="U878" s="12">
        <f>IF(A878="","",IF(H878="","建議填分配模式",""))</f>
        <v/>
      </c>
    </row>
    <row r="879" ht="24" customHeight="1">
      <c r="A879" s="7" t="n"/>
      <c r="B879" s="7" t="n"/>
      <c r="C879" s="7" t="n"/>
      <c r="D879" s="12">
        <f>IF($A879="","",IFERROR(INDEX(土地清冊_匯入!$B$6:$B$1005,MATCH($A879,土地清冊_匯入!$A$6:$A$1005,0)),"查無資料"))</f>
        <v/>
      </c>
      <c r="E879" s="9">
        <f>IF($A879="","",IFERROR(INDEX(土地清冊_匯入!$I$6:$I$1005,MATCH($A879,土地清冊_匯入!$A$6:$A$1005,0)),""))</f>
        <v/>
      </c>
      <c r="F879" s="13">
        <f>IF($A879="","",IFERROR(INDEX(建物清冊_匯入!$N$6:$N$1005,MATCH($A879,建物清冊_匯入!$A$6:$A$1005,0)),""))</f>
        <v/>
      </c>
      <c r="G879" s="9">
        <f>IF($A879="","",IFERROR(INDEX(建物清冊_匯入!$S$6:$S$1005,MATCH($A879,建物清冊_匯入!$A$6:$A$1005,0)),""))</f>
        <v/>
      </c>
      <c r="H879" s="7" t="n"/>
      <c r="I879" s="15" t="n"/>
      <c r="J879" s="16" t="n"/>
      <c r="K879" s="17">
        <f>IF(J879="","",1-J879)</f>
        <v/>
      </c>
      <c r="L879" s="15" t="n"/>
      <c r="M879" s="7" t="n"/>
      <c r="N879" s="7" t="n"/>
      <c r="O879" s="7" t="n"/>
      <c r="P879" s="11" t="n"/>
      <c r="Q879" s="7" t="n"/>
      <c r="R879" s="7" t="n"/>
      <c r="S879" s="7" t="n"/>
      <c r="T879" s="7" t="n"/>
      <c r="U879" s="12">
        <f>IF(A879="","",IF(H879="","建議填分配模式",""))</f>
        <v/>
      </c>
    </row>
    <row r="880" ht="24" customHeight="1">
      <c r="A880" s="7" t="n"/>
      <c r="B880" s="7" t="n"/>
      <c r="C880" s="7" t="n"/>
      <c r="D880" s="12">
        <f>IF($A880="","",IFERROR(INDEX(土地清冊_匯入!$B$6:$B$1005,MATCH($A880,土地清冊_匯入!$A$6:$A$1005,0)),"查無資料"))</f>
        <v/>
      </c>
      <c r="E880" s="9">
        <f>IF($A880="","",IFERROR(INDEX(土地清冊_匯入!$I$6:$I$1005,MATCH($A880,土地清冊_匯入!$A$6:$A$1005,0)),""))</f>
        <v/>
      </c>
      <c r="F880" s="13">
        <f>IF($A880="","",IFERROR(INDEX(建物清冊_匯入!$N$6:$N$1005,MATCH($A880,建物清冊_匯入!$A$6:$A$1005,0)),""))</f>
        <v/>
      </c>
      <c r="G880" s="9">
        <f>IF($A880="","",IFERROR(INDEX(建物清冊_匯入!$S$6:$S$1005,MATCH($A880,建物清冊_匯入!$A$6:$A$1005,0)),""))</f>
        <v/>
      </c>
      <c r="H880" s="7" t="n"/>
      <c r="I880" s="15" t="n"/>
      <c r="J880" s="16" t="n"/>
      <c r="K880" s="17">
        <f>IF(J880="","",1-J880)</f>
        <v/>
      </c>
      <c r="L880" s="15" t="n"/>
      <c r="M880" s="7" t="n"/>
      <c r="N880" s="7" t="n"/>
      <c r="O880" s="7" t="n"/>
      <c r="P880" s="11" t="n"/>
      <c r="Q880" s="7" t="n"/>
      <c r="R880" s="7" t="n"/>
      <c r="S880" s="7" t="n"/>
      <c r="T880" s="7" t="n"/>
      <c r="U880" s="12">
        <f>IF(A880="","",IF(H880="","建議填分配模式",""))</f>
        <v/>
      </c>
    </row>
    <row r="881" ht="24" customHeight="1">
      <c r="A881" s="7" t="n"/>
      <c r="B881" s="7" t="n"/>
      <c r="C881" s="7" t="n"/>
      <c r="D881" s="12">
        <f>IF($A881="","",IFERROR(INDEX(土地清冊_匯入!$B$6:$B$1005,MATCH($A881,土地清冊_匯入!$A$6:$A$1005,0)),"查無資料"))</f>
        <v/>
      </c>
      <c r="E881" s="9">
        <f>IF($A881="","",IFERROR(INDEX(土地清冊_匯入!$I$6:$I$1005,MATCH($A881,土地清冊_匯入!$A$6:$A$1005,0)),""))</f>
        <v/>
      </c>
      <c r="F881" s="13">
        <f>IF($A881="","",IFERROR(INDEX(建物清冊_匯入!$N$6:$N$1005,MATCH($A881,建物清冊_匯入!$A$6:$A$1005,0)),""))</f>
        <v/>
      </c>
      <c r="G881" s="9">
        <f>IF($A881="","",IFERROR(INDEX(建物清冊_匯入!$S$6:$S$1005,MATCH($A881,建物清冊_匯入!$A$6:$A$1005,0)),""))</f>
        <v/>
      </c>
      <c r="H881" s="7" t="n"/>
      <c r="I881" s="15" t="n"/>
      <c r="J881" s="16" t="n"/>
      <c r="K881" s="17">
        <f>IF(J881="","",1-J881)</f>
        <v/>
      </c>
      <c r="L881" s="15" t="n"/>
      <c r="M881" s="7" t="n"/>
      <c r="N881" s="7" t="n"/>
      <c r="O881" s="7" t="n"/>
      <c r="P881" s="11" t="n"/>
      <c r="Q881" s="7" t="n"/>
      <c r="R881" s="7" t="n"/>
      <c r="S881" s="7" t="n"/>
      <c r="T881" s="7" t="n"/>
      <c r="U881" s="12">
        <f>IF(A881="","",IF(H881="","建議填分配模式",""))</f>
        <v/>
      </c>
    </row>
    <row r="882" ht="24" customHeight="1">
      <c r="A882" s="7" t="n"/>
      <c r="B882" s="7" t="n"/>
      <c r="C882" s="7" t="n"/>
      <c r="D882" s="12">
        <f>IF($A882="","",IFERROR(INDEX(土地清冊_匯入!$B$6:$B$1005,MATCH($A882,土地清冊_匯入!$A$6:$A$1005,0)),"查無資料"))</f>
        <v/>
      </c>
      <c r="E882" s="9">
        <f>IF($A882="","",IFERROR(INDEX(土地清冊_匯入!$I$6:$I$1005,MATCH($A882,土地清冊_匯入!$A$6:$A$1005,0)),""))</f>
        <v/>
      </c>
      <c r="F882" s="13">
        <f>IF($A882="","",IFERROR(INDEX(建物清冊_匯入!$N$6:$N$1005,MATCH($A882,建物清冊_匯入!$A$6:$A$1005,0)),""))</f>
        <v/>
      </c>
      <c r="G882" s="9">
        <f>IF($A882="","",IFERROR(INDEX(建物清冊_匯入!$S$6:$S$1005,MATCH($A882,建物清冊_匯入!$A$6:$A$1005,0)),""))</f>
        <v/>
      </c>
      <c r="H882" s="7" t="n"/>
      <c r="I882" s="15" t="n"/>
      <c r="J882" s="16" t="n"/>
      <c r="K882" s="17">
        <f>IF(J882="","",1-J882)</f>
        <v/>
      </c>
      <c r="L882" s="15" t="n"/>
      <c r="M882" s="7" t="n"/>
      <c r="N882" s="7" t="n"/>
      <c r="O882" s="7" t="n"/>
      <c r="P882" s="11" t="n"/>
      <c r="Q882" s="7" t="n"/>
      <c r="R882" s="7" t="n"/>
      <c r="S882" s="7" t="n"/>
      <c r="T882" s="7" t="n"/>
      <c r="U882" s="12">
        <f>IF(A882="","",IF(H882="","建議填分配模式",""))</f>
        <v/>
      </c>
    </row>
    <row r="883" ht="24" customHeight="1">
      <c r="A883" s="7" t="n"/>
      <c r="B883" s="7" t="n"/>
      <c r="C883" s="7" t="n"/>
      <c r="D883" s="12">
        <f>IF($A883="","",IFERROR(INDEX(土地清冊_匯入!$B$6:$B$1005,MATCH($A883,土地清冊_匯入!$A$6:$A$1005,0)),"查無資料"))</f>
        <v/>
      </c>
      <c r="E883" s="9">
        <f>IF($A883="","",IFERROR(INDEX(土地清冊_匯入!$I$6:$I$1005,MATCH($A883,土地清冊_匯入!$A$6:$A$1005,0)),""))</f>
        <v/>
      </c>
      <c r="F883" s="13">
        <f>IF($A883="","",IFERROR(INDEX(建物清冊_匯入!$N$6:$N$1005,MATCH($A883,建物清冊_匯入!$A$6:$A$1005,0)),""))</f>
        <v/>
      </c>
      <c r="G883" s="9">
        <f>IF($A883="","",IFERROR(INDEX(建物清冊_匯入!$S$6:$S$1005,MATCH($A883,建物清冊_匯入!$A$6:$A$1005,0)),""))</f>
        <v/>
      </c>
      <c r="H883" s="7" t="n"/>
      <c r="I883" s="15" t="n"/>
      <c r="J883" s="16" t="n"/>
      <c r="K883" s="17">
        <f>IF(J883="","",1-J883)</f>
        <v/>
      </c>
      <c r="L883" s="15" t="n"/>
      <c r="M883" s="7" t="n"/>
      <c r="N883" s="7" t="n"/>
      <c r="O883" s="7" t="n"/>
      <c r="P883" s="11" t="n"/>
      <c r="Q883" s="7" t="n"/>
      <c r="R883" s="7" t="n"/>
      <c r="S883" s="7" t="n"/>
      <c r="T883" s="7" t="n"/>
      <c r="U883" s="12">
        <f>IF(A883="","",IF(H883="","建議填分配模式",""))</f>
        <v/>
      </c>
    </row>
    <row r="884" ht="24" customHeight="1">
      <c r="A884" s="7" t="n"/>
      <c r="B884" s="7" t="n"/>
      <c r="C884" s="7" t="n"/>
      <c r="D884" s="12">
        <f>IF($A884="","",IFERROR(INDEX(土地清冊_匯入!$B$6:$B$1005,MATCH($A884,土地清冊_匯入!$A$6:$A$1005,0)),"查無資料"))</f>
        <v/>
      </c>
      <c r="E884" s="9">
        <f>IF($A884="","",IFERROR(INDEX(土地清冊_匯入!$I$6:$I$1005,MATCH($A884,土地清冊_匯入!$A$6:$A$1005,0)),""))</f>
        <v/>
      </c>
      <c r="F884" s="13">
        <f>IF($A884="","",IFERROR(INDEX(建物清冊_匯入!$N$6:$N$1005,MATCH($A884,建物清冊_匯入!$A$6:$A$1005,0)),""))</f>
        <v/>
      </c>
      <c r="G884" s="9">
        <f>IF($A884="","",IFERROR(INDEX(建物清冊_匯入!$S$6:$S$1005,MATCH($A884,建物清冊_匯入!$A$6:$A$1005,0)),""))</f>
        <v/>
      </c>
      <c r="H884" s="7" t="n"/>
      <c r="I884" s="15" t="n"/>
      <c r="J884" s="16" t="n"/>
      <c r="K884" s="17">
        <f>IF(J884="","",1-J884)</f>
        <v/>
      </c>
      <c r="L884" s="15" t="n"/>
      <c r="M884" s="7" t="n"/>
      <c r="N884" s="7" t="n"/>
      <c r="O884" s="7" t="n"/>
      <c r="P884" s="11" t="n"/>
      <c r="Q884" s="7" t="n"/>
      <c r="R884" s="7" t="n"/>
      <c r="S884" s="7" t="n"/>
      <c r="T884" s="7" t="n"/>
      <c r="U884" s="12">
        <f>IF(A884="","",IF(H884="","建議填分配模式",""))</f>
        <v/>
      </c>
    </row>
    <row r="885" ht="24" customHeight="1">
      <c r="A885" s="7" t="n"/>
      <c r="B885" s="7" t="n"/>
      <c r="C885" s="7" t="n"/>
      <c r="D885" s="12">
        <f>IF($A885="","",IFERROR(INDEX(土地清冊_匯入!$B$6:$B$1005,MATCH($A885,土地清冊_匯入!$A$6:$A$1005,0)),"查無資料"))</f>
        <v/>
      </c>
      <c r="E885" s="9">
        <f>IF($A885="","",IFERROR(INDEX(土地清冊_匯入!$I$6:$I$1005,MATCH($A885,土地清冊_匯入!$A$6:$A$1005,0)),""))</f>
        <v/>
      </c>
      <c r="F885" s="13">
        <f>IF($A885="","",IFERROR(INDEX(建物清冊_匯入!$N$6:$N$1005,MATCH($A885,建物清冊_匯入!$A$6:$A$1005,0)),""))</f>
        <v/>
      </c>
      <c r="G885" s="9">
        <f>IF($A885="","",IFERROR(INDEX(建物清冊_匯入!$S$6:$S$1005,MATCH($A885,建物清冊_匯入!$A$6:$A$1005,0)),""))</f>
        <v/>
      </c>
      <c r="H885" s="7" t="n"/>
      <c r="I885" s="15" t="n"/>
      <c r="J885" s="16" t="n"/>
      <c r="K885" s="17">
        <f>IF(J885="","",1-J885)</f>
        <v/>
      </c>
      <c r="L885" s="15" t="n"/>
      <c r="M885" s="7" t="n"/>
      <c r="N885" s="7" t="n"/>
      <c r="O885" s="7" t="n"/>
      <c r="P885" s="11" t="n"/>
      <c r="Q885" s="7" t="n"/>
      <c r="R885" s="7" t="n"/>
      <c r="S885" s="7" t="n"/>
      <c r="T885" s="7" t="n"/>
      <c r="U885" s="12">
        <f>IF(A885="","",IF(H885="","建議填分配模式",""))</f>
        <v/>
      </c>
    </row>
    <row r="886" ht="24" customHeight="1">
      <c r="A886" s="7" t="n"/>
      <c r="B886" s="7" t="n"/>
      <c r="C886" s="7" t="n"/>
      <c r="D886" s="12">
        <f>IF($A886="","",IFERROR(INDEX(土地清冊_匯入!$B$6:$B$1005,MATCH($A886,土地清冊_匯入!$A$6:$A$1005,0)),"查無資料"))</f>
        <v/>
      </c>
      <c r="E886" s="9">
        <f>IF($A886="","",IFERROR(INDEX(土地清冊_匯入!$I$6:$I$1005,MATCH($A886,土地清冊_匯入!$A$6:$A$1005,0)),""))</f>
        <v/>
      </c>
      <c r="F886" s="13">
        <f>IF($A886="","",IFERROR(INDEX(建物清冊_匯入!$N$6:$N$1005,MATCH($A886,建物清冊_匯入!$A$6:$A$1005,0)),""))</f>
        <v/>
      </c>
      <c r="G886" s="9">
        <f>IF($A886="","",IFERROR(INDEX(建物清冊_匯入!$S$6:$S$1005,MATCH($A886,建物清冊_匯入!$A$6:$A$1005,0)),""))</f>
        <v/>
      </c>
      <c r="H886" s="7" t="n"/>
      <c r="I886" s="15" t="n"/>
      <c r="J886" s="16" t="n"/>
      <c r="K886" s="17">
        <f>IF(J886="","",1-J886)</f>
        <v/>
      </c>
      <c r="L886" s="15" t="n"/>
      <c r="M886" s="7" t="n"/>
      <c r="N886" s="7" t="n"/>
      <c r="O886" s="7" t="n"/>
      <c r="P886" s="11" t="n"/>
      <c r="Q886" s="7" t="n"/>
      <c r="R886" s="7" t="n"/>
      <c r="S886" s="7" t="n"/>
      <c r="T886" s="7" t="n"/>
      <c r="U886" s="12">
        <f>IF(A886="","",IF(H886="","建議填分配模式",""))</f>
        <v/>
      </c>
    </row>
    <row r="887" ht="24" customHeight="1">
      <c r="A887" s="7" t="n"/>
      <c r="B887" s="7" t="n"/>
      <c r="C887" s="7" t="n"/>
      <c r="D887" s="12">
        <f>IF($A887="","",IFERROR(INDEX(土地清冊_匯入!$B$6:$B$1005,MATCH($A887,土地清冊_匯入!$A$6:$A$1005,0)),"查無資料"))</f>
        <v/>
      </c>
      <c r="E887" s="9">
        <f>IF($A887="","",IFERROR(INDEX(土地清冊_匯入!$I$6:$I$1005,MATCH($A887,土地清冊_匯入!$A$6:$A$1005,0)),""))</f>
        <v/>
      </c>
      <c r="F887" s="13">
        <f>IF($A887="","",IFERROR(INDEX(建物清冊_匯入!$N$6:$N$1005,MATCH($A887,建物清冊_匯入!$A$6:$A$1005,0)),""))</f>
        <v/>
      </c>
      <c r="G887" s="9">
        <f>IF($A887="","",IFERROR(INDEX(建物清冊_匯入!$S$6:$S$1005,MATCH($A887,建物清冊_匯入!$A$6:$A$1005,0)),""))</f>
        <v/>
      </c>
      <c r="H887" s="7" t="n"/>
      <c r="I887" s="15" t="n"/>
      <c r="J887" s="16" t="n"/>
      <c r="K887" s="17">
        <f>IF(J887="","",1-J887)</f>
        <v/>
      </c>
      <c r="L887" s="15" t="n"/>
      <c r="M887" s="7" t="n"/>
      <c r="N887" s="7" t="n"/>
      <c r="O887" s="7" t="n"/>
      <c r="P887" s="11" t="n"/>
      <c r="Q887" s="7" t="n"/>
      <c r="R887" s="7" t="n"/>
      <c r="S887" s="7" t="n"/>
      <c r="T887" s="7" t="n"/>
      <c r="U887" s="12">
        <f>IF(A887="","",IF(H887="","建議填分配模式",""))</f>
        <v/>
      </c>
    </row>
    <row r="888" ht="24" customHeight="1">
      <c r="A888" s="7" t="n"/>
      <c r="B888" s="7" t="n"/>
      <c r="C888" s="7" t="n"/>
      <c r="D888" s="12">
        <f>IF($A888="","",IFERROR(INDEX(土地清冊_匯入!$B$6:$B$1005,MATCH($A888,土地清冊_匯入!$A$6:$A$1005,0)),"查無資料"))</f>
        <v/>
      </c>
      <c r="E888" s="9">
        <f>IF($A888="","",IFERROR(INDEX(土地清冊_匯入!$I$6:$I$1005,MATCH($A888,土地清冊_匯入!$A$6:$A$1005,0)),""))</f>
        <v/>
      </c>
      <c r="F888" s="13">
        <f>IF($A888="","",IFERROR(INDEX(建物清冊_匯入!$N$6:$N$1005,MATCH($A888,建物清冊_匯入!$A$6:$A$1005,0)),""))</f>
        <v/>
      </c>
      <c r="G888" s="9">
        <f>IF($A888="","",IFERROR(INDEX(建物清冊_匯入!$S$6:$S$1005,MATCH($A888,建物清冊_匯入!$A$6:$A$1005,0)),""))</f>
        <v/>
      </c>
      <c r="H888" s="7" t="n"/>
      <c r="I888" s="15" t="n"/>
      <c r="J888" s="16" t="n"/>
      <c r="K888" s="17">
        <f>IF(J888="","",1-J888)</f>
        <v/>
      </c>
      <c r="L888" s="15" t="n"/>
      <c r="M888" s="7" t="n"/>
      <c r="N888" s="7" t="n"/>
      <c r="O888" s="7" t="n"/>
      <c r="P888" s="11" t="n"/>
      <c r="Q888" s="7" t="n"/>
      <c r="R888" s="7" t="n"/>
      <c r="S888" s="7" t="n"/>
      <c r="T888" s="7" t="n"/>
      <c r="U888" s="12">
        <f>IF(A888="","",IF(H888="","建議填分配模式",""))</f>
        <v/>
      </c>
    </row>
    <row r="889" ht="24" customHeight="1">
      <c r="A889" s="7" t="n"/>
      <c r="B889" s="7" t="n"/>
      <c r="C889" s="7" t="n"/>
      <c r="D889" s="12">
        <f>IF($A889="","",IFERROR(INDEX(土地清冊_匯入!$B$6:$B$1005,MATCH($A889,土地清冊_匯入!$A$6:$A$1005,0)),"查無資料"))</f>
        <v/>
      </c>
      <c r="E889" s="9">
        <f>IF($A889="","",IFERROR(INDEX(土地清冊_匯入!$I$6:$I$1005,MATCH($A889,土地清冊_匯入!$A$6:$A$1005,0)),""))</f>
        <v/>
      </c>
      <c r="F889" s="13">
        <f>IF($A889="","",IFERROR(INDEX(建物清冊_匯入!$N$6:$N$1005,MATCH($A889,建物清冊_匯入!$A$6:$A$1005,0)),""))</f>
        <v/>
      </c>
      <c r="G889" s="9">
        <f>IF($A889="","",IFERROR(INDEX(建物清冊_匯入!$S$6:$S$1005,MATCH($A889,建物清冊_匯入!$A$6:$A$1005,0)),""))</f>
        <v/>
      </c>
      <c r="H889" s="7" t="n"/>
      <c r="I889" s="15" t="n"/>
      <c r="J889" s="16" t="n"/>
      <c r="K889" s="17">
        <f>IF(J889="","",1-J889)</f>
        <v/>
      </c>
      <c r="L889" s="15" t="n"/>
      <c r="M889" s="7" t="n"/>
      <c r="N889" s="7" t="n"/>
      <c r="O889" s="7" t="n"/>
      <c r="P889" s="11" t="n"/>
      <c r="Q889" s="7" t="n"/>
      <c r="R889" s="7" t="n"/>
      <c r="S889" s="7" t="n"/>
      <c r="T889" s="7" t="n"/>
      <c r="U889" s="12">
        <f>IF(A889="","",IF(H889="","建議填分配模式",""))</f>
        <v/>
      </c>
    </row>
    <row r="890" ht="24" customHeight="1">
      <c r="A890" s="7" t="n"/>
      <c r="B890" s="7" t="n"/>
      <c r="C890" s="7" t="n"/>
      <c r="D890" s="12">
        <f>IF($A890="","",IFERROR(INDEX(土地清冊_匯入!$B$6:$B$1005,MATCH($A890,土地清冊_匯入!$A$6:$A$1005,0)),"查無資料"))</f>
        <v/>
      </c>
      <c r="E890" s="9">
        <f>IF($A890="","",IFERROR(INDEX(土地清冊_匯入!$I$6:$I$1005,MATCH($A890,土地清冊_匯入!$A$6:$A$1005,0)),""))</f>
        <v/>
      </c>
      <c r="F890" s="13">
        <f>IF($A890="","",IFERROR(INDEX(建物清冊_匯入!$N$6:$N$1005,MATCH($A890,建物清冊_匯入!$A$6:$A$1005,0)),""))</f>
        <v/>
      </c>
      <c r="G890" s="9">
        <f>IF($A890="","",IFERROR(INDEX(建物清冊_匯入!$S$6:$S$1005,MATCH($A890,建物清冊_匯入!$A$6:$A$1005,0)),""))</f>
        <v/>
      </c>
      <c r="H890" s="7" t="n"/>
      <c r="I890" s="15" t="n"/>
      <c r="J890" s="16" t="n"/>
      <c r="K890" s="17">
        <f>IF(J890="","",1-J890)</f>
        <v/>
      </c>
      <c r="L890" s="15" t="n"/>
      <c r="M890" s="7" t="n"/>
      <c r="N890" s="7" t="n"/>
      <c r="O890" s="7" t="n"/>
      <c r="P890" s="11" t="n"/>
      <c r="Q890" s="7" t="n"/>
      <c r="R890" s="7" t="n"/>
      <c r="S890" s="7" t="n"/>
      <c r="T890" s="7" t="n"/>
      <c r="U890" s="12">
        <f>IF(A890="","",IF(H890="","建議填分配模式",""))</f>
        <v/>
      </c>
    </row>
    <row r="891" ht="24" customHeight="1">
      <c r="A891" s="7" t="n"/>
      <c r="B891" s="7" t="n"/>
      <c r="C891" s="7" t="n"/>
      <c r="D891" s="12">
        <f>IF($A891="","",IFERROR(INDEX(土地清冊_匯入!$B$6:$B$1005,MATCH($A891,土地清冊_匯入!$A$6:$A$1005,0)),"查無資料"))</f>
        <v/>
      </c>
      <c r="E891" s="9">
        <f>IF($A891="","",IFERROR(INDEX(土地清冊_匯入!$I$6:$I$1005,MATCH($A891,土地清冊_匯入!$A$6:$A$1005,0)),""))</f>
        <v/>
      </c>
      <c r="F891" s="13">
        <f>IF($A891="","",IFERROR(INDEX(建物清冊_匯入!$N$6:$N$1005,MATCH($A891,建物清冊_匯入!$A$6:$A$1005,0)),""))</f>
        <v/>
      </c>
      <c r="G891" s="9">
        <f>IF($A891="","",IFERROR(INDEX(建物清冊_匯入!$S$6:$S$1005,MATCH($A891,建物清冊_匯入!$A$6:$A$1005,0)),""))</f>
        <v/>
      </c>
      <c r="H891" s="7" t="n"/>
      <c r="I891" s="15" t="n"/>
      <c r="J891" s="16" t="n"/>
      <c r="K891" s="17">
        <f>IF(J891="","",1-J891)</f>
        <v/>
      </c>
      <c r="L891" s="15" t="n"/>
      <c r="M891" s="7" t="n"/>
      <c r="N891" s="7" t="n"/>
      <c r="O891" s="7" t="n"/>
      <c r="P891" s="11" t="n"/>
      <c r="Q891" s="7" t="n"/>
      <c r="R891" s="7" t="n"/>
      <c r="S891" s="7" t="n"/>
      <c r="T891" s="7" t="n"/>
      <c r="U891" s="12">
        <f>IF(A891="","",IF(H891="","建議填分配模式",""))</f>
        <v/>
      </c>
    </row>
    <row r="892" ht="24" customHeight="1">
      <c r="A892" s="7" t="n"/>
      <c r="B892" s="7" t="n"/>
      <c r="C892" s="7" t="n"/>
      <c r="D892" s="12">
        <f>IF($A892="","",IFERROR(INDEX(土地清冊_匯入!$B$6:$B$1005,MATCH($A892,土地清冊_匯入!$A$6:$A$1005,0)),"查無資料"))</f>
        <v/>
      </c>
      <c r="E892" s="9">
        <f>IF($A892="","",IFERROR(INDEX(土地清冊_匯入!$I$6:$I$1005,MATCH($A892,土地清冊_匯入!$A$6:$A$1005,0)),""))</f>
        <v/>
      </c>
      <c r="F892" s="13">
        <f>IF($A892="","",IFERROR(INDEX(建物清冊_匯入!$N$6:$N$1005,MATCH($A892,建物清冊_匯入!$A$6:$A$1005,0)),""))</f>
        <v/>
      </c>
      <c r="G892" s="9">
        <f>IF($A892="","",IFERROR(INDEX(建物清冊_匯入!$S$6:$S$1005,MATCH($A892,建物清冊_匯入!$A$6:$A$1005,0)),""))</f>
        <v/>
      </c>
      <c r="H892" s="7" t="n"/>
      <c r="I892" s="15" t="n"/>
      <c r="J892" s="16" t="n"/>
      <c r="K892" s="17">
        <f>IF(J892="","",1-J892)</f>
        <v/>
      </c>
      <c r="L892" s="15" t="n"/>
      <c r="M892" s="7" t="n"/>
      <c r="N892" s="7" t="n"/>
      <c r="O892" s="7" t="n"/>
      <c r="P892" s="11" t="n"/>
      <c r="Q892" s="7" t="n"/>
      <c r="R892" s="7" t="n"/>
      <c r="S892" s="7" t="n"/>
      <c r="T892" s="7" t="n"/>
      <c r="U892" s="12">
        <f>IF(A892="","",IF(H892="","建議填分配模式",""))</f>
        <v/>
      </c>
    </row>
    <row r="893" ht="24" customHeight="1">
      <c r="A893" s="7" t="n"/>
      <c r="B893" s="7" t="n"/>
      <c r="C893" s="7" t="n"/>
      <c r="D893" s="12">
        <f>IF($A893="","",IFERROR(INDEX(土地清冊_匯入!$B$6:$B$1005,MATCH($A893,土地清冊_匯入!$A$6:$A$1005,0)),"查無資料"))</f>
        <v/>
      </c>
      <c r="E893" s="9">
        <f>IF($A893="","",IFERROR(INDEX(土地清冊_匯入!$I$6:$I$1005,MATCH($A893,土地清冊_匯入!$A$6:$A$1005,0)),""))</f>
        <v/>
      </c>
      <c r="F893" s="13">
        <f>IF($A893="","",IFERROR(INDEX(建物清冊_匯入!$N$6:$N$1005,MATCH($A893,建物清冊_匯入!$A$6:$A$1005,0)),""))</f>
        <v/>
      </c>
      <c r="G893" s="9">
        <f>IF($A893="","",IFERROR(INDEX(建物清冊_匯入!$S$6:$S$1005,MATCH($A893,建物清冊_匯入!$A$6:$A$1005,0)),""))</f>
        <v/>
      </c>
      <c r="H893" s="7" t="n"/>
      <c r="I893" s="15" t="n"/>
      <c r="J893" s="16" t="n"/>
      <c r="K893" s="17">
        <f>IF(J893="","",1-J893)</f>
        <v/>
      </c>
      <c r="L893" s="15" t="n"/>
      <c r="M893" s="7" t="n"/>
      <c r="N893" s="7" t="n"/>
      <c r="O893" s="7" t="n"/>
      <c r="P893" s="11" t="n"/>
      <c r="Q893" s="7" t="n"/>
      <c r="R893" s="7" t="n"/>
      <c r="S893" s="7" t="n"/>
      <c r="T893" s="7" t="n"/>
      <c r="U893" s="12">
        <f>IF(A893="","",IF(H893="","建議填分配模式",""))</f>
        <v/>
      </c>
    </row>
    <row r="894" ht="24" customHeight="1">
      <c r="A894" s="7" t="n"/>
      <c r="B894" s="7" t="n"/>
      <c r="C894" s="7" t="n"/>
      <c r="D894" s="12">
        <f>IF($A894="","",IFERROR(INDEX(土地清冊_匯入!$B$6:$B$1005,MATCH($A894,土地清冊_匯入!$A$6:$A$1005,0)),"查無資料"))</f>
        <v/>
      </c>
      <c r="E894" s="9">
        <f>IF($A894="","",IFERROR(INDEX(土地清冊_匯入!$I$6:$I$1005,MATCH($A894,土地清冊_匯入!$A$6:$A$1005,0)),""))</f>
        <v/>
      </c>
      <c r="F894" s="13">
        <f>IF($A894="","",IFERROR(INDEX(建物清冊_匯入!$N$6:$N$1005,MATCH($A894,建物清冊_匯入!$A$6:$A$1005,0)),""))</f>
        <v/>
      </c>
      <c r="G894" s="9">
        <f>IF($A894="","",IFERROR(INDEX(建物清冊_匯入!$S$6:$S$1005,MATCH($A894,建物清冊_匯入!$A$6:$A$1005,0)),""))</f>
        <v/>
      </c>
      <c r="H894" s="7" t="n"/>
      <c r="I894" s="15" t="n"/>
      <c r="J894" s="16" t="n"/>
      <c r="K894" s="17">
        <f>IF(J894="","",1-J894)</f>
        <v/>
      </c>
      <c r="L894" s="15" t="n"/>
      <c r="M894" s="7" t="n"/>
      <c r="N894" s="7" t="n"/>
      <c r="O894" s="7" t="n"/>
      <c r="P894" s="11" t="n"/>
      <c r="Q894" s="7" t="n"/>
      <c r="R894" s="7" t="n"/>
      <c r="S894" s="7" t="n"/>
      <c r="T894" s="7" t="n"/>
      <c r="U894" s="12">
        <f>IF(A894="","",IF(H894="","建議填分配模式",""))</f>
        <v/>
      </c>
    </row>
    <row r="895" ht="24" customHeight="1">
      <c r="A895" s="7" t="n"/>
      <c r="B895" s="7" t="n"/>
      <c r="C895" s="7" t="n"/>
      <c r="D895" s="12">
        <f>IF($A895="","",IFERROR(INDEX(土地清冊_匯入!$B$6:$B$1005,MATCH($A895,土地清冊_匯入!$A$6:$A$1005,0)),"查無資料"))</f>
        <v/>
      </c>
      <c r="E895" s="9">
        <f>IF($A895="","",IFERROR(INDEX(土地清冊_匯入!$I$6:$I$1005,MATCH($A895,土地清冊_匯入!$A$6:$A$1005,0)),""))</f>
        <v/>
      </c>
      <c r="F895" s="13">
        <f>IF($A895="","",IFERROR(INDEX(建物清冊_匯入!$N$6:$N$1005,MATCH($A895,建物清冊_匯入!$A$6:$A$1005,0)),""))</f>
        <v/>
      </c>
      <c r="G895" s="9">
        <f>IF($A895="","",IFERROR(INDEX(建物清冊_匯入!$S$6:$S$1005,MATCH($A895,建物清冊_匯入!$A$6:$A$1005,0)),""))</f>
        <v/>
      </c>
      <c r="H895" s="7" t="n"/>
      <c r="I895" s="15" t="n"/>
      <c r="J895" s="16" t="n"/>
      <c r="K895" s="17">
        <f>IF(J895="","",1-J895)</f>
        <v/>
      </c>
      <c r="L895" s="15" t="n"/>
      <c r="M895" s="7" t="n"/>
      <c r="N895" s="7" t="n"/>
      <c r="O895" s="7" t="n"/>
      <c r="P895" s="11" t="n"/>
      <c r="Q895" s="7" t="n"/>
      <c r="R895" s="7" t="n"/>
      <c r="S895" s="7" t="n"/>
      <c r="T895" s="7" t="n"/>
      <c r="U895" s="12">
        <f>IF(A895="","",IF(H895="","建議填分配模式",""))</f>
        <v/>
      </c>
    </row>
    <row r="896" ht="24" customHeight="1">
      <c r="A896" s="7" t="n"/>
      <c r="B896" s="7" t="n"/>
      <c r="C896" s="7" t="n"/>
      <c r="D896" s="12">
        <f>IF($A896="","",IFERROR(INDEX(土地清冊_匯入!$B$6:$B$1005,MATCH($A896,土地清冊_匯入!$A$6:$A$1005,0)),"查無資料"))</f>
        <v/>
      </c>
      <c r="E896" s="9">
        <f>IF($A896="","",IFERROR(INDEX(土地清冊_匯入!$I$6:$I$1005,MATCH($A896,土地清冊_匯入!$A$6:$A$1005,0)),""))</f>
        <v/>
      </c>
      <c r="F896" s="13">
        <f>IF($A896="","",IFERROR(INDEX(建物清冊_匯入!$N$6:$N$1005,MATCH($A896,建物清冊_匯入!$A$6:$A$1005,0)),""))</f>
        <v/>
      </c>
      <c r="G896" s="9">
        <f>IF($A896="","",IFERROR(INDEX(建物清冊_匯入!$S$6:$S$1005,MATCH($A896,建物清冊_匯入!$A$6:$A$1005,0)),""))</f>
        <v/>
      </c>
      <c r="H896" s="7" t="n"/>
      <c r="I896" s="15" t="n"/>
      <c r="J896" s="16" t="n"/>
      <c r="K896" s="17">
        <f>IF(J896="","",1-J896)</f>
        <v/>
      </c>
      <c r="L896" s="15" t="n"/>
      <c r="M896" s="7" t="n"/>
      <c r="N896" s="7" t="n"/>
      <c r="O896" s="7" t="n"/>
      <c r="P896" s="11" t="n"/>
      <c r="Q896" s="7" t="n"/>
      <c r="R896" s="7" t="n"/>
      <c r="S896" s="7" t="n"/>
      <c r="T896" s="7" t="n"/>
      <c r="U896" s="12">
        <f>IF(A896="","",IF(H896="","建議填分配模式",""))</f>
        <v/>
      </c>
    </row>
    <row r="897" ht="24" customHeight="1">
      <c r="A897" s="7" t="n"/>
      <c r="B897" s="7" t="n"/>
      <c r="C897" s="7" t="n"/>
      <c r="D897" s="12">
        <f>IF($A897="","",IFERROR(INDEX(土地清冊_匯入!$B$6:$B$1005,MATCH($A897,土地清冊_匯入!$A$6:$A$1005,0)),"查無資料"))</f>
        <v/>
      </c>
      <c r="E897" s="9">
        <f>IF($A897="","",IFERROR(INDEX(土地清冊_匯入!$I$6:$I$1005,MATCH($A897,土地清冊_匯入!$A$6:$A$1005,0)),""))</f>
        <v/>
      </c>
      <c r="F897" s="13">
        <f>IF($A897="","",IFERROR(INDEX(建物清冊_匯入!$N$6:$N$1005,MATCH($A897,建物清冊_匯入!$A$6:$A$1005,0)),""))</f>
        <v/>
      </c>
      <c r="G897" s="9">
        <f>IF($A897="","",IFERROR(INDEX(建物清冊_匯入!$S$6:$S$1005,MATCH($A897,建物清冊_匯入!$A$6:$A$1005,0)),""))</f>
        <v/>
      </c>
      <c r="H897" s="7" t="n"/>
      <c r="I897" s="15" t="n"/>
      <c r="J897" s="16" t="n"/>
      <c r="K897" s="17">
        <f>IF(J897="","",1-J897)</f>
        <v/>
      </c>
      <c r="L897" s="15" t="n"/>
      <c r="M897" s="7" t="n"/>
      <c r="N897" s="7" t="n"/>
      <c r="O897" s="7" t="n"/>
      <c r="P897" s="11" t="n"/>
      <c r="Q897" s="7" t="n"/>
      <c r="R897" s="7" t="n"/>
      <c r="S897" s="7" t="n"/>
      <c r="T897" s="7" t="n"/>
      <c r="U897" s="12">
        <f>IF(A897="","",IF(H897="","建議填分配模式",""))</f>
        <v/>
      </c>
    </row>
    <row r="898" ht="24" customHeight="1">
      <c r="A898" s="7" t="n"/>
      <c r="B898" s="7" t="n"/>
      <c r="C898" s="7" t="n"/>
      <c r="D898" s="12">
        <f>IF($A898="","",IFERROR(INDEX(土地清冊_匯入!$B$6:$B$1005,MATCH($A898,土地清冊_匯入!$A$6:$A$1005,0)),"查無資料"))</f>
        <v/>
      </c>
      <c r="E898" s="9">
        <f>IF($A898="","",IFERROR(INDEX(土地清冊_匯入!$I$6:$I$1005,MATCH($A898,土地清冊_匯入!$A$6:$A$1005,0)),""))</f>
        <v/>
      </c>
      <c r="F898" s="13">
        <f>IF($A898="","",IFERROR(INDEX(建物清冊_匯入!$N$6:$N$1005,MATCH($A898,建物清冊_匯入!$A$6:$A$1005,0)),""))</f>
        <v/>
      </c>
      <c r="G898" s="9">
        <f>IF($A898="","",IFERROR(INDEX(建物清冊_匯入!$S$6:$S$1005,MATCH($A898,建物清冊_匯入!$A$6:$A$1005,0)),""))</f>
        <v/>
      </c>
      <c r="H898" s="7" t="n"/>
      <c r="I898" s="15" t="n"/>
      <c r="J898" s="16" t="n"/>
      <c r="K898" s="17">
        <f>IF(J898="","",1-J898)</f>
        <v/>
      </c>
      <c r="L898" s="15" t="n"/>
      <c r="M898" s="7" t="n"/>
      <c r="N898" s="7" t="n"/>
      <c r="O898" s="7" t="n"/>
      <c r="P898" s="11" t="n"/>
      <c r="Q898" s="7" t="n"/>
      <c r="R898" s="7" t="n"/>
      <c r="S898" s="7" t="n"/>
      <c r="T898" s="7" t="n"/>
      <c r="U898" s="12">
        <f>IF(A898="","",IF(H898="","建議填分配模式",""))</f>
        <v/>
      </c>
    </row>
    <row r="899" ht="24" customHeight="1">
      <c r="A899" s="7" t="n"/>
      <c r="B899" s="7" t="n"/>
      <c r="C899" s="7" t="n"/>
      <c r="D899" s="12">
        <f>IF($A899="","",IFERROR(INDEX(土地清冊_匯入!$B$6:$B$1005,MATCH($A899,土地清冊_匯入!$A$6:$A$1005,0)),"查無資料"))</f>
        <v/>
      </c>
      <c r="E899" s="9">
        <f>IF($A899="","",IFERROR(INDEX(土地清冊_匯入!$I$6:$I$1005,MATCH($A899,土地清冊_匯入!$A$6:$A$1005,0)),""))</f>
        <v/>
      </c>
      <c r="F899" s="13">
        <f>IF($A899="","",IFERROR(INDEX(建物清冊_匯入!$N$6:$N$1005,MATCH($A899,建物清冊_匯入!$A$6:$A$1005,0)),""))</f>
        <v/>
      </c>
      <c r="G899" s="9">
        <f>IF($A899="","",IFERROR(INDEX(建物清冊_匯入!$S$6:$S$1005,MATCH($A899,建物清冊_匯入!$A$6:$A$1005,0)),""))</f>
        <v/>
      </c>
      <c r="H899" s="7" t="n"/>
      <c r="I899" s="15" t="n"/>
      <c r="J899" s="16" t="n"/>
      <c r="K899" s="17">
        <f>IF(J899="","",1-J899)</f>
        <v/>
      </c>
      <c r="L899" s="15" t="n"/>
      <c r="M899" s="7" t="n"/>
      <c r="N899" s="7" t="n"/>
      <c r="O899" s="7" t="n"/>
      <c r="P899" s="11" t="n"/>
      <c r="Q899" s="7" t="n"/>
      <c r="R899" s="7" t="n"/>
      <c r="S899" s="7" t="n"/>
      <c r="T899" s="7" t="n"/>
      <c r="U899" s="12">
        <f>IF(A899="","",IF(H899="","建議填分配模式",""))</f>
        <v/>
      </c>
    </row>
    <row r="900" ht="24" customHeight="1">
      <c r="A900" s="7" t="n"/>
      <c r="B900" s="7" t="n"/>
      <c r="C900" s="7" t="n"/>
      <c r="D900" s="12">
        <f>IF($A900="","",IFERROR(INDEX(土地清冊_匯入!$B$6:$B$1005,MATCH($A900,土地清冊_匯入!$A$6:$A$1005,0)),"查無資料"))</f>
        <v/>
      </c>
      <c r="E900" s="9">
        <f>IF($A900="","",IFERROR(INDEX(土地清冊_匯入!$I$6:$I$1005,MATCH($A900,土地清冊_匯入!$A$6:$A$1005,0)),""))</f>
        <v/>
      </c>
      <c r="F900" s="13">
        <f>IF($A900="","",IFERROR(INDEX(建物清冊_匯入!$N$6:$N$1005,MATCH($A900,建物清冊_匯入!$A$6:$A$1005,0)),""))</f>
        <v/>
      </c>
      <c r="G900" s="9">
        <f>IF($A900="","",IFERROR(INDEX(建物清冊_匯入!$S$6:$S$1005,MATCH($A900,建物清冊_匯入!$A$6:$A$1005,0)),""))</f>
        <v/>
      </c>
      <c r="H900" s="7" t="n"/>
      <c r="I900" s="15" t="n"/>
      <c r="J900" s="16" t="n"/>
      <c r="K900" s="17">
        <f>IF(J900="","",1-J900)</f>
        <v/>
      </c>
      <c r="L900" s="15" t="n"/>
      <c r="M900" s="7" t="n"/>
      <c r="N900" s="7" t="n"/>
      <c r="O900" s="7" t="n"/>
      <c r="P900" s="11" t="n"/>
      <c r="Q900" s="7" t="n"/>
      <c r="R900" s="7" t="n"/>
      <c r="S900" s="7" t="n"/>
      <c r="T900" s="7" t="n"/>
      <c r="U900" s="12">
        <f>IF(A900="","",IF(H900="","建議填分配模式",""))</f>
        <v/>
      </c>
    </row>
    <row r="901" ht="24" customHeight="1">
      <c r="A901" s="7" t="n"/>
      <c r="B901" s="7" t="n"/>
      <c r="C901" s="7" t="n"/>
      <c r="D901" s="12">
        <f>IF($A901="","",IFERROR(INDEX(土地清冊_匯入!$B$6:$B$1005,MATCH($A901,土地清冊_匯入!$A$6:$A$1005,0)),"查無資料"))</f>
        <v/>
      </c>
      <c r="E901" s="9">
        <f>IF($A901="","",IFERROR(INDEX(土地清冊_匯入!$I$6:$I$1005,MATCH($A901,土地清冊_匯入!$A$6:$A$1005,0)),""))</f>
        <v/>
      </c>
      <c r="F901" s="13">
        <f>IF($A901="","",IFERROR(INDEX(建物清冊_匯入!$N$6:$N$1005,MATCH($A901,建物清冊_匯入!$A$6:$A$1005,0)),""))</f>
        <v/>
      </c>
      <c r="G901" s="9">
        <f>IF($A901="","",IFERROR(INDEX(建物清冊_匯入!$S$6:$S$1005,MATCH($A901,建物清冊_匯入!$A$6:$A$1005,0)),""))</f>
        <v/>
      </c>
      <c r="H901" s="7" t="n"/>
      <c r="I901" s="15" t="n"/>
      <c r="J901" s="16" t="n"/>
      <c r="K901" s="17">
        <f>IF(J901="","",1-J901)</f>
        <v/>
      </c>
      <c r="L901" s="15" t="n"/>
      <c r="M901" s="7" t="n"/>
      <c r="N901" s="7" t="n"/>
      <c r="O901" s="7" t="n"/>
      <c r="P901" s="11" t="n"/>
      <c r="Q901" s="7" t="n"/>
      <c r="R901" s="7" t="n"/>
      <c r="S901" s="7" t="n"/>
      <c r="T901" s="7" t="n"/>
      <c r="U901" s="12">
        <f>IF(A901="","",IF(H901="","建議填分配模式",""))</f>
        <v/>
      </c>
    </row>
    <row r="902" ht="24" customHeight="1">
      <c r="A902" s="7" t="n"/>
      <c r="B902" s="7" t="n"/>
      <c r="C902" s="7" t="n"/>
      <c r="D902" s="12">
        <f>IF($A902="","",IFERROR(INDEX(土地清冊_匯入!$B$6:$B$1005,MATCH($A902,土地清冊_匯入!$A$6:$A$1005,0)),"查無資料"))</f>
        <v/>
      </c>
      <c r="E902" s="9">
        <f>IF($A902="","",IFERROR(INDEX(土地清冊_匯入!$I$6:$I$1005,MATCH($A902,土地清冊_匯入!$A$6:$A$1005,0)),""))</f>
        <v/>
      </c>
      <c r="F902" s="13">
        <f>IF($A902="","",IFERROR(INDEX(建物清冊_匯入!$N$6:$N$1005,MATCH($A902,建物清冊_匯入!$A$6:$A$1005,0)),""))</f>
        <v/>
      </c>
      <c r="G902" s="9">
        <f>IF($A902="","",IFERROR(INDEX(建物清冊_匯入!$S$6:$S$1005,MATCH($A902,建物清冊_匯入!$A$6:$A$1005,0)),""))</f>
        <v/>
      </c>
      <c r="H902" s="7" t="n"/>
      <c r="I902" s="15" t="n"/>
      <c r="J902" s="16" t="n"/>
      <c r="K902" s="17">
        <f>IF(J902="","",1-J902)</f>
        <v/>
      </c>
      <c r="L902" s="15" t="n"/>
      <c r="M902" s="7" t="n"/>
      <c r="N902" s="7" t="n"/>
      <c r="O902" s="7" t="n"/>
      <c r="P902" s="11" t="n"/>
      <c r="Q902" s="7" t="n"/>
      <c r="R902" s="7" t="n"/>
      <c r="S902" s="7" t="n"/>
      <c r="T902" s="7" t="n"/>
      <c r="U902" s="12">
        <f>IF(A902="","",IF(H902="","建議填分配模式",""))</f>
        <v/>
      </c>
    </row>
    <row r="903" ht="24" customHeight="1">
      <c r="A903" s="7" t="n"/>
      <c r="B903" s="7" t="n"/>
      <c r="C903" s="7" t="n"/>
      <c r="D903" s="12">
        <f>IF($A903="","",IFERROR(INDEX(土地清冊_匯入!$B$6:$B$1005,MATCH($A903,土地清冊_匯入!$A$6:$A$1005,0)),"查無資料"))</f>
        <v/>
      </c>
      <c r="E903" s="9">
        <f>IF($A903="","",IFERROR(INDEX(土地清冊_匯入!$I$6:$I$1005,MATCH($A903,土地清冊_匯入!$A$6:$A$1005,0)),""))</f>
        <v/>
      </c>
      <c r="F903" s="13">
        <f>IF($A903="","",IFERROR(INDEX(建物清冊_匯入!$N$6:$N$1005,MATCH($A903,建物清冊_匯入!$A$6:$A$1005,0)),""))</f>
        <v/>
      </c>
      <c r="G903" s="9">
        <f>IF($A903="","",IFERROR(INDEX(建物清冊_匯入!$S$6:$S$1005,MATCH($A903,建物清冊_匯入!$A$6:$A$1005,0)),""))</f>
        <v/>
      </c>
      <c r="H903" s="7" t="n"/>
      <c r="I903" s="15" t="n"/>
      <c r="J903" s="16" t="n"/>
      <c r="K903" s="17">
        <f>IF(J903="","",1-J903)</f>
        <v/>
      </c>
      <c r="L903" s="15" t="n"/>
      <c r="M903" s="7" t="n"/>
      <c r="N903" s="7" t="n"/>
      <c r="O903" s="7" t="n"/>
      <c r="P903" s="11" t="n"/>
      <c r="Q903" s="7" t="n"/>
      <c r="R903" s="7" t="n"/>
      <c r="S903" s="7" t="n"/>
      <c r="T903" s="7" t="n"/>
      <c r="U903" s="12">
        <f>IF(A903="","",IF(H903="","建議填分配模式",""))</f>
        <v/>
      </c>
    </row>
    <row r="904" ht="24" customHeight="1">
      <c r="A904" s="7" t="n"/>
      <c r="B904" s="7" t="n"/>
      <c r="C904" s="7" t="n"/>
      <c r="D904" s="12">
        <f>IF($A904="","",IFERROR(INDEX(土地清冊_匯入!$B$6:$B$1005,MATCH($A904,土地清冊_匯入!$A$6:$A$1005,0)),"查無資料"))</f>
        <v/>
      </c>
      <c r="E904" s="9">
        <f>IF($A904="","",IFERROR(INDEX(土地清冊_匯入!$I$6:$I$1005,MATCH($A904,土地清冊_匯入!$A$6:$A$1005,0)),""))</f>
        <v/>
      </c>
      <c r="F904" s="13">
        <f>IF($A904="","",IFERROR(INDEX(建物清冊_匯入!$N$6:$N$1005,MATCH($A904,建物清冊_匯入!$A$6:$A$1005,0)),""))</f>
        <v/>
      </c>
      <c r="G904" s="9">
        <f>IF($A904="","",IFERROR(INDEX(建物清冊_匯入!$S$6:$S$1005,MATCH($A904,建物清冊_匯入!$A$6:$A$1005,0)),""))</f>
        <v/>
      </c>
      <c r="H904" s="7" t="n"/>
      <c r="I904" s="15" t="n"/>
      <c r="J904" s="16" t="n"/>
      <c r="K904" s="17">
        <f>IF(J904="","",1-J904)</f>
        <v/>
      </c>
      <c r="L904" s="15" t="n"/>
      <c r="M904" s="7" t="n"/>
      <c r="N904" s="7" t="n"/>
      <c r="O904" s="7" t="n"/>
      <c r="P904" s="11" t="n"/>
      <c r="Q904" s="7" t="n"/>
      <c r="R904" s="7" t="n"/>
      <c r="S904" s="7" t="n"/>
      <c r="T904" s="7" t="n"/>
      <c r="U904" s="12">
        <f>IF(A904="","",IF(H904="","建議填分配模式",""))</f>
        <v/>
      </c>
    </row>
    <row r="905" ht="24" customHeight="1">
      <c r="A905" s="7" t="n"/>
      <c r="B905" s="7" t="n"/>
      <c r="C905" s="7" t="n"/>
      <c r="D905" s="12">
        <f>IF($A905="","",IFERROR(INDEX(土地清冊_匯入!$B$6:$B$1005,MATCH($A905,土地清冊_匯入!$A$6:$A$1005,0)),"查無資料"))</f>
        <v/>
      </c>
      <c r="E905" s="9">
        <f>IF($A905="","",IFERROR(INDEX(土地清冊_匯入!$I$6:$I$1005,MATCH($A905,土地清冊_匯入!$A$6:$A$1005,0)),""))</f>
        <v/>
      </c>
      <c r="F905" s="13">
        <f>IF($A905="","",IFERROR(INDEX(建物清冊_匯入!$N$6:$N$1005,MATCH($A905,建物清冊_匯入!$A$6:$A$1005,0)),""))</f>
        <v/>
      </c>
      <c r="G905" s="9">
        <f>IF($A905="","",IFERROR(INDEX(建物清冊_匯入!$S$6:$S$1005,MATCH($A905,建物清冊_匯入!$A$6:$A$1005,0)),""))</f>
        <v/>
      </c>
      <c r="H905" s="7" t="n"/>
      <c r="I905" s="15" t="n"/>
      <c r="J905" s="16" t="n"/>
      <c r="K905" s="17">
        <f>IF(J905="","",1-J905)</f>
        <v/>
      </c>
      <c r="L905" s="15" t="n"/>
      <c r="M905" s="7" t="n"/>
      <c r="N905" s="7" t="n"/>
      <c r="O905" s="7" t="n"/>
      <c r="P905" s="11" t="n"/>
      <c r="Q905" s="7" t="n"/>
      <c r="R905" s="7" t="n"/>
      <c r="S905" s="7" t="n"/>
      <c r="T905" s="7" t="n"/>
      <c r="U905" s="12">
        <f>IF(A905="","",IF(H905="","建議填分配模式",""))</f>
        <v/>
      </c>
    </row>
    <row r="906" ht="24" customHeight="1">
      <c r="A906" s="7" t="n"/>
      <c r="B906" s="7" t="n"/>
      <c r="C906" s="7" t="n"/>
      <c r="D906" s="12">
        <f>IF($A906="","",IFERROR(INDEX(土地清冊_匯入!$B$6:$B$1005,MATCH($A906,土地清冊_匯入!$A$6:$A$1005,0)),"查無資料"))</f>
        <v/>
      </c>
      <c r="E906" s="9">
        <f>IF($A906="","",IFERROR(INDEX(土地清冊_匯入!$I$6:$I$1005,MATCH($A906,土地清冊_匯入!$A$6:$A$1005,0)),""))</f>
        <v/>
      </c>
      <c r="F906" s="13">
        <f>IF($A906="","",IFERROR(INDEX(建物清冊_匯入!$N$6:$N$1005,MATCH($A906,建物清冊_匯入!$A$6:$A$1005,0)),""))</f>
        <v/>
      </c>
      <c r="G906" s="9">
        <f>IF($A906="","",IFERROR(INDEX(建物清冊_匯入!$S$6:$S$1005,MATCH($A906,建物清冊_匯入!$A$6:$A$1005,0)),""))</f>
        <v/>
      </c>
      <c r="H906" s="7" t="n"/>
      <c r="I906" s="15" t="n"/>
      <c r="J906" s="16" t="n"/>
      <c r="K906" s="17">
        <f>IF(J906="","",1-J906)</f>
        <v/>
      </c>
      <c r="L906" s="15" t="n"/>
      <c r="M906" s="7" t="n"/>
      <c r="N906" s="7" t="n"/>
      <c r="O906" s="7" t="n"/>
      <c r="P906" s="11" t="n"/>
      <c r="Q906" s="7" t="n"/>
      <c r="R906" s="7" t="n"/>
      <c r="S906" s="7" t="n"/>
      <c r="T906" s="7" t="n"/>
      <c r="U906" s="12">
        <f>IF(A906="","",IF(H906="","建議填分配模式",""))</f>
        <v/>
      </c>
    </row>
    <row r="907" ht="24" customHeight="1">
      <c r="A907" s="7" t="n"/>
      <c r="B907" s="7" t="n"/>
      <c r="C907" s="7" t="n"/>
      <c r="D907" s="12">
        <f>IF($A907="","",IFERROR(INDEX(土地清冊_匯入!$B$6:$B$1005,MATCH($A907,土地清冊_匯入!$A$6:$A$1005,0)),"查無資料"))</f>
        <v/>
      </c>
      <c r="E907" s="9">
        <f>IF($A907="","",IFERROR(INDEX(土地清冊_匯入!$I$6:$I$1005,MATCH($A907,土地清冊_匯入!$A$6:$A$1005,0)),""))</f>
        <v/>
      </c>
      <c r="F907" s="13">
        <f>IF($A907="","",IFERROR(INDEX(建物清冊_匯入!$N$6:$N$1005,MATCH($A907,建物清冊_匯入!$A$6:$A$1005,0)),""))</f>
        <v/>
      </c>
      <c r="G907" s="9">
        <f>IF($A907="","",IFERROR(INDEX(建物清冊_匯入!$S$6:$S$1005,MATCH($A907,建物清冊_匯入!$A$6:$A$1005,0)),""))</f>
        <v/>
      </c>
      <c r="H907" s="7" t="n"/>
      <c r="I907" s="15" t="n"/>
      <c r="J907" s="16" t="n"/>
      <c r="K907" s="17">
        <f>IF(J907="","",1-J907)</f>
        <v/>
      </c>
      <c r="L907" s="15" t="n"/>
      <c r="M907" s="7" t="n"/>
      <c r="N907" s="7" t="n"/>
      <c r="O907" s="7" t="n"/>
      <c r="P907" s="11" t="n"/>
      <c r="Q907" s="7" t="n"/>
      <c r="R907" s="7" t="n"/>
      <c r="S907" s="7" t="n"/>
      <c r="T907" s="7" t="n"/>
      <c r="U907" s="12">
        <f>IF(A907="","",IF(H907="","建議填分配模式",""))</f>
        <v/>
      </c>
    </row>
    <row r="908" ht="24" customHeight="1">
      <c r="A908" s="7" t="n"/>
      <c r="B908" s="7" t="n"/>
      <c r="C908" s="7" t="n"/>
      <c r="D908" s="12">
        <f>IF($A908="","",IFERROR(INDEX(土地清冊_匯入!$B$6:$B$1005,MATCH($A908,土地清冊_匯入!$A$6:$A$1005,0)),"查無資料"))</f>
        <v/>
      </c>
      <c r="E908" s="9">
        <f>IF($A908="","",IFERROR(INDEX(土地清冊_匯入!$I$6:$I$1005,MATCH($A908,土地清冊_匯入!$A$6:$A$1005,0)),""))</f>
        <v/>
      </c>
      <c r="F908" s="13">
        <f>IF($A908="","",IFERROR(INDEX(建物清冊_匯入!$N$6:$N$1005,MATCH($A908,建物清冊_匯入!$A$6:$A$1005,0)),""))</f>
        <v/>
      </c>
      <c r="G908" s="9">
        <f>IF($A908="","",IFERROR(INDEX(建物清冊_匯入!$S$6:$S$1005,MATCH($A908,建物清冊_匯入!$A$6:$A$1005,0)),""))</f>
        <v/>
      </c>
      <c r="H908" s="7" t="n"/>
      <c r="I908" s="15" t="n"/>
      <c r="J908" s="16" t="n"/>
      <c r="K908" s="17">
        <f>IF(J908="","",1-J908)</f>
        <v/>
      </c>
      <c r="L908" s="15" t="n"/>
      <c r="M908" s="7" t="n"/>
      <c r="N908" s="7" t="n"/>
      <c r="O908" s="7" t="n"/>
      <c r="P908" s="11" t="n"/>
      <c r="Q908" s="7" t="n"/>
      <c r="R908" s="7" t="n"/>
      <c r="S908" s="7" t="n"/>
      <c r="T908" s="7" t="n"/>
      <c r="U908" s="12">
        <f>IF(A908="","",IF(H908="","建議填分配模式",""))</f>
        <v/>
      </c>
    </row>
    <row r="909" ht="24" customHeight="1">
      <c r="A909" s="7" t="n"/>
      <c r="B909" s="7" t="n"/>
      <c r="C909" s="7" t="n"/>
      <c r="D909" s="12">
        <f>IF($A909="","",IFERROR(INDEX(土地清冊_匯入!$B$6:$B$1005,MATCH($A909,土地清冊_匯入!$A$6:$A$1005,0)),"查無資料"))</f>
        <v/>
      </c>
      <c r="E909" s="9">
        <f>IF($A909="","",IFERROR(INDEX(土地清冊_匯入!$I$6:$I$1005,MATCH($A909,土地清冊_匯入!$A$6:$A$1005,0)),""))</f>
        <v/>
      </c>
      <c r="F909" s="13">
        <f>IF($A909="","",IFERROR(INDEX(建物清冊_匯入!$N$6:$N$1005,MATCH($A909,建物清冊_匯入!$A$6:$A$1005,0)),""))</f>
        <v/>
      </c>
      <c r="G909" s="9">
        <f>IF($A909="","",IFERROR(INDEX(建物清冊_匯入!$S$6:$S$1005,MATCH($A909,建物清冊_匯入!$A$6:$A$1005,0)),""))</f>
        <v/>
      </c>
      <c r="H909" s="7" t="n"/>
      <c r="I909" s="15" t="n"/>
      <c r="J909" s="16" t="n"/>
      <c r="K909" s="17">
        <f>IF(J909="","",1-J909)</f>
        <v/>
      </c>
      <c r="L909" s="15" t="n"/>
      <c r="M909" s="7" t="n"/>
      <c r="N909" s="7" t="n"/>
      <c r="O909" s="7" t="n"/>
      <c r="P909" s="11" t="n"/>
      <c r="Q909" s="7" t="n"/>
      <c r="R909" s="7" t="n"/>
      <c r="S909" s="7" t="n"/>
      <c r="T909" s="7" t="n"/>
      <c r="U909" s="12">
        <f>IF(A909="","",IF(H909="","建議填分配模式",""))</f>
        <v/>
      </c>
    </row>
    <row r="910" ht="24" customHeight="1">
      <c r="A910" s="7" t="n"/>
      <c r="B910" s="7" t="n"/>
      <c r="C910" s="7" t="n"/>
      <c r="D910" s="12">
        <f>IF($A910="","",IFERROR(INDEX(土地清冊_匯入!$B$6:$B$1005,MATCH($A910,土地清冊_匯入!$A$6:$A$1005,0)),"查無資料"))</f>
        <v/>
      </c>
      <c r="E910" s="9">
        <f>IF($A910="","",IFERROR(INDEX(土地清冊_匯入!$I$6:$I$1005,MATCH($A910,土地清冊_匯入!$A$6:$A$1005,0)),""))</f>
        <v/>
      </c>
      <c r="F910" s="13">
        <f>IF($A910="","",IFERROR(INDEX(建物清冊_匯入!$N$6:$N$1005,MATCH($A910,建物清冊_匯入!$A$6:$A$1005,0)),""))</f>
        <v/>
      </c>
      <c r="G910" s="9">
        <f>IF($A910="","",IFERROR(INDEX(建物清冊_匯入!$S$6:$S$1005,MATCH($A910,建物清冊_匯入!$A$6:$A$1005,0)),""))</f>
        <v/>
      </c>
      <c r="H910" s="7" t="n"/>
      <c r="I910" s="15" t="n"/>
      <c r="J910" s="16" t="n"/>
      <c r="K910" s="17">
        <f>IF(J910="","",1-J910)</f>
        <v/>
      </c>
      <c r="L910" s="15" t="n"/>
      <c r="M910" s="7" t="n"/>
      <c r="N910" s="7" t="n"/>
      <c r="O910" s="7" t="n"/>
      <c r="P910" s="11" t="n"/>
      <c r="Q910" s="7" t="n"/>
      <c r="R910" s="7" t="n"/>
      <c r="S910" s="7" t="n"/>
      <c r="T910" s="7" t="n"/>
      <c r="U910" s="12">
        <f>IF(A910="","",IF(H910="","建議填分配模式",""))</f>
        <v/>
      </c>
    </row>
    <row r="911" ht="24" customHeight="1">
      <c r="A911" s="7" t="n"/>
      <c r="B911" s="7" t="n"/>
      <c r="C911" s="7" t="n"/>
      <c r="D911" s="12">
        <f>IF($A911="","",IFERROR(INDEX(土地清冊_匯入!$B$6:$B$1005,MATCH($A911,土地清冊_匯入!$A$6:$A$1005,0)),"查無資料"))</f>
        <v/>
      </c>
      <c r="E911" s="9">
        <f>IF($A911="","",IFERROR(INDEX(土地清冊_匯入!$I$6:$I$1005,MATCH($A911,土地清冊_匯入!$A$6:$A$1005,0)),""))</f>
        <v/>
      </c>
      <c r="F911" s="13">
        <f>IF($A911="","",IFERROR(INDEX(建物清冊_匯入!$N$6:$N$1005,MATCH($A911,建物清冊_匯入!$A$6:$A$1005,0)),""))</f>
        <v/>
      </c>
      <c r="G911" s="9">
        <f>IF($A911="","",IFERROR(INDEX(建物清冊_匯入!$S$6:$S$1005,MATCH($A911,建物清冊_匯入!$A$6:$A$1005,0)),""))</f>
        <v/>
      </c>
      <c r="H911" s="7" t="n"/>
      <c r="I911" s="15" t="n"/>
      <c r="J911" s="16" t="n"/>
      <c r="K911" s="17">
        <f>IF(J911="","",1-J911)</f>
        <v/>
      </c>
      <c r="L911" s="15" t="n"/>
      <c r="M911" s="7" t="n"/>
      <c r="N911" s="7" t="n"/>
      <c r="O911" s="7" t="n"/>
      <c r="P911" s="11" t="n"/>
      <c r="Q911" s="7" t="n"/>
      <c r="R911" s="7" t="n"/>
      <c r="S911" s="7" t="n"/>
      <c r="T911" s="7" t="n"/>
      <c r="U911" s="12">
        <f>IF(A911="","",IF(H911="","建議填分配模式",""))</f>
        <v/>
      </c>
    </row>
    <row r="912" ht="24" customHeight="1">
      <c r="A912" s="7" t="n"/>
      <c r="B912" s="7" t="n"/>
      <c r="C912" s="7" t="n"/>
      <c r="D912" s="12">
        <f>IF($A912="","",IFERROR(INDEX(土地清冊_匯入!$B$6:$B$1005,MATCH($A912,土地清冊_匯入!$A$6:$A$1005,0)),"查無資料"))</f>
        <v/>
      </c>
      <c r="E912" s="9">
        <f>IF($A912="","",IFERROR(INDEX(土地清冊_匯入!$I$6:$I$1005,MATCH($A912,土地清冊_匯入!$A$6:$A$1005,0)),""))</f>
        <v/>
      </c>
      <c r="F912" s="13">
        <f>IF($A912="","",IFERROR(INDEX(建物清冊_匯入!$N$6:$N$1005,MATCH($A912,建物清冊_匯入!$A$6:$A$1005,0)),""))</f>
        <v/>
      </c>
      <c r="G912" s="9">
        <f>IF($A912="","",IFERROR(INDEX(建物清冊_匯入!$S$6:$S$1005,MATCH($A912,建物清冊_匯入!$A$6:$A$1005,0)),""))</f>
        <v/>
      </c>
      <c r="H912" s="7" t="n"/>
      <c r="I912" s="15" t="n"/>
      <c r="J912" s="16" t="n"/>
      <c r="K912" s="17">
        <f>IF(J912="","",1-J912)</f>
        <v/>
      </c>
      <c r="L912" s="15" t="n"/>
      <c r="M912" s="7" t="n"/>
      <c r="N912" s="7" t="n"/>
      <c r="O912" s="7" t="n"/>
      <c r="P912" s="11" t="n"/>
      <c r="Q912" s="7" t="n"/>
      <c r="R912" s="7" t="n"/>
      <c r="S912" s="7" t="n"/>
      <c r="T912" s="7" t="n"/>
      <c r="U912" s="12">
        <f>IF(A912="","",IF(H912="","建議填分配模式",""))</f>
        <v/>
      </c>
    </row>
    <row r="913" ht="24" customHeight="1">
      <c r="A913" s="7" t="n"/>
      <c r="B913" s="7" t="n"/>
      <c r="C913" s="7" t="n"/>
      <c r="D913" s="12">
        <f>IF($A913="","",IFERROR(INDEX(土地清冊_匯入!$B$6:$B$1005,MATCH($A913,土地清冊_匯入!$A$6:$A$1005,0)),"查無資料"))</f>
        <v/>
      </c>
      <c r="E913" s="9">
        <f>IF($A913="","",IFERROR(INDEX(土地清冊_匯入!$I$6:$I$1005,MATCH($A913,土地清冊_匯入!$A$6:$A$1005,0)),""))</f>
        <v/>
      </c>
      <c r="F913" s="13">
        <f>IF($A913="","",IFERROR(INDEX(建物清冊_匯入!$N$6:$N$1005,MATCH($A913,建物清冊_匯入!$A$6:$A$1005,0)),""))</f>
        <v/>
      </c>
      <c r="G913" s="9">
        <f>IF($A913="","",IFERROR(INDEX(建物清冊_匯入!$S$6:$S$1005,MATCH($A913,建物清冊_匯入!$A$6:$A$1005,0)),""))</f>
        <v/>
      </c>
      <c r="H913" s="7" t="n"/>
      <c r="I913" s="15" t="n"/>
      <c r="J913" s="16" t="n"/>
      <c r="K913" s="17">
        <f>IF(J913="","",1-J913)</f>
        <v/>
      </c>
      <c r="L913" s="15" t="n"/>
      <c r="M913" s="7" t="n"/>
      <c r="N913" s="7" t="n"/>
      <c r="O913" s="7" t="n"/>
      <c r="P913" s="11" t="n"/>
      <c r="Q913" s="7" t="n"/>
      <c r="R913" s="7" t="n"/>
      <c r="S913" s="7" t="n"/>
      <c r="T913" s="7" t="n"/>
      <c r="U913" s="12">
        <f>IF(A913="","",IF(H913="","建議填分配模式",""))</f>
        <v/>
      </c>
    </row>
    <row r="914" ht="24" customHeight="1">
      <c r="A914" s="7" t="n"/>
      <c r="B914" s="7" t="n"/>
      <c r="C914" s="7" t="n"/>
      <c r="D914" s="12">
        <f>IF($A914="","",IFERROR(INDEX(土地清冊_匯入!$B$6:$B$1005,MATCH($A914,土地清冊_匯入!$A$6:$A$1005,0)),"查無資料"))</f>
        <v/>
      </c>
      <c r="E914" s="9">
        <f>IF($A914="","",IFERROR(INDEX(土地清冊_匯入!$I$6:$I$1005,MATCH($A914,土地清冊_匯入!$A$6:$A$1005,0)),""))</f>
        <v/>
      </c>
      <c r="F914" s="13">
        <f>IF($A914="","",IFERROR(INDEX(建物清冊_匯入!$N$6:$N$1005,MATCH($A914,建物清冊_匯入!$A$6:$A$1005,0)),""))</f>
        <v/>
      </c>
      <c r="G914" s="9">
        <f>IF($A914="","",IFERROR(INDEX(建物清冊_匯入!$S$6:$S$1005,MATCH($A914,建物清冊_匯入!$A$6:$A$1005,0)),""))</f>
        <v/>
      </c>
      <c r="H914" s="7" t="n"/>
      <c r="I914" s="15" t="n"/>
      <c r="J914" s="16" t="n"/>
      <c r="K914" s="17">
        <f>IF(J914="","",1-J914)</f>
        <v/>
      </c>
      <c r="L914" s="15" t="n"/>
      <c r="M914" s="7" t="n"/>
      <c r="N914" s="7" t="n"/>
      <c r="O914" s="7" t="n"/>
      <c r="P914" s="11" t="n"/>
      <c r="Q914" s="7" t="n"/>
      <c r="R914" s="7" t="n"/>
      <c r="S914" s="7" t="n"/>
      <c r="T914" s="7" t="n"/>
      <c r="U914" s="12">
        <f>IF(A914="","",IF(H914="","建議填分配模式",""))</f>
        <v/>
      </c>
    </row>
    <row r="915" ht="24" customHeight="1">
      <c r="A915" s="7" t="n"/>
      <c r="B915" s="7" t="n"/>
      <c r="C915" s="7" t="n"/>
      <c r="D915" s="12">
        <f>IF($A915="","",IFERROR(INDEX(土地清冊_匯入!$B$6:$B$1005,MATCH($A915,土地清冊_匯入!$A$6:$A$1005,0)),"查無資料"))</f>
        <v/>
      </c>
      <c r="E915" s="9">
        <f>IF($A915="","",IFERROR(INDEX(土地清冊_匯入!$I$6:$I$1005,MATCH($A915,土地清冊_匯入!$A$6:$A$1005,0)),""))</f>
        <v/>
      </c>
      <c r="F915" s="13">
        <f>IF($A915="","",IFERROR(INDEX(建物清冊_匯入!$N$6:$N$1005,MATCH($A915,建物清冊_匯入!$A$6:$A$1005,0)),""))</f>
        <v/>
      </c>
      <c r="G915" s="9">
        <f>IF($A915="","",IFERROR(INDEX(建物清冊_匯入!$S$6:$S$1005,MATCH($A915,建物清冊_匯入!$A$6:$A$1005,0)),""))</f>
        <v/>
      </c>
      <c r="H915" s="7" t="n"/>
      <c r="I915" s="15" t="n"/>
      <c r="J915" s="16" t="n"/>
      <c r="K915" s="17">
        <f>IF(J915="","",1-J915)</f>
        <v/>
      </c>
      <c r="L915" s="15" t="n"/>
      <c r="M915" s="7" t="n"/>
      <c r="N915" s="7" t="n"/>
      <c r="O915" s="7" t="n"/>
      <c r="P915" s="11" t="n"/>
      <c r="Q915" s="7" t="n"/>
      <c r="R915" s="7" t="n"/>
      <c r="S915" s="7" t="n"/>
      <c r="T915" s="7" t="n"/>
      <c r="U915" s="12">
        <f>IF(A915="","",IF(H915="","建議填分配模式",""))</f>
        <v/>
      </c>
    </row>
    <row r="916" ht="24" customHeight="1">
      <c r="A916" s="7" t="n"/>
      <c r="B916" s="7" t="n"/>
      <c r="C916" s="7" t="n"/>
      <c r="D916" s="12">
        <f>IF($A916="","",IFERROR(INDEX(土地清冊_匯入!$B$6:$B$1005,MATCH($A916,土地清冊_匯入!$A$6:$A$1005,0)),"查無資料"))</f>
        <v/>
      </c>
      <c r="E916" s="9">
        <f>IF($A916="","",IFERROR(INDEX(土地清冊_匯入!$I$6:$I$1005,MATCH($A916,土地清冊_匯入!$A$6:$A$1005,0)),""))</f>
        <v/>
      </c>
      <c r="F916" s="13">
        <f>IF($A916="","",IFERROR(INDEX(建物清冊_匯入!$N$6:$N$1005,MATCH($A916,建物清冊_匯入!$A$6:$A$1005,0)),""))</f>
        <v/>
      </c>
      <c r="G916" s="9">
        <f>IF($A916="","",IFERROR(INDEX(建物清冊_匯入!$S$6:$S$1005,MATCH($A916,建物清冊_匯入!$A$6:$A$1005,0)),""))</f>
        <v/>
      </c>
      <c r="H916" s="7" t="n"/>
      <c r="I916" s="15" t="n"/>
      <c r="J916" s="16" t="n"/>
      <c r="K916" s="17">
        <f>IF(J916="","",1-J916)</f>
        <v/>
      </c>
      <c r="L916" s="15" t="n"/>
      <c r="M916" s="7" t="n"/>
      <c r="N916" s="7" t="n"/>
      <c r="O916" s="7" t="n"/>
      <c r="P916" s="11" t="n"/>
      <c r="Q916" s="7" t="n"/>
      <c r="R916" s="7" t="n"/>
      <c r="S916" s="7" t="n"/>
      <c r="T916" s="7" t="n"/>
      <c r="U916" s="12">
        <f>IF(A916="","",IF(H916="","建議填分配模式",""))</f>
        <v/>
      </c>
    </row>
    <row r="917" ht="24" customHeight="1">
      <c r="A917" s="7" t="n"/>
      <c r="B917" s="7" t="n"/>
      <c r="C917" s="7" t="n"/>
      <c r="D917" s="12">
        <f>IF($A917="","",IFERROR(INDEX(土地清冊_匯入!$B$6:$B$1005,MATCH($A917,土地清冊_匯入!$A$6:$A$1005,0)),"查無資料"))</f>
        <v/>
      </c>
      <c r="E917" s="9">
        <f>IF($A917="","",IFERROR(INDEX(土地清冊_匯入!$I$6:$I$1005,MATCH($A917,土地清冊_匯入!$A$6:$A$1005,0)),""))</f>
        <v/>
      </c>
      <c r="F917" s="13">
        <f>IF($A917="","",IFERROR(INDEX(建物清冊_匯入!$N$6:$N$1005,MATCH($A917,建物清冊_匯入!$A$6:$A$1005,0)),""))</f>
        <v/>
      </c>
      <c r="G917" s="9">
        <f>IF($A917="","",IFERROR(INDEX(建物清冊_匯入!$S$6:$S$1005,MATCH($A917,建物清冊_匯入!$A$6:$A$1005,0)),""))</f>
        <v/>
      </c>
      <c r="H917" s="7" t="n"/>
      <c r="I917" s="15" t="n"/>
      <c r="J917" s="16" t="n"/>
      <c r="K917" s="17">
        <f>IF(J917="","",1-J917)</f>
        <v/>
      </c>
      <c r="L917" s="15" t="n"/>
      <c r="M917" s="7" t="n"/>
      <c r="N917" s="7" t="n"/>
      <c r="O917" s="7" t="n"/>
      <c r="P917" s="11" t="n"/>
      <c r="Q917" s="7" t="n"/>
      <c r="R917" s="7" t="n"/>
      <c r="S917" s="7" t="n"/>
      <c r="T917" s="7" t="n"/>
      <c r="U917" s="12">
        <f>IF(A917="","",IF(H917="","建議填分配模式",""))</f>
        <v/>
      </c>
    </row>
    <row r="918" ht="24" customHeight="1">
      <c r="A918" s="7" t="n"/>
      <c r="B918" s="7" t="n"/>
      <c r="C918" s="7" t="n"/>
      <c r="D918" s="12">
        <f>IF($A918="","",IFERROR(INDEX(土地清冊_匯入!$B$6:$B$1005,MATCH($A918,土地清冊_匯入!$A$6:$A$1005,0)),"查無資料"))</f>
        <v/>
      </c>
      <c r="E918" s="9">
        <f>IF($A918="","",IFERROR(INDEX(土地清冊_匯入!$I$6:$I$1005,MATCH($A918,土地清冊_匯入!$A$6:$A$1005,0)),""))</f>
        <v/>
      </c>
      <c r="F918" s="13">
        <f>IF($A918="","",IFERROR(INDEX(建物清冊_匯入!$N$6:$N$1005,MATCH($A918,建物清冊_匯入!$A$6:$A$1005,0)),""))</f>
        <v/>
      </c>
      <c r="G918" s="9">
        <f>IF($A918="","",IFERROR(INDEX(建物清冊_匯入!$S$6:$S$1005,MATCH($A918,建物清冊_匯入!$A$6:$A$1005,0)),""))</f>
        <v/>
      </c>
      <c r="H918" s="7" t="n"/>
      <c r="I918" s="15" t="n"/>
      <c r="J918" s="16" t="n"/>
      <c r="K918" s="17">
        <f>IF(J918="","",1-J918)</f>
        <v/>
      </c>
      <c r="L918" s="15" t="n"/>
      <c r="M918" s="7" t="n"/>
      <c r="N918" s="7" t="n"/>
      <c r="O918" s="7" t="n"/>
      <c r="P918" s="11" t="n"/>
      <c r="Q918" s="7" t="n"/>
      <c r="R918" s="7" t="n"/>
      <c r="S918" s="7" t="n"/>
      <c r="T918" s="7" t="n"/>
      <c r="U918" s="12">
        <f>IF(A918="","",IF(H918="","建議填分配模式",""))</f>
        <v/>
      </c>
    </row>
    <row r="919" ht="24" customHeight="1">
      <c r="A919" s="7" t="n"/>
      <c r="B919" s="7" t="n"/>
      <c r="C919" s="7" t="n"/>
      <c r="D919" s="12">
        <f>IF($A919="","",IFERROR(INDEX(土地清冊_匯入!$B$6:$B$1005,MATCH($A919,土地清冊_匯入!$A$6:$A$1005,0)),"查無資料"))</f>
        <v/>
      </c>
      <c r="E919" s="9">
        <f>IF($A919="","",IFERROR(INDEX(土地清冊_匯入!$I$6:$I$1005,MATCH($A919,土地清冊_匯入!$A$6:$A$1005,0)),""))</f>
        <v/>
      </c>
      <c r="F919" s="13">
        <f>IF($A919="","",IFERROR(INDEX(建物清冊_匯入!$N$6:$N$1005,MATCH($A919,建物清冊_匯入!$A$6:$A$1005,0)),""))</f>
        <v/>
      </c>
      <c r="G919" s="9">
        <f>IF($A919="","",IFERROR(INDEX(建物清冊_匯入!$S$6:$S$1005,MATCH($A919,建物清冊_匯入!$A$6:$A$1005,0)),""))</f>
        <v/>
      </c>
      <c r="H919" s="7" t="n"/>
      <c r="I919" s="15" t="n"/>
      <c r="J919" s="16" t="n"/>
      <c r="K919" s="17">
        <f>IF(J919="","",1-J919)</f>
        <v/>
      </c>
      <c r="L919" s="15" t="n"/>
      <c r="M919" s="7" t="n"/>
      <c r="N919" s="7" t="n"/>
      <c r="O919" s="7" t="n"/>
      <c r="P919" s="11" t="n"/>
      <c r="Q919" s="7" t="n"/>
      <c r="R919" s="7" t="n"/>
      <c r="S919" s="7" t="n"/>
      <c r="T919" s="7" t="n"/>
      <c r="U919" s="12">
        <f>IF(A919="","",IF(H919="","建議填分配模式",""))</f>
        <v/>
      </c>
    </row>
    <row r="920" ht="24" customHeight="1">
      <c r="A920" s="7" t="n"/>
      <c r="B920" s="7" t="n"/>
      <c r="C920" s="7" t="n"/>
      <c r="D920" s="12">
        <f>IF($A920="","",IFERROR(INDEX(土地清冊_匯入!$B$6:$B$1005,MATCH($A920,土地清冊_匯入!$A$6:$A$1005,0)),"查無資料"))</f>
        <v/>
      </c>
      <c r="E920" s="9">
        <f>IF($A920="","",IFERROR(INDEX(土地清冊_匯入!$I$6:$I$1005,MATCH($A920,土地清冊_匯入!$A$6:$A$1005,0)),""))</f>
        <v/>
      </c>
      <c r="F920" s="13">
        <f>IF($A920="","",IFERROR(INDEX(建物清冊_匯入!$N$6:$N$1005,MATCH($A920,建物清冊_匯入!$A$6:$A$1005,0)),""))</f>
        <v/>
      </c>
      <c r="G920" s="9">
        <f>IF($A920="","",IFERROR(INDEX(建物清冊_匯入!$S$6:$S$1005,MATCH($A920,建物清冊_匯入!$A$6:$A$1005,0)),""))</f>
        <v/>
      </c>
      <c r="H920" s="7" t="n"/>
      <c r="I920" s="15" t="n"/>
      <c r="J920" s="16" t="n"/>
      <c r="K920" s="17">
        <f>IF(J920="","",1-J920)</f>
        <v/>
      </c>
      <c r="L920" s="15" t="n"/>
      <c r="M920" s="7" t="n"/>
      <c r="N920" s="7" t="n"/>
      <c r="O920" s="7" t="n"/>
      <c r="P920" s="11" t="n"/>
      <c r="Q920" s="7" t="n"/>
      <c r="R920" s="7" t="n"/>
      <c r="S920" s="7" t="n"/>
      <c r="T920" s="7" t="n"/>
      <c r="U920" s="12">
        <f>IF(A920="","",IF(H920="","建議填分配模式",""))</f>
        <v/>
      </c>
    </row>
    <row r="921" ht="24" customHeight="1">
      <c r="A921" s="7" t="n"/>
      <c r="B921" s="7" t="n"/>
      <c r="C921" s="7" t="n"/>
      <c r="D921" s="12">
        <f>IF($A921="","",IFERROR(INDEX(土地清冊_匯入!$B$6:$B$1005,MATCH($A921,土地清冊_匯入!$A$6:$A$1005,0)),"查無資料"))</f>
        <v/>
      </c>
      <c r="E921" s="9">
        <f>IF($A921="","",IFERROR(INDEX(土地清冊_匯入!$I$6:$I$1005,MATCH($A921,土地清冊_匯入!$A$6:$A$1005,0)),""))</f>
        <v/>
      </c>
      <c r="F921" s="13">
        <f>IF($A921="","",IFERROR(INDEX(建物清冊_匯入!$N$6:$N$1005,MATCH($A921,建物清冊_匯入!$A$6:$A$1005,0)),""))</f>
        <v/>
      </c>
      <c r="G921" s="9">
        <f>IF($A921="","",IFERROR(INDEX(建物清冊_匯入!$S$6:$S$1005,MATCH($A921,建物清冊_匯入!$A$6:$A$1005,0)),""))</f>
        <v/>
      </c>
      <c r="H921" s="7" t="n"/>
      <c r="I921" s="15" t="n"/>
      <c r="J921" s="16" t="n"/>
      <c r="K921" s="17">
        <f>IF(J921="","",1-J921)</f>
        <v/>
      </c>
      <c r="L921" s="15" t="n"/>
      <c r="M921" s="7" t="n"/>
      <c r="N921" s="7" t="n"/>
      <c r="O921" s="7" t="n"/>
      <c r="P921" s="11" t="n"/>
      <c r="Q921" s="7" t="n"/>
      <c r="R921" s="7" t="n"/>
      <c r="S921" s="7" t="n"/>
      <c r="T921" s="7" t="n"/>
      <c r="U921" s="12">
        <f>IF(A921="","",IF(H921="","建議填分配模式",""))</f>
        <v/>
      </c>
    </row>
    <row r="922" ht="24" customHeight="1">
      <c r="A922" s="7" t="n"/>
      <c r="B922" s="7" t="n"/>
      <c r="C922" s="7" t="n"/>
      <c r="D922" s="12">
        <f>IF($A922="","",IFERROR(INDEX(土地清冊_匯入!$B$6:$B$1005,MATCH($A922,土地清冊_匯入!$A$6:$A$1005,0)),"查無資料"))</f>
        <v/>
      </c>
      <c r="E922" s="9">
        <f>IF($A922="","",IFERROR(INDEX(土地清冊_匯入!$I$6:$I$1005,MATCH($A922,土地清冊_匯入!$A$6:$A$1005,0)),""))</f>
        <v/>
      </c>
      <c r="F922" s="13">
        <f>IF($A922="","",IFERROR(INDEX(建物清冊_匯入!$N$6:$N$1005,MATCH($A922,建物清冊_匯入!$A$6:$A$1005,0)),""))</f>
        <v/>
      </c>
      <c r="G922" s="9">
        <f>IF($A922="","",IFERROR(INDEX(建物清冊_匯入!$S$6:$S$1005,MATCH($A922,建物清冊_匯入!$A$6:$A$1005,0)),""))</f>
        <v/>
      </c>
      <c r="H922" s="7" t="n"/>
      <c r="I922" s="15" t="n"/>
      <c r="J922" s="16" t="n"/>
      <c r="K922" s="17">
        <f>IF(J922="","",1-J922)</f>
        <v/>
      </c>
      <c r="L922" s="15" t="n"/>
      <c r="M922" s="7" t="n"/>
      <c r="N922" s="7" t="n"/>
      <c r="O922" s="7" t="n"/>
      <c r="P922" s="11" t="n"/>
      <c r="Q922" s="7" t="n"/>
      <c r="R922" s="7" t="n"/>
      <c r="S922" s="7" t="n"/>
      <c r="T922" s="7" t="n"/>
      <c r="U922" s="12">
        <f>IF(A922="","",IF(H922="","建議填分配模式",""))</f>
        <v/>
      </c>
    </row>
    <row r="923" ht="24" customHeight="1">
      <c r="A923" s="7" t="n"/>
      <c r="B923" s="7" t="n"/>
      <c r="C923" s="7" t="n"/>
      <c r="D923" s="12">
        <f>IF($A923="","",IFERROR(INDEX(土地清冊_匯入!$B$6:$B$1005,MATCH($A923,土地清冊_匯入!$A$6:$A$1005,0)),"查無資料"))</f>
        <v/>
      </c>
      <c r="E923" s="9">
        <f>IF($A923="","",IFERROR(INDEX(土地清冊_匯入!$I$6:$I$1005,MATCH($A923,土地清冊_匯入!$A$6:$A$1005,0)),""))</f>
        <v/>
      </c>
      <c r="F923" s="13">
        <f>IF($A923="","",IFERROR(INDEX(建物清冊_匯入!$N$6:$N$1005,MATCH($A923,建物清冊_匯入!$A$6:$A$1005,0)),""))</f>
        <v/>
      </c>
      <c r="G923" s="9">
        <f>IF($A923="","",IFERROR(INDEX(建物清冊_匯入!$S$6:$S$1005,MATCH($A923,建物清冊_匯入!$A$6:$A$1005,0)),""))</f>
        <v/>
      </c>
      <c r="H923" s="7" t="n"/>
      <c r="I923" s="15" t="n"/>
      <c r="J923" s="16" t="n"/>
      <c r="K923" s="17">
        <f>IF(J923="","",1-J923)</f>
        <v/>
      </c>
      <c r="L923" s="15" t="n"/>
      <c r="M923" s="7" t="n"/>
      <c r="N923" s="7" t="n"/>
      <c r="O923" s="7" t="n"/>
      <c r="P923" s="11" t="n"/>
      <c r="Q923" s="7" t="n"/>
      <c r="R923" s="7" t="n"/>
      <c r="S923" s="7" t="n"/>
      <c r="T923" s="7" t="n"/>
      <c r="U923" s="12">
        <f>IF(A923="","",IF(H923="","建議填分配模式",""))</f>
        <v/>
      </c>
    </row>
    <row r="924" ht="24" customHeight="1">
      <c r="A924" s="7" t="n"/>
      <c r="B924" s="7" t="n"/>
      <c r="C924" s="7" t="n"/>
      <c r="D924" s="12">
        <f>IF($A924="","",IFERROR(INDEX(土地清冊_匯入!$B$6:$B$1005,MATCH($A924,土地清冊_匯入!$A$6:$A$1005,0)),"查無資料"))</f>
        <v/>
      </c>
      <c r="E924" s="9">
        <f>IF($A924="","",IFERROR(INDEX(土地清冊_匯入!$I$6:$I$1005,MATCH($A924,土地清冊_匯入!$A$6:$A$1005,0)),""))</f>
        <v/>
      </c>
      <c r="F924" s="13">
        <f>IF($A924="","",IFERROR(INDEX(建物清冊_匯入!$N$6:$N$1005,MATCH($A924,建物清冊_匯入!$A$6:$A$1005,0)),""))</f>
        <v/>
      </c>
      <c r="G924" s="9">
        <f>IF($A924="","",IFERROR(INDEX(建物清冊_匯入!$S$6:$S$1005,MATCH($A924,建物清冊_匯入!$A$6:$A$1005,0)),""))</f>
        <v/>
      </c>
      <c r="H924" s="7" t="n"/>
      <c r="I924" s="15" t="n"/>
      <c r="J924" s="16" t="n"/>
      <c r="K924" s="17">
        <f>IF(J924="","",1-J924)</f>
        <v/>
      </c>
      <c r="L924" s="15" t="n"/>
      <c r="M924" s="7" t="n"/>
      <c r="N924" s="7" t="n"/>
      <c r="O924" s="7" t="n"/>
      <c r="P924" s="11" t="n"/>
      <c r="Q924" s="7" t="n"/>
      <c r="R924" s="7" t="n"/>
      <c r="S924" s="7" t="n"/>
      <c r="T924" s="7" t="n"/>
      <c r="U924" s="12">
        <f>IF(A924="","",IF(H924="","建議填分配模式",""))</f>
        <v/>
      </c>
    </row>
    <row r="925" ht="24" customHeight="1">
      <c r="A925" s="7" t="n"/>
      <c r="B925" s="7" t="n"/>
      <c r="C925" s="7" t="n"/>
      <c r="D925" s="12">
        <f>IF($A925="","",IFERROR(INDEX(土地清冊_匯入!$B$6:$B$1005,MATCH($A925,土地清冊_匯入!$A$6:$A$1005,0)),"查無資料"))</f>
        <v/>
      </c>
      <c r="E925" s="9">
        <f>IF($A925="","",IFERROR(INDEX(土地清冊_匯入!$I$6:$I$1005,MATCH($A925,土地清冊_匯入!$A$6:$A$1005,0)),""))</f>
        <v/>
      </c>
      <c r="F925" s="13">
        <f>IF($A925="","",IFERROR(INDEX(建物清冊_匯入!$N$6:$N$1005,MATCH($A925,建物清冊_匯入!$A$6:$A$1005,0)),""))</f>
        <v/>
      </c>
      <c r="G925" s="9">
        <f>IF($A925="","",IFERROR(INDEX(建物清冊_匯入!$S$6:$S$1005,MATCH($A925,建物清冊_匯入!$A$6:$A$1005,0)),""))</f>
        <v/>
      </c>
      <c r="H925" s="7" t="n"/>
      <c r="I925" s="15" t="n"/>
      <c r="J925" s="16" t="n"/>
      <c r="K925" s="17">
        <f>IF(J925="","",1-J925)</f>
        <v/>
      </c>
      <c r="L925" s="15" t="n"/>
      <c r="M925" s="7" t="n"/>
      <c r="N925" s="7" t="n"/>
      <c r="O925" s="7" t="n"/>
      <c r="P925" s="11" t="n"/>
      <c r="Q925" s="7" t="n"/>
      <c r="R925" s="7" t="n"/>
      <c r="S925" s="7" t="n"/>
      <c r="T925" s="7" t="n"/>
      <c r="U925" s="12">
        <f>IF(A925="","",IF(H925="","建議填分配模式",""))</f>
        <v/>
      </c>
    </row>
    <row r="926" ht="24" customHeight="1">
      <c r="A926" s="7" t="n"/>
      <c r="B926" s="7" t="n"/>
      <c r="C926" s="7" t="n"/>
      <c r="D926" s="12">
        <f>IF($A926="","",IFERROR(INDEX(土地清冊_匯入!$B$6:$B$1005,MATCH($A926,土地清冊_匯入!$A$6:$A$1005,0)),"查無資料"))</f>
        <v/>
      </c>
      <c r="E926" s="9">
        <f>IF($A926="","",IFERROR(INDEX(土地清冊_匯入!$I$6:$I$1005,MATCH($A926,土地清冊_匯入!$A$6:$A$1005,0)),""))</f>
        <v/>
      </c>
      <c r="F926" s="13">
        <f>IF($A926="","",IFERROR(INDEX(建物清冊_匯入!$N$6:$N$1005,MATCH($A926,建物清冊_匯入!$A$6:$A$1005,0)),""))</f>
        <v/>
      </c>
      <c r="G926" s="9">
        <f>IF($A926="","",IFERROR(INDEX(建物清冊_匯入!$S$6:$S$1005,MATCH($A926,建物清冊_匯入!$A$6:$A$1005,0)),""))</f>
        <v/>
      </c>
      <c r="H926" s="7" t="n"/>
      <c r="I926" s="15" t="n"/>
      <c r="J926" s="16" t="n"/>
      <c r="K926" s="17">
        <f>IF(J926="","",1-J926)</f>
        <v/>
      </c>
      <c r="L926" s="15" t="n"/>
      <c r="M926" s="7" t="n"/>
      <c r="N926" s="7" t="n"/>
      <c r="O926" s="7" t="n"/>
      <c r="P926" s="11" t="n"/>
      <c r="Q926" s="7" t="n"/>
      <c r="R926" s="7" t="n"/>
      <c r="S926" s="7" t="n"/>
      <c r="T926" s="7" t="n"/>
      <c r="U926" s="12">
        <f>IF(A926="","",IF(H926="","建議填分配模式",""))</f>
        <v/>
      </c>
    </row>
    <row r="927" ht="24" customHeight="1">
      <c r="A927" s="7" t="n"/>
      <c r="B927" s="7" t="n"/>
      <c r="C927" s="7" t="n"/>
      <c r="D927" s="12">
        <f>IF($A927="","",IFERROR(INDEX(土地清冊_匯入!$B$6:$B$1005,MATCH($A927,土地清冊_匯入!$A$6:$A$1005,0)),"查無資料"))</f>
        <v/>
      </c>
      <c r="E927" s="9">
        <f>IF($A927="","",IFERROR(INDEX(土地清冊_匯入!$I$6:$I$1005,MATCH($A927,土地清冊_匯入!$A$6:$A$1005,0)),""))</f>
        <v/>
      </c>
      <c r="F927" s="13">
        <f>IF($A927="","",IFERROR(INDEX(建物清冊_匯入!$N$6:$N$1005,MATCH($A927,建物清冊_匯入!$A$6:$A$1005,0)),""))</f>
        <v/>
      </c>
      <c r="G927" s="9">
        <f>IF($A927="","",IFERROR(INDEX(建物清冊_匯入!$S$6:$S$1005,MATCH($A927,建物清冊_匯入!$A$6:$A$1005,0)),""))</f>
        <v/>
      </c>
      <c r="H927" s="7" t="n"/>
      <c r="I927" s="15" t="n"/>
      <c r="J927" s="16" t="n"/>
      <c r="K927" s="17">
        <f>IF(J927="","",1-J927)</f>
        <v/>
      </c>
      <c r="L927" s="15" t="n"/>
      <c r="M927" s="7" t="n"/>
      <c r="N927" s="7" t="n"/>
      <c r="O927" s="7" t="n"/>
      <c r="P927" s="11" t="n"/>
      <c r="Q927" s="7" t="n"/>
      <c r="R927" s="7" t="n"/>
      <c r="S927" s="7" t="n"/>
      <c r="T927" s="7" t="n"/>
      <c r="U927" s="12">
        <f>IF(A927="","",IF(H927="","建議填分配模式",""))</f>
        <v/>
      </c>
    </row>
    <row r="928" ht="24" customHeight="1">
      <c r="A928" s="7" t="n"/>
      <c r="B928" s="7" t="n"/>
      <c r="C928" s="7" t="n"/>
      <c r="D928" s="12">
        <f>IF($A928="","",IFERROR(INDEX(土地清冊_匯入!$B$6:$B$1005,MATCH($A928,土地清冊_匯入!$A$6:$A$1005,0)),"查無資料"))</f>
        <v/>
      </c>
      <c r="E928" s="9">
        <f>IF($A928="","",IFERROR(INDEX(土地清冊_匯入!$I$6:$I$1005,MATCH($A928,土地清冊_匯入!$A$6:$A$1005,0)),""))</f>
        <v/>
      </c>
      <c r="F928" s="13">
        <f>IF($A928="","",IFERROR(INDEX(建物清冊_匯入!$N$6:$N$1005,MATCH($A928,建物清冊_匯入!$A$6:$A$1005,0)),""))</f>
        <v/>
      </c>
      <c r="G928" s="9">
        <f>IF($A928="","",IFERROR(INDEX(建物清冊_匯入!$S$6:$S$1005,MATCH($A928,建物清冊_匯入!$A$6:$A$1005,0)),""))</f>
        <v/>
      </c>
      <c r="H928" s="7" t="n"/>
      <c r="I928" s="15" t="n"/>
      <c r="J928" s="16" t="n"/>
      <c r="K928" s="17">
        <f>IF(J928="","",1-J928)</f>
        <v/>
      </c>
      <c r="L928" s="15" t="n"/>
      <c r="M928" s="7" t="n"/>
      <c r="N928" s="7" t="n"/>
      <c r="O928" s="7" t="n"/>
      <c r="P928" s="11" t="n"/>
      <c r="Q928" s="7" t="n"/>
      <c r="R928" s="7" t="n"/>
      <c r="S928" s="7" t="n"/>
      <c r="T928" s="7" t="n"/>
      <c r="U928" s="12">
        <f>IF(A928="","",IF(H928="","建議填分配模式",""))</f>
        <v/>
      </c>
    </row>
    <row r="929" ht="24" customHeight="1">
      <c r="A929" s="7" t="n"/>
      <c r="B929" s="7" t="n"/>
      <c r="C929" s="7" t="n"/>
      <c r="D929" s="12">
        <f>IF($A929="","",IFERROR(INDEX(土地清冊_匯入!$B$6:$B$1005,MATCH($A929,土地清冊_匯入!$A$6:$A$1005,0)),"查無資料"))</f>
        <v/>
      </c>
      <c r="E929" s="9">
        <f>IF($A929="","",IFERROR(INDEX(土地清冊_匯入!$I$6:$I$1005,MATCH($A929,土地清冊_匯入!$A$6:$A$1005,0)),""))</f>
        <v/>
      </c>
      <c r="F929" s="13">
        <f>IF($A929="","",IFERROR(INDEX(建物清冊_匯入!$N$6:$N$1005,MATCH($A929,建物清冊_匯入!$A$6:$A$1005,0)),""))</f>
        <v/>
      </c>
      <c r="G929" s="9">
        <f>IF($A929="","",IFERROR(INDEX(建物清冊_匯入!$S$6:$S$1005,MATCH($A929,建物清冊_匯入!$A$6:$A$1005,0)),""))</f>
        <v/>
      </c>
      <c r="H929" s="7" t="n"/>
      <c r="I929" s="15" t="n"/>
      <c r="J929" s="16" t="n"/>
      <c r="K929" s="17">
        <f>IF(J929="","",1-J929)</f>
        <v/>
      </c>
      <c r="L929" s="15" t="n"/>
      <c r="M929" s="7" t="n"/>
      <c r="N929" s="7" t="n"/>
      <c r="O929" s="7" t="n"/>
      <c r="P929" s="11" t="n"/>
      <c r="Q929" s="7" t="n"/>
      <c r="R929" s="7" t="n"/>
      <c r="S929" s="7" t="n"/>
      <c r="T929" s="7" t="n"/>
      <c r="U929" s="12">
        <f>IF(A929="","",IF(H929="","建議填分配模式",""))</f>
        <v/>
      </c>
    </row>
    <row r="930" ht="24" customHeight="1">
      <c r="A930" s="7" t="n"/>
      <c r="B930" s="7" t="n"/>
      <c r="C930" s="7" t="n"/>
      <c r="D930" s="12">
        <f>IF($A930="","",IFERROR(INDEX(土地清冊_匯入!$B$6:$B$1005,MATCH($A930,土地清冊_匯入!$A$6:$A$1005,0)),"查無資料"))</f>
        <v/>
      </c>
      <c r="E930" s="9">
        <f>IF($A930="","",IFERROR(INDEX(土地清冊_匯入!$I$6:$I$1005,MATCH($A930,土地清冊_匯入!$A$6:$A$1005,0)),""))</f>
        <v/>
      </c>
      <c r="F930" s="13">
        <f>IF($A930="","",IFERROR(INDEX(建物清冊_匯入!$N$6:$N$1005,MATCH($A930,建物清冊_匯入!$A$6:$A$1005,0)),""))</f>
        <v/>
      </c>
      <c r="G930" s="9">
        <f>IF($A930="","",IFERROR(INDEX(建物清冊_匯入!$S$6:$S$1005,MATCH($A930,建物清冊_匯入!$A$6:$A$1005,0)),""))</f>
        <v/>
      </c>
      <c r="H930" s="7" t="n"/>
      <c r="I930" s="15" t="n"/>
      <c r="J930" s="16" t="n"/>
      <c r="K930" s="17">
        <f>IF(J930="","",1-J930)</f>
        <v/>
      </c>
      <c r="L930" s="15" t="n"/>
      <c r="M930" s="7" t="n"/>
      <c r="N930" s="7" t="n"/>
      <c r="O930" s="7" t="n"/>
      <c r="P930" s="11" t="n"/>
      <c r="Q930" s="7" t="n"/>
      <c r="R930" s="7" t="n"/>
      <c r="S930" s="7" t="n"/>
      <c r="T930" s="7" t="n"/>
      <c r="U930" s="12">
        <f>IF(A930="","",IF(H930="","建議填分配模式",""))</f>
        <v/>
      </c>
    </row>
    <row r="931" ht="24" customHeight="1">
      <c r="A931" s="7" t="n"/>
      <c r="B931" s="7" t="n"/>
      <c r="C931" s="7" t="n"/>
      <c r="D931" s="12">
        <f>IF($A931="","",IFERROR(INDEX(土地清冊_匯入!$B$6:$B$1005,MATCH($A931,土地清冊_匯入!$A$6:$A$1005,0)),"查無資料"))</f>
        <v/>
      </c>
      <c r="E931" s="9">
        <f>IF($A931="","",IFERROR(INDEX(土地清冊_匯入!$I$6:$I$1005,MATCH($A931,土地清冊_匯入!$A$6:$A$1005,0)),""))</f>
        <v/>
      </c>
      <c r="F931" s="13">
        <f>IF($A931="","",IFERROR(INDEX(建物清冊_匯入!$N$6:$N$1005,MATCH($A931,建物清冊_匯入!$A$6:$A$1005,0)),""))</f>
        <v/>
      </c>
      <c r="G931" s="9">
        <f>IF($A931="","",IFERROR(INDEX(建物清冊_匯入!$S$6:$S$1005,MATCH($A931,建物清冊_匯入!$A$6:$A$1005,0)),""))</f>
        <v/>
      </c>
      <c r="H931" s="7" t="n"/>
      <c r="I931" s="15" t="n"/>
      <c r="J931" s="16" t="n"/>
      <c r="K931" s="17">
        <f>IF(J931="","",1-J931)</f>
        <v/>
      </c>
      <c r="L931" s="15" t="n"/>
      <c r="M931" s="7" t="n"/>
      <c r="N931" s="7" t="n"/>
      <c r="O931" s="7" t="n"/>
      <c r="P931" s="11" t="n"/>
      <c r="Q931" s="7" t="n"/>
      <c r="R931" s="7" t="n"/>
      <c r="S931" s="7" t="n"/>
      <c r="T931" s="7" t="n"/>
      <c r="U931" s="12">
        <f>IF(A931="","",IF(H931="","建議填分配模式",""))</f>
        <v/>
      </c>
    </row>
    <row r="932" ht="24" customHeight="1">
      <c r="A932" s="7" t="n"/>
      <c r="B932" s="7" t="n"/>
      <c r="C932" s="7" t="n"/>
      <c r="D932" s="12">
        <f>IF($A932="","",IFERROR(INDEX(土地清冊_匯入!$B$6:$B$1005,MATCH($A932,土地清冊_匯入!$A$6:$A$1005,0)),"查無資料"))</f>
        <v/>
      </c>
      <c r="E932" s="9">
        <f>IF($A932="","",IFERROR(INDEX(土地清冊_匯入!$I$6:$I$1005,MATCH($A932,土地清冊_匯入!$A$6:$A$1005,0)),""))</f>
        <v/>
      </c>
      <c r="F932" s="13">
        <f>IF($A932="","",IFERROR(INDEX(建物清冊_匯入!$N$6:$N$1005,MATCH($A932,建物清冊_匯入!$A$6:$A$1005,0)),""))</f>
        <v/>
      </c>
      <c r="G932" s="9">
        <f>IF($A932="","",IFERROR(INDEX(建物清冊_匯入!$S$6:$S$1005,MATCH($A932,建物清冊_匯入!$A$6:$A$1005,0)),""))</f>
        <v/>
      </c>
      <c r="H932" s="7" t="n"/>
      <c r="I932" s="15" t="n"/>
      <c r="J932" s="16" t="n"/>
      <c r="K932" s="17">
        <f>IF(J932="","",1-J932)</f>
        <v/>
      </c>
      <c r="L932" s="15" t="n"/>
      <c r="M932" s="7" t="n"/>
      <c r="N932" s="7" t="n"/>
      <c r="O932" s="7" t="n"/>
      <c r="P932" s="11" t="n"/>
      <c r="Q932" s="7" t="n"/>
      <c r="R932" s="7" t="n"/>
      <c r="S932" s="7" t="n"/>
      <c r="T932" s="7" t="n"/>
      <c r="U932" s="12">
        <f>IF(A932="","",IF(H932="","建議填分配模式",""))</f>
        <v/>
      </c>
    </row>
    <row r="933" ht="24" customHeight="1">
      <c r="A933" s="7" t="n"/>
      <c r="B933" s="7" t="n"/>
      <c r="C933" s="7" t="n"/>
      <c r="D933" s="12">
        <f>IF($A933="","",IFERROR(INDEX(土地清冊_匯入!$B$6:$B$1005,MATCH($A933,土地清冊_匯入!$A$6:$A$1005,0)),"查無資料"))</f>
        <v/>
      </c>
      <c r="E933" s="9">
        <f>IF($A933="","",IFERROR(INDEX(土地清冊_匯入!$I$6:$I$1005,MATCH($A933,土地清冊_匯入!$A$6:$A$1005,0)),""))</f>
        <v/>
      </c>
      <c r="F933" s="13">
        <f>IF($A933="","",IFERROR(INDEX(建物清冊_匯入!$N$6:$N$1005,MATCH($A933,建物清冊_匯入!$A$6:$A$1005,0)),""))</f>
        <v/>
      </c>
      <c r="G933" s="9">
        <f>IF($A933="","",IFERROR(INDEX(建物清冊_匯入!$S$6:$S$1005,MATCH($A933,建物清冊_匯入!$A$6:$A$1005,0)),""))</f>
        <v/>
      </c>
      <c r="H933" s="7" t="n"/>
      <c r="I933" s="15" t="n"/>
      <c r="J933" s="16" t="n"/>
      <c r="K933" s="17">
        <f>IF(J933="","",1-J933)</f>
        <v/>
      </c>
      <c r="L933" s="15" t="n"/>
      <c r="M933" s="7" t="n"/>
      <c r="N933" s="7" t="n"/>
      <c r="O933" s="7" t="n"/>
      <c r="P933" s="11" t="n"/>
      <c r="Q933" s="7" t="n"/>
      <c r="R933" s="7" t="n"/>
      <c r="S933" s="7" t="n"/>
      <c r="T933" s="7" t="n"/>
      <c r="U933" s="12">
        <f>IF(A933="","",IF(H933="","建議填分配模式",""))</f>
        <v/>
      </c>
    </row>
    <row r="934" ht="24" customHeight="1">
      <c r="A934" s="7" t="n"/>
      <c r="B934" s="7" t="n"/>
      <c r="C934" s="7" t="n"/>
      <c r="D934" s="12">
        <f>IF($A934="","",IFERROR(INDEX(土地清冊_匯入!$B$6:$B$1005,MATCH($A934,土地清冊_匯入!$A$6:$A$1005,0)),"查無資料"))</f>
        <v/>
      </c>
      <c r="E934" s="9">
        <f>IF($A934="","",IFERROR(INDEX(土地清冊_匯入!$I$6:$I$1005,MATCH($A934,土地清冊_匯入!$A$6:$A$1005,0)),""))</f>
        <v/>
      </c>
      <c r="F934" s="13">
        <f>IF($A934="","",IFERROR(INDEX(建物清冊_匯入!$N$6:$N$1005,MATCH($A934,建物清冊_匯入!$A$6:$A$1005,0)),""))</f>
        <v/>
      </c>
      <c r="G934" s="9">
        <f>IF($A934="","",IFERROR(INDEX(建物清冊_匯入!$S$6:$S$1005,MATCH($A934,建物清冊_匯入!$A$6:$A$1005,0)),""))</f>
        <v/>
      </c>
      <c r="H934" s="7" t="n"/>
      <c r="I934" s="15" t="n"/>
      <c r="J934" s="16" t="n"/>
      <c r="K934" s="17">
        <f>IF(J934="","",1-J934)</f>
        <v/>
      </c>
      <c r="L934" s="15" t="n"/>
      <c r="M934" s="7" t="n"/>
      <c r="N934" s="7" t="n"/>
      <c r="O934" s="7" t="n"/>
      <c r="P934" s="11" t="n"/>
      <c r="Q934" s="7" t="n"/>
      <c r="R934" s="7" t="n"/>
      <c r="S934" s="7" t="n"/>
      <c r="T934" s="7" t="n"/>
      <c r="U934" s="12">
        <f>IF(A934="","",IF(H934="","建議填分配模式",""))</f>
        <v/>
      </c>
    </row>
    <row r="935" ht="24" customHeight="1">
      <c r="A935" s="7" t="n"/>
      <c r="B935" s="7" t="n"/>
      <c r="C935" s="7" t="n"/>
      <c r="D935" s="12">
        <f>IF($A935="","",IFERROR(INDEX(土地清冊_匯入!$B$6:$B$1005,MATCH($A935,土地清冊_匯入!$A$6:$A$1005,0)),"查無資料"))</f>
        <v/>
      </c>
      <c r="E935" s="9">
        <f>IF($A935="","",IFERROR(INDEX(土地清冊_匯入!$I$6:$I$1005,MATCH($A935,土地清冊_匯入!$A$6:$A$1005,0)),""))</f>
        <v/>
      </c>
      <c r="F935" s="13">
        <f>IF($A935="","",IFERROR(INDEX(建物清冊_匯入!$N$6:$N$1005,MATCH($A935,建物清冊_匯入!$A$6:$A$1005,0)),""))</f>
        <v/>
      </c>
      <c r="G935" s="9">
        <f>IF($A935="","",IFERROR(INDEX(建物清冊_匯入!$S$6:$S$1005,MATCH($A935,建物清冊_匯入!$A$6:$A$1005,0)),""))</f>
        <v/>
      </c>
      <c r="H935" s="7" t="n"/>
      <c r="I935" s="15" t="n"/>
      <c r="J935" s="16" t="n"/>
      <c r="K935" s="17">
        <f>IF(J935="","",1-J935)</f>
        <v/>
      </c>
      <c r="L935" s="15" t="n"/>
      <c r="M935" s="7" t="n"/>
      <c r="N935" s="7" t="n"/>
      <c r="O935" s="7" t="n"/>
      <c r="P935" s="11" t="n"/>
      <c r="Q935" s="7" t="n"/>
      <c r="R935" s="7" t="n"/>
      <c r="S935" s="7" t="n"/>
      <c r="T935" s="7" t="n"/>
      <c r="U935" s="12">
        <f>IF(A935="","",IF(H935="","建議填分配模式",""))</f>
        <v/>
      </c>
    </row>
    <row r="936" ht="24" customHeight="1">
      <c r="A936" s="7" t="n"/>
      <c r="B936" s="7" t="n"/>
      <c r="C936" s="7" t="n"/>
      <c r="D936" s="12">
        <f>IF($A936="","",IFERROR(INDEX(土地清冊_匯入!$B$6:$B$1005,MATCH($A936,土地清冊_匯入!$A$6:$A$1005,0)),"查無資料"))</f>
        <v/>
      </c>
      <c r="E936" s="9">
        <f>IF($A936="","",IFERROR(INDEX(土地清冊_匯入!$I$6:$I$1005,MATCH($A936,土地清冊_匯入!$A$6:$A$1005,0)),""))</f>
        <v/>
      </c>
      <c r="F936" s="13">
        <f>IF($A936="","",IFERROR(INDEX(建物清冊_匯入!$N$6:$N$1005,MATCH($A936,建物清冊_匯入!$A$6:$A$1005,0)),""))</f>
        <v/>
      </c>
      <c r="G936" s="9">
        <f>IF($A936="","",IFERROR(INDEX(建物清冊_匯入!$S$6:$S$1005,MATCH($A936,建物清冊_匯入!$A$6:$A$1005,0)),""))</f>
        <v/>
      </c>
      <c r="H936" s="7" t="n"/>
      <c r="I936" s="15" t="n"/>
      <c r="J936" s="16" t="n"/>
      <c r="K936" s="17">
        <f>IF(J936="","",1-J936)</f>
        <v/>
      </c>
      <c r="L936" s="15" t="n"/>
      <c r="M936" s="7" t="n"/>
      <c r="N936" s="7" t="n"/>
      <c r="O936" s="7" t="n"/>
      <c r="P936" s="11" t="n"/>
      <c r="Q936" s="7" t="n"/>
      <c r="R936" s="7" t="n"/>
      <c r="S936" s="7" t="n"/>
      <c r="T936" s="7" t="n"/>
      <c r="U936" s="12">
        <f>IF(A936="","",IF(H936="","建議填分配模式",""))</f>
        <v/>
      </c>
    </row>
    <row r="937" ht="24" customHeight="1">
      <c r="A937" s="7" t="n"/>
      <c r="B937" s="7" t="n"/>
      <c r="C937" s="7" t="n"/>
      <c r="D937" s="12">
        <f>IF($A937="","",IFERROR(INDEX(土地清冊_匯入!$B$6:$B$1005,MATCH($A937,土地清冊_匯入!$A$6:$A$1005,0)),"查無資料"))</f>
        <v/>
      </c>
      <c r="E937" s="9">
        <f>IF($A937="","",IFERROR(INDEX(土地清冊_匯入!$I$6:$I$1005,MATCH($A937,土地清冊_匯入!$A$6:$A$1005,0)),""))</f>
        <v/>
      </c>
      <c r="F937" s="13">
        <f>IF($A937="","",IFERROR(INDEX(建物清冊_匯入!$N$6:$N$1005,MATCH($A937,建物清冊_匯入!$A$6:$A$1005,0)),""))</f>
        <v/>
      </c>
      <c r="G937" s="9">
        <f>IF($A937="","",IFERROR(INDEX(建物清冊_匯入!$S$6:$S$1005,MATCH($A937,建物清冊_匯入!$A$6:$A$1005,0)),""))</f>
        <v/>
      </c>
      <c r="H937" s="7" t="n"/>
      <c r="I937" s="15" t="n"/>
      <c r="J937" s="16" t="n"/>
      <c r="K937" s="17">
        <f>IF(J937="","",1-J937)</f>
        <v/>
      </c>
      <c r="L937" s="15" t="n"/>
      <c r="M937" s="7" t="n"/>
      <c r="N937" s="7" t="n"/>
      <c r="O937" s="7" t="n"/>
      <c r="P937" s="11" t="n"/>
      <c r="Q937" s="7" t="n"/>
      <c r="R937" s="7" t="n"/>
      <c r="S937" s="7" t="n"/>
      <c r="T937" s="7" t="n"/>
      <c r="U937" s="12">
        <f>IF(A937="","",IF(H937="","建議填分配模式",""))</f>
        <v/>
      </c>
    </row>
    <row r="938" ht="24" customHeight="1">
      <c r="A938" s="7" t="n"/>
      <c r="B938" s="7" t="n"/>
      <c r="C938" s="7" t="n"/>
      <c r="D938" s="12">
        <f>IF($A938="","",IFERROR(INDEX(土地清冊_匯入!$B$6:$B$1005,MATCH($A938,土地清冊_匯入!$A$6:$A$1005,0)),"查無資料"))</f>
        <v/>
      </c>
      <c r="E938" s="9">
        <f>IF($A938="","",IFERROR(INDEX(土地清冊_匯入!$I$6:$I$1005,MATCH($A938,土地清冊_匯入!$A$6:$A$1005,0)),""))</f>
        <v/>
      </c>
      <c r="F938" s="13">
        <f>IF($A938="","",IFERROR(INDEX(建物清冊_匯入!$N$6:$N$1005,MATCH($A938,建物清冊_匯入!$A$6:$A$1005,0)),""))</f>
        <v/>
      </c>
      <c r="G938" s="9">
        <f>IF($A938="","",IFERROR(INDEX(建物清冊_匯入!$S$6:$S$1005,MATCH($A938,建物清冊_匯入!$A$6:$A$1005,0)),""))</f>
        <v/>
      </c>
      <c r="H938" s="7" t="n"/>
      <c r="I938" s="15" t="n"/>
      <c r="J938" s="16" t="n"/>
      <c r="K938" s="17">
        <f>IF(J938="","",1-J938)</f>
        <v/>
      </c>
      <c r="L938" s="15" t="n"/>
      <c r="M938" s="7" t="n"/>
      <c r="N938" s="7" t="n"/>
      <c r="O938" s="7" t="n"/>
      <c r="P938" s="11" t="n"/>
      <c r="Q938" s="7" t="n"/>
      <c r="R938" s="7" t="n"/>
      <c r="S938" s="7" t="n"/>
      <c r="T938" s="7" t="n"/>
      <c r="U938" s="12">
        <f>IF(A938="","",IF(H938="","建議填分配模式",""))</f>
        <v/>
      </c>
    </row>
    <row r="939" ht="24" customHeight="1">
      <c r="A939" s="7" t="n"/>
      <c r="B939" s="7" t="n"/>
      <c r="C939" s="7" t="n"/>
      <c r="D939" s="12">
        <f>IF($A939="","",IFERROR(INDEX(土地清冊_匯入!$B$6:$B$1005,MATCH($A939,土地清冊_匯入!$A$6:$A$1005,0)),"查無資料"))</f>
        <v/>
      </c>
      <c r="E939" s="9">
        <f>IF($A939="","",IFERROR(INDEX(土地清冊_匯入!$I$6:$I$1005,MATCH($A939,土地清冊_匯入!$A$6:$A$1005,0)),""))</f>
        <v/>
      </c>
      <c r="F939" s="13">
        <f>IF($A939="","",IFERROR(INDEX(建物清冊_匯入!$N$6:$N$1005,MATCH($A939,建物清冊_匯入!$A$6:$A$1005,0)),""))</f>
        <v/>
      </c>
      <c r="G939" s="9">
        <f>IF($A939="","",IFERROR(INDEX(建物清冊_匯入!$S$6:$S$1005,MATCH($A939,建物清冊_匯入!$A$6:$A$1005,0)),""))</f>
        <v/>
      </c>
      <c r="H939" s="7" t="n"/>
      <c r="I939" s="15" t="n"/>
      <c r="J939" s="16" t="n"/>
      <c r="K939" s="17">
        <f>IF(J939="","",1-J939)</f>
        <v/>
      </c>
      <c r="L939" s="15" t="n"/>
      <c r="M939" s="7" t="n"/>
      <c r="N939" s="7" t="n"/>
      <c r="O939" s="7" t="n"/>
      <c r="P939" s="11" t="n"/>
      <c r="Q939" s="7" t="n"/>
      <c r="R939" s="7" t="n"/>
      <c r="S939" s="7" t="n"/>
      <c r="T939" s="7" t="n"/>
      <c r="U939" s="12">
        <f>IF(A939="","",IF(H939="","建議填分配模式",""))</f>
        <v/>
      </c>
    </row>
    <row r="940" ht="24" customHeight="1">
      <c r="A940" s="7" t="n"/>
      <c r="B940" s="7" t="n"/>
      <c r="C940" s="7" t="n"/>
      <c r="D940" s="12">
        <f>IF($A940="","",IFERROR(INDEX(土地清冊_匯入!$B$6:$B$1005,MATCH($A940,土地清冊_匯入!$A$6:$A$1005,0)),"查無資料"))</f>
        <v/>
      </c>
      <c r="E940" s="9">
        <f>IF($A940="","",IFERROR(INDEX(土地清冊_匯入!$I$6:$I$1005,MATCH($A940,土地清冊_匯入!$A$6:$A$1005,0)),""))</f>
        <v/>
      </c>
      <c r="F940" s="13">
        <f>IF($A940="","",IFERROR(INDEX(建物清冊_匯入!$N$6:$N$1005,MATCH($A940,建物清冊_匯入!$A$6:$A$1005,0)),""))</f>
        <v/>
      </c>
      <c r="G940" s="9">
        <f>IF($A940="","",IFERROR(INDEX(建物清冊_匯入!$S$6:$S$1005,MATCH($A940,建物清冊_匯入!$A$6:$A$1005,0)),""))</f>
        <v/>
      </c>
      <c r="H940" s="7" t="n"/>
      <c r="I940" s="15" t="n"/>
      <c r="J940" s="16" t="n"/>
      <c r="K940" s="17">
        <f>IF(J940="","",1-J940)</f>
        <v/>
      </c>
      <c r="L940" s="15" t="n"/>
      <c r="M940" s="7" t="n"/>
      <c r="N940" s="7" t="n"/>
      <c r="O940" s="7" t="n"/>
      <c r="P940" s="11" t="n"/>
      <c r="Q940" s="7" t="n"/>
      <c r="R940" s="7" t="n"/>
      <c r="S940" s="7" t="n"/>
      <c r="T940" s="7" t="n"/>
      <c r="U940" s="12">
        <f>IF(A940="","",IF(H940="","建議填分配模式",""))</f>
        <v/>
      </c>
    </row>
    <row r="941" ht="24" customHeight="1">
      <c r="A941" s="7" t="n"/>
      <c r="B941" s="7" t="n"/>
      <c r="C941" s="7" t="n"/>
      <c r="D941" s="12">
        <f>IF($A941="","",IFERROR(INDEX(土地清冊_匯入!$B$6:$B$1005,MATCH($A941,土地清冊_匯入!$A$6:$A$1005,0)),"查無資料"))</f>
        <v/>
      </c>
      <c r="E941" s="9">
        <f>IF($A941="","",IFERROR(INDEX(土地清冊_匯入!$I$6:$I$1005,MATCH($A941,土地清冊_匯入!$A$6:$A$1005,0)),""))</f>
        <v/>
      </c>
      <c r="F941" s="13">
        <f>IF($A941="","",IFERROR(INDEX(建物清冊_匯入!$N$6:$N$1005,MATCH($A941,建物清冊_匯入!$A$6:$A$1005,0)),""))</f>
        <v/>
      </c>
      <c r="G941" s="9">
        <f>IF($A941="","",IFERROR(INDEX(建物清冊_匯入!$S$6:$S$1005,MATCH($A941,建物清冊_匯入!$A$6:$A$1005,0)),""))</f>
        <v/>
      </c>
      <c r="H941" s="7" t="n"/>
      <c r="I941" s="15" t="n"/>
      <c r="J941" s="16" t="n"/>
      <c r="K941" s="17">
        <f>IF(J941="","",1-J941)</f>
        <v/>
      </c>
      <c r="L941" s="15" t="n"/>
      <c r="M941" s="7" t="n"/>
      <c r="N941" s="7" t="n"/>
      <c r="O941" s="7" t="n"/>
      <c r="P941" s="11" t="n"/>
      <c r="Q941" s="7" t="n"/>
      <c r="R941" s="7" t="n"/>
      <c r="S941" s="7" t="n"/>
      <c r="T941" s="7" t="n"/>
      <c r="U941" s="12">
        <f>IF(A941="","",IF(H941="","建議填分配模式",""))</f>
        <v/>
      </c>
    </row>
    <row r="942" ht="24" customHeight="1">
      <c r="A942" s="7" t="n"/>
      <c r="B942" s="7" t="n"/>
      <c r="C942" s="7" t="n"/>
      <c r="D942" s="12">
        <f>IF($A942="","",IFERROR(INDEX(土地清冊_匯入!$B$6:$B$1005,MATCH($A942,土地清冊_匯入!$A$6:$A$1005,0)),"查無資料"))</f>
        <v/>
      </c>
      <c r="E942" s="9">
        <f>IF($A942="","",IFERROR(INDEX(土地清冊_匯入!$I$6:$I$1005,MATCH($A942,土地清冊_匯入!$A$6:$A$1005,0)),""))</f>
        <v/>
      </c>
      <c r="F942" s="13">
        <f>IF($A942="","",IFERROR(INDEX(建物清冊_匯入!$N$6:$N$1005,MATCH($A942,建物清冊_匯入!$A$6:$A$1005,0)),""))</f>
        <v/>
      </c>
      <c r="G942" s="9">
        <f>IF($A942="","",IFERROR(INDEX(建物清冊_匯入!$S$6:$S$1005,MATCH($A942,建物清冊_匯入!$A$6:$A$1005,0)),""))</f>
        <v/>
      </c>
      <c r="H942" s="7" t="n"/>
      <c r="I942" s="15" t="n"/>
      <c r="J942" s="16" t="n"/>
      <c r="K942" s="17">
        <f>IF(J942="","",1-J942)</f>
        <v/>
      </c>
      <c r="L942" s="15" t="n"/>
      <c r="M942" s="7" t="n"/>
      <c r="N942" s="7" t="n"/>
      <c r="O942" s="7" t="n"/>
      <c r="P942" s="11" t="n"/>
      <c r="Q942" s="7" t="n"/>
      <c r="R942" s="7" t="n"/>
      <c r="S942" s="7" t="n"/>
      <c r="T942" s="7" t="n"/>
      <c r="U942" s="12">
        <f>IF(A942="","",IF(H942="","建議填分配模式",""))</f>
        <v/>
      </c>
    </row>
    <row r="943" ht="24" customHeight="1">
      <c r="A943" s="7" t="n"/>
      <c r="B943" s="7" t="n"/>
      <c r="C943" s="7" t="n"/>
      <c r="D943" s="12">
        <f>IF($A943="","",IFERROR(INDEX(土地清冊_匯入!$B$6:$B$1005,MATCH($A943,土地清冊_匯入!$A$6:$A$1005,0)),"查無資料"))</f>
        <v/>
      </c>
      <c r="E943" s="9">
        <f>IF($A943="","",IFERROR(INDEX(土地清冊_匯入!$I$6:$I$1005,MATCH($A943,土地清冊_匯入!$A$6:$A$1005,0)),""))</f>
        <v/>
      </c>
      <c r="F943" s="13">
        <f>IF($A943="","",IFERROR(INDEX(建物清冊_匯入!$N$6:$N$1005,MATCH($A943,建物清冊_匯入!$A$6:$A$1005,0)),""))</f>
        <v/>
      </c>
      <c r="G943" s="9">
        <f>IF($A943="","",IFERROR(INDEX(建物清冊_匯入!$S$6:$S$1005,MATCH($A943,建物清冊_匯入!$A$6:$A$1005,0)),""))</f>
        <v/>
      </c>
      <c r="H943" s="7" t="n"/>
      <c r="I943" s="15" t="n"/>
      <c r="J943" s="16" t="n"/>
      <c r="K943" s="17">
        <f>IF(J943="","",1-J943)</f>
        <v/>
      </c>
      <c r="L943" s="15" t="n"/>
      <c r="M943" s="7" t="n"/>
      <c r="N943" s="7" t="n"/>
      <c r="O943" s="7" t="n"/>
      <c r="P943" s="11" t="n"/>
      <c r="Q943" s="7" t="n"/>
      <c r="R943" s="7" t="n"/>
      <c r="S943" s="7" t="n"/>
      <c r="T943" s="7" t="n"/>
      <c r="U943" s="12">
        <f>IF(A943="","",IF(H943="","建議填分配模式",""))</f>
        <v/>
      </c>
    </row>
    <row r="944" ht="24" customHeight="1">
      <c r="A944" s="7" t="n"/>
      <c r="B944" s="7" t="n"/>
      <c r="C944" s="7" t="n"/>
      <c r="D944" s="12">
        <f>IF($A944="","",IFERROR(INDEX(土地清冊_匯入!$B$6:$B$1005,MATCH($A944,土地清冊_匯入!$A$6:$A$1005,0)),"查無資料"))</f>
        <v/>
      </c>
      <c r="E944" s="9">
        <f>IF($A944="","",IFERROR(INDEX(土地清冊_匯入!$I$6:$I$1005,MATCH($A944,土地清冊_匯入!$A$6:$A$1005,0)),""))</f>
        <v/>
      </c>
      <c r="F944" s="13">
        <f>IF($A944="","",IFERROR(INDEX(建物清冊_匯入!$N$6:$N$1005,MATCH($A944,建物清冊_匯入!$A$6:$A$1005,0)),""))</f>
        <v/>
      </c>
      <c r="G944" s="9">
        <f>IF($A944="","",IFERROR(INDEX(建物清冊_匯入!$S$6:$S$1005,MATCH($A944,建物清冊_匯入!$A$6:$A$1005,0)),""))</f>
        <v/>
      </c>
      <c r="H944" s="7" t="n"/>
      <c r="I944" s="15" t="n"/>
      <c r="J944" s="16" t="n"/>
      <c r="K944" s="17">
        <f>IF(J944="","",1-J944)</f>
        <v/>
      </c>
      <c r="L944" s="15" t="n"/>
      <c r="M944" s="7" t="n"/>
      <c r="N944" s="7" t="n"/>
      <c r="O944" s="7" t="n"/>
      <c r="P944" s="11" t="n"/>
      <c r="Q944" s="7" t="n"/>
      <c r="R944" s="7" t="n"/>
      <c r="S944" s="7" t="n"/>
      <c r="T944" s="7" t="n"/>
      <c r="U944" s="12">
        <f>IF(A944="","",IF(H944="","建議填分配模式",""))</f>
        <v/>
      </c>
    </row>
    <row r="945" ht="24" customHeight="1">
      <c r="A945" s="7" t="n"/>
      <c r="B945" s="7" t="n"/>
      <c r="C945" s="7" t="n"/>
      <c r="D945" s="12">
        <f>IF($A945="","",IFERROR(INDEX(土地清冊_匯入!$B$6:$B$1005,MATCH($A945,土地清冊_匯入!$A$6:$A$1005,0)),"查無資料"))</f>
        <v/>
      </c>
      <c r="E945" s="9">
        <f>IF($A945="","",IFERROR(INDEX(土地清冊_匯入!$I$6:$I$1005,MATCH($A945,土地清冊_匯入!$A$6:$A$1005,0)),""))</f>
        <v/>
      </c>
      <c r="F945" s="13">
        <f>IF($A945="","",IFERROR(INDEX(建物清冊_匯入!$N$6:$N$1005,MATCH($A945,建物清冊_匯入!$A$6:$A$1005,0)),""))</f>
        <v/>
      </c>
      <c r="G945" s="9">
        <f>IF($A945="","",IFERROR(INDEX(建物清冊_匯入!$S$6:$S$1005,MATCH($A945,建物清冊_匯入!$A$6:$A$1005,0)),""))</f>
        <v/>
      </c>
      <c r="H945" s="7" t="n"/>
      <c r="I945" s="15" t="n"/>
      <c r="J945" s="16" t="n"/>
      <c r="K945" s="17">
        <f>IF(J945="","",1-J945)</f>
        <v/>
      </c>
      <c r="L945" s="15" t="n"/>
      <c r="M945" s="7" t="n"/>
      <c r="N945" s="7" t="n"/>
      <c r="O945" s="7" t="n"/>
      <c r="P945" s="11" t="n"/>
      <c r="Q945" s="7" t="n"/>
      <c r="R945" s="7" t="n"/>
      <c r="S945" s="7" t="n"/>
      <c r="T945" s="7" t="n"/>
      <c r="U945" s="12">
        <f>IF(A945="","",IF(H945="","建議填分配模式",""))</f>
        <v/>
      </c>
    </row>
    <row r="946" ht="24" customHeight="1">
      <c r="A946" s="7" t="n"/>
      <c r="B946" s="7" t="n"/>
      <c r="C946" s="7" t="n"/>
      <c r="D946" s="12">
        <f>IF($A946="","",IFERROR(INDEX(土地清冊_匯入!$B$6:$B$1005,MATCH($A946,土地清冊_匯入!$A$6:$A$1005,0)),"查無資料"))</f>
        <v/>
      </c>
      <c r="E946" s="9">
        <f>IF($A946="","",IFERROR(INDEX(土地清冊_匯入!$I$6:$I$1005,MATCH($A946,土地清冊_匯入!$A$6:$A$1005,0)),""))</f>
        <v/>
      </c>
      <c r="F946" s="13">
        <f>IF($A946="","",IFERROR(INDEX(建物清冊_匯入!$N$6:$N$1005,MATCH($A946,建物清冊_匯入!$A$6:$A$1005,0)),""))</f>
        <v/>
      </c>
      <c r="G946" s="9">
        <f>IF($A946="","",IFERROR(INDEX(建物清冊_匯入!$S$6:$S$1005,MATCH($A946,建物清冊_匯入!$A$6:$A$1005,0)),""))</f>
        <v/>
      </c>
      <c r="H946" s="7" t="n"/>
      <c r="I946" s="15" t="n"/>
      <c r="J946" s="16" t="n"/>
      <c r="K946" s="17">
        <f>IF(J946="","",1-J946)</f>
        <v/>
      </c>
      <c r="L946" s="15" t="n"/>
      <c r="M946" s="7" t="n"/>
      <c r="N946" s="7" t="n"/>
      <c r="O946" s="7" t="n"/>
      <c r="P946" s="11" t="n"/>
      <c r="Q946" s="7" t="n"/>
      <c r="R946" s="7" t="n"/>
      <c r="S946" s="7" t="n"/>
      <c r="T946" s="7" t="n"/>
      <c r="U946" s="12">
        <f>IF(A946="","",IF(H946="","建議填分配模式",""))</f>
        <v/>
      </c>
    </row>
    <row r="947" ht="24" customHeight="1">
      <c r="A947" s="7" t="n"/>
      <c r="B947" s="7" t="n"/>
      <c r="C947" s="7" t="n"/>
      <c r="D947" s="12">
        <f>IF($A947="","",IFERROR(INDEX(土地清冊_匯入!$B$6:$B$1005,MATCH($A947,土地清冊_匯入!$A$6:$A$1005,0)),"查無資料"))</f>
        <v/>
      </c>
      <c r="E947" s="9">
        <f>IF($A947="","",IFERROR(INDEX(土地清冊_匯入!$I$6:$I$1005,MATCH($A947,土地清冊_匯入!$A$6:$A$1005,0)),""))</f>
        <v/>
      </c>
      <c r="F947" s="13">
        <f>IF($A947="","",IFERROR(INDEX(建物清冊_匯入!$N$6:$N$1005,MATCH($A947,建物清冊_匯入!$A$6:$A$1005,0)),""))</f>
        <v/>
      </c>
      <c r="G947" s="9">
        <f>IF($A947="","",IFERROR(INDEX(建物清冊_匯入!$S$6:$S$1005,MATCH($A947,建物清冊_匯入!$A$6:$A$1005,0)),""))</f>
        <v/>
      </c>
      <c r="H947" s="7" t="n"/>
      <c r="I947" s="15" t="n"/>
      <c r="J947" s="16" t="n"/>
      <c r="K947" s="17">
        <f>IF(J947="","",1-J947)</f>
        <v/>
      </c>
      <c r="L947" s="15" t="n"/>
      <c r="M947" s="7" t="n"/>
      <c r="N947" s="7" t="n"/>
      <c r="O947" s="7" t="n"/>
      <c r="P947" s="11" t="n"/>
      <c r="Q947" s="7" t="n"/>
      <c r="R947" s="7" t="n"/>
      <c r="S947" s="7" t="n"/>
      <c r="T947" s="7" t="n"/>
      <c r="U947" s="12">
        <f>IF(A947="","",IF(H947="","建議填分配模式",""))</f>
        <v/>
      </c>
    </row>
    <row r="948" ht="24" customHeight="1">
      <c r="A948" s="7" t="n"/>
      <c r="B948" s="7" t="n"/>
      <c r="C948" s="7" t="n"/>
      <c r="D948" s="12">
        <f>IF($A948="","",IFERROR(INDEX(土地清冊_匯入!$B$6:$B$1005,MATCH($A948,土地清冊_匯入!$A$6:$A$1005,0)),"查無資料"))</f>
        <v/>
      </c>
      <c r="E948" s="9">
        <f>IF($A948="","",IFERROR(INDEX(土地清冊_匯入!$I$6:$I$1005,MATCH($A948,土地清冊_匯入!$A$6:$A$1005,0)),""))</f>
        <v/>
      </c>
      <c r="F948" s="13">
        <f>IF($A948="","",IFERROR(INDEX(建物清冊_匯入!$N$6:$N$1005,MATCH($A948,建物清冊_匯入!$A$6:$A$1005,0)),""))</f>
        <v/>
      </c>
      <c r="G948" s="9">
        <f>IF($A948="","",IFERROR(INDEX(建物清冊_匯入!$S$6:$S$1005,MATCH($A948,建物清冊_匯入!$A$6:$A$1005,0)),""))</f>
        <v/>
      </c>
      <c r="H948" s="7" t="n"/>
      <c r="I948" s="15" t="n"/>
      <c r="J948" s="16" t="n"/>
      <c r="K948" s="17">
        <f>IF(J948="","",1-J948)</f>
        <v/>
      </c>
      <c r="L948" s="15" t="n"/>
      <c r="M948" s="7" t="n"/>
      <c r="N948" s="7" t="n"/>
      <c r="O948" s="7" t="n"/>
      <c r="P948" s="11" t="n"/>
      <c r="Q948" s="7" t="n"/>
      <c r="R948" s="7" t="n"/>
      <c r="S948" s="7" t="n"/>
      <c r="T948" s="7" t="n"/>
      <c r="U948" s="12">
        <f>IF(A948="","",IF(H948="","建議填分配模式",""))</f>
        <v/>
      </c>
    </row>
    <row r="949" ht="24" customHeight="1">
      <c r="A949" s="7" t="n"/>
      <c r="B949" s="7" t="n"/>
      <c r="C949" s="7" t="n"/>
      <c r="D949" s="12">
        <f>IF($A949="","",IFERROR(INDEX(土地清冊_匯入!$B$6:$B$1005,MATCH($A949,土地清冊_匯入!$A$6:$A$1005,0)),"查無資料"))</f>
        <v/>
      </c>
      <c r="E949" s="9">
        <f>IF($A949="","",IFERROR(INDEX(土地清冊_匯入!$I$6:$I$1005,MATCH($A949,土地清冊_匯入!$A$6:$A$1005,0)),""))</f>
        <v/>
      </c>
      <c r="F949" s="13">
        <f>IF($A949="","",IFERROR(INDEX(建物清冊_匯入!$N$6:$N$1005,MATCH($A949,建物清冊_匯入!$A$6:$A$1005,0)),""))</f>
        <v/>
      </c>
      <c r="G949" s="9">
        <f>IF($A949="","",IFERROR(INDEX(建物清冊_匯入!$S$6:$S$1005,MATCH($A949,建物清冊_匯入!$A$6:$A$1005,0)),""))</f>
        <v/>
      </c>
      <c r="H949" s="7" t="n"/>
      <c r="I949" s="15" t="n"/>
      <c r="J949" s="16" t="n"/>
      <c r="K949" s="17">
        <f>IF(J949="","",1-J949)</f>
        <v/>
      </c>
      <c r="L949" s="15" t="n"/>
      <c r="M949" s="7" t="n"/>
      <c r="N949" s="7" t="n"/>
      <c r="O949" s="7" t="n"/>
      <c r="P949" s="11" t="n"/>
      <c r="Q949" s="7" t="n"/>
      <c r="R949" s="7" t="n"/>
      <c r="S949" s="7" t="n"/>
      <c r="T949" s="7" t="n"/>
      <c r="U949" s="12">
        <f>IF(A949="","",IF(H949="","建議填分配模式",""))</f>
        <v/>
      </c>
    </row>
    <row r="950" ht="24" customHeight="1">
      <c r="A950" s="7" t="n"/>
      <c r="B950" s="7" t="n"/>
      <c r="C950" s="7" t="n"/>
      <c r="D950" s="12">
        <f>IF($A950="","",IFERROR(INDEX(土地清冊_匯入!$B$6:$B$1005,MATCH($A950,土地清冊_匯入!$A$6:$A$1005,0)),"查無資料"))</f>
        <v/>
      </c>
      <c r="E950" s="9">
        <f>IF($A950="","",IFERROR(INDEX(土地清冊_匯入!$I$6:$I$1005,MATCH($A950,土地清冊_匯入!$A$6:$A$1005,0)),""))</f>
        <v/>
      </c>
      <c r="F950" s="13">
        <f>IF($A950="","",IFERROR(INDEX(建物清冊_匯入!$N$6:$N$1005,MATCH($A950,建物清冊_匯入!$A$6:$A$1005,0)),""))</f>
        <v/>
      </c>
      <c r="G950" s="9">
        <f>IF($A950="","",IFERROR(INDEX(建物清冊_匯入!$S$6:$S$1005,MATCH($A950,建物清冊_匯入!$A$6:$A$1005,0)),""))</f>
        <v/>
      </c>
      <c r="H950" s="7" t="n"/>
      <c r="I950" s="15" t="n"/>
      <c r="J950" s="16" t="n"/>
      <c r="K950" s="17">
        <f>IF(J950="","",1-J950)</f>
        <v/>
      </c>
      <c r="L950" s="15" t="n"/>
      <c r="M950" s="7" t="n"/>
      <c r="N950" s="7" t="n"/>
      <c r="O950" s="7" t="n"/>
      <c r="P950" s="11" t="n"/>
      <c r="Q950" s="7" t="n"/>
      <c r="R950" s="7" t="n"/>
      <c r="S950" s="7" t="n"/>
      <c r="T950" s="7" t="n"/>
      <c r="U950" s="12">
        <f>IF(A950="","",IF(H950="","建議填分配模式",""))</f>
        <v/>
      </c>
    </row>
    <row r="951" ht="24" customHeight="1">
      <c r="A951" s="7" t="n"/>
      <c r="B951" s="7" t="n"/>
      <c r="C951" s="7" t="n"/>
      <c r="D951" s="12">
        <f>IF($A951="","",IFERROR(INDEX(土地清冊_匯入!$B$6:$B$1005,MATCH($A951,土地清冊_匯入!$A$6:$A$1005,0)),"查無資料"))</f>
        <v/>
      </c>
      <c r="E951" s="9">
        <f>IF($A951="","",IFERROR(INDEX(土地清冊_匯入!$I$6:$I$1005,MATCH($A951,土地清冊_匯入!$A$6:$A$1005,0)),""))</f>
        <v/>
      </c>
      <c r="F951" s="13">
        <f>IF($A951="","",IFERROR(INDEX(建物清冊_匯入!$N$6:$N$1005,MATCH($A951,建物清冊_匯入!$A$6:$A$1005,0)),""))</f>
        <v/>
      </c>
      <c r="G951" s="9">
        <f>IF($A951="","",IFERROR(INDEX(建物清冊_匯入!$S$6:$S$1005,MATCH($A951,建物清冊_匯入!$A$6:$A$1005,0)),""))</f>
        <v/>
      </c>
      <c r="H951" s="7" t="n"/>
      <c r="I951" s="15" t="n"/>
      <c r="J951" s="16" t="n"/>
      <c r="K951" s="17">
        <f>IF(J951="","",1-J951)</f>
        <v/>
      </c>
      <c r="L951" s="15" t="n"/>
      <c r="M951" s="7" t="n"/>
      <c r="N951" s="7" t="n"/>
      <c r="O951" s="7" t="n"/>
      <c r="P951" s="11" t="n"/>
      <c r="Q951" s="7" t="n"/>
      <c r="R951" s="7" t="n"/>
      <c r="S951" s="7" t="n"/>
      <c r="T951" s="7" t="n"/>
      <c r="U951" s="12">
        <f>IF(A951="","",IF(H951="","建議填分配模式",""))</f>
        <v/>
      </c>
    </row>
    <row r="952" ht="24" customHeight="1">
      <c r="A952" s="7" t="n"/>
      <c r="B952" s="7" t="n"/>
      <c r="C952" s="7" t="n"/>
      <c r="D952" s="12">
        <f>IF($A952="","",IFERROR(INDEX(土地清冊_匯入!$B$6:$B$1005,MATCH($A952,土地清冊_匯入!$A$6:$A$1005,0)),"查無資料"))</f>
        <v/>
      </c>
      <c r="E952" s="9">
        <f>IF($A952="","",IFERROR(INDEX(土地清冊_匯入!$I$6:$I$1005,MATCH($A952,土地清冊_匯入!$A$6:$A$1005,0)),""))</f>
        <v/>
      </c>
      <c r="F952" s="13">
        <f>IF($A952="","",IFERROR(INDEX(建物清冊_匯入!$N$6:$N$1005,MATCH($A952,建物清冊_匯入!$A$6:$A$1005,0)),""))</f>
        <v/>
      </c>
      <c r="G952" s="9">
        <f>IF($A952="","",IFERROR(INDEX(建物清冊_匯入!$S$6:$S$1005,MATCH($A952,建物清冊_匯入!$A$6:$A$1005,0)),""))</f>
        <v/>
      </c>
      <c r="H952" s="7" t="n"/>
      <c r="I952" s="15" t="n"/>
      <c r="J952" s="16" t="n"/>
      <c r="K952" s="17">
        <f>IF(J952="","",1-J952)</f>
        <v/>
      </c>
      <c r="L952" s="15" t="n"/>
      <c r="M952" s="7" t="n"/>
      <c r="N952" s="7" t="n"/>
      <c r="O952" s="7" t="n"/>
      <c r="P952" s="11" t="n"/>
      <c r="Q952" s="7" t="n"/>
      <c r="R952" s="7" t="n"/>
      <c r="S952" s="7" t="n"/>
      <c r="T952" s="7" t="n"/>
      <c r="U952" s="12">
        <f>IF(A952="","",IF(H952="","建議填分配模式",""))</f>
        <v/>
      </c>
    </row>
    <row r="953" ht="24" customHeight="1">
      <c r="A953" s="7" t="n"/>
      <c r="B953" s="7" t="n"/>
      <c r="C953" s="7" t="n"/>
      <c r="D953" s="12">
        <f>IF($A953="","",IFERROR(INDEX(土地清冊_匯入!$B$6:$B$1005,MATCH($A953,土地清冊_匯入!$A$6:$A$1005,0)),"查無資料"))</f>
        <v/>
      </c>
      <c r="E953" s="9">
        <f>IF($A953="","",IFERROR(INDEX(土地清冊_匯入!$I$6:$I$1005,MATCH($A953,土地清冊_匯入!$A$6:$A$1005,0)),""))</f>
        <v/>
      </c>
      <c r="F953" s="13">
        <f>IF($A953="","",IFERROR(INDEX(建物清冊_匯入!$N$6:$N$1005,MATCH($A953,建物清冊_匯入!$A$6:$A$1005,0)),""))</f>
        <v/>
      </c>
      <c r="G953" s="9">
        <f>IF($A953="","",IFERROR(INDEX(建物清冊_匯入!$S$6:$S$1005,MATCH($A953,建物清冊_匯入!$A$6:$A$1005,0)),""))</f>
        <v/>
      </c>
      <c r="H953" s="7" t="n"/>
      <c r="I953" s="15" t="n"/>
      <c r="J953" s="16" t="n"/>
      <c r="K953" s="17">
        <f>IF(J953="","",1-J953)</f>
        <v/>
      </c>
      <c r="L953" s="15" t="n"/>
      <c r="M953" s="7" t="n"/>
      <c r="N953" s="7" t="n"/>
      <c r="O953" s="7" t="n"/>
      <c r="P953" s="11" t="n"/>
      <c r="Q953" s="7" t="n"/>
      <c r="R953" s="7" t="n"/>
      <c r="S953" s="7" t="n"/>
      <c r="T953" s="7" t="n"/>
      <c r="U953" s="12">
        <f>IF(A953="","",IF(H953="","建議填分配模式",""))</f>
        <v/>
      </c>
    </row>
    <row r="954" ht="24" customHeight="1">
      <c r="A954" s="7" t="n"/>
      <c r="B954" s="7" t="n"/>
      <c r="C954" s="7" t="n"/>
      <c r="D954" s="12">
        <f>IF($A954="","",IFERROR(INDEX(土地清冊_匯入!$B$6:$B$1005,MATCH($A954,土地清冊_匯入!$A$6:$A$1005,0)),"查無資料"))</f>
        <v/>
      </c>
      <c r="E954" s="9">
        <f>IF($A954="","",IFERROR(INDEX(土地清冊_匯入!$I$6:$I$1005,MATCH($A954,土地清冊_匯入!$A$6:$A$1005,0)),""))</f>
        <v/>
      </c>
      <c r="F954" s="13">
        <f>IF($A954="","",IFERROR(INDEX(建物清冊_匯入!$N$6:$N$1005,MATCH($A954,建物清冊_匯入!$A$6:$A$1005,0)),""))</f>
        <v/>
      </c>
      <c r="G954" s="9">
        <f>IF($A954="","",IFERROR(INDEX(建物清冊_匯入!$S$6:$S$1005,MATCH($A954,建物清冊_匯入!$A$6:$A$1005,0)),""))</f>
        <v/>
      </c>
      <c r="H954" s="7" t="n"/>
      <c r="I954" s="15" t="n"/>
      <c r="J954" s="16" t="n"/>
      <c r="K954" s="17">
        <f>IF(J954="","",1-J954)</f>
        <v/>
      </c>
      <c r="L954" s="15" t="n"/>
      <c r="M954" s="7" t="n"/>
      <c r="N954" s="7" t="n"/>
      <c r="O954" s="7" t="n"/>
      <c r="P954" s="11" t="n"/>
      <c r="Q954" s="7" t="n"/>
      <c r="R954" s="7" t="n"/>
      <c r="S954" s="7" t="n"/>
      <c r="T954" s="7" t="n"/>
      <c r="U954" s="12">
        <f>IF(A954="","",IF(H954="","建議填分配模式",""))</f>
        <v/>
      </c>
    </row>
    <row r="955" ht="24" customHeight="1">
      <c r="A955" s="7" t="n"/>
      <c r="B955" s="7" t="n"/>
      <c r="C955" s="7" t="n"/>
      <c r="D955" s="12">
        <f>IF($A955="","",IFERROR(INDEX(土地清冊_匯入!$B$6:$B$1005,MATCH($A955,土地清冊_匯入!$A$6:$A$1005,0)),"查無資料"))</f>
        <v/>
      </c>
      <c r="E955" s="9">
        <f>IF($A955="","",IFERROR(INDEX(土地清冊_匯入!$I$6:$I$1005,MATCH($A955,土地清冊_匯入!$A$6:$A$1005,0)),""))</f>
        <v/>
      </c>
      <c r="F955" s="13">
        <f>IF($A955="","",IFERROR(INDEX(建物清冊_匯入!$N$6:$N$1005,MATCH($A955,建物清冊_匯入!$A$6:$A$1005,0)),""))</f>
        <v/>
      </c>
      <c r="G955" s="9">
        <f>IF($A955="","",IFERROR(INDEX(建物清冊_匯入!$S$6:$S$1005,MATCH($A955,建物清冊_匯入!$A$6:$A$1005,0)),""))</f>
        <v/>
      </c>
      <c r="H955" s="7" t="n"/>
      <c r="I955" s="15" t="n"/>
      <c r="J955" s="16" t="n"/>
      <c r="K955" s="17">
        <f>IF(J955="","",1-J955)</f>
        <v/>
      </c>
      <c r="L955" s="15" t="n"/>
      <c r="M955" s="7" t="n"/>
      <c r="N955" s="7" t="n"/>
      <c r="O955" s="7" t="n"/>
      <c r="P955" s="11" t="n"/>
      <c r="Q955" s="7" t="n"/>
      <c r="R955" s="7" t="n"/>
      <c r="S955" s="7" t="n"/>
      <c r="T955" s="7" t="n"/>
      <c r="U955" s="12">
        <f>IF(A955="","",IF(H955="","建議填分配模式",""))</f>
        <v/>
      </c>
    </row>
    <row r="956" ht="24" customHeight="1">
      <c r="A956" s="7" t="n"/>
      <c r="B956" s="7" t="n"/>
      <c r="C956" s="7" t="n"/>
      <c r="D956" s="12">
        <f>IF($A956="","",IFERROR(INDEX(土地清冊_匯入!$B$6:$B$1005,MATCH($A956,土地清冊_匯入!$A$6:$A$1005,0)),"查無資料"))</f>
        <v/>
      </c>
      <c r="E956" s="9">
        <f>IF($A956="","",IFERROR(INDEX(土地清冊_匯入!$I$6:$I$1005,MATCH($A956,土地清冊_匯入!$A$6:$A$1005,0)),""))</f>
        <v/>
      </c>
      <c r="F956" s="13">
        <f>IF($A956="","",IFERROR(INDEX(建物清冊_匯入!$N$6:$N$1005,MATCH($A956,建物清冊_匯入!$A$6:$A$1005,0)),""))</f>
        <v/>
      </c>
      <c r="G956" s="9">
        <f>IF($A956="","",IFERROR(INDEX(建物清冊_匯入!$S$6:$S$1005,MATCH($A956,建物清冊_匯入!$A$6:$A$1005,0)),""))</f>
        <v/>
      </c>
      <c r="H956" s="7" t="n"/>
      <c r="I956" s="15" t="n"/>
      <c r="J956" s="16" t="n"/>
      <c r="K956" s="17">
        <f>IF(J956="","",1-J956)</f>
        <v/>
      </c>
      <c r="L956" s="15" t="n"/>
      <c r="M956" s="7" t="n"/>
      <c r="N956" s="7" t="n"/>
      <c r="O956" s="7" t="n"/>
      <c r="P956" s="11" t="n"/>
      <c r="Q956" s="7" t="n"/>
      <c r="R956" s="7" t="n"/>
      <c r="S956" s="7" t="n"/>
      <c r="T956" s="7" t="n"/>
      <c r="U956" s="12">
        <f>IF(A956="","",IF(H956="","建議填分配模式",""))</f>
        <v/>
      </c>
    </row>
    <row r="957" ht="24" customHeight="1">
      <c r="A957" s="7" t="n"/>
      <c r="B957" s="7" t="n"/>
      <c r="C957" s="7" t="n"/>
      <c r="D957" s="12">
        <f>IF($A957="","",IFERROR(INDEX(土地清冊_匯入!$B$6:$B$1005,MATCH($A957,土地清冊_匯入!$A$6:$A$1005,0)),"查無資料"))</f>
        <v/>
      </c>
      <c r="E957" s="9">
        <f>IF($A957="","",IFERROR(INDEX(土地清冊_匯入!$I$6:$I$1005,MATCH($A957,土地清冊_匯入!$A$6:$A$1005,0)),""))</f>
        <v/>
      </c>
      <c r="F957" s="13">
        <f>IF($A957="","",IFERROR(INDEX(建物清冊_匯入!$N$6:$N$1005,MATCH($A957,建物清冊_匯入!$A$6:$A$1005,0)),""))</f>
        <v/>
      </c>
      <c r="G957" s="9">
        <f>IF($A957="","",IFERROR(INDEX(建物清冊_匯入!$S$6:$S$1005,MATCH($A957,建物清冊_匯入!$A$6:$A$1005,0)),""))</f>
        <v/>
      </c>
      <c r="H957" s="7" t="n"/>
      <c r="I957" s="15" t="n"/>
      <c r="J957" s="16" t="n"/>
      <c r="K957" s="17">
        <f>IF(J957="","",1-J957)</f>
        <v/>
      </c>
      <c r="L957" s="15" t="n"/>
      <c r="M957" s="7" t="n"/>
      <c r="N957" s="7" t="n"/>
      <c r="O957" s="7" t="n"/>
      <c r="P957" s="11" t="n"/>
      <c r="Q957" s="7" t="n"/>
      <c r="R957" s="7" t="n"/>
      <c r="S957" s="7" t="n"/>
      <c r="T957" s="7" t="n"/>
      <c r="U957" s="12">
        <f>IF(A957="","",IF(H957="","建議填分配模式",""))</f>
        <v/>
      </c>
    </row>
    <row r="958" ht="24" customHeight="1">
      <c r="A958" s="7" t="n"/>
      <c r="B958" s="7" t="n"/>
      <c r="C958" s="7" t="n"/>
      <c r="D958" s="12">
        <f>IF($A958="","",IFERROR(INDEX(土地清冊_匯入!$B$6:$B$1005,MATCH($A958,土地清冊_匯入!$A$6:$A$1005,0)),"查無資料"))</f>
        <v/>
      </c>
      <c r="E958" s="9">
        <f>IF($A958="","",IFERROR(INDEX(土地清冊_匯入!$I$6:$I$1005,MATCH($A958,土地清冊_匯入!$A$6:$A$1005,0)),""))</f>
        <v/>
      </c>
      <c r="F958" s="13">
        <f>IF($A958="","",IFERROR(INDEX(建物清冊_匯入!$N$6:$N$1005,MATCH($A958,建物清冊_匯入!$A$6:$A$1005,0)),""))</f>
        <v/>
      </c>
      <c r="G958" s="9">
        <f>IF($A958="","",IFERROR(INDEX(建物清冊_匯入!$S$6:$S$1005,MATCH($A958,建物清冊_匯入!$A$6:$A$1005,0)),""))</f>
        <v/>
      </c>
      <c r="H958" s="7" t="n"/>
      <c r="I958" s="15" t="n"/>
      <c r="J958" s="16" t="n"/>
      <c r="K958" s="17">
        <f>IF(J958="","",1-J958)</f>
        <v/>
      </c>
      <c r="L958" s="15" t="n"/>
      <c r="M958" s="7" t="n"/>
      <c r="N958" s="7" t="n"/>
      <c r="O958" s="7" t="n"/>
      <c r="P958" s="11" t="n"/>
      <c r="Q958" s="7" t="n"/>
      <c r="R958" s="7" t="n"/>
      <c r="S958" s="7" t="n"/>
      <c r="T958" s="7" t="n"/>
      <c r="U958" s="12">
        <f>IF(A958="","",IF(H958="","建議填分配模式",""))</f>
        <v/>
      </c>
    </row>
    <row r="959" ht="24" customHeight="1">
      <c r="A959" s="7" t="n"/>
      <c r="B959" s="7" t="n"/>
      <c r="C959" s="7" t="n"/>
      <c r="D959" s="12">
        <f>IF($A959="","",IFERROR(INDEX(土地清冊_匯入!$B$6:$B$1005,MATCH($A959,土地清冊_匯入!$A$6:$A$1005,0)),"查無資料"))</f>
        <v/>
      </c>
      <c r="E959" s="9">
        <f>IF($A959="","",IFERROR(INDEX(土地清冊_匯入!$I$6:$I$1005,MATCH($A959,土地清冊_匯入!$A$6:$A$1005,0)),""))</f>
        <v/>
      </c>
      <c r="F959" s="13">
        <f>IF($A959="","",IFERROR(INDEX(建物清冊_匯入!$N$6:$N$1005,MATCH($A959,建物清冊_匯入!$A$6:$A$1005,0)),""))</f>
        <v/>
      </c>
      <c r="G959" s="9">
        <f>IF($A959="","",IFERROR(INDEX(建物清冊_匯入!$S$6:$S$1005,MATCH($A959,建物清冊_匯入!$A$6:$A$1005,0)),""))</f>
        <v/>
      </c>
      <c r="H959" s="7" t="n"/>
      <c r="I959" s="15" t="n"/>
      <c r="J959" s="16" t="n"/>
      <c r="K959" s="17">
        <f>IF(J959="","",1-J959)</f>
        <v/>
      </c>
      <c r="L959" s="15" t="n"/>
      <c r="M959" s="7" t="n"/>
      <c r="N959" s="7" t="n"/>
      <c r="O959" s="7" t="n"/>
      <c r="P959" s="11" t="n"/>
      <c r="Q959" s="7" t="n"/>
      <c r="R959" s="7" t="n"/>
      <c r="S959" s="7" t="n"/>
      <c r="T959" s="7" t="n"/>
      <c r="U959" s="12">
        <f>IF(A959="","",IF(H959="","建議填分配模式",""))</f>
        <v/>
      </c>
    </row>
    <row r="960" ht="24" customHeight="1">
      <c r="A960" s="7" t="n"/>
      <c r="B960" s="7" t="n"/>
      <c r="C960" s="7" t="n"/>
      <c r="D960" s="12">
        <f>IF($A960="","",IFERROR(INDEX(土地清冊_匯入!$B$6:$B$1005,MATCH($A960,土地清冊_匯入!$A$6:$A$1005,0)),"查無資料"))</f>
        <v/>
      </c>
      <c r="E960" s="9">
        <f>IF($A960="","",IFERROR(INDEX(土地清冊_匯入!$I$6:$I$1005,MATCH($A960,土地清冊_匯入!$A$6:$A$1005,0)),""))</f>
        <v/>
      </c>
      <c r="F960" s="13">
        <f>IF($A960="","",IFERROR(INDEX(建物清冊_匯入!$N$6:$N$1005,MATCH($A960,建物清冊_匯入!$A$6:$A$1005,0)),""))</f>
        <v/>
      </c>
      <c r="G960" s="9">
        <f>IF($A960="","",IFERROR(INDEX(建物清冊_匯入!$S$6:$S$1005,MATCH($A960,建物清冊_匯入!$A$6:$A$1005,0)),""))</f>
        <v/>
      </c>
      <c r="H960" s="7" t="n"/>
      <c r="I960" s="15" t="n"/>
      <c r="J960" s="16" t="n"/>
      <c r="K960" s="17">
        <f>IF(J960="","",1-J960)</f>
        <v/>
      </c>
      <c r="L960" s="15" t="n"/>
      <c r="M960" s="7" t="n"/>
      <c r="N960" s="7" t="n"/>
      <c r="O960" s="7" t="n"/>
      <c r="P960" s="11" t="n"/>
      <c r="Q960" s="7" t="n"/>
      <c r="R960" s="7" t="n"/>
      <c r="S960" s="7" t="n"/>
      <c r="T960" s="7" t="n"/>
      <c r="U960" s="12">
        <f>IF(A960="","",IF(H960="","建議填分配模式",""))</f>
        <v/>
      </c>
    </row>
    <row r="961" ht="24" customHeight="1">
      <c r="A961" s="7" t="n"/>
      <c r="B961" s="7" t="n"/>
      <c r="C961" s="7" t="n"/>
      <c r="D961" s="12">
        <f>IF($A961="","",IFERROR(INDEX(土地清冊_匯入!$B$6:$B$1005,MATCH($A961,土地清冊_匯入!$A$6:$A$1005,0)),"查無資料"))</f>
        <v/>
      </c>
      <c r="E961" s="9">
        <f>IF($A961="","",IFERROR(INDEX(土地清冊_匯入!$I$6:$I$1005,MATCH($A961,土地清冊_匯入!$A$6:$A$1005,0)),""))</f>
        <v/>
      </c>
      <c r="F961" s="13">
        <f>IF($A961="","",IFERROR(INDEX(建物清冊_匯入!$N$6:$N$1005,MATCH($A961,建物清冊_匯入!$A$6:$A$1005,0)),""))</f>
        <v/>
      </c>
      <c r="G961" s="9">
        <f>IF($A961="","",IFERROR(INDEX(建物清冊_匯入!$S$6:$S$1005,MATCH($A961,建物清冊_匯入!$A$6:$A$1005,0)),""))</f>
        <v/>
      </c>
      <c r="H961" s="7" t="n"/>
      <c r="I961" s="15" t="n"/>
      <c r="J961" s="16" t="n"/>
      <c r="K961" s="17">
        <f>IF(J961="","",1-J961)</f>
        <v/>
      </c>
      <c r="L961" s="15" t="n"/>
      <c r="M961" s="7" t="n"/>
      <c r="N961" s="7" t="n"/>
      <c r="O961" s="7" t="n"/>
      <c r="P961" s="11" t="n"/>
      <c r="Q961" s="7" t="n"/>
      <c r="R961" s="7" t="n"/>
      <c r="S961" s="7" t="n"/>
      <c r="T961" s="7" t="n"/>
      <c r="U961" s="12">
        <f>IF(A961="","",IF(H961="","建議填分配模式",""))</f>
        <v/>
      </c>
    </row>
    <row r="962" ht="24" customHeight="1">
      <c r="A962" s="7" t="n"/>
      <c r="B962" s="7" t="n"/>
      <c r="C962" s="7" t="n"/>
      <c r="D962" s="12">
        <f>IF($A962="","",IFERROR(INDEX(土地清冊_匯入!$B$6:$B$1005,MATCH($A962,土地清冊_匯入!$A$6:$A$1005,0)),"查無資料"))</f>
        <v/>
      </c>
      <c r="E962" s="9">
        <f>IF($A962="","",IFERROR(INDEX(土地清冊_匯入!$I$6:$I$1005,MATCH($A962,土地清冊_匯入!$A$6:$A$1005,0)),""))</f>
        <v/>
      </c>
      <c r="F962" s="13">
        <f>IF($A962="","",IFERROR(INDEX(建物清冊_匯入!$N$6:$N$1005,MATCH($A962,建物清冊_匯入!$A$6:$A$1005,0)),""))</f>
        <v/>
      </c>
      <c r="G962" s="9">
        <f>IF($A962="","",IFERROR(INDEX(建物清冊_匯入!$S$6:$S$1005,MATCH($A962,建物清冊_匯入!$A$6:$A$1005,0)),""))</f>
        <v/>
      </c>
      <c r="H962" s="7" t="n"/>
      <c r="I962" s="15" t="n"/>
      <c r="J962" s="16" t="n"/>
      <c r="K962" s="17">
        <f>IF(J962="","",1-J962)</f>
        <v/>
      </c>
      <c r="L962" s="15" t="n"/>
      <c r="M962" s="7" t="n"/>
      <c r="N962" s="7" t="n"/>
      <c r="O962" s="7" t="n"/>
      <c r="P962" s="11" t="n"/>
      <c r="Q962" s="7" t="n"/>
      <c r="R962" s="7" t="n"/>
      <c r="S962" s="7" t="n"/>
      <c r="T962" s="7" t="n"/>
      <c r="U962" s="12">
        <f>IF(A962="","",IF(H962="","建議填分配模式",""))</f>
        <v/>
      </c>
    </row>
    <row r="963" ht="24" customHeight="1">
      <c r="A963" s="7" t="n"/>
      <c r="B963" s="7" t="n"/>
      <c r="C963" s="7" t="n"/>
      <c r="D963" s="12">
        <f>IF($A963="","",IFERROR(INDEX(土地清冊_匯入!$B$6:$B$1005,MATCH($A963,土地清冊_匯入!$A$6:$A$1005,0)),"查無資料"))</f>
        <v/>
      </c>
      <c r="E963" s="9">
        <f>IF($A963="","",IFERROR(INDEX(土地清冊_匯入!$I$6:$I$1005,MATCH($A963,土地清冊_匯入!$A$6:$A$1005,0)),""))</f>
        <v/>
      </c>
      <c r="F963" s="13">
        <f>IF($A963="","",IFERROR(INDEX(建物清冊_匯入!$N$6:$N$1005,MATCH($A963,建物清冊_匯入!$A$6:$A$1005,0)),""))</f>
        <v/>
      </c>
      <c r="G963" s="9">
        <f>IF($A963="","",IFERROR(INDEX(建物清冊_匯入!$S$6:$S$1005,MATCH($A963,建物清冊_匯入!$A$6:$A$1005,0)),""))</f>
        <v/>
      </c>
      <c r="H963" s="7" t="n"/>
      <c r="I963" s="15" t="n"/>
      <c r="J963" s="16" t="n"/>
      <c r="K963" s="17">
        <f>IF(J963="","",1-J963)</f>
        <v/>
      </c>
      <c r="L963" s="15" t="n"/>
      <c r="M963" s="7" t="n"/>
      <c r="N963" s="7" t="n"/>
      <c r="O963" s="7" t="n"/>
      <c r="P963" s="11" t="n"/>
      <c r="Q963" s="7" t="n"/>
      <c r="R963" s="7" t="n"/>
      <c r="S963" s="7" t="n"/>
      <c r="T963" s="7" t="n"/>
      <c r="U963" s="12">
        <f>IF(A963="","",IF(H963="","建議填分配模式",""))</f>
        <v/>
      </c>
    </row>
    <row r="964" ht="24" customHeight="1">
      <c r="A964" s="7" t="n"/>
      <c r="B964" s="7" t="n"/>
      <c r="C964" s="7" t="n"/>
      <c r="D964" s="12">
        <f>IF($A964="","",IFERROR(INDEX(土地清冊_匯入!$B$6:$B$1005,MATCH($A964,土地清冊_匯入!$A$6:$A$1005,0)),"查無資料"))</f>
        <v/>
      </c>
      <c r="E964" s="9">
        <f>IF($A964="","",IFERROR(INDEX(土地清冊_匯入!$I$6:$I$1005,MATCH($A964,土地清冊_匯入!$A$6:$A$1005,0)),""))</f>
        <v/>
      </c>
      <c r="F964" s="13">
        <f>IF($A964="","",IFERROR(INDEX(建物清冊_匯入!$N$6:$N$1005,MATCH($A964,建物清冊_匯入!$A$6:$A$1005,0)),""))</f>
        <v/>
      </c>
      <c r="G964" s="9">
        <f>IF($A964="","",IFERROR(INDEX(建物清冊_匯入!$S$6:$S$1005,MATCH($A964,建物清冊_匯入!$A$6:$A$1005,0)),""))</f>
        <v/>
      </c>
      <c r="H964" s="7" t="n"/>
      <c r="I964" s="15" t="n"/>
      <c r="J964" s="16" t="n"/>
      <c r="K964" s="17">
        <f>IF(J964="","",1-J964)</f>
        <v/>
      </c>
      <c r="L964" s="15" t="n"/>
      <c r="M964" s="7" t="n"/>
      <c r="N964" s="7" t="n"/>
      <c r="O964" s="7" t="n"/>
      <c r="P964" s="11" t="n"/>
      <c r="Q964" s="7" t="n"/>
      <c r="R964" s="7" t="n"/>
      <c r="S964" s="7" t="n"/>
      <c r="T964" s="7" t="n"/>
      <c r="U964" s="12">
        <f>IF(A964="","",IF(H964="","建議填分配模式",""))</f>
        <v/>
      </c>
    </row>
    <row r="965" ht="24" customHeight="1">
      <c r="A965" s="7" t="n"/>
      <c r="B965" s="7" t="n"/>
      <c r="C965" s="7" t="n"/>
      <c r="D965" s="12">
        <f>IF($A965="","",IFERROR(INDEX(土地清冊_匯入!$B$6:$B$1005,MATCH($A965,土地清冊_匯入!$A$6:$A$1005,0)),"查無資料"))</f>
        <v/>
      </c>
      <c r="E965" s="9">
        <f>IF($A965="","",IFERROR(INDEX(土地清冊_匯入!$I$6:$I$1005,MATCH($A965,土地清冊_匯入!$A$6:$A$1005,0)),""))</f>
        <v/>
      </c>
      <c r="F965" s="13">
        <f>IF($A965="","",IFERROR(INDEX(建物清冊_匯入!$N$6:$N$1005,MATCH($A965,建物清冊_匯入!$A$6:$A$1005,0)),""))</f>
        <v/>
      </c>
      <c r="G965" s="9">
        <f>IF($A965="","",IFERROR(INDEX(建物清冊_匯入!$S$6:$S$1005,MATCH($A965,建物清冊_匯入!$A$6:$A$1005,0)),""))</f>
        <v/>
      </c>
      <c r="H965" s="7" t="n"/>
      <c r="I965" s="15" t="n"/>
      <c r="J965" s="16" t="n"/>
      <c r="K965" s="17">
        <f>IF(J965="","",1-J965)</f>
        <v/>
      </c>
      <c r="L965" s="15" t="n"/>
      <c r="M965" s="7" t="n"/>
      <c r="N965" s="7" t="n"/>
      <c r="O965" s="7" t="n"/>
      <c r="P965" s="11" t="n"/>
      <c r="Q965" s="7" t="n"/>
      <c r="R965" s="7" t="n"/>
      <c r="S965" s="7" t="n"/>
      <c r="T965" s="7" t="n"/>
      <c r="U965" s="12">
        <f>IF(A965="","",IF(H965="","建議填分配模式",""))</f>
        <v/>
      </c>
    </row>
    <row r="966" ht="24" customHeight="1">
      <c r="A966" s="7" t="n"/>
      <c r="B966" s="7" t="n"/>
      <c r="C966" s="7" t="n"/>
      <c r="D966" s="12">
        <f>IF($A966="","",IFERROR(INDEX(土地清冊_匯入!$B$6:$B$1005,MATCH($A966,土地清冊_匯入!$A$6:$A$1005,0)),"查無資料"))</f>
        <v/>
      </c>
      <c r="E966" s="9">
        <f>IF($A966="","",IFERROR(INDEX(土地清冊_匯入!$I$6:$I$1005,MATCH($A966,土地清冊_匯入!$A$6:$A$1005,0)),""))</f>
        <v/>
      </c>
      <c r="F966" s="13">
        <f>IF($A966="","",IFERROR(INDEX(建物清冊_匯入!$N$6:$N$1005,MATCH($A966,建物清冊_匯入!$A$6:$A$1005,0)),""))</f>
        <v/>
      </c>
      <c r="G966" s="9">
        <f>IF($A966="","",IFERROR(INDEX(建物清冊_匯入!$S$6:$S$1005,MATCH($A966,建物清冊_匯入!$A$6:$A$1005,0)),""))</f>
        <v/>
      </c>
      <c r="H966" s="7" t="n"/>
      <c r="I966" s="15" t="n"/>
      <c r="J966" s="16" t="n"/>
      <c r="K966" s="17">
        <f>IF(J966="","",1-J966)</f>
        <v/>
      </c>
      <c r="L966" s="15" t="n"/>
      <c r="M966" s="7" t="n"/>
      <c r="N966" s="7" t="n"/>
      <c r="O966" s="7" t="n"/>
      <c r="P966" s="11" t="n"/>
      <c r="Q966" s="7" t="n"/>
      <c r="R966" s="7" t="n"/>
      <c r="S966" s="7" t="n"/>
      <c r="T966" s="7" t="n"/>
      <c r="U966" s="12">
        <f>IF(A966="","",IF(H966="","建議填分配模式",""))</f>
        <v/>
      </c>
    </row>
    <row r="967" ht="24" customHeight="1">
      <c r="A967" s="7" t="n"/>
      <c r="B967" s="7" t="n"/>
      <c r="C967" s="7" t="n"/>
      <c r="D967" s="12">
        <f>IF($A967="","",IFERROR(INDEX(土地清冊_匯入!$B$6:$B$1005,MATCH($A967,土地清冊_匯入!$A$6:$A$1005,0)),"查無資料"))</f>
        <v/>
      </c>
      <c r="E967" s="9">
        <f>IF($A967="","",IFERROR(INDEX(土地清冊_匯入!$I$6:$I$1005,MATCH($A967,土地清冊_匯入!$A$6:$A$1005,0)),""))</f>
        <v/>
      </c>
      <c r="F967" s="13">
        <f>IF($A967="","",IFERROR(INDEX(建物清冊_匯入!$N$6:$N$1005,MATCH($A967,建物清冊_匯入!$A$6:$A$1005,0)),""))</f>
        <v/>
      </c>
      <c r="G967" s="9">
        <f>IF($A967="","",IFERROR(INDEX(建物清冊_匯入!$S$6:$S$1005,MATCH($A967,建物清冊_匯入!$A$6:$A$1005,0)),""))</f>
        <v/>
      </c>
      <c r="H967" s="7" t="n"/>
      <c r="I967" s="15" t="n"/>
      <c r="J967" s="16" t="n"/>
      <c r="K967" s="17">
        <f>IF(J967="","",1-J967)</f>
        <v/>
      </c>
      <c r="L967" s="15" t="n"/>
      <c r="M967" s="7" t="n"/>
      <c r="N967" s="7" t="n"/>
      <c r="O967" s="7" t="n"/>
      <c r="P967" s="11" t="n"/>
      <c r="Q967" s="7" t="n"/>
      <c r="R967" s="7" t="n"/>
      <c r="S967" s="7" t="n"/>
      <c r="T967" s="7" t="n"/>
      <c r="U967" s="12">
        <f>IF(A967="","",IF(H967="","建議填分配模式",""))</f>
        <v/>
      </c>
    </row>
    <row r="968" ht="24" customHeight="1">
      <c r="A968" s="7" t="n"/>
      <c r="B968" s="7" t="n"/>
      <c r="C968" s="7" t="n"/>
      <c r="D968" s="12">
        <f>IF($A968="","",IFERROR(INDEX(土地清冊_匯入!$B$6:$B$1005,MATCH($A968,土地清冊_匯入!$A$6:$A$1005,0)),"查無資料"))</f>
        <v/>
      </c>
      <c r="E968" s="9">
        <f>IF($A968="","",IFERROR(INDEX(土地清冊_匯入!$I$6:$I$1005,MATCH($A968,土地清冊_匯入!$A$6:$A$1005,0)),""))</f>
        <v/>
      </c>
      <c r="F968" s="13">
        <f>IF($A968="","",IFERROR(INDEX(建物清冊_匯入!$N$6:$N$1005,MATCH($A968,建物清冊_匯入!$A$6:$A$1005,0)),""))</f>
        <v/>
      </c>
      <c r="G968" s="9">
        <f>IF($A968="","",IFERROR(INDEX(建物清冊_匯入!$S$6:$S$1005,MATCH($A968,建物清冊_匯入!$A$6:$A$1005,0)),""))</f>
        <v/>
      </c>
      <c r="H968" s="7" t="n"/>
      <c r="I968" s="15" t="n"/>
      <c r="J968" s="16" t="n"/>
      <c r="K968" s="17">
        <f>IF(J968="","",1-J968)</f>
        <v/>
      </c>
      <c r="L968" s="15" t="n"/>
      <c r="M968" s="7" t="n"/>
      <c r="N968" s="7" t="n"/>
      <c r="O968" s="7" t="n"/>
      <c r="P968" s="11" t="n"/>
      <c r="Q968" s="7" t="n"/>
      <c r="R968" s="7" t="n"/>
      <c r="S968" s="7" t="n"/>
      <c r="T968" s="7" t="n"/>
      <c r="U968" s="12">
        <f>IF(A968="","",IF(H968="","建議填分配模式",""))</f>
        <v/>
      </c>
    </row>
    <row r="969" ht="24" customHeight="1">
      <c r="A969" s="7" t="n"/>
      <c r="B969" s="7" t="n"/>
      <c r="C969" s="7" t="n"/>
      <c r="D969" s="12">
        <f>IF($A969="","",IFERROR(INDEX(土地清冊_匯入!$B$6:$B$1005,MATCH($A969,土地清冊_匯入!$A$6:$A$1005,0)),"查無資料"))</f>
        <v/>
      </c>
      <c r="E969" s="9">
        <f>IF($A969="","",IFERROR(INDEX(土地清冊_匯入!$I$6:$I$1005,MATCH($A969,土地清冊_匯入!$A$6:$A$1005,0)),""))</f>
        <v/>
      </c>
      <c r="F969" s="13">
        <f>IF($A969="","",IFERROR(INDEX(建物清冊_匯入!$N$6:$N$1005,MATCH($A969,建物清冊_匯入!$A$6:$A$1005,0)),""))</f>
        <v/>
      </c>
      <c r="G969" s="9">
        <f>IF($A969="","",IFERROR(INDEX(建物清冊_匯入!$S$6:$S$1005,MATCH($A969,建物清冊_匯入!$A$6:$A$1005,0)),""))</f>
        <v/>
      </c>
      <c r="H969" s="7" t="n"/>
      <c r="I969" s="15" t="n"/>
      <c r="J969" s="16" t="n"/>
      <c r="K969" s="17">
        <f>IF(J969="","",1-J969)</f>
        <v/>
      </c>
      <c r="L969" s="15" t="n"/>
      <c r="M969" s="7" t="n"/>
      <c r="N969" s="7" t="n"/>
      <c r="O969" s="7" t="n"/>
      <c r="P969" s="11" t="n"/>
      <c r="Q969" s="7" t="n"/>
      <c r="R969" s="7" t="n"/>
      <c r="S969" s="7" t="n"/>
      <c r="T969" s="7" t="n"/>
      <c r="U969" s="12">
        <f>IF(A969="","",IF(H969="","建議填分配模式",""))</f>
        <v/>
      </c>
    </row>
    <row r="970" ht="24" customHeight="1">
      <c r="A970" s="7" t="n"/>
      <c r="B970" s="7" t="n"/>
      <c r="C970" s="7" t="n"/>
      <c r="D970" s="12">
        <f>IF($A970="","",IFERROR(INDEX(土地清冊_匯入!$B$6:$B$1005,MATCH($A970,土地清冊_匯入!$A$6:$A$1005,0)),"查無資料"))</f>
        <v/>
      </c>
      <c r="E970" s="9">
        <f>IF($A970="","",IFERROR(INDEX(土地清冊_匯入!$I$6:$I$1005,MATCH($A970,土地清冊_匯入!$A$6:$A$1005,0)),""))</f>
        <v/>
      </c>
      <c r="F970" s="13">
        <f>IF($A970="","",IFERROR(INDEX(建物清冊_匯入!$N$6:$N$1005,MATCH($A970,建物清冊_匯入!$A$6:$A$1005,0)),""))</f>
        <v/>
      </c>
      <c r="G970" s="9">
        <f>IF($A970="","",IFERROR(INDEX(建物清冊_匯入!$S$6:$S$1005,MATCH($A970,建物清冊_匯入!$A$6:$A$1005,0)),""))</f>
        <v/>
      </c>
      <c r="H970" s="7" t="n"/>
      <c r="I970" s="15" t="n"/>
      <c r="J970" s="16" t="n"/>
      <c r="K970" s="17">
        <f>IF(J970="","",1-J970)</f>
        <v/>
      </c>
      <c r="L970" s="15" t="n"/>
      <c r="M970" s="7" t="n"/>
      <c r="N970" s="7" t="n"/>
      <c r="O970" s="7" t="n"/>
      <c r="P970" s="11" t="n"/>
      <c r="Q970" s="7" t="n"/>
      <c r="R970" s="7" t="n"/>
      <c r="S970" s="7" t="n"/>
      <c r="T970" s="7" t="n"/>
      <c r="U970" s="12">
        <f>IF(A970="","",IF(H970="","建議填分配模式",""))</f>
        <v/>
      </c>
    </row>
    <row r="971" ht="24" customHeight="1">
      <c r="A971" s="7" t="n"/>
      <c r="B971" s="7" t="n"/>
      <c r="C971" s="7" t="n"/>
      <c r="D971" s="12">
        <f>IF($A971="","",IFERROR(INDEX(土地清冊_匯入!$B$6:$B$1005,MATCH($A971,土地清冊_匯入!$A$6:$A$1005,0)),"查無資料"))</f>
        <v/>
      </c>
      <c r="E971" s="9">
        <f>IF($A971="","",IFERROR(INDEX(土地清冊_匯入!$I$6:$I$1005,MATCH($A971,土地清冊_匯入!$A$6:$A$1005,0)),""))</f>
        <v/>
      </c>
      <c r="F971" s="13">
        <f>IF($A971="","",IFERROR(INDEX(建物清冊_匯入!$N$6:$N$1005,MATCH($A971,建物清冊_匯入!$A$6:$A$1005,0)),""))</f>
        <v/>
      </c>
      <c r="G971" s="9">
        <f>IF($A971="","",IFERROR(INDEX(建物清冊_匯入!$S$6:$S$1005,MATCH($A971,建物清冊_匯入!$A$6:$A$1005,0)),""))</f>
        <v/>
      </c>
      <c r="H971" s="7" t="n"/>
      <c r="I971" s="15" t="n"/>
      <c r="J971" s="16" t="n"/>
      <c r="K971" s="17">
        <f>IF(J971="","",1-J971)</f>
        <v/>
      </c>
      <c r="L971" s="15" t="n"/>
      <c r="M971" s="7" t="n"/>
      <c r="N971" s="7" t="n"/>
      <c r="O971" s="7" t="n"/>
      <c r="P971" s="11" t="n"/>
      <c r="Q971" s="7" t="n"/>
      <c r="R971" s="7" t="n"/>
      <c r="S971" s="7" t="n"/>
      <c r="T971" s="7" t="n"/>
      <c r="U971" s="12">
        <f>IF(A971="","",IF(H971="","建議填分配模式",""))</f>
        <v/>
      </c>
    </row>
    <row r="972" ht="24" customHeight="1">
      <c r="A972" s="7" t="n"/>
      <c r="B972" s="7" t="n"/>
      <c r="C972" s="7" t="n"/>
      <c r="D972" s="12">
        <f>IF($A972="","",IFERROR(INDEX(土地清冊_匯入!$B$6:$B$1005,MATCH($A972,土地清冊_匯入!$A$6:$A$1005,0)),"查無資料"))</f>
        <v/>
      </c>
      <c r="E972" s="9">
        <f>IF($A972="","",IFERROR(INDEX(土地清冊_匯入!$I$6:$I$1005,MATCH($A972,土地清冊_匯入!$A$6:$A$1005,0)),""))</f>
        <v/>
      </c>
      <c r="F972" s="13">
        <f>IF($A972="","",IFERROR(INDEX(建物清冊_匯入!$N$6:$N$1005,MATCH($A972,建物清冊_匯入!$A$6:$A$1005,0)),""))</f>
        <v/>
      </c>
      <c r="G972" s="9">
        <f>IF($A972="","",IFERROR(INDEX(建物清冊_匯入!$S$6:$S$1005,MATCH($A972,建物清冊_匯入!$A$6:$A$1005,0)),""))</f>
        <v/>
      </c>
      <c r="H972" s="7" t="n"/>
      <c r="I972" s="15" t="n"/>
      <c r="J972" s="16" t="n"/>
      <c r="K972" s="17">
        <f>IF(J972="","",1-J972)</f>
        <v/>
      </c>
      <c r="L972" s="15" t="n"/>
      <c r="M972" s="7" t="n"/>
      <c r="N972" s="7" t="n"/>
      <c r="O972" s="7" t="n"/>
      <c r="P972" s="11" t="n"/>
      <c r="Q972" s="7" t="n"/>
      <c r="R972" s="7" t="n"/>
      <c r="S972" s="7" t="n"/>
      <c r="T972" s="7" t="n"/>
      <c r="U972" s="12">
        <f>IF(A972="","",IF(H972="","建議填分配模式",""))</f>
        <v/>
      </c>
    </row>
    <row r="973" ht="24" customHeight="1">
      <c r="A973" s="7" t="n"/>
      <c r="B973" s="7" t="n"/>
      <c r="C973" s="7" t="n"/>
      <c r="D973" s="12">
        <f>IF($A973="","",IFERROR(INDEX(土地清冊_匯入!$B$6:$B$1005,MATCH($A973,土地清冊_匯入!$A$6:$A$1005,0)),"查無資料"))</f>
        <v/>
      </c>
      <c r="E973" s="9">
        <f>IF($A973="","",IFERROR(INDEX(土地清冊_匯入!$I$6:$I$1005,MATCH($A973,土地清冊_匯入!$A$6:$A$1005,0)),""))</f>
        <v/>
      </c>
      <c r="F973" s="13">
        <f>IF($A973="","",IFERROR(INDEX(建物清冊_匯入!$N$6:$N$1005,MATCH($A973,建物清冊_匯入!$A$6:$A$1005,0)),""))</f>
        <v/>
      </c>
      <c r="G973" s="9">
        <f>IF($A973="","",IFERROR(INDEX(建物清冊_匯入!$S$6:$S$1005,MATCH($A973,建物清冊_匯入!$A$6:$A$1005,0)),""))</f>
        <v/>
      </c>
      <c r="H973" s="7" t="n"/>
      <c r="I973" s="15" t="n"/>
      <c r="J973" s="16" t="n"/>
      <c r="K973" s="17">
        <f>IF(J973="","",1-J973)</f>
        <v/>
      </c>
      <c r="L973" s="15" t="n"/>
      <c r="M973" s="7" t="n"/>
      <c r="N973" s="7" t="n"/>
      <c r="O973" s="7" t="n"/>
      <c r="P973" s="11" t="n"/>
      <c r="Q973" s="7" t="n"/>
      <c r="R973" s="7" t="n"/>
      <c r="S973" s="7" t="n"/>
      <c r="T973" s="7" t="n"/>
      <c r="U973" s="12">
        <f>IF(A973="","",IF(H973="","建議填分配模式",""))</f>
        <v/>
      </c>
    </row>
    <row r="974" ht="24" customHeight="1">
      <c r="A974" s="7" t="n"/>
      <c r="B974" s="7" t="n"/>
      <c r="C974" s="7" t="n"/>
      <c r="D974" s="12">
        <f>IF($A974="","",IFERROR(INDEX(土地清冊_匯入!$B$6:$B$1005,MATCH($A974,土地清冊_匯入!$A$6:$A$1005,0)),"查無資料"))</f>
        <v/>
      </c>
      <c r="E974" s="9">
        <f>IF($A974="","",IFERROR(INDEX(土地清冊_匯入!$I$6:$I$1005,MATCH($A974,土地清冊_匯入!$A$6:$A$1005,0)),""))</f>
        <v/>
      </c>
      <c r="F974" s="13">
        <f>IF($A974="","",IFERROR(INDEX(建物清冊_匯入!$N$6:$N$1005,MATCH($A974,建物清冊_匯入!$A$6:$A$1005,0)),""))</f>
        <v/>
      </c>
      <c r="G974" s="9">
        <f>IF($A974="","",IFERROR(INDEX(建物清冊_匯入!$S$6:$S$1005,MATCH($A974,建物清冊_匯入!$A$6:$A$1005,0)),""))</f>
        <v/>
      </c>
      <c r="H974" s="7" t="n"/>
      <c r="I974" s="15" t="n"/>
      <c r="J974" s="16" t="n"/>
      <c r="K974" s="17">
        <f>IF(J974="","",1-J974)</f>
        <v/>
      </c>
      <c r="L974" s="15" t="n"/>
      <c r="M974" s="7" t="n"/>
      <c r="N974" s="7" t="n"/>
      <c r="O974" s="7" t="n"/>
      <c r="P974" s="11" t="n"/>
      <c r="Q974" s="7" t="n"/>
      <c r="R974" s="7" t="n"/>
      <c r="S974" s="7" t="n"/>
      <c r="T974" s="7" t="n"/>
      <c r="U974" s="12">
        <f>IF(A974="","",IF(H974="","建議填分配模式",""))</f>
        <v/>
      </c>
    </row>
    <row r="975" ht="24" customHeight="1">
      <c r="A975" s="7" t="n"/>
      <c r="B975" s="7" t="n"/>
      <c r="C975" s="7" t="n"/>
      <c r="D975" s="12">
        <f>IF($A975="","",IFERROR(INDEX(土地清冊_匯入!$B$6:$B$1005,MATCH($A975,土地清冊_匯入!$A$6:$A$1005,0)),"查無資料"))</f>
        <v/>
      </c>
      <c r="E975" s="9">
        <f>IF($A975="","",IFERROR(INDEX(土地清冊_匯入!$I$6:$I$1005,MATCH($A975,土地清冊_匯入!$A$6:$A$1005,0)),""))</f>
        <v/>
      </c>
      <c r="F975" s="13">
        <f>IF($A975="","",IFERROR(INDEX(建物清冊_匯入!$N$6:$N$1005,MATCH($A975,建物清冊_匯入!$A$6:$A$1005,0)),""))</f>
        <v/>
      </c>
      <c r="G975" s="9">
        <f>IF($A975="","",IFERROR(INDEX(建物清冊_匯入!$S$6:$S$1005,MATCH($A975,建物清冊_匯入!$A$6:$A$1005,0)),""))</f>
        <v/>
      </c>
      <c r="H975" s="7" t="n"/>
      <c r="I975" s="15" t="n"/>
      <c r="J975" s="16" t="n"/>
      <c r="K975" s="17">
        <f>IF(J975="","",1-J975)</f>
        <v/>
      </c>
      <c r="L975" s="15" t="n"/>
      <c r="M975" s="7" t="n"/>
      <c r="N975" s="7" t="n"/>
      <c r="O975" s="7" t="n"/>
      <c r="P975" s="11" t="n"/>
      <c r="Q975" s="7" t="n"/>
      <c r="R975" s="7" t="n"/>
      <c r="S975" s="7" t="n"/>
      <c r="T975" s="7" t="n"/>
      <c r="U975" s="12">
        <f>IF(A975="","",IF(H975="","建議填分配模式",""))</f>
        <v/>
      </c>
    </row>
    <row r="976" ht="24" customHeight="1">
      <c r="A976" s="7" t="n"/>
      <c r="B976" s="7" t="n"/>
      <c r="C976" s="7" t="n"/>
      <c r="D976" s="12">
        <f>IF($A976="","",IFERROR(INDEX(土地清冊_匯入!$B$6:$B$1005,MATCH($A976,土地清冊_匯入!$A$6:$A$1005,0)),"查無資料"))</f>
        <v/>
      </c>
      <c r="E976" s="9">
        <f>IF($A976="","",IFERROR(INDEX(土地清冊_匯入!$I$6:$I$1005,MATCH($A976,土地清冊_匯入!$A$6:$A$1005,0)),""))</f>
        <v/>
      </c>
      <c r="F976" s="13">
        <f>IF($A976="","",IFERROR(INDEX(建物清冊_匯入!$N$6:$N$1005,MATCH($A976,建物清冊_匯入!$A$6:$A$1005,0)),""))</f>
        <v/>
      </c>
      <c r="G976" s="9">
        <f>IF($A976="","",IFERROR(INDEX(建物清冊_匯入!$S$6:$S$1005,MATCH($A976,建物清冊_匯入!$A$6:$A$1005,0)),""))</f>
        <v/>
      </c>
      <c r="H976" s="7" t="n"/>
      <c r="I976" s="15" t="n"/>
      <c r="J976" s="16" t="n"/>
      <c r="K976" s="17">
        <f>IF(J976="","",1-J976)</f>
        <v/>
      </c>
      <c r="L976" s="15" t="n"/>
      <c r="M976" s="7" t="n"/>
      <c r="N976" s="7" t="n"/>
      <c r="O976" s="7" t="n"/>
      <c r="P976" s="11" t="n"/>
      <c r="Q976" s="7" t="n"/>
      <c r="R976" s="7" t="n"/>
      <c r="S976" s="7" t="n"/>
      <c r="T976" s="7" t="n"/>
      <c r="U976" s="12">
        <f>IF(A976="","",IF(H976="","建議填分配模式",""))</f>
        <v/>
      </c>
    </row>
    <row r="977" ht="24" customHeight="1">
      <c r="A977" s="7" t="n"/>
      <c r="B977" s="7" t="n"/>
      <c r="C977" s="7" t="n"/>
      <c r="D977" s="12">
        <f>IF($A977="","",IFERROR(INDEX(土地清冊_匯入!$B$6:$B$1005,MATCH($A977,土地清冊_匯入!$A$6:$A$1005,0)),"查無資料"))</f>
        <v/>
      </c>
      <c r="E977" s="9">
        <f>IF($A977="","",IFERROR(INDEX(土地清冊_匯入!$I$6:$I$1005,MATCH($A977,土地清冊_匯入!$A$6:$A$1005,0)),""))</f>
        <v/>
      </c>
      <c r="F977" s="13">
        <f>IF($A977="","",IFERROR(INDEX(建物清冊_匯入!$N$6:$N$1005,MATCH($A977,建物清冊_匯入!$A$6:$A$1005,0)),""))</f>
        <v/>
      </c>
      <c r="G977" s="9">
        <f>IF($A977="","",IFERROR(INDEX(建物清冊_匯入!$S$6:$S$1005,MATCH($A977,建物清冊_匯入!$A$6:$A$1005,0)),""))</f>
        <v/>
      </c>
      <c r="H977" s="7" t="n"/>
      <c r="I977" s="15" t="n"/>
      <c r="J977" s="16" t="n"/>
      <c r="K977" s="17">
        <f>IF(J977="","",1-J977)</f>
        <v/>
      </c>
      <c r="L977" s="15" t="n"/>
      <c r="M977" s="7" t="n"/>
      <c r="N977" s="7" t="n"/>
      <c r="O977" s="7" t="n"/>
      <c r="P977" s="11" t="n"/>
      <c r="Q977" s="7" t="n"/>
      <c r="R977" s="7" t="n"/>
      <c r="S977" s="7" t="n"/>
      <c r="T977" s="7" t="n"/>
      <c r="U977" s="12">
        <f>IF(A977="","",IF(H977="","建議填分配模式",""))</f>
        <v/>
      </c>
    </row>
    <row r="978" ht="24" customHeight="1">
      <c r="A978" s="7" t="n"/>
      <c r="B978" s="7" t="n"/>
      <c r="C978" s="7" t="n"/>
      <c r="D978" s="12">
        <f>IF($A978="","",IFERROR(INDEX(土地清冊_匯入!$B$6:$B$1005,MATCH($A978,土地清冊_匯入!$A$6:$A$1005,0)),"查無資料"))</f>
        <v/>
      </c>
      <c r="E978" s="9">
        <f>IF($A978="","",IFERROR(INDEX(土地清冊_匯入!$I$6:$I$1005,MATCH($A978,土地清冊_匯入!$A$6:$A$1005,0)),""))</f>
        <v/>
      </c>
      <c r="F978" s="13">
        <f>IF($A978="","",IFERROR(INDEX(建物清冊_匯入!$N$6:$N$1005,MATCH($A978,建物清冊_匯入!$A$6:$A$1005,0)),""))</f>
        <v/>
      </c>
      <c r="G978" s="9">
        <f>IF($A978="","",IFERROR(INDEX(建物清冊_匯入!$S$6:$S$1005,MATCH($A978,建物清冊_匯入!$A$6:$A$1005,0)),""))</f>
        <v/>
      </c>
      <c r="H978" s="7" t="n"/>
      <c r="I978" s="15" t="n"/>
      <c r="J978" s="16" t="n"/>
      <c r="K978" s="17">
        <f>IF(J978="","",1-J978)</f>
        <v/>
      </c>
      <c r="L978" s="15" t="n"/>
      <c r="M978" s="7" t="n"/>
      <c r="N978" s="7" t="n"/>
      <c r="O978" s="7" t="n"/>
      <c r="P978" s="11" t="n"/>
      <c r="Q978" s="7" t="n"/>
      <c r="R978" s="7" t="n"/>
      <c r="S978" s="7" t="n"/>
      <c r="T978" s="7" t="n"/>
      <c r="U978" s="12">
        <f>IF(A978="","",IF(H978="","建議填分配模式",""))</f>
        <v/>
      </c>
    </row>
    <row r="979" ht="24" customHeight="1">
      <c r="A979" s="7" t="n"/>
      <c r="B979" s="7" t="n"/>
      <c r="C979" s="7" t="n"/>
      <c r="D979" s="12">
        <f>IF($A979="","",IFERROR(INDEX(土地清冊_匯入!$B$6:$B$1005,MATCH($A979,土地清冊_匯入!$A$6:$A$1005,0)),"查無資料"))</f>
        <v/>
      </c>
      <c r="E979" s="9">
        <f>IF($A979="","",IFERROR(INDEX(土地清冊_匯入!$I$6:$I$1005,MATCH($A979,土地清冊_匯入!$A$6:$A$1005,0)),""))</f>
        <v/>
      </c>
      <c r="F979" s="13">
        <f>IF($A979="","",IFERROR(INDEX(建物清冊_匯入!$N$6:$N$1005,MATCH($A979,建物清冊_匯入!$A$6:$A$1005,0)),""))</f>
        <v/>
      </c>
      <c r="G979" s="9">
        <f>IF($A979="","",IFERROR(INDEX(建物清冊_匯入!$S$6:$S$1005,MATCH($A979,建物清冊_匯入!$A$6:$A$1005,0)),""))</f>
        <v/>
      </c>
      <c r="H979" s="7" t="n"/>
      <c r="I979" s="15" t="n"/>
      <c r="J979" s="16" t="n"/>
      <c r="K979" s="17">
        <f>IF(J979="","",1-J979)</f>
        <v/>
      </c>
      <c r="L979" s="15" t="n"/>
      <c r="M979" s="7" t="n"/>
      <c r="N979" s="7" t="n"/>
      <c r="O979" s="7" t="n"/>
      <c r="P979" s="11" t="n"/>
      <c r="Q979" s="7" t="n"/>
      <c r="R979" s="7" t="n"/>
      <c r="S979" s="7" t="n"/>
      <c r="T979" s="7" t="n"/>
      <c r="U979" s="12">
        <f>IF(A979="","",IF(H979="","建議填分配模式",""))</f>
        <v/>
      </c>
    </row>
    <row r="980" ht="24" customHeight="1">
      <c r="A980" s="7" t="n"/>
      <c r="B980" s="7" t="n"/>
      <c r="C980" s="7" t="n"/>
      <c r="D980" s="12">
        <f>IF($A980="","",IFERROR(INDEX(土地清冊_匯入!$B$6:$B$1005,MATCH($A980,土地清冊_匯入!$A$6:$A$1005,0)),"查無資料"))</f>
        <v/>
      </c>
      <c r="E980" s="9">
        <f>IF($A980="","",IFERROR(INDEX(土地清冊_匯入!$I$6:$I$1005,MATCH($A980,土地清冊_匯入!$A$6:$A$1005,0)),""))</f>
        <v/>
      </c>
      <c r="F980" s="13">
        <f>IF($A980="","",IFERROR(INDEX(建物清冊_匯入!$N$6:$N$1005,MATCH($A980,建物清冊_匯入!$A$6:$A$1005,0)),""))</f>
        <v/>
      </c>
      <c r="G980" s="9">
        <f>IF($A980="","",IFERROR(INDEX(建物清冊_匯入!$S$6:$S$1005,MATCH($A980,建物清冊_匯入!$A$6:$A$1005,0)),""))</f>
        <v/>
      </c>
      <c r="H980" s="7" t="n"/>
      <c r="I980" s="15" t="n"/>
      <c r="J980" s="16" t="n"/>
      <c r="K980" s="17">
        <f>IF(J980="","",1-J980)</f>
        <v/>
      </c>
      <c r="L980" s="15" t="n"/>
      <c r="M980" s="7" t="n"/>
      <c r="N980" s="7" t="n"/>
      <c r="O980" s="7" t="n"/>
      <c r="P980" s="11" t="n"/>
      <c r="Q980" s="7" t="n"/>
      <c r="R980" s="7" t="n"/>
      <c r="S980" s="7" t="n"/>
      <c r="T980" s="7" t="n"/>
      <c r="U980" s="12">
        <f>IF(A980="","",IF(H980="","建議填分配模式",""))</f>
        <v/>
      </c>
    </row>
    <row r="981" ht="24" customHeight="1">
      <c r="A981" s="7" t="n"/>
      <c r="B981" s="7" t="n"/>
      <c r="C981" s="7" t="n"/>
      <c r="D981" s="12">
        <f>IF($A981="","",IFERROR(INDEX(土地清冊_匯入!$B$6:$B$1005,MATCH($A981,土地清冊_匯入!$A$6:$A$1005,0)),"查無資料"))</f>
        <v/>
      </c>
      <c r="E981" s="9">
        <f>IF($A981="","",IFERROR(INDEX(土地清冊_匯入!$I$6:$I$1005,MATCH($A981,土地清冊_匯入!$A$6:$A$1005,0)),""))</f>
        <v/>
      </c>
      <c r="F981" s="13">
        <f>IF($A981="","",IFERROR(INDEX(建物清冊_匯入!$N$6:$N$1005,MATCH($A981,建物清冊_匯入!$A$6:$A$1005,0)),""))</f>
        <v/>
      </c>
      <c r="G981" s="9">
        <f>IF($A981="","",IFERROR(INDEX(建物清冊_匯入!$S$6:$S$1005,MATCH($A981,建物清冊_匯入!$A$6:$A$1005,0)),""))</f>
        <v/>
      </c>
      <c r="H981" s="7" t="n"/>
      <c r="I981" s="15" t="n"/>
      <c r="J981" s="16" t="n"/>
      <c r="K981" s="17">
        <f>IF(J981="","",1-J981)</f>
        <v/>
      </c>
      <c r="L981" s="15" t="n"/>
      <c r="M981" s="7" t="n"/>
      <c r="N981" s="7" t="n"/>
      <c r="O981" s="7" t="n"/>
      <c r="P981" s="11" t="n"/>
      <c r="Q981" s="7" t="n"/>
      <c r="R981" s="7" t="n"/>
      <c r="S981" s="7" t="n"/>
      <c r="T981" s="7" t="n"/>
      <c r="U981" s="12">
        <f>IF(A981="","",IF(H981="","建議填分配模式",""))</f>
        <v/>
      </c>
    </row>
    <row r="982" ht="24" customHeight="1">
      <c r="A982" s="7" t="n"/>
      <c r="B982" s="7" t="n"/>
      <c r="C982" s="7" t="n"/>
      <c r="D982" s="12">
        <f>IF($A982="","",IFERROR(INDEX(土地清冊_匯入!$B$6:$B$1005,MATCH($A982,土地清冊_匯入!$A$6:$A$1005,0)),"查無資料"))</f>
        <v/>
      </c>
      <c r="E982" s="9">
        <f>IF($A982="","",IFERROR(INDEX(土地清冊_匯入!$I$6:$I$1005,MATCH($A982,土地清冊_匯入!$A$6:$A$1005,0)),""))</f>
        <v/>
      </c>
      <c r="F982" s="13">
        <f>IF($A982="","",IFERROR(INDEX(建物清冊_匯入!$N$6:$N$1005,MATCH($A982,建物清冊_匯入!$A$6:$A$1005,0)),""))</f>
        <v/>
      </c>
      <c r="G982" s="9">
        <f>IF($A982="","",IFERROR(INDEX(建物清冊_匯入!$S$6:$S$1005,MATCH($A982,建物清冊_匯入!$A$6:$A$1005,0)),""))</f>
        <v/>
      </c>
      <c r="H982" s="7" t="n"/>
      <c r="I982" s="15" t="n"/>
      <c r="J982" s="16" t="n"/>
      <c r="K982" s="17">
        <f>IF(J982="","",1-J982)</f>
        <v/>
      </c>
      <c r="L982" s="15" t="n"/>
      <c r="M982" s="7" t="n"/>
      <c r="N982" s="7" t="n"/>
      <c r="O982" s="7" t="n"/>
      <c r="P982" s="11" t="n"/>
      <c r="Q982" s="7" t="n"/>
      <c r="R982" s="7" t="n"/>
      <c r="S982" s="7" t="n"/>
      <c r="T982" s="7" t="n"/>
      <c r="U982" s="12">
        <f>IF(A982="","",IF(H982="","建議填分配模式",""))</f>
        <v/>
      </c>
    </row>
    <row r="983" ht="24" customHeight="1">
      <c r="A983" s="7" t="n"/>
      <c r="B983" s="7" t="n"/>
      <c r="C983" s="7" t="n"/>
      <c r="D983" s="12">
        <f>IF($A983="","",IFERROR(INDEX(土地清冊_匯入!$B$6:$B$1005,MATCH($A983,土地清冊_匯入!$A$6:$A$1005,0)),"查無資料"))</f>
        <v/>
      </c>
      <c r="E983" s="9">
        <f>IF($A983="","",IFERROR(INDEX(土地清冊_匯入!$I$6:$I$1005,MATCH($A983,土地清冊_匯入!$A$6:$A$1005,0)),""))</f>
        <v/>
      </c>
      <c r="F983" s="13">
        <f>IF($A983="","",IFERROR(INDEX(建物清冊_匯入!$N$6:$N$1005,MATCH($A983,建物清冊_匯入!$A$6:$A$1005,0)),""))</f>
        <v/>
      </c>
      <c r="G983" s="9">
        <f>IF($A983="","",IFERROR(INDEX(建物清冊_匯入!$S$6:$S$1005,MATCH($A983,建物清冊_匯入!$A$6:$A$1005,0)),""))</f>
        <v/>
      </c>
      <c r="H983" s="7" t="n"/>
      <c r="I983" s="15" t="n"/>
      <c r="J983" s="16" t="n"/>
      <c r="K983" s="17">
        <f>IF(J983="","",1-J983)</f>
        <v/>
      </c>
      <c r="L983" s="15" t="n"/>
      <c r="M983" s="7" t="n"/>
      <c r="N983" s="7" t="n"/>
      <c r="O983" s="7" t="n"/>
      <c r="P983" s="11" t="n"/>
      <c r="Q983" s="7" t="n"/>
      <c r="R983" s="7" t="n"/>
      <c r="S983" s="7" t="n"/>
      <c r="T983" s="7" t="n"/>
      <c r="U983" s="12">
        <f>IF(A983="","",IF(H983="","建議填分配模式",""))</f>
        <v/>
      </c>
    </row>
    <row r="984" ht="24" customHeight="1">
      <c r="A984" s="7" t="n"/>
      <c r="B984" s="7" t="n"/>
      <c r="C984" s="7" t="n"/>
      <c r="D984" s="12">
        <f>IF($A984="","",IFERROR(INDEX(土地清冊_匯入!$B$6:$B$1005,MATCH($A984,土地清冊_匯入!$A$6:$A$1005,0)),"查無資料"))</f>
        <v/>
      </c>
      <c r="E984" s="9">
        <f>IF($A984="","",IFERROR(INDEX(土地清冊_匯入!$I$6:$I$1005,MATCH($A984,土地清冊_匯入!$A$6:$A$1005,0)),""))</f>
        <v/>
      </c>
      <c r="F984" s="13">
        <f>IF($A984="","",IFERROR(INDEX(建物清冊_匯入!$N$6:$N$1005,MATCH($A984,建物清冊_匯入!$A$6:$A$1005,0)),""))</f>
        <v/>
      </c>
      <c r="G984" s="9">
        <f>IF($A984="","",IFERROR(INDEX(建物清冊_匯入!$S$6:$S$1005,MATCH($A984,建物清冊_匯入!$A$6:$A$1005,0)),""))</f>
        <v/>
      </c>
      <c r="H984" s="7" t="n"/>
      <c r="I984" s="15" t="n"/>
      <c r="J984" s="16" t="n"/>
      <c r="K984" s="17">
        <f>IF(J984="","",1-J984)</f>
        <v/>
      </c>
      <c r="L984" s="15" t="n"/>
      <c r="M984" s="7" t="n"/>
      <c r="N984" s="7" t="n"/>
      <c r="O984" s="7" t="n"/>
      <c r="P984" s="11" t="n"/>
      <c r="Q984" s="7" t="n"/>
      <c r="R984" s="7" t="n"/>
      <c r="S984" s="7" t="n"/>
      <c r="T984" s="7" t="n"/>
      <c r="U984" s="12">
        <f>IF(A984="","",IF(H984="","建議填分配模式",""))</f>
        <v/>
      </c>
    </row>
    <row r="985" ht="24" customHeight="1">
      <c r="A985" s="7" t="n"/>
      <c r="B985" s="7" t="n"/>
      <c r="C985" s="7" t="n"/>
      <c r="D985" s="12">
        <f>IF($A985="","",IFERROR(INDEX(土地清冊_匯入!$B$6:$B$1005,MATCH($A985,土地清冊_匯入!$A$6:$A$1005,0)),"查無資料"))</f>
        <v/>
      </c>
      <c r="E985" s="9">
        <f>IF($A985="","",IFERROR(INDEX(土地清冊_匯入!$I$6:$I$1005,MATCH($A985,土地清冊_匯入!$A$6:$A$1005,0)),""))</f>
        <v/>
      </c>
      <c r="F985" s="13">
        <f>IF($A985="","",IFERROR(INDEX(建物清冊_匯入!$N$6:$N$1005,MATCH($A985,建物清冊_匯入!$A$6:$A$1005,0)),""))</f>
        <v/>
      </c>
      <c r="G985" s="9">
        <f>IF($A985="","",IFERROR(INDEX(建物清冊_匯入!$S$6:$S$1005,MATCH($A985,建物清冊_匯入!$A$6:$A$1005,0)),""))</f>
        <v/>
      </c>
      <c r="H985" s="7" t="n"/>
      <c r="I985" s="15" t="n"/>
      <c r="J985" s="16" t="n"/>
      <c r="K985" s="17">
        <f>IF(J985="","",1-J985)</f>
        <v/>
      </c>
      <c r="L985" s="15" t="n"/>
      <c r="M985" s="7" t="n"/>
      <c r="N985" s="7" t="n"/>
      <c r="O985" s="7" t="n"/>
      <c r="P985" s="11" t="n"/>
      <c r="Q985" s="7" t="n"/>
      <c r="R985" s="7" t="n"/>
      <c r="S985" s="7" t="n"/>
      <c r="T985" s="7" t="n"/>
      <c r="U985" s="12">
        <f>IF(A985="","",IF(H985="","建議填分配模式",""))</f>
        <v/>
      </c>
    </row>
    <row r="986" ht="24" customHeight="1">
      <c r="A986" s="7" t="n"/>
      <c r="B986" s="7" t="n"/>
      <c r="C986" s="7" t="n"/>
      <c r="D986" s="12">
        <f>IF($A986="","",IFERROR(INDEX(土地清冊_匯入!$B$6:$B$1005,MATCH($A986,土地清冊_匯入!$A$6:$A$1005,0)),"查無資料"))</f>
        <v/>
      </c>
      <c r="E986" s="9">
        <f>IF($A986="","",IFERROR(INDEX(土地清冊_匯入!$I$6:$I$1005,MATCH($A986,土地清冊_匯入!$A$6:$A$1005,0)),""))</f>
        <v/>
      </c>
      <c r="F986" s="13">
        <f>IF($A986="","",IFERROR(INDEX(建物清冊_匯入!$N$6:$N$1005,MATCH($A986,建物清冊_匯入!$A$6:$A$1005,0)),""))</f>
        <v/>
      </c>
      <c r="G986" s="9">
        <f>IF($A986="","",IFERROR(INDEX(建物清冊_匯入!$S$6:$S$1005,MATCH($A986,建物清冊_匯入!$A$6:$A$1005,0)),""))</f>
        <v/>
      </c>
      <c r="H986" s="7" t="n"/>
      <c r="I986" s="15" t="n"/>
      <c r="J986" s="16" t="n"/>
      <c r="K986" s="17">
        <f>IF(J986="","",1-J986)</f>
        <v/>
      </c>
      <c r="L986" s="15" t="n"/>
      <c r="M986" s="7" t="n"/>
      <c r="N986" s="7" t="n"/>
      <c r="O986" s="7" t="n"/>
      <c r="P986" s="11" t="n"/>
      <c r="Q986" s="7" t="n"/>
      <c r="R986" s="7" t="n"/>
      <c r="S986" s="7" t="n"/>
      <c r="T986" s="7" t="n"/>
      <c r="U986" s="12">
        <f>IF(A986="","",IF(H986="","建議填分配模式",""))</f>
        <v/>
      </c>
    </row>
    <row r="987" ht="24" customHeight="1">
      <c r="A987" s="7" t="n"/>
      <c r="B987" s="7" t="n"/>
      <c r="C987" s="7" t="n"/>
      <c r="D987" s="12">
        <f>IF($A987="","",IFERROR(INDEX(土地清冊_匯入!$B$6:$B$1005,MATCH($A987,土地清冊_匯入!$A$6:$A$1005,0)),"查無資料"))</f>
        <v/>
      </c>
      <c r="E987" s="9">
        <f>IF($A987="","",IFERROR(INDEX(土地清冊_匯入!$I$6:$I$1005,MATCH($A987,土地清冊_匯入!$A$6:$A$1005,0)),""))</f>
        <v/>
      </c>
      <c r="F987" s="13">
        <f>IF($A987="","",IFERROR(INDEX(建物清冊_匯入!$N$6:$N$1005,MATCH($A987,建物清冊_匯入!$A$6:$A$1005,0)),""))</f>
        <v/>
      </c>
      <c r="G987" s="9">
        <f>IF($A987="","",IFERROR(INDEX(建物清冊_匯入!$S$6:$S$1005,MATCH($A987,建物清冊_匯入!$A$6:$A$1005,0)),""))</f>
        <v/>
      </c>
      <c r="H987" s="7" t="n"/>
      <c r="I987" s="15" t="n"/>
      <c r="J987" s="16" t="n"/>
      <c r="K987" s="17">
        <f>IF(J987="","",1-J987)</f>
        <v/>
      </c>
      <c r="L987" s="15" t="n"/>
      <c r="M987" s="7" t="n"/>
      <c r="N987" s="7" t="n"/>
      <c r="O987" s="7" t="n"/>
      <c r="P987" s="11" t="n"/>
      <c r="Q987" s="7" t="n"/>
      <c r="R987" s="7" t="n"/>
      <c r="S987" s="7" t="n"/>
      <c r="T987" s="7" t="n"/>
      <c r="U987" s="12">
        <f>IF(A987="","",IF(H987="","建議填分配模式",""))</f>
        <v/>
      </c>
    </row>
    <row r="988" ht="24" customHeight="1">
      <c r="A988" s="7" t="n"/>
      <c r="B988" s="7" t="n"/>
      <c r="C988" s="7" t="n"/>
      <c r="D988" s="12">
        <f>IF($A988="","",IFERROR(INDEX(土地清冊_匯入!$B$6:$B$1005,MATCH($A988,土地清冊_匯入!$A$6:$A$1005,0)),"查無資料"))</f>
        <v/>
      </c>
      <c r="E988" s="9">
        <f>IF($A988="","",IFERROR(INDEX(土地清冊_匯入!$I$6:$I$1005,MATCH($A988,土地清冊_匯入!$A$6:$A$1005,0)),""))</f>
        <v/>
      </c>
      <c r="F988" s="13">
        <f>IF($A988="","",IFERROR(INDEX(建物清冊_匯入!$N$6:$N$1005,MATCH($A988,建物清冊_匯入!$A$6:$A$1005,0)),""))</f>
        <v/>
      </c>
      <c r="G988" s="9">
        <f>IF($A988="","",IFERROR(INDEX(建物清冊_匯入!$S$6:$S$1005,MATCH($A988,建物清冊_匯入!$A$6:$A$1005,0)),""))</f>
        <v/>
      </c>
      <c r="H988" s="7" t="n"/>
      <c r="I988" s="15" t="n"/>
      <c r="J988" s="16" t="n"/>
      <c r="K988" s="17">
        <f>IF(J988="","",1-J988)</f>
        <v/>
      </c>
      <c r="L988" s="15" t="n"/>
      <c r="M988" s="7" t="n"/>
      <c r="N988" s="7" t="n"/>
      <c r="O988" s="7" t="n"/>
      <c r="P988" s="11" t="n"/>
      <c r="Q988" s="7" t="n"/>
      <c r="R988" s="7" t="n"/>
      <c r="S988" s="7" t="n"/>
      <c r="T988" s="7" t="n"/>
      <c r="U988" s="12">
        <f>IF(A988="","",IF(H988="","建議填分配模式",""))</f>
        <v/>
      </c>
    </row>
    <row r="989" ht="24" customHeight="1">
      <c r="A989" s="7" t="n"/>
      <c r="B989" s="7" t="n"/>
      <c r="C989" s="7" t="n"/>
      <c r="D989" s="12">
        <f>IF($A989="","",IFERROR(INDEX(土地清冊_匯入!$B$6:$B$1005,MATCH($A989,土地清冊_匯入!$A$6:$A$1005,0)),"查無資料"))</f>
        <v/>
      </c>
      <c r="E989" s="9">
        <f>IF($A989="","",IFERROR(INDEX(土地清冊_匯入!$I$6:$I$1005,MATCH($A989,土地清冊_匯入!$A$6:$A$1005,0)),""))</f>
        <v/>
      </c>
      <c r="F989" s="13">
        <f>IF($A989="","",IFERROR(INDEX(建物清冊_匯入!$N$6:$N$1005,MATCH($A989,建物清冊_匯入!$A$6:$A$1005,0)),""))</f>
        <v/>
      </c>
      <c r="G989" s="9">
        <f>IF($A989="","",IFERROR(INDEX(建物清冊_匯入!$S$6:$S$1005,MATCH($A989,建物清冊_匯入!$A$6:$A$1005,0)),""))</f>
        <v/>
      </c>
      <c r="H989" s="7" t="n"/>
      <c r="I989" s="15" t="n"/>
      <c r="J989" s="16" t="n"/>
      <c r="K989" s="17">
        <f>IF(J989="","",1-J989)</f>
        <v/>
      </c>
      <c r="L989" s="15" t="n"/>
      <c r="M989" s="7" t="n"/>
      <c r="N989" s="7" t="n"/>
      <c r="O989" s="7" t="n"/>
      <c r="P989" s="11" t="n"/>
      <c r="Q989" s="7" t="n"/>
      <c r="R989" s="7" t="n"/>
      <c r="S989" s="7" t="n"/>
      <c r="T989" s="7" t="n"/>
      <c r="U989" s="12">
        <f>IF(A989="","",IF(H989="","建議填分配模式",""))</f>
        <v/>
      </c>
    </row>
    <row r="990" ht="24" customHeight="1">
      <c r="A990" s="7" t="n"/>
      <c r="B990" s="7" t="n"/>
      <c r="C990" s="7" t="n"/>
      <c r="D990" s="12">
        <f>IF($A990="","",IFERROR(INDEX(土地清冊_匯入!$B$6:$B$1005,MATCH($A990,土地清冊_匯入!$A$6:$A$1005,0)),"查無資料"))</f>
        <v/>
      </c>
      <c r="E990" s="9">
        <f>IF($A990="","",IFERROR(INDEX(土地清冊_匯入!$I$6:$I$1005,MATCH($A990,土地清冊_匯入!$A$6:$A$1005,0)),""))</f>
        <v/>
      </c>
      <c r="F990" s="13">
        <f>IF($A990="","",IFERROR(INDEX(建物清冊_匯入!$N$6:$N$1005,MATCH($A990,建物清冊_匯入!$A$6:$A$1005,0)),""))</f>
        <v/>
      </c>
      <c r="G990" s="9">
        <f>IF($A990="","",IFERROR(INDEX(建物清冊_匯入!$S$6:$S$1005,MATCH($A990,建物清冊_匯入!$A$6:$A$1005,0)),""))</f>
        <v/>
      </c>
      <c r="H990" s="7" t="n"/>
      <c r="I990" s="15" t="n"/>
      <c r="J990" s="16" t="n"/>
      <c r="K990" s="17">
        <f>IF(J990="","",1-J990)</f>
        <v/>
      </c>
      <c r="L990" s="15" t="n"/>
      <c r="M990" s="7" t="n"/>
      <c r="N990" s="7" t="n"/>
      <c r="O990" s="7" t="n"/>
      <c r="P990" s="11" t="n"/>
      <c r="Q990" s="7" t="n"/>
      <c r="R990" s="7" t="n"/>
      <c r="S990" s="7" t="n"/>
      <c r="T990" s="7" t="n"/>
      <c r="U990" s="12">
        <f>IF(A990="","",IF(H990="","建議填分配模式",""))</f>
        <v/>
      </c>
    </row>
    <row r="991" ht="24" customHeight="1">
      <c r="A991" s="7" t="n"/>
      <c r="B991" s="7" t="n"/>
      <c r="C991" s="7" t="n"/>
      <c r="D991" s="12">
        <f>IF($A991="","",IFERROR(INDEX(土地清冊_匯入!$B$6:$B$1005,MATCH($A991,土地清冊_匯入!$A$6:$A$1005,0)),"查無資料"))</f>
        <v/>
      </c>
      <c r="E991" s="9">
        <f>IF($A991="","",IFERROR(INDEX(土地清冊_匯入!$I$6:$I$1005,MATCH($A991,土地清冊_匯入!$A$6:$A$1005,0)),""))</f>
        <v/>
      </c>
      <c r="F991" s="13">
        <f>IF($A991="","",IFERROR(INDEX(建物清冊_匯入!$N$6:$N$1005,MATCH($A991,建物清冊_匯入!$A$6:$A$1005,0)),""))</f>
        <v/>
      </c>
      <c r="G991" s="9">
        <f>IF($A991="","",IFERROR(INDEX(建物清冊_匯入!$S$6:$S$1005,MATCH($A991,建物清冊_匯入!$A$6:$A$1005,0)),""))</f>
        <v/>
      </c>
      <c r="H991" s="7" t="n"/>
      <c r="I991" s="15" t="n"/>
      <c r="J991" s="16" t="n"/>
      <c r="K991" s="17">
        <f>IF(J991="","",1-J991)</f>
        <v/>
      </c>
      <c r="L991" s="15" t="n"/>
      <c r="M991" s="7" t="n"/>
      <c r="N991" s="7" t="n"/>
      <c r="O991" s="7" t="n"/>
      <c r="P991" s="11" t="n"/>
      <c r="Q991" s="7" t="n"/>
      <c r="R991" s="7" t="n"/>
      <c r="S991" s="7" t="n"/>
      <c r="T991" s="7" t="n"/>
      <c r="U991" s="12">
        <f>IF(A991="","",IF(H991="","建議填分配模式",""))</f>
        <v/>
      </c>
    </row>
    <row r="992" ht="24" customHeight="1">
      <c r="A992" s="7" t="n"/>
      <c r="B992" s="7" t="n"/>
      <c r="C992" s="7" t="n"/>
      <c r="D992" s="12">
        <f>IF($A992="","",IFERROR(INDEX(土地清冊_匯入!$B$6:$B$1005,MATCH($A992,土地清冊_匯入!$A$6:$A$1005,0)),"查無資料"))</f>
        <v/>
      </c>
      <c r="E992" s="9">
        <f>IF($A992="","",IFERROR(INDEX(土地清冊_匯入!$I$6:$I$1005,MATCH($A992,土地清冊_匯入!$A$6:$A$1005,0)),""))</f>
        <v/>
      </c>
      <c r="F992" s="13">
        <f>IF($A992="","",IFERROR(INDEX(建物清冊_匯入!$N$6:$N$1005,MATCH($A992,建物清冊_匯入!$A$6:$A$1005,0)),""))</f>
        <v/>
      </c>
      <c r="G992" s="9">
        <f>IF($A992="","",IFERROR(INDEX(建物清冊_匯入!$S$6:$S$1005,MATCH($A992,建物清冊_匯入!$A$6:$A$1005,0)),""))</f>
        <v/>
      </c>
      <c r="H992" s="7" t="n"/>
      <c r="I992" s="15" t="n"/>
      <c r="J992" s="16" t="n"/>
      <c r="K992" s="17">
        <f>IF(J992="","",1-J992)</f>
        <v/>
      </c>
      <c r="L992" s="15" t="n"/>
      <c r="M992" s="7" t="n"/>
      <c r="N992" s="7" t="n"/>
      <c r="O992" s="7" t="n"/>
      <c r="P992" s="11" t="n"/>
      <c r="Q992" s="7" t="n"/>
      <c r="R992" s="7" t="n"/>
      <c r="S992" s="7" t="n"/>
      <c r="T992" s="7" t="n"/>
      <c r="U992" s="12">
        <f>IF(A992="","",IF(H992="","建議填分配模式",""))</f>
        <v/>
      </c>
    </row>
    <row r="993" ht="24" customHeight="1">
      <c r="A993" s="7" t="n"/>
      <c r="B993" s="7" t="n"/>
      <c r="C993" s="7" t="n"/>
      <c r="D993" s="12">
        <f>IF($A993="","",IFERROR(INDEX(土地清冊_匯入!$B$6:$B$1005,MATCH($A993,土地清冊_匯入!$A$6:$A$1005,0)),"查無資料"))</f>
        <v/>
      </c>
      <c r="E993" s="9">
        <f>IF($A993="","",IFERROR(INDEX(土地清冊_匯入!$I$6:$I$1005,MATCH($A993,土地清冊_匯入!$A$6:$A$1005,0)),""))</f>
        <v/>
      </c>
      <c r="F993" s="13">
        <f>IF($A993="","",IFERROR(INDEX(建物清冊_匯入!$N$6:$N$1005,MATCH($A993,建物清冊_匯入!$A$6:$A$1005,0)),""))</f>
        <v/>
      </c>
      <c r="G993" s="9">
        <f>IF($A993="","",IFERROR(INDEX(建物清冊_匯入!$S$6:$S$1005,MATCH($A993,建物清冊_匯入!$A$6:$A$1005,0)),""))</f>
        <v/>
      </c>
      <c r="H993" s="7" t="n"/>
      <c r="I993" s="15" t="n"/>
      <c r="J993" s="16" t="n"/>
      <c r="K993" s="17">
        <f>IF(J993="","",1-J993)</f>
        <v/>
      </c>
      <c r="L993" s="15" t="n"/>
      <c r="M993" s="7" t="n"/>
      <c r="N993" s="7" t="n"/>
      <c r="O993" s="7" t="n"/>
      <c r="P993" s="11" t="n"/>
      <c r="Q993" s="7" t="n"/>
      <c r="R993" s="7" t="n"/>
      <c r="S993" s="7" t="n"/>
      <c r="T993" s="7" t="n"/>
      <c r="U993" s="12">
        <f>IF(A993="","",IF(H993="","建議填分配模式",""))</f>
        <v/>
      </c>
    </row>
    <row r="994" ht="24" customHeight="1">
      <c r="A994" s="7" t="n"/>
      <c r="B994" s="7" t="n"/>
      <c r="C994" s="7" t="n"/>
      <c r="D994" s="12">
        <f>IF($A994="","",IFERROR(INDEX(土地清冊_匯入!$B$6:$B$1005,MATCH($A994,土地清冊_匯入!$A$6:$A$1005,0)),"查無資料"))</f>
        <v/>
      </c>
      <c r="E994" s="9">
        <f>IF($A994="","",IFERROR(INDEX(土地清冊_匯入!$I$6:$I$1005,MATCH($A994,土地清冊_匯入!$A$6:$A$1005,0)),""))</f>
        <v/>
      </c>
      <c r="F994" s="13">
        <f>IF($A994="","",IFERROR(INDEX(建物清冊_匯入!$N$6:$N$1005,MATCH($A994,建物清冊_匯入!$A$6:$A$1005,0)),""))</f>
        <v/>
      </c>
      <c r="G994" s="9">
        <f>IF($A994="","",IFERROR(INDEX(建物清冊_匯入!$S$6:$S$1005,MATCH($A994,建物清冊_匯入!$A$6:$A$1005,0)),""))</f>
        <v/>
      </c>
      <c r="H994" s="7" t="n"/>
      <c r="I994" s="15" t="n"/>
      <c r="J994" s="16" t="n"/>
      <c r="K994" s="17">
        <f>IF(J994="","",1-J994)</f>
        <v/>
      </c>
      <c r="L994" s="15" t="n"/>
      <c r="M994" s="7" t="n"/>
      <c r="N994" s="7" t="n"/>
      <c r="O994" s="7" t="n"/>
      <c r="P994" s="11" t="n"/>
      <c r="Q994" s="7" t="n"/>
      <c r="R994" s="7" t="n"/>
      <c r="S994" s="7" t="n"/>
      <c r="T994" s="7" t="n"/>
      <c r="U994" s="12">
        <f>IF(A994="","",IF(H994="","建議填分配模式",""))</f>
        <v/>
      </c>
    </row>
    <row r="995" ht="24" customHeight="1">
      <c r="A995" s="7" t="n"/>
      <c r="B995" s="7" t="n"/>
      <c r="C995" s="7" t="n"/>
      <c r="D995" s="12">
        <f>IF($A995="","",IFERROR(INDEX(土地清冊_匯入!$B$6:$B$1005,MATCH($A995,土地清冊_匯入!$A$6:$A$1005,0)),"查無資料"))</f>
        <v/>
      </c>
      <c r="E995" s="9">
        <f>IF($A995="","",IFERROR(INDEX(土地清冊_匯入!$I$6:$I$1005,MATCH($A995,土地清冊_匯入!$A$6:$A$1005,0)),""))</f>
        <v/>
      </c>
      <c r="F995" s="13">
        <f>IF($A995="","",IFERROR(INDEX(建物清冊_匯入!$N$6:$N$1005,MATCH($A995,建物清冊_匯入!$A$6:$A$1005,0)),""))</f>
        <v/>
      </c>
      <c r="G995" s="9">
        <f>IF($A995="","",IFERROR(INDEX(建物清冊_匯入!$S$6:$S$1005,MATCH($A995,建物清冊_匯入!$A$6:$A$1005,0)),""))</f>
        <v/>
      </c>
      <c r="H995" s="7" t="n"/>
      <c r="I995" s="15" t="n"/>
      <c r="J995" s="16" t="n"/>
      <c r="K995" s="17">
        <f>IF(J995="","",1-J995)</f>
        <v/>
      </c>
      <c r="L995" s="15" t="n"/>
      <c r="M995" s="7" t="n"/>
      <c r="N995" s="7" t="n"/>
      <c r="O995" s="7" t="n"/>
      <c r="P995" s="11" t="n"/>
      <c r="Q995" s="7" t="n"/>
      <c r="R995" s="7" t="n"/>
      <c r="S995" s="7" t="n"/>
      <c r="T995" s="7" t="n"/>
      <c r="U995" s="12">
        <f>IF(A995="","",IF(H995="","建議填分配模式",""))</f>
        <v/>
      </c>
    </row>
    <row r="996" ht="24" customHeight="1">
      <c r="A996" s="7" t="n"/>
      <c r="B996" s="7" t="n"/>
      <c r="C996" s="7" t="n"/>
      <c r="D996" s="12">
        <f>IF($A996="","",IFERROR(INDEX(土地清冊_匯入!$B$6:$B$1005,MATCH($A996,土地清冊_匯入!$A$6:$A$1005,0)),"查無資料"))</f>
        <v/>
      </c>
      <c r="E996" s="9">
        <f>IF($A996="","",IFERROR(INDEX(土地清冊_匯入!$I$6:$I$1005,MATCH($A996,土地清冊_匯入!$A$6:$A$1005,0)),""))</f>
        <v/>
      </c>
      <c r="F996" s="13">
        <f>IF($A996="","",IFERROR(INDEX(建物清冊_匯入!$N$6:$N$1005,MATCH($A996,建物清冊_匯入!$A$6:$A$1005,0)),""))</f>
        <v/>
      </c>
      <c r="G996" s="9">
        <f>IF($A996="","",IFERROR(INDEX(建物清冊_匯入!$S$6:$S$1005,MATCH($A996,建物清冊_匯入!$A$6:$A$1005,0)),""))</f>
        <v/>
      </c>
      <c r="H996" s="7" t="n"/>
      <c r="I996" s="15" t="n"/>
      <c r="J996" s="16" t="n"/>
      <c r="K996" s="17">
        <f>IF(J996="","",1-J996)</f>
        <v/>
      </c>
      <c r="L996" s="15" t="n"/>
      <c r="M996" s="7" t="n"/>
      <c r="N996" s="7" t="n"/>
      <c r="O996" s="7" t="n"/>
      <c r="P996" s="11" t="n"/>
      <c r="Q996" s="7" t="n"/>
      <c r="R996" s="7" t="n"/>
      <c r="S996" s="7" t="n"/>
      <c r="T996" s="7" t="n"/>
      <c r="U996" s="12">
        <f>IF(A996="","",IF(H996="","建議填分配模式",""))</f>
        <v/>
      </c>
    </row>
    <row r="997" ht="24" customHeight="1">
      <c r="A997" s="7" t="n"/>
      <c r="B997" s="7" t="n"/>
      <c r="C997" s="7" t="n"/>
      <c r="D997" s="12">
        <f>IF($A997="","",IFERROR(INDEX(土地清冊_匯入!$B$6:$B$1005,MATCH($A997,土地清冊_匯入!$A$6:$A$1005,0)),"查無資料"))</f>
        <v/>
      </c>
      <c r="E997" s="9">
        <f>IF($A997="","",IFERROR(INDEX(土地清冊_匯入!$I$6:$I$1005,MATCH($A997,土地清冊_匯入!$A$6:$A$1005,0)),""))</f>
        <v/>
      </c>
      <c r="F997" s="13">
        <f>IF($A997="","",IFERROR(INDEX(建物清冊_匯入!$N$6:$N$1005,MATCH($A997,建物清冊_匯入!$A$6:$A$1005,0)),""))</f>
        <v/>
      </c>
      <c r="G997" s="9">
        <f>IF($A997="","",IFERROR(INDEX(建物清冊_匯入!$S$6:$S$1005,MATCH($A997,建物清冊_匯入!$A$6:$A$1005,0)),""))</f>
        <v/>
      </c>
      <c r="H997" s="7" t="n"/>
      <c r="I997" s="15" t="n"/>
      <c r="J997" s="16" t="n"/>
      <c r="K997" s="17">
        <f>IF(J997="","",1-J997)</f>
        <v/>
      </c>
      <c r="L997" s="15" t="n"/>
      <c r="M997" s="7" t="n"/>
      <c r="N997" s="7" t="n"/>
      <c r="O997" s="7" t="n"/>
      <c r="P997" s="11" t="n"/>
      <c r="Q997" s="7" t="n"/>
      <c r="R997" s="7" t="n"/>
      <c r="S997" s="7" t="n"/>
      <c r="T997" s="7" t="n"/>
      <c r="U997" s="12">
        <f>IF(A997="","",IF(H997="","建議填分配模式",""))</f>
        <v/>
      </c>
    </row>
    <row r="998" ht="24" customHeight="1">
      <c r="A998" s="7" t="n"/>
      <c r="B998" s="7" t="n"/>
      <c r="C998" s="7" t="n"/>
      <c r="D998" s="12">
        <f>IF($A998="","",IFERROR(INDEX(土地清冊_匯入!$B$6:$B$1005,MATCH($A998,土地清冊_匯入!$A$6:$A$1005,0)),"查無資料"))</f>
        <v/>
      </c>
      <c r="E998" s="9">
        <f>IF($A998="","",IFERROR(INDEX(土地清冊_匯入!$I$6:$I$1005,MATCH($A998,土地清冊_匯入!$A$6:$A$1005,0)),""))</f>
        <v/>
      </c>
      <c r="F998" s="13">
        <f>IF($A998="","",IFERROR(INDEX(建物清冊_匯入!$N$6:$N$1005,MATCH($A998,建物清冊_匯入!$A$6:$A$1005,0)),""))</f>
        <v/>
      </c>
      <c r="G998" s="9">
        <f>IF($A998="","",IFERROR(INDEX(建物清冊_匯入!$S$6:$S$1005,MATCH($A998,建物清冊_匯入!$A$6:$A$1005,0)),""))</f>
        <v/>
      </c>
      <c r="H998" s="7" t="n"/>
      <c r="I998" s="15" t="n"/>
      <c r="J998" s="16" t="n"/>
      <c r="K998" s="17">
        <f>IF(J998="","",1-J998)</f>
        <v/>
      </c>
      <c r="L998" s="15" t="n"/>
      <c r="M998" s="7" t="n"/>
      <c r="N998" s="7" t="n"/>
      <c r="O998" s="7" t="n"/>
      <c r="P998" s="11" t="n"/>
      <c r="Q998" s="7" t="n"/>
      <c r="R998" s="7" t="n"/>
      <c r="S998" s="7" t="n"/>
      <c r="T998" s="7" t="n"/>
      <c r="U998" s="12">
        <f>IF(A998="","",IF(H998="","建議填分配模式",""))</f>
        <v/>
      </c>
    </row>
    <row r="999" ht="24" customHeight="1">
      <c r="A999" s="7" t="n"/>
      <c r="B999" s="7" t="n"/>
      <c r="C999" s="7" t="n"/>
      <c r="D999" s="12">
        <f>IF($A999="","",IFERROR(INDEX(土地清冊_匯入!$B$6:$B$1005,MATCH($A999,土地清冊_匯入!$A$6:$A$1005,0)),"查無資料"))</f>
        <v/>
      </c>
      <c r="E999" s="9">
        <f>IF($A999="","",IFERROR(INDEX(土地清冊_匯入!$I$6:$I$1005,MATCH($A999,土地清冊_匯入!$A$6:$A$1005,0)),""))</f>
        <v/>
      </c>
      <c r="F999" s="13">
        <f>IF($A999="","",IFERROR(INDEX(建物清冊_匯入!$N$6:$N$1005,MATCH($A999,建物清冊_匯入!$A$6:$A$1005,0)),""))</f>
        <v/>
      </c>
      <c r="G999" s="9">
        <f>IF($A999="","",IFERROR(INDEX(建物清冊_匯入!$S$6:$S$1005,MATCH($A999,建物清冊_匯入!$A$6:$A$1005,0)),""))</f>
        <v/>
      </c>
      <c r="H999" s="7" t="n"/>
      <c r="I999" s="15" t="n"/>
      <c r="J999" s="16" t="n"/>
      <c r="K999" s="17">
        <f>IF(J999="","",1-J999)</f>
        <v/>
      </c>
      <c r="L999" s="15" t="n"/>
      <c r="M999" s="7" t="n"/>
      <c r="N999" s="7" t="n"/>
      <c r="O999" s="7" t="n"/>
      <c r="P999" s="11" t="n"/>
      <c r="Q999" s="7" t="n"/>
      <c r="R999" s="7" t="n"/>
      <c r="S999" s="7" t="n"/>
      <c r="T999" s="7" t="n"/>
      <c r="U999" s="12">
        <f>IF(A999="","",IF(H999="","建議填分配模式",""))</f>
        <v/>
      </c>
    </row>
    <row r="1000" ht="24" customHeight="1">
      <c r="A1000" s="7" t="n"/>
      <c r="B1000" s="7" t="n"/>
      <c r="C1000" s="7" t="n"/>
      <c r="D1000" s="12">
        <f>IF($A1000="","",IFERROR(INDEX(土地清冊_匯入!$B$6:$B$1005,MATCH($A1000,土地清冊_匯入!$A$6:$A$1005,0)),"查無資料"))</f>
        <v/>
      </c>
      <c r="E1000" s="9">
        <f>IF($A1000="","",IFERROR(INDEX(土地清冊_匯入!$I$6:$I$1005,MATCH($A1000,土地清冊_匯入!$A$6:$A$1005,0)),""))</f>
        <v/>
      </c>
      <c r="F1000" s="13">
        <f>IF($A1000="","",IFERROR(INDEX(建物清冊_匯入!$N$6:$N$1005,MATCH($A1000,建物清冊_匯入!$A$6:$A$1005,0)),""))</f>
        <v/>
      </c>
      <c r="G1000" s="9">
        <f>IF($A1000="","",IFERROR(INDEX(建物清冊_匯入!$S$6:$S$1005,MATCH($A1000,建物清冊_匯入!$A$6:$A$1005,0)),""))</f>
        <v/>
      </c>
      <c r="H1000" s="7" t="n"/>
      <c r="I1000" s="15" t="n"/>
      <c r="J1000" s="16" t="n"/>
      <c r="K1000" s="17">
        <f>IF(J1000="","",1-J1000)</f>
        <v/>
      </c>
      <c r="L1000" s="15" t="n"/>
      <c r="M1000" s="7" t="n"/>
      <c r="N1000" s="7" t="n"/>
      <c r="O1000" s="7" t="n"/>
      <c r="P1000" s="11" t="n"/>
      <c r="Q1000" s="7" t="n"/>
      <c r="R1000" s="7" t="n"/>
      <c r="S1000" s="7" t="n"/>
      <c r="T1000" s="7" t="n"/>
      <c r="U1000" s="12">
        <f>IF(A1000="","",IF(H1000="","建議填分配模式",""))</f>
        <v/>
      </c>
    </row>
    <row r="1001" ht="24" customHeight="1">
      <c r="A1001" s="7" t="n"/>
      <c r="B1001" s="7" t="n"/>
      <c r="C1001" s="7" t="n"/>
      <c r="D1001" s="12">
        <f>IF($A1001="","",IFERROR(INDEX(土地清冊_匯入!$B$6:$B$1005,MATCH($A1001,土地清冊_匯入!$A$6:$A$1005,0)),"查無資料"))</f>
        <v/>
      </c>
      <c r="E1001" s="9">
        <f>IF($A1001="","",IFERROR(INDEX(土地清冊_匯入!$I$6:$I$1005,MATCH($A1001,土地清冊_匯入!$A$6:$A$1005,0)),""))</f>
        <v/>
      </c>
      <c r="F1001" s="13">
        <f>IF($A1001="","",IFERROR(INDEX(建物清冊_匯入!$N$6:$N$1005,MATCH($A1001,建物清冊_匯入!$A$6:$A$1005,0)),""))</f>
        <v/>
      </c>
      <c r="G1001" s="9">
        <f>IF($A1001="","",IFERROR(INDEX(建物清冊_匯入!$S$6:$S$1005,MATCH($A1001,建物清冊_匯入!$A$6:$A$1005,0)),""))</f>
        <v/>
      </c>
      <c r="H1001" s="7" t="n"/>
      <c r="I1001" s="15" t="n"/>
      <c r="J1001" s="16" t="n"/>
      <c r="K1001" s="17">
        <f>IF(J1001="","",1-J1001)</f>
        <v/>
      </c>
      <c r="L1001" s="15" t="n"/>
      <c r="M1001" s="7" t="n"/>
      <c r="N1001" s="7" t="n"/>
      <c r="O1001" s="7" t="n"/>
      <c r="P1001" s="11" t="n"/>
      <c r="Q1001" s="7" t="n"/>
      <c r="R1001" s="7" t="n"/>
      <c r="S1001" s="7" t="n"/>
      <c r="T1001" s="7" t="n"/>
      <c r="U1001" s="12">
        <f>IF(A1001="","",IF(H1001="","建議填分配模式",""))</f>
        <v/>
      </c>
    </row>
    <row r="1002" ht="24" customHeight="1">
      <c r="A1002" s="7" t="n"/>
      <c r="B1002" s="7" t="n"/>
      <c r="C1002" s="7" t="n"/>
      <c r="D1002" s="12">
        <f>IF($A1002="","",IFERROR(INDEX(土地清冊_匯入!$B$6:$B$1005,MATCH($A1002,土地清冊_匯入!$A$6:$A$1005,0)),"查無資料"))</f>
        <v/>
      </c>
      <c r="E1002" s="9">
        <f>IF($A1002="","",IFERROR(INDEX(土地清冊_匯入!$I$6:$I$1005,MATCH($A1002,土地清冊_匯入!$A$6:$A$1005,0)),""))</f>
        <v/>
      </c>
      <c r="F1002" s="13">
        <f>IF($A1002="","",IFERROR(INDEX(建物清冊_匯入!$N$6:$N$1005,MATCH($A1002,建物清冊_匯入!$A$6:$A$1005,0)),""))</f>
        <v/>
      </c>
      <c r="G1002" s="9">
        <f>IF($A1002="","",IFERROR(INDEX(建物清冊_匯入!$S$6:$S$1005,MATCH($A1002,建物清冊_匯入!$A$6:$A$1005,0)),""))</f>
        <v/>
      </c>
      <c r="H1002" s="7" t="n"/>
      <c r="I1002" s="15" t="n"/>
      <c r="J1002" s="16" t="n"/>
      <c r="K1002" s="17">
        <f>IF(J1002="","",1-J1002)</f>
        <v/>
      </c>
      <c r="L1002" s="15" t="n"/>
      <c r="M1002" s="7" t="n"/>
      <c r="N1002" s="7" t="n"/>
      <c r="O1002" s="7" t="n"/>
      <c r="P1002" s="11" t="n"/>
      <c r="Q1002" s="7" t="n"/>
      <c r="R1002" s="7" t="n"/>
      <c r="S1002" s="7" t="n"/>
      <c r="T1002" s="7" t="n"/>
      <c r="U1002" s="12">
        <f>IF(A1002="","",IF(H1002="","建議填分配模式",""))</f>
        <v/>
      </c>
    </row>
    <row r="1003" ht="24" customHeight="1">
      <c r="A1003" s="7" t="n"/>
      <c r="B1003" s="7" t="n"/>
      <c r="C1003" s="7" t="n"/>
      <c r="D1003" s="12">
        <f>IF($A1003="","",IFERROR(INDEX(土地清冊_匯入!$B$6:$B$1005,MATCH($A1003,土地清冊_匯入!$A$6:$A$1005,0)),"查無資料"))</f>
        <v/>
      </c>
      <c r="E1003" s="9">
        <f>IF($A1003="","",IFERROR(INDEX(土地清冊_匯入!$I$6:$I$1005,MATCH($A1003,土地清冊_匯入!$A$6:$A$1005,0)),""))</f>
        <v/>
      </c>
      <c r="F1003" s="13">
        <f>IF($A1003="","",IFERROR(INDEX(建物清冊_匯入!$N$6:$N$1005,MATCH($A1003,建物清冊_匯入!$A$6:$A$1005,0)),""))</f>
        <v/>
      </c>
      <c r="G1003" s="9">
        <f>IF($A1003="","",IFERROR(INDEX(建物清冊_匯入!$S$6:$S$1005,MATCH($A1003,建物清冊_匯入!$A$6:$A$1005,0)),""))</f>
        <v/>
      </c>
      <c r="H1003" s="7" t="n"/>
      <c r="I1003" s="15" t="n"/>
      <c r="J1003" s="16" t="n"/>
      <c r="K1003" s="17">
        <f>IF(J1003="","",1-J1003)</f>
        <v/>
      </c>
      <c r="L1003" s="15" t="n"/>
      <c r="M1003" s="7" t="n"/>
      <c r="N1003" s="7" t="n"/>
      <c r="O1003" s="7" t="n"/>
      <c r="P1003" s="11" t="n"/>
      <c r="Q1003" s="7" t="n"/>
      <c r="R1003" s="7" t="n"/>
      <c r="S1003" s="7" t="n"/>
      <c r="T1003" s="7" t="n"/>
      <c r="U1003" s="12">
        <f>IF(A1003="","",IF(H1003="","建議填分配模式",""))</f>
        <v/>
      </c>
    </row>
    <row r="1004" ht="24" customHeight="1">
      <c r="A1004" s="7" t="n"/>
      <c r="B1004" s="7" t="n"/>
      <c r="C1004" s="7" t="n"/>
      <c r="D1004" s="12">
        <f>IF($A1004="","",IFERROR(INDEX(土地清冊_匯入!$B$6:$B$1005,MATCH($A1004,土地清冊_匯入!$A$6:$A$1005,0)),"查無資料"))</f>
        <v/>
      </c>
      <c r="E1004" s="9">
        <f>IF($A1004="","",IFERROR(INDEX(土地清冊_匯入!$I$6:$I$1005,MATCH($A1004,土地清冊_匯入!$A$6:$A$1005,0)),""))</f>
        <v/>
      </c>
      <c r="F1004" s="13">
        <f>IF($A1004="","",IFERROR(INDEX(建物清冊_匯入!$N$6:$N$1005,MATCH($A1004,建物清冊_匯入!$A$6:$A$1005,0)),""))</f>
        <v/>
      </c>
      <c r="G1004" s="9">
        <f>IF($A1004="","",IFERROR(INDEX(建物清冊_匯入!$S$6:$S$1005,MATCH($A1004,建物清冊_匯入!$A$6:$A$1005,0)),""))</f>
        <v/>
      </c>
      <c r="H1004" s="7" t="n"/>
      <c r="I1004" s="15" t="n"/>
      <c r="J1004" s="16" t="n"/>
      <c r="K1004" s="17">
        <f>IF(J1004="","",1-J1004)</f>
        <v/>
      </c>
      <c r="L1004" s="15" t="n"/>
      <c r="M1004" s="7" t="n"/>
      <c r="N1004" s="7" t="n"/>
      <c r="O1004" s="7" t="n"/>
      <c r="P1004" s="11" t="n"/>
      <c r="Q1004" s="7" t="n"/>
      <c r="R1004" s="7" t="n"/>
      <c r="S1004" s="7" t="n"/>
      <c r="T1004" s="7" t="n"/>
      <c r="U1004" s="12">
        <f>IF(A1004="","",IF(H1004="","建議填分配模式",""))</f>
        <v/>
      </c>
    </row>
    <row r="1005" ht="24" customHeight="1">
      <c r="A1005" s="7" t="n"/>
      <c r="B1005" s="7" t="n"/>
      <c r="C1005" s="7" t="n"/>
      <c r="D1005" s="12">
        <f>IF($A1005="","",IFERROR(INDEX(土地清冊_匯入!$B$6:$B$1005,MATCH($A1005,土地清冊_匯入!$A$6:$A$1005,0)),"查無資料"))</f>
        <v/>
      </c>
      <c r="E1005" s="9">
        <f>IF($A1005="","",IFERROR(INDEX(土地清冊_匯入!$I$6:$I$1005,MATCH($A1005,土地清冊_匯入!$A$6:$A$1005,0)),""))</f>
        <v/>
      </c>
      <c r="F1005" s="13">
        <f>IF($A1005="","",IFERROR(INDEX(建物清冊_匯入!$N$6:$N$1005,MATCH($A1005,建物清冊_匯入!$A$6:$A$1005,0)),""))</f>
        <v/>
      </c>
      <c r="G1005" s="9">
        <f>IF($A1005="","",IFERROR(INDEX(建物清冊_匯入!$S$6:$S$1005,MATCH($A1005,建物清冊_匯入!$A$6:$A$1005,0)),""))</f>
        <v/>
      </c>
      <c r="H1005" s="7" t="n"/>
      <c r="I1005" s="15" t="n"/>
      <c r="J1005" s="16" t="n"/>
      <c r="K1005" s="17">
        <f>IF(J1005="","",1-J1005)</f>
        <v/>
      </c>
      <c r="L1005" s="15" t="n"/>
      <c r="M1005" s="7" t="n"/>
      <c r="N1005" s="7" t="n"/>
      <c r="O1005" s="7" t="n"/>
      <c r="P1005" s="11" t="n"/>
      <c r="Q1005" s="7" t="n"/>
      <c r="R1005" s="7" t="n"/>
      <c r="S1005" s="7" t="n"/>
      <c r="T1005" s="7" t="n"/>
      <c r="U1005" s="12">
        <f>IF(A1005="","",IF(H1005="","建議填分配模式",""))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5:U1005"/>
  <mergeCells count="3">
    <mergeCell ref="A1:U1"/>
    <mergeCell ref="A3:U3"/>
    <mergeCell ref="A2:U2"/>
  </mergeCells>
  <conditionalFormatting sqref="U6:U1005">
    <cfRule type="expression" priority="1" dxfId="0">
      <formula>LEN(U6)&gt;0</formula>
    </cfRule>
  </conditionalFormatting>
  <dataValidations count="11">
    <dataValidation sqref="H6:H1005" showDropDown="0" showInputMessage="0" showErrorMessage="0" allowBlank="1" type="list">
      <formula1>'下拉選單'!$G$2:$G$5</formula1>
    </dataValidation>
    <dataValidation sqref="I6:I1005" showDropDown="0" showInputMessage="0" showErrorMessage="0" allowBlank="1" type="decimal" operator="greaterThanOrEqual">
      <formula1>0</formula1>
    </dataValidation>
    <dataValidation sqref="J6:J1005" showDropDown="0" showInputMessage="0" showErrorMessage="0" allowBlank="1" type="decimal" operator="greaterThanOrEqual">
      <formula1>0</formula1>
    </dataValidation>
    <dataValidation sqref="L6:L1005" showDropDown="0" showInputMessage="0" showErrorMessage="0" allowBlank="1" type="decimal" operator="greaterThanOrEqual">
      <formula1>0</formula1>
    </dataValidation>
    <dataValidation sqref="M6:M1005" showDropDown="0" showInputMessage="0" showErrorMessage="0" allowBlank="1" type="whole" operator="greaterThanOrEqual">
      <formula1>0</formula1>
    </dataValidation>
    <dataValidation sqref="N6:N1005" showDropDown="0" showInputMessage="0" showErrorMessage="0" allowBlank="1" type="list">
      <formula1>'下拉選單'!$E$2:$E$4</formula1>
    </dataValidation>
    <dataValidation sqref="O6:O1005" showDropDown="0" showInputMessage="0" showErrorMessage="0" allowBlank="1" type="list">
      <formula1>'下拉選單'!$E$2:$E$4</formula1>
    </dataValidation>
    <dataValidation sqref="P6:P1005" showDropDown="0" showInputMessage="0" showErrorMessage="0" allowBlank="1" type="decimal" operator="greaterThanOrEqual">
      <formula1>0</formula1>
    </dataValidation>
    <dataValidation sqref="Q6:Q1005" showDropDown="0" showInputMessage="0" showErrorMessage="0" allowBlank="1" type="list">
      <formula1>'下拉選單'!$E$2:$E$4</formula1>
    </dataValidation>
    <dataValidation sqref="R6:R1005" showDropDown="0" showInputMessage="0" showErrorMessage="0" allowBlank="1" type="list">
      <formula1>'下拉選單'!$M$2:$M$5</formula1>
    </dataValidation>
    <dataValidation sqref="S6:S1005" showDropDown="0" showInputMessage="0" showErrorMessage="0" allowBlank="1" type="list">
      <formula1>'下拉選單'!$F$2:$F$5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4" customWidth="1" min="4" max="4"/>
    <col width="10" customWidth="1" min="5" max="5"/>
    <col width="16" customWidth="1" min="6" max="6"/>
    <col width="50" customWidth="1" min="7" max="7"/>
  </cols>
  <sheetData>
    <row r="1">
      <c r="A1" s="18" t="inlineStr">
        <is>
          <t>工作表</t>
        </is>
      </c>
      <c r="B1" s="18" t="inlineStr">
        <is>
          <t>欄位名稱</t>
        </is>
      </c>
      <c r="C1" s="18" t="inlineStr">
        <is>
          <t>填寫屬性</t>
        </is>
      </c>
      <c r="D1" s="18" t="inlineStr">
        <is>
          <t>型態</t>
        </is>
      </c>
      <c r="E1" s="18" t="inlineStr">
        <is>
          <t>是否公式</t>
        </is>
      </c>
      <c r="F1" s="18" t="inlineStr">
        <is>
          <t>下拉來源</t>
        </is>
      </c>
      <c r="G1" s="18" t="inlineStr">
        <is>
          <t>說明</t>
        </is>
      </c>
    </row>
    <row r="2">
      <c r="A2" s="19" t="inlineStr">
        <is>
          <t>土地清冊_匯入</t>
        </is>
      </c>
      <c r="B2" s="19" t="inlineStr">
        <is>
          <t>地主編號</t>
        </is>
      </c>
      <c r="C2" s="19" t="inlineStr">
        <is>
          <t>必填</t>
        </is>
      </c>
      <c r="D2" s="19" t="inlineStr">
        <is>
          <t>text</t>
        </is>
      </c>
      <c r="E2" s="19" t="inlineStr">
        <is>
          <t>否</t>
        </is>
      </c>
      <c r="F2" s="19" t="inlineStr"/>
      <c r="G2" s="19" t="inlineStr">
        <is>
          <t>跨表連動 key，建議格式 O001。</t>
        </is>
      </c>
    </row>
    <row r="3">
      <c r="A3" s="19" t="inlineStr">
        <is>
          <t>土地清冊_匯入</t>
        </is>
      </c>
      <c r="B3" s="19" t="inlineStr">
        <is>
          <t>地主姓名</t>
        </is>
      </c>
      <c r="C3" s="19" t="inlineStr">
        <is>
          <t>必填</t>
        </is>
      </c>
      <c r="D3" s="19" t="inlineStr">
        <is>
          <t>text</t>
        </is>
      </c>
      <c r="E3" s="19" t="inlineStr">
        <is>
          <t>否</t>
        </is>
      </c>
      <c r="F3" s="19" t="inlineStr"/>
      <c r="G3" s="19" t="inlineStr"/>
    </row>
    <row r="4">
      <c r="A4" s="19" t="inlineStr">
        <is>
          <t>土地清冊_匯入</t>
        </is>
      </c>
      <c r="B4" s="19" t="inlineStr">
        <is>
          <t>縣市</t>
        </is>
      </c>
      <c r="C4" s="19" t="inlineStr">
        <is>
          <t>必填</t>
        </is>
      </c>
      <c r="D4" s="19" t="inlineStr">
        <is>
          <t>text</t>
        </is>
      </c>
      <c r="E4" s="19" t="inlineStr">
        <is>
          <t>否</t>
        </is>
      </c>
      <c r="F4" s="19" t="inlineStr"/>
      <c r="G4" s="19" t="inlineStr"/>
    </row>
    <row r="5">
      <c r="A5" s="19" t="inlineStr">
        <is>
          <t>土地清冊_匯入</t>
        </is>
      </c>
      <c r="B5" s="19" t="inlineStr">
        <is>
          <t>行政區</t>
        </is>
      </c>
      <c r="C5" s="19" t="inlineStr">
        <is>
          <t>必填</t>
        </is>
      </c>
      <c r="D5" s="19" t="inlineStr">
        <is>
          <t>text</t>
        </is>
      </c>
      <c r="E5" s="19" t="inlineStr">
        <is>
          <t>否</t>
        </is>
      </c>
      <c r="F5" s="19" t="inlineStr"/>
      <c r="G5" s="19" t="inlineStr"/>
    </row>
    <row r="6">
      <c r="A6" s="19" t="inlineStr">
        <is>
          <t>土地清冊_匯入</t>
        </is>
      </c>
      <c r="B6" s="19" t="inlineStr">
        <is>
          <t>段別</t>
        </is>
      </c>
      <c r="C6" s="19" t="inlineStr">
        <is>
          <t>必填</t>
        </is>
      </c>
      <c r="D6" s="19" t="inlineStr">
        <is>
          <t>text</t>
        </is>
      </c>
      <c r="E6" s="19" t="inlineStr">
        <is>
          <t>否</t>
        </is>
      </c>
      <c r="F6" s="19" t="inlineStr"/>
      <c r="G6" s="19" t="inlineStr"/>
    </row>
    <row r="7">
      <c r="A7" s="19" t="inlineStr">
        <is>
          <t>土地清冊_匯入</t>
        </is>
      </c>
      <c r="B7" s="19" t="inlineStr">
        <is>
          <t>小段</t>
        </is>
      </c>
      <c r="C7" s="19" t="inlineStr">
        <is>
          <t>選填</t>
        </is>
      </c>
      <c r="D7" s="19" t="inlineStr">
        <is>
          <t>text</t>
        </is>
      </c>
      <c r="E7" s="19" t="inlineStr">
        <is>
          <t>否</t>
        </is>
      </c>
      <c r="F7" s="19" t="inlineStr"/>
      <c r="G7" s="19" t="inlineStr">
        <is>
          <t>僅現況地號明確有小段時填寫；重劃前小段不得填入此欄。</t>
        </is>
      </c>
    </row>
    <row r="8">
      <c r="A8" s="19" t="inlineStr">
        <is>
          <t>土地清冊_匯入</t>
        </is>
      </c>
      <c r="B8" s="19" t="inlineStr">
        <is>
          <t>地號</t>
        </is>
      </c>
      <c r="C8" s="19" t="inlineStr">
        <is>
          <t>必填</t>
        </is>
      </c>
      <c r="D8" s="19" t="inlineStr">
        <is>
          <t>text</t>
        </is>
      </c>
      <c r="E8" s="19" t="inlineStr">
        <is>
          <t>否</t>
        </is>
      </c>
      <c r="F8" s="19" t="inlineStr"/>
      <c r="G8" s="19" t="inlineStr"/>
    </row>
    <row r="9">
      <c r="A9" s="19" t="inlineStr">
        <is>
          <t>土地清冊_匯入</t>
        </is>
      </c>
      <c r="B9" s="19" t="inlineStr">
        <is>
          <t>土地面積㎡</t>
        </is>
      </c>
      <c r="C9" s="19" t="inlineStr">
        <is>
          <t>必填</t>
        </is>
      </c>
      <c r="D9" s="19" t="inlineStr">
        <is>
          <t>decimal</t>
        </is>
      </c>
      <c r="E9" s="19" t="inlineStr">
        <is>
          <t>否</t>
        </is>
      </c>
      <c r="F9" s="19" t="inlineStr"/>
      <c r="G9" s="19" t="inlineStr"/>
    </row>
    <row r="10">
      <c r="A10" s="19" t="inlineStr">
        <is>
          <t>土地清冊_匯入</t>
        </is>
      </c>
      <c r="B10" s="19" t="inlineStr">
        <is>
          <t>土地面積坪</t>
        </is>
      </c>
      <c r="C10" s="19" t="inlineStr">
        <is>
          <t>公式</t>
        </is>
      </c>
      <c r="D10" s="19" t="inlineStr">
        <is>
          <t>formula</t>
        </is>
      </c>
      <c r="E10" s="19" t="inlineStr">
        <is>
          <t>是</t>
        </is>
      </c>
      <c r="F10" s="19" t="inlineStr"/>
      <c r="G10" s="19" t="inlineStr"/>
    </row>
    <row r="11">
      <c r="A11" s="19" t="inlineStr">
        <is>
          <t>土地清冊_匯入</t>
        </is>
      </c>
      <c r="B11" s="19" t="inlineStr">
        <is>
          <t>持分分子</t>
        </is>
      </c>
      <c r="C11" s="19" t="inlineStr">
        <is>
          <t>必填</t>
        </is>
      </c>
      <c r="D11" s="19" t="inlineStr">
        <is>
          <t>decimal</t>
        </is>
      </c>
      <c r="E11" s="19" t="inlineStr">
        <is>
          <t>否</t>
        </is>
      </c>
      <c r="F11" s="19" t="inlineStr"/>
      <c r="G11" s="19" t="inlineStr"/>
    </row>
    <row r="12">
      <c r="A12" s="19" t="inlineStr">
        <is>
          <t>土地清冊_匯入</t>
        </is>
      </c>
      <c r="B12" s="19" t="inlineStr">
        <is>
          <t>持分分母</t>
        </is>
      </c>
      <c r="C12" s="19" t="inlineStr">
        <is>
          <t>必填</t>
        </is>
      </c>
      <c r="D12" s="19" t="inlineStr">
        <is>
          <t>integer</t>
        </is>
      </c>
      <c r="E12" s="19" t="inlineStr">
        <is>
          <t>否</t>
        </is>
      </c>
      <c r="F12" s="19" t="inlineStr"/>
      <c r="G12" s="19" t="inlineStr"/>
    </row>
    <row r="13">
      <c r="A13" s="19" t="inlineStr">
        <is>
          <t>土地清冊_匯入</t>
        </is>
      </c>
      <c r="B13" s="19" t="inlineStr">
        <is>
          <t>持分比例</t>
        </is>
      </c>
      <c r="C13" s="19" t="inlineStr">
        <is>
          <t>公式</t>
        </is>
      </c>
      <c r="D13" s="19" t="inlineStr">
        <is>
          <t>formula</t>
        </is>
      </c>
      <c r="E13" s="19" t="inlineStr">
        <is>
          <t>是</t>
        </is>
      </c>
      <c r="F13" s="19" t="inlineStr"/>
      <c r="G13" s="19" t="inlineStr"/>
    </row>
    <row r="14">
      <c r="A14" s="19" t="inlineStr">
        <is>
          <t>土地清冊_匯入</t>
        </is>
      </c>
      <c r="B14" s="19" t="inlineStr">
        <is>
          <t>持分面積坪</t>
        </is>
      </c>
      <c r="C14" s="19" t="inlineStr">
        <is>
          <t>公式</t>
        </is>
      </c>
      <c r="D14" s="19" t="inlineStr">
        <is>
          <t>formula</t>
        </is>
      </c>
      <c r="E14" s="19" t="inlineStr">
        <is>
          <t>是</t>
        </is>
      </c>
      <c r="F14" s="19" t="inlineStr"/>
      <c r="G14" s="19" t="inlineStr"/>
    </row>
    <row r="15">
      <c r="A15" s="19" t="inlineStr">
        <is>
          <t>土地清冊_匯入</t>
        </is>
      </c>
      <c r="B15" s="19" t="inlineStr">
        <is>
          <t>使用分區</t>
        </is>
      </c>
      <c r="C15" s="19" t="inlineStr">
        <is>
          <t>建議</t>
        </is>
      </c>
      <c r="D15" s="19" t="inlineStr">
        <is>
          <t>dropdown</t>
        </is>
      </c>
      <c r="E15" s="19" t="inlineStr">
        <is>
          <t>否</t>
        </is>
      </c>
      <c r="F15" s="19" t="inlineStr">
        <is>
          <t>使用分區</t>
        </is>
      </c>
      <c r="G15" s="19" t="inlineStr"/>
    </row>
    <row r="16">
      <c r="A16" s="19" t="inlineStr">
        <is>
          <t>土地清冊_匯入</t>
        </is>
      </c>
      <c r="B16" s="19" t="inlineStr">
        <is>
          <t>公告現值（元/㎡）</t>
        </is>
      </c>
      <c r="C16" s="19" t="inlineStr">
        <is>
          <t>選填</t>
        </is>
      </c>
      <c r="D16" s="19" t="inlineStr">
        <is>
          <t>decimal</t>
        </is>
      </c>
      <c r="E16" s="19" t="inlineStr">
        <is>
          <t>否</t>
        </is>
      </c>
      <c r="F16" s="19" t="inlineStr"/>
      <c r="G16" s="19" t="inlineStr"/>
    </row>
    <row r="17">
      <c r="A17" s="19" t="inlineStr">
        <is>
          <t>土地清冊_匯入</t>
        </is>
      </c>
      <c r="B17" s="19" t="inlineStr">
        <is>
          <t>公告地價</t>
        </is>
      </c>
      <c r="C17" s="19" t="inlineStr">
        <is>
          <t>選填</t>
        </is>
      </c>
      <c r="D17" s="19" t="inlineStr">
        <is>
          <t>decimal</t>
        </is>
      </c>
      <c r="E17" s="19" t="inlineStr">
        <is>
          <t>否</t>
        </is>
      </c>
      <c r="F17" s="19" t="inlineStr"/>
      <c r="G17" s="19" t="inlineStr"/>
    </row>
    <row r="18">
      <c r="A18" s="19" t="inlineStr">
        <is>
          <t>土地清冊_匯入</t>
        </is>
      </c>
      <c r="B18" s="19" t="inlineStr">
        <is>
          <t>抵押設定</t>
        </is>
      </c>
      <c r="C18" s="19" t="inlineStr">
        <is>
          <t>建議</t>
        </is>
      </c>
      <c r="D18" s="19" t="inlineStr">
        <is>
          <t>dropdown</t>
        </is>
      </c>
      <c r="E18" s="19" t="inlineStr">
        <is>
          <t>否</t>
        </is>
      </c>
      <c r="F18" s="19" t="inlineStr">
        <is>
          <t>是否類</t>
        </is>
      </c>
      <c r="G18" s="19" t="inlineStr"/>
    </row>
    <row r="19">
      <c r="A19" s="19" t="inlineStr">
        <is>
          <t>土地清冊_匯入</t>
        </is>
      </c>
      <c r="B19" s="19" t="inlineStr">
        <is>
          <t>查封限制</t>
        </is>
      </c>
      <c r="C19" s="19" t="inlineStr">
        <is>
          <t>建議</t>
        </is>
      </c>
      <c r="D19" s="19" t="inlineStr">
        <is>
          <t>dropdown</t>
        </is>
      </c>
      <c r="E19" s="19" t="inlineStr">
        <is>
          <t>否</t>
        </is>
      </c>
      <c r="F19" s="19" t="inlineStr">
        <is>
          <t>是否類</t>
        </is>
      </c>
      <c r="G19" s="19" t="inlineStr"/>
    </row>
    <row r="20">
      <c r="A20" s="19" t="inlineStr">
        <is>
          <t>土地清冊_匯入</t>
        </is>
      </c>
      <c r="B20" s="19" t="inlineStr">
        <is>
          <t>繼承狀態</t>
        </is>
      </c>
      <c r="C20" s="19" t="inlineStr">
        <is>
          <t>建議</t>
        </is>
      </c>
      <c r="D20" s="19" t="inlineStr">
        <is>
          <t>dropdown</t>
        </is>
      </c>
      <c r="E20" s="19" t="inlineStr">
        <is>
          <t>否</t>
        </is>
      </c>
      <c r="F20" s="19" t="inlineStr">
        <is>
          <t>繼承狀態</t>
        </is>
      </c>
      <c r="G20" s="19" t="inlineStr"/>
    </row>
    <row r="21">
      <c r="A21" s="19" t="inlineStr">
        <is>
          <t>土地清冊_匯入</t>
        </is>
      </c>
      <c r="B21" s="19" t="inlineStr">
        <is>
          <t>聯絡方式</t>
        </is>
      </c>
      <c r="C21" s="19" t="inlineStr">
        <is>
          <t>選填</t>
        </is>
      </c>
      <c r="D21" s="19" t="inlineStr">
        <is>
          <t>text</t>
        </is>
      </c>
      <c r="E21" s="19" t="inlineStr">
        <is>
          <t>否</t>
        </is>
      </c>
      <c r="F21" s="19" t="inlineStr"/>
      <c r="G21" s="19" t="inlineStr"/>
    </row>
    <row r="22">
      <c r="A22" s="19" t="inlineStr">
        <is>
          <t>土地清冊_匯入</t>
        </is>
      </c>
      <c r="B22" s="19" t="inlineStr">
        <is>
          <t>聯絡狀態</t>
        </is>
      </c>
      <c r="C22" s="19" t="inlineStr">
        <is>
          <t>建議</t>
        </is>
      </c>
      <c r="D22" s="19" t="inlineStr">
        <is>
          <t>dropdown</t>
        </is>
      </c>
      <c r="E22" s="19" t="inlineStr">
        <is>
          <t>否</t>
        </is>
      </c>
      <c r="F22" s="19" t="inlineStr">
        <is>
          <t>聯絡狀態</t>
        </is>
      </c>
      <c r="G22" s="19" t="inlineStr"/>
    </row>
    <row r="23">
      <c r="A23" s="19" t="inlineStr">
        <is>
          <t>土地清冊_匯入</t>
        </is>
      </c>
      <c r="B23" s="19" t="inlineStr">
        <is>
          <t>同意狀態</t>
        </is>
      </c>
      <c r="C23" s="19" t="inlineStr">
        <is>
          <t>建議</t>
        </is>
      </c>
      <c r="D23" s="19" t="inlineStr">
        <is>
          <t>dropdown</t>
        </is>
      </c>
      <c r="E23" s="19" t="inlineStr">
        <is>
          <t>否</t>
        </is>
      </c>
      <c r="F23" s="19" t="inlineStr">
        <is>
          <t>同意狀態</t>
        </is>
      </c>
      <c r="G23" s="19" t="inlineStr"/>
    </row>
    <row r="24">
      <c r="A24" s="19" t="inlineStr">
        <is>
          <t>土地清冊_匯入</t>
        </is>
      </c>
      <c r="B24" s="19" t="inlineStr">
        <is>
          <t>簽約狀態</t>
        </is>
      </c>
      <c r="C24" s="19" t="inlineStr">
        <is>
          <t>建議</t>
        </is>
      </c>
      <c r="D24" s="19" t="inlineStr">
        <is>
          <t>dropdown</t>
        </is>
      </c>
      <c r="E24" s="19" t="inlineStr">
        <is>
          <t>否</t>
        </is>
      </c>
      <c r="F24" s="19" t="inlineStr">
        <is>
          <t>簽約狀態</t>
        </is>
      </c>
      <c r="G24" s="19" t="inlineStr"/>
    </row>
    <row r="25">
      <c r="A25" s="19" t="inlineStr">
        <is>
          <t>土地清冊_匯入</t>
        </is>
      </c>
      <c r="B25" s="19" t="inlineStr">
        <is>
          <t>整合負責人</t>
        </is>
      </c>
      <c r="C25" s="19" t="inlineStr">
        <is>
          <t>選填</t>
        </is>
      </c>
      <c r="D25" s="19" t="inlineStr">
        <is>
          <t>text</t>
        </is>
      </c>
      <c r="E25" s="19" t="inlineStr">
        <is>
          <t>否</t>
        </is>
      </c>
      <c r="F25" s="19" t="inlineStr"/>
      <c r="G25" s="19" t="inlineStr"/>
    </row>
    <row r="26">
      <c r="A26" s="19" t="inlineStr">
        <is>
          <t>土地清冊_匯入</t>
        </is>
      </c>
      <c r="B26" s="19" t="inlineStr">
        <is>
          <t>風險等級</t>
        </is>
      </c>
      <c r="C26" s="19" t="inlineStr">
        <is>
          <t>建議</t>
        </is>
      </c>
      <c r="D26" s="19" t="inlineStr">
        <is>
          <t>dropdown</t>
        </is>
      </c>
      <c r="E26" s="19" t="inlineStr">
        <is>
          <t>否</t>
        </is>
      </c>
      <c r="F26" s="19" t="inlineStr">
        <is>
          <t>風險等級</t>
        </is>
      </c>
      <c r="G26" s="19" t="inlineStr"/>
    </row>
    <row r="27">
      <c r="A27" s="19" t="inlineStr">
        <is>
          <t>土地清冊_匯入</t>
        </is>
      </c>
      <c r="B27" s="19" t="inlineStr">
        <is>
          <t>特殊備註</t>
        </is>
      </c>
      <c r="C27" s="19" t="inlineStr">
        <is>
          <t>選填</t>
        </is>
      </c>
      <c r="D27" s="19" t="inlineStr">
        <is>
          <t>text</t>
        </is>
      </c>
      <c r="E27" s="19" t="inlineStr">
        <is>
          <t>否</t>
        </is>
      </c>
      <c r="F27" s="19" t="inlineStr"/>
      <c r="G27" s="19" t="inlineStr"/>
    </row>
    <row r="28">
      <c r="A28" s="19" t="inlineStr">
        <is>
          <t>土地清冊_匯入</t>
        </is>
      </c>
      <c r="B28" s="19" t="inlineStr">
        <is>
          <t>公式檢核提示</t>
        </is>
      </c>
      <c r="C28" s="19" t="inlineStr">
        <is>
          <t>公式</t>
        </is>
      </c>
      <c r="D28" s="19" t="inlineStr">
        <is>
          <t>formula</t>
        </is>
      </c>
      <c r="E28" s="19" t="inlineStr">
        <is>
          <t>是</t>
        </is>
      </c>
      <c r="F28" s="19" t="inlineStr"/>
      <c r="G28" s="19" t="inlineStr"/>
    </row>
    <row r="29">
      <c r="A29" s="19" t="inlineStr">
        <is>
          <t>土地清冊_匯入</t>
        </is>
      </c>
      <c r="B29" s="19" t="inlineStr">
        <is>
          <t>地主地號查找鍵</t>
        </is>
      </c>
      <c r="C29" s="19" t="inlineStr">
        <is>
          <t>公式</t>
        </is>
      </c>
      <c r="D29" s="19" t="inlineStr">
        <is>
          <t>formula</t>
        </is>
      </c>
      <c r="E29" s="19" t="inlineStr">
        <is>
          <t>是</t>
        </is>
      </c>
      <c r="F29" s="19" t="inlineStr"/>
      <c r="G29" s="19" t="inlineStr"/>
    </row>
    <row r="30">
      <c r="A30" s="19" t="inlineStr">
        <is>
          <t>建物清冊_匯入</t>
        </is>
      </c>
      <c r="B30" s="19" t="inlineStr">
        <is>
          <t>建物編號</t>
        </is>
      </c>
      <c r="C30" s="19" t="inlineStr">
        <is>
          <t>必填</t>
        </is>
      </c>
      <c r="D30" s="19" t="inlineStr">
        <is>
          <t>text</t>
        </is>
      </c>
      <c r="E30" s="19" t="inlineStr">
        <is>
          <t>否</t>
        </is>
      </c>
      <c r="F30" s="19" t="inlineStr"/>
      <c r="G30" s="19" t="inlineStr">
        <is>
          <t>建物清冊內部編號。</t>
        </is>
      </c>
    </row>
    <row r="31">
      <c r="A31" s="19" t="inlineStr">
        <is>
          <t>建物清冊_匯入</t>
        </is>
      </c>
      <c r="B31" s="19" t="inlineStr">
        <is>
          <t>所有人姓名</t>
        </is>
      </c>
      <c r="C31" s="19" t="inlineStr">
        <is>
          <t>必填</t>
        </is>
      </c>
      <c r="D31" s="19" t="inlineStr">
        <is>
          <t>text</t>
        </is>
      </c>
      <c r="E31" s="19" t="inlineStr">
        <is>
          <t>否</t>
        </is>
      </c>
      <c r="F31" s="19" t="inlineStr"/>
      <c r="G31" s="19" t="inlineStr"/>
    </row>
    <row r="32">
      <c r="A32" s="19" t="inlineStr">
        <is>
          <t>建物清冊_匯入</t>
        </is>
      </c>
      <c r="B32" s="19" t="inlineStr">
        <is>
          <t>縣市</t>
        </is>
      </c>
      <c r="C32" s="19" t="inlineStr">
        <is>
          <t>必填</t>
        </is>
      </c>
      <c r="D32" s="19" t="inlineStr">
        <is>
          <t>text</t>
        </is>
      </c>
      <c r="E32" s="19" t="inlineStr">
        <is>
          <t>否</t>
        </is>
      </c>
      <c r="F32" s="19" t="inlineStr"/>
      <c r="G32" s="19" t="inlineStr"/>
    </row>
    <row r="33">
      <c r="A33" s="19" t="inlineStr">
        <is>
          <t>建物清冊_匯入</t>
        </is>
      </c>
      <c r="B33" s="19" t="inlineStr">
        <is>
          <t>行政區</t>
        </is>
      </c>
      <c r="C33" s="19" t="inlineStr">
        <is>
          <t>必填</t>
        </is>
      </c>
      <c r="D33" s="19" t="inlineStr">
        <is>
          <t>text</t>
        </is>
      </c>
      <c r="E33" s="19" t="inlineStr">
        <is>
          <t>否</t>
        </is>
      </c>
      <c r="F33" s="19" t="inlineStr"/>
      <c r="G33" s="19" t="inlineStr"/>
    </row>
    <row r="34">
      <c r="A34" s="19" t="inlineStr">
        <is>
          <t>建物清冊_匯入</t>
        </is>
      </c>
      <c r="B34" s="19" t="inlineStr">
        <is>
          <t>段別</t>
        </is>
      </c>
      <c r="C34" s="19" t="inlineStr">
        <is>
          <t>必填</t>
        </is>
      </c>
      <c r="D34" s="19" t="inlineStr">
        <is>
          <t>text</t>
        </is>
      </c>
      <c r="E34" s="19" t="inlineStr">
        <is>
          <t>否</t>
        </is>
      </c>
      <c r="F34" s="19" t="inlineStr"/>
      <c r="G34" s="19" t="inlineStr"/>
    </row>
    <row r="35">
      <c r="A35" s="19" t="inlineStr">
        <is>
          <t>建物清冊_匯入</t>
        </is>
      </c>
      <c r="B35" s="19" t="inlineStr">
        <is>
          <t>小段</t>
        </is>
      </c>
      <c r="C35" s="19" t="inlineStr">
        <is>
          <t>選填</t>
        </is>
      </c>
      <c r="D35" s="19" t="inlineStr">
        <is>
          <t>text</t>
        </is>
      </c>
      <c r="E35" s="19" t="inlineStr">
        <is>
          <t>否</t>
        </is>
      </c>
      <c r="F35" s="19" t="inlineStr"/>
      <c r="G35" s="19" t="inlineStr">
        <is>
          <t>僅現況建物標示明確有小段時填寫。</t>
        </is>
      </c>
    </row>
    <row r="36">
      <c r="A36" s="19" t="inlineStr">
        <is>
          <t>建物清冊_匯入</t>
        </is>
      </c>
      <c r="B36" s="19" t="inlineStr">
        <is>
          <t>地號</t>
        </is>
      </c>
      <c r="C36" s="19" t="inlineStr">
        <is>
          <t>建議</t>
        </is>
      </c>
      <c r="D36" s="19" t="inlineStr">
        <is>
          <t>text</t>
        </is>
      </c>
      <c r="E36" s="19" t="inlineStr">
        <is>
          <t>否</t>
        </is>
      </c>
      <c r="F36" s="19" t="inlineStr"/>
      <c r="G36" s="19" t="inlineStr"/>
    </row>
    <row r="37">
      <c r="A37" s="19" t="inlineStr">
        <is>
          <t>建物清冊_匯入</t>
        </is>
      </c>
      <c r="B37" s="19" t="inlineStr">
        <is>
          <t>建號</t>
        </is>
      </c>
      <c r="C37" s="19" t="inlineStr">
        <is>
          <t>必填</t>
        </is>
      </c>
      <c r="D37" s="19" t="inlineStr">
        <is>
          <t>text</t>
        </is>
      </c>
      <c r="E37" s="19" t="inlineStr">
        <is>
          <t>否</t>
        </is>
      </c>
      <c r="F37" s="19" t="inlineStr"/>
      <c r="G37" s="19" t="inlineStr"/>
    </row>
    <row r="38">
      <c r="A38" s="19" t="inlineStr">
        <is>
          <t>建物清冊_匯入</t>
        </is>
      </c>
      <c r="B38" s="19" t="inlineStr">
        <is>
          <t>聯絡方式</t>
        </is>
      </c>
      <c r="C38" s="19" t="inlineStr">
        <is>
          <t>選填</t>
        </is>
      </c>
      <c r="D38" s="19" t="inlineStr">
        <is>
          <t>text</t>
        </is>
      </c>
      <c r="E38" s="19" t="inlineStr">
        <is>
          <t>否</t>
        </is>
      </c>
      <c r="F38" s="19" t="inlineStr"/>
      <c r="G38" s="19" t="inlineStr"/>
    </row>
    <row r="39">
      <c r="A39" s="19" t="inlineStr">
        <is>
          <t>建物清冊_匯入</t>
        </is>
      </c>
      <c r="B39" s="19" t="inlineStr">
        <is>
          <t>聯絡狀態</t>
        </is>
      </c>
      <c r="C39" s="19" t="inlineStr">
        <is>
          <t>建議</t>
        </is>
      </c>
      <c r="D39" s="19" t="inlineStr">
        <is>
          <t>dropdown</t>
        </is>
      </c>
      <c r="E39" s="19" t="inlineStr">
        <is>
          <t>否</t>
        </is>
      </c>
      <c r="F39" s="19" t="inlineStr">
        <is>
          <t>聯絡狀態</t>
        </is>
      </c>
      <c r="G39" s="19" t="inlineStr"/>
    </row>
    <row r="40">
      <c r="A40" s="19" t="inlineStr">
        <is>
          <t>建物清冊_匯入</t>
        </is>
      </c>
      <c r="B40" s="19" t="inlineStr">
        <is>
          <t>同意狀態</t>
        </is>
      </c>
      <c r="C40" s="19" t="inlineStr">
        <is>
          <t>建議</t>
        </is>
      </c>
      <c r="D40" s="19" t="inlineStr">
        <is>
          <t>dropdown</t>
        </is>
      </c>
      <c r="E40" s="19" t="inlineStr">
        <is>
          <t>否</t>
        </is>
      </c>
      <c r="F40" s="19" t="inlineStr">
        <is>
          <t>同意狀態</t>
        </is>
      </c>
      <c r="G40" s="19" t="inlineStr"/>
    </row>
    <row r="41">
      <c r="A41" s="19" t="inlineStr">
        <is>
          <t>建物清冊_匯入</t>
        </is>
      </c>
      <c r="B41" s="19" t="inlineStr">
        <is>
          <t>簽約狀態</t>
        </is>
      </c>
      <c r="C41" s="19" t="inlineStr">
        <is>
          <t>建議</t>
        </is>
      </c>
      <c r="D41" s="19" t="inlineStr">
        <is>
          <t>dropdown</t>
        </is>
      </c>
      <c r="E41" s="19" t="inlineStr">
        <is>
          <t>否</t>
        </is>
      </c>
      <c r="F41" s="19" t="inlineStr">
        <is>
          <t>簽約狀態</t>
        </is>
      </c>
      <c r="G41" s="19" t="inlineStr"/>
    </row>
    <row r="42">
      <c r="A42" s="19" t="inlineStr">
        <is>
          <t>建物清冊_匯入</t>
        </is>
      </c>
      <c r="B42" s="19" t="inlineStr">
        <is>
          <t>整合負責人</t>
        </is>
      </c>
      <c r="C42" s="19" t="inlineStr">
        <is>
          <t>選填</t>
        </is>
      </c>
      <c r="D42" s="19" t="inlineStr">
        <is>
          <t>text</t>
        </is>
      </c>
      <c r="E42" s="19" t="inlineStr">
        <is>
          <t>否</t>
        </is>
      </c>
      <c r="F42" s="19" t="inlineStr"/>
      <c r="G42" s="19" t="inlineStr"/>
    </row>
    <row r="43">
      <c r="A43" s="19" t="inlineStr">
        <is>
          <t>建物清冊_匯入</t>
        </is>
      </c>
      <c r="B43" s="19" t="inlineStr">
        <is>
          <t>特殊備註</t>
        </is>
      </c>
      <c r="C43" s="19" t="inlineStr">
        <is>
          <t>選填</t>
        </is>
      </c>
      <c r="D43" s="19" t="inlineStr">
        <is>
          <t>text</t>
        </is>
      </c>
      <c r="E43" s="19" t="inlineStr">
        <is>
          <t>否</t>
        </is>
      </c>
      <c r="F43" s="19" t="inlineStr"/>
      <c r="G43" s="19" t="inlineStr"/>
    </row>
    <row r="44">
      <c r="A44" s="19" t="inlineStr">
        <is>
          <t>建物清冊_匯入</t>
        </is>
      </c>
      <c r="B44" s="19" t="inlineStr">
        <is>
          <t>主建物面積㎡</t>
        </is>
      </c>
      <c r="C44" s="19" t="inlineStr">
        <is>
          <t>必填</t>
        </is>
      </c>
      <c r="D44" s="19" t="inlineStr">
        <is>
          <t>decimal</t>
        </is>
      </c>
      <c r="E44" s="19" t="inlineStr">
        <is>
          <t>否</t>
        </is>
      </c>
      <c r="F44" s="19" t="inlineStr"/>
      <c r="G44" s="19" t="inlineStr"/>
    </row>
    <row r="45">
      <c r="A45" s="19" t="inlineStr">
        <is>
          <t>建物清冊_匯入</t>
        </is>
      </c>
      <c r="B45" s="19" t="inlineStr">
        <is>
          <t>附屬建物面積㎡</t>
        </is>
      </c>
      <c r="C45" s="19" t="inlineStr">
        <is>
          <t>選填</t>
        </is>
      </c>
      <c r="D45" s="19" t="inlineStr">
        <is>
          <t>decimal</t>
        </is>
      </c>
      <c r="E45" s="19" t="inlineStr">
        <is>
          <t>否</t>
        </is>
      </c>
      <c r="F45" s="19" t="inlineStr"/>
      <c r="G45" s="19" t="inlineStr"/>
    </row>
    <row r="46">
      <c r="A46" s="19" t="inlineStr">
        <is>
          <t>建物清冊_匯入</t>
        </is>
      </c>
      <c r="B46" s="19" t="inlineStr">
        <is>
          <t>共有部分面積㎡</t>
        </is>
      </c>
      <c r="C46" s="19" t="inlineStr">
        <is>
          <t>選填</t>
        </is>
      </c>
      <c r="D46" s="19" t="inlineStr">
        <is>
          <t>decimal</t>
        </is>
      </c>
      <c r="E46" s="19" t="inlineStr">
        <is>
          <t>否</t>
        </is>
      </c>
      <c r="F46" s="19" t="inlineStr"/>
      <c r="G46" s="19" t="inlineStr"/>
    </row>
    <row r="47">
      <c r="A47" s="19" t="inlineStr">
        <is>
          <t>建物清冊_匯入</t>
        </is>
      </c>
      <c r="B47" s="19" t="inlineStr">
        <is>
          <t>建物面積㎡</t>
        </is>
      </c>
      <c r="C47" s="19" t="inlineStr">
        <is>
          <t>公式</t>
        </is>
      </c>
      <c r="D47" s="19" t="inlineStr">
        <is>
          <t>formula</t>
        </is>
      </c>
      <c r="E47" s="19" t="inlineStr">
        <is>
          <t>是</t>
        </is>
      </c>
      <c r="F47" s="19" t="inlineStr"/>
      <c r="G47" s="19" t="inlineStr"/>
    </row>
    <row r="48">
      <c r="A48" s="19" t="inlineStr">
        <is>
          <t>建物清冊_匯入</t>
        </is>
      </c>
      <c r="B48" s="19" t="inlineStr">
        <is>
          <t>建物面積坪</t>
        </is>
      </c>
      <c r="C48" s="19" t="inlineStr">
        <is>
          <t>公式</t>
        </is>
      </c>
      <c r="D48" s="19" t="inlineStr">
        <is>
          <t>formula</t>
        </is>
      </c>
      <c r="E48" s="19" t="inlineStr">
        <is>
          <t>是</t>
        </is>
      </c>
      <c r="F48" s="19" t="inlineStr"/>
      <c r="G48" s="19" t="inlineStr"/>
    </row>
    <row r="49">
      <c r="A49" s="19" t="inlineStr">
        <is>
          <t>建物清冊_匯入</t>
        </is>
      </c>
      <c r="B49" s="19" t="inlineStr">
        <is>
          <t>持分分子</t>
        </is>
      </c>
      <c r="C49" s="19" t="inlineStr">
        <is>
          <t>必填</t>
        </is>
      </c>
      <c r="D49" s="19" t="inlineStr">
        <is>
          <t>decimal</t>
        </is>
      </c>
      <c r="E49" s="19" t="inlineStr">
        <is>
          <t>否</t>
        </is>
      </c>
      <c r="F49" s="19" t="inlineStr"/>
      <c r="G49" s="19" t="inlineStr"/>
    </row>
    <row r="50">
      <c r="A50" s="19" t="inlineStr">
        <is>
          <t>建物清冊_匯入</t>
        </is>
      </c>
      <c r="B50" s="19" t="inlineStr">
        <is>
          <t>持分分母</t>
        </is>
      </c>
      <c r="C50" s="19" t="inlineStr">
        <is>
          <t>必填</t>
        </is>
      </c>
      <c r="D50" s="19" t="inlineStr">
        <is>
          <t>integer</t>
        </is>
      </c>
      <c r="E50" s="19" t="inlineStr">
        <is>
          <t>否</t>
        </is>
      </c>
      <c r="F50" s="19" t="inlineStr"/>
      <c r="G50" s="19" t="inlineStr"/>
    </row>
    <row r="51">
      <c r="A51" s="19" t="inlineStr">
        <is>
          <t>建物清冊_匯入</t>
        </is>
      </c>
      <c r="B51" s="19" t="inlineStr">
        <is>
          <t>持分比例</t>
        </is>
      </c>
      <c r="C51" s="19" t="inlineStr">
        <is>
          <t>公式</t>
        </is>
      </c>
      <c r="D51" s="19" t="inlineStr">
        <is>
          <t>formula</t>
        </is>
      </c>
      <c r="E51" s="19" t="inlineStr">
        <is>
          <t>是</t>
        </is>
      </c>
      <c r="F51" s="19" t="inlineStr"/>
      <c r="G51" s="19" t="inlineStr"/>
    </row>
    <row r="52">
      <c r="A52" s="19" t="inlineStr">
        <is>
          <t>建物清冊_匯入</t>
        </is>
      </c>
      <c r="B52" s="19" t="inlineStr">
        <is>
          <t>建物持分面積㎡</t>
        </is>
      </c>
      <c r="C52" s="19" t="inlineStr">
        <is>
          <t>公式</t>
        </is>
      </c>
      <c r="D52" s="19" t="inlineStr">
        <is>
          <t>formula</t>
        </is>
      </c>
      <c r="E52" s="19" t="inlineStr">
        <is>
          <t>是</t>
        </is>
      </c>
      <c r="F52" s="19" t="inlineStr"/>
      <c r="G52" s="19" t="inlineStr"/>
    </row>
    <row r="53">
      <c r="A53" s="19" t="inlineStr">
        <is>
          <t>建物清冊_匯入</t>
        </is>
      </c>
      <c r="B53" s="19" t="inlineStr">
        <is>
          <t>樓層</t>
        </is>
      </c>
      <c r="C53" s="19" t="inlineStr">
        <is>
          <t>選填</t>
        </is>
      </c>
      <c r="D53" s="19" t="inlineStr">
        <is>
          <t>text</t>
        </is>
      </c>
      <c r="E53" s="19" t="inlineStr">
        <is>
          <t>否</t>
        </is>
      </c>
      <c r="F53" s="19" t="inlineStr"/>
      <c r="G53" s="19" t="inlineStr"/>
    </row>
    <row r="54">
      <c r="A54" s="19" t="inlineStr">
        <is>
          <t>建物清冊_匯入</t>
        </is>
      </c>
      <c r="B54" s="19" t="inlineStr">
        <is>
          <t>建物型態</t>
        </is>
      </c>
      <c r="C54" s="19" t="inlineStr">
        <is>
          <t>建議</t>
        </is>
      </c>
      <c r="D54" s="19" t="inlineStr">
        <is>
          <t>dropdown</t>
        </is>
      </c>
      <c r="E54" s="19" t="inlineStr">
        <is>
          <t>否</t>
        </is>
      </c>
      <c r="F54" s="19" t="inlineStr">
        <is>
          <t>建物型態</t>
        </is>
      </c>
      <c r="G54" s="19" t="inlineStr"/>
    </row>
    <row r="55">
      <c r="A55" s="19" t="inlineStr">
        <is>
          <t>建物清冊_匯入</t>
        </is>
      </c>
      <c r="B55" s="19" t="inlineStr">
        <is>
          <t>用途</t>
        </is>
      </c>
      <c r="C55" s="19" t="inlineStr">
        <is>
          <t>建議</t>
        </is>
      </c>
      <c r="D55" s="19" t="inlineStr">
        <is>
          <t>dropdown</t>
        </is>
      </c>
      <c r="E55" s="19" t="inlineStr">
        <is>
          <t>否</t>
        </is>
      </c>
      <c r="F55" s="19" t="inlineStr">
        <is>
          <t>用途</t>
        </is>
      </c>
      <c r="G55" s="19" t="inlineStr"/>
    </row>
    <row r="56">
      <c r="A56" s="19" t="inlineStr">
        <is>
          <t>建物清冊_匯入</t>
        </is>
      </c>
      <c r="B56" s="19" t="inlineStr">
        <is>
          <t>屋齡</t>
        </is>
      </c>
      <c r="C56" s="19" t="inlineStr">
        <is>
          <t>選填</t>
        </is>
      </c>
      <c r="D56" s="19" t="inlineStr">
        <is>
          <t>decimal</t>
        </is>
      </c>
      <c r="E56" s="19" t="inlineStr">
        <is>
          <t>否</t>
        </is>
      </c>
      <c r="F56" s="19" t="inlineStr"/>
      <c r="G56" s="19" t="inlineStr"/>
    </row>
    <row r="57">
      <c r="A57" s="19" t="inlineStr">
        <is>
          <t>建物清冊_匯入</t>
        </is>
      </c>
      <c r="B57" s="19" t="inlineStr">
        <is>
          <t>是否出租</t>
        </is>
      </c>
      <c r="C57" s="19" t="inlineStr">
        <is>
          <t>建議</t>
        </is>
      </c>
      <c r="D57" s="19" t="inlineStr">
        <is>
          <t>dropdown</t>
        </is>
      </c>
      <c r="E57" s="19" t="inlineStr">
        <is>
          <t>否</t>
        </is>
      </c>
      <c r="F57" s="19" t="inlineStr">
        <is>
          <t>是否類</t>
        </is>
      </c>
      <c r="G57" s="19" t="inlineStr"/>
    </row>
    <row r="58">
      <c r="A58" s="19" t="inlineStr">
        <is>
          <t>建物清冊_匯入</t>
        </is>
      </c>
      <c r="B58" s="19" t="inlineStr">
        <is>
          <t>是否抵押</t>
        </is>
      </c>
      <c r="C58" s="19" t="inlineStr">
        <is>
          <t>建議</t>
        </is>
      </c>
      <c r="D58" s="19" t="inlineStr">
        <is>
          <t>dropdown</t>
        </is>
      </c>
      <c r="E58" s="19" t="inlineStr">
        <is>
          <t>否</t>
        </is>
      </c>
      <c r="F58" s="19" t="inlineStr">
        <is>
          <t>是否類</t>
        </is>
      </c>
      <c r="G58" s="19" t="inlineStr"/>
    </row>
    <row r="59">
      <c r="A59" s="19" t="inlineStr">
        <is>
          <t>建物清冊_匯入</t>
        </is>
      </c>
      <c r="B59" s="19" t="inlineStr">
        <is>
          <t>是否占用</t>
        </is>
      </c>
      <c r="C59" s="19" t="inlineStr">
        <is>
          <t>建議</t>
        </is>
      </c>
      <c r="D59" s="19" t="inlineStr">
        <is>
          <t>dropdown</t>
        </is>
      </c>
      <c r="E59" s="19" t="inlineStr">
        <is>
          <t>否</t>
        </is>
      </c>
      <c r="F59" s="19" t="inlineStr">
        <is>
          <t>是否類</t>
        </is>
      </c>
      <c r="G59" s="19" t="inlineStr"/>
    </row>
    <row r="60">
      <c r="A60" s="19" t="inlineStr">
        <is>
          <t>建物清冊_匯入</t>
        </is>
      </c>
      <c r="B60" s="19" t="inlineStr">
        <is>
          <t>是否違建</t>
        </is>
      </c>
      <c r="C60" s="19" t="inlineStr">
        <is>
          <t>建議</t>
        </is>
      </c>
      <c r="D60" s="19" t="inlineStr">
        <is>
          <t>dropdown</t>
        </is>
      </c>
      <c r="E60" s="19" t="inlineStr">
        <is>
          <t>否</t>
        </is>
      </c>
      <c r="F60" s="19" t="inlineStr">
        <is>
          <t>是否類</t>
        </is>
      </c>
      <c r="G60" s="19" t="inlineStr"/>
    </row>
    <row r="61">
      <c r="A61" s="19" t="inlineStr">
        <is>
          <t>建物清冊_匯入</t>
        </is>
      </c>
      <c r="B61" s="19" t="inlineStr">
        <is>
          <t>風險等級</t>
        </is>
      </c>
      <c r="C61" s="19" t="inlineStr">
        <is>
          <t>建議</t>
        </is>
      </c>
      <c r="D61" s="19" t="inlineStr">
        <is>
          <t>dropdown</t>
        </is>
      </c>
      <c r="E61" s="19" t="inlineStr">
        <is>
          <t>否</t>
        </is>
      </c>
      <c r="F61" s="19" t="inlineStr">
        <is>
          <t>風險等級</t>
        </is>
      </c>
      <c r="G61" s="19" t="inlineStr"/>
    </row>
    <row r="62">
      <c r="A62" s="19" t="inlineStr">
        <is>
          <t>建物清冊_匯入</t>
        </is>
      </c>
      <c r="B62" s="19" t="inlineStr">
        <is>
          <t>建物備註</t>
        </is>
      </c>
      <c r="C62" s="19" t="inlineStr">
        <is>
          <t>選填</t>
        </is>
      </c>
      <c r="D62" s="19" t="inlineStr">
        <is>
          <t>text</t>
        </is>
      </c>
      <c r="E62" s="19" t="inlineStr">
        <is>
          <t>否</t>
        </is>
      </c>
      <c r="F62" s="19" t="inlineStr"/>
      <c r="G62" s="19" t="inlineStr"/>
    </row>
    <row r="63">
      <c r="A63" s="19" t="inlineStr">
        <is>
          <t>建物清冊_匯入</t>
        </is>
      </c>
      <c r="B63" s="19" t="inlineStr">
        <is>
          <t>公式檢核提示</t>
        </is>
      </c>
      <c r="C63" s="19" t="inlineStr">
        <is>
          <t>公式</t>
        </is>
      </c>
      <c r="D63" s="19" t="inlineStr">
        <is>
          <t>formula</t>
        </is>
      </c>
      <c r="E63" s="19" t="inlineStr">
        <is>
          <t>是</t>
        </is>
      </c>
      <c r="F63" s="19" t="inlineStr"/>
      <c r="G63" s="19" t="inlineStr"/>
    </row>
    <row r="64">
      <c r="A64" s="19" t="inlineStr">
        <is>
          <t>建物清冊_匯入</t>
        </is>
      </c>
      <c r="B64" s="19" t="inlineStr">
        <is>
          <t>地主地號查找鍵</t>
        </is>
      </c>
      <c r="C64" s="19" t="inlineStr">
        <is>
          <t>公式</t>
        </is>
      </c>
      <c r="D64" s="19" t="inlineStr">
        <is>
          <t>formula</t>
        </is>
      </c>
      <c r="E64" s="19" t="inlineStr">
        <is>
          <t>是</t>
        </is>
      </c>
      <c r="F64" s="19" t="inlineStr"/>
      <c r="G64" s="19" t="inlineStr"/>
    </row>
    <row r="65">
      <c r="A65" s="19" t="inlineStr">
        <is>
          <t>建物清冊_匯入</t>
        </is>
      </c>
      <c r="B65" s="19" t="inlineStr">
        <is>
          <t>地主建號查找鍵</t>
        </is>
      </c>
      <c r="C65" s="19" t="inlineStr">
        <is>
          <t>公式</t>
        </is>
      </c>
      <c r="D65" s="19" t="inlineStr">
        <is>
          <t>formula</t>
        </is>
      </c>
      <c r="E65" s="19" t="inlineStr">
        <is>
          <t>是</t>
        </is>
      </c>
      <c r="F65" s="19" t="inlineStr"/>
      <c r="G65" s="19" t="inlineStr"/>
    </row>
    <row r="66">
      <c r="A66" s="19" t="inlineStr">
        <is>
          <t>整合紀錄_匯入</t>
        </is>
      </c>
      <c r="B66" s="19" t="inlineStr">
        <is>
          <t>地主編號</t>
        </is>
      </c>
      <c r="C66" s="19" t="inlineStr">
        <is>
          <t>必填</t>
        </is>
      </c>
      <c r="D66" s="19" t="inlineStr">
        <is>
          <t>text</t>
        </is>
      </c>
      <c r="E66" s="19" t="inlineStr">
        <is>
          <t>否</t>
        </is>
      </c>
      <c r="F66" s="19" t="inlineStr"/>
      <c r="G66" s="19" t="inlineStr"/>
    </row>
    <row r="67">
      <c r="A67" s="19" t="inlineStr">
        <is>
          <t>整合紀錄_匯入</t>
        </is>
      </c>
      <c r="B67" s="19" t="inlineStr">
        <is>
          <t>對應地號</t>
        </is>
      </c>
      <c r="C67" s="19" t="inlineStr">
        <is>
          <t>建議</t>
        </is>
      </c>
      <c r="D67" s="19" t="inlineStr">
        <is>
          <t>text</t>
        </is>
      </c>
      <c r="E67" s="19" t="inlineStr">
        <is>
          <t>否</t>
        </is>
      </c>
      <c r="F67" s="19" t="inlineStr"/>
      <c r="G67" s="19" t="inlineStr"/>
    </row>
    <row r="68">
      <c r="A68" s="19" t="inlineStr">
        <is>
          <t>整合紀錄_匯入</t>
        </is>
      </c>
      <c r="B68" s="19" t="inlineStr">
        <is>
          <t>地主姓名</t>
        </is>
      </c>
      <c r="C68" s="19" t="inlineStr">
        <is>
          <t>公式</t>
        </is>
      </c>
      <c r="D68" s="19" t="inlineStr">
        <is>
          <t>formula</t>
        </is>
      </c>
      <c r="E68" s="19" t="inlineStr">
        <is>
          <t>是</t>
        </is>
      </c>
      <c r="F68" s="19" t="inlineStr"/>
      <c r="G68" s="19" t="inlineStr"/>
    </row>
    <row r="69">
      <c r="A69" s="19" t="inlineStr">
        <is>
          <t>整合紀錄_匯入</t>
        </is>
      </c>
      <c r="B69" s="19" t="inlineStr">
        <is>
          <t>聯絡方式</t>
        </is>
      </c>
      <c r="C69" s="19" t="inlineStr">
        <is>
          <t>公式</t>
        </is>
      </c>
      <c r="D69" s="19" t="inlineStr">
        <is>
          <t>formula</t>
        </is>
      </c>
      <c r="E69" s="19" t="inlineStr">
        <is>
          <t>是</t>
        </is>
      </c>
      <c r="F69" s="19" t="inlineStr"/>
      <c r="G69" s="19" t="inlineStr"/>
    </row>
    <row r="70">
      <c r="A70" s="19" t="inlineStr">
        <is>
          <t>整合紀錄_匯入</t>
        </is>
      </c>
      <c r="B70" s="19" t="inlineStr">
        <is>
          <t>目前聯絡狀態</t>
        </is>
      </c>
      <c r="C70" s="19" t="inlineStr">
        <is>
          <t>公式</t>
        </is>
      </c>
      <c r="D70" s="19" t="inlineStr">
        <is>
          <t>formula</t>
        </is>
      </c>
      <c r="E70" s="19" t="inlineStr">
        <is>
          <t>是</t>
        </is>
      </c>
      <c r="F70" s="19" t="inlineStr"/>
      <c r="G70" s="19" t="inlineStr"/>
    </row>
    <row r="71">
      <c r="A71" s="19" t="inlineStr">
        <is>
          <t>整合紀錄_匯入</t>
        </is>
      </c>
      <c r="B71" s="19" t="inlineStr">
        <is>
          <t>目前同意狀態</t>
        </is>
      </c>
      <c r="C71" s="19" t="inlineStr">
        <is>
          <t>公式</t>
        </is>
      </c>
      <c r="D71" s="19" t="inlineStr">
        <is>
          <t>formula</t>
        </is>
      </c>
      <c r="E71" s="19" t="inlineStr">
        <is>
          <t>是</t>
        </is>
      </c>
      <c r="F71" s="19" t="inlineStr"/>
      <c r="G71" s="19" t="inlineStr"/>
    </row>
    <row r="72">
      <c r="A72" s="19" t="inlineStr">
        <is>
          <t>整合紀錄_匯入</t>
        </is>
      </c>
      <c r="B72" s="19" t="inlineStr">
        <is>
          <t>目前簽約狀態</t>
        </is>
      </c>
      <c r="C72" s="19" t="inlineStr">
        <is>
          <t>公式</t>
        </is>
      </c>
      <c r="D72" s="19" t="inlineStr">
        <is>
          <t>formula</t>
        </is>
      </c>
      <c r="E72" s="19" t="inlineStr">
        <is>
          <t>是</t>
        </is>
      </c>
      <c r="F72" s="19" t="inlineStr"/>
      <c r="G72" s="19" t="inlineStr"/>
    </row>
    <row r="73">
      <c r="A73" s="19" t="inlineStr">
        <is>
          <t>整合紀錄_匯入</t>
        </is>
      </c>
      <c r="B73" s="19" t="inlineStr">
        <is>
          <t>整合負責人</t>
        </is>
      </c>
      <c r="C73" s="19" t="inlineStr">
        <is>
          <t>公式</t>
        </is>
      </c>
      <c r="D73" s="19" t="inlineStr">
        <is>
          <t>formula</t>
        </is>
      </c>
      <c r="E73" s="19" t="inlineStr">
        <is>
          <t>是</t>
        </is>
      </c>
      <c r="F73" s="19" t="inlineStr"/>
      <c r="G73" s="19" t="inlineStr"/>
    </row>
    <row r="74">
      <c r="A74" s="19" t="inlineStr">
        <is>
          <t>整合紀錄_匯入</t>
        </is>
      </c>
      <c r="B74" s="19" t="inlineStr">
        <is>
          <t>特殊備註</t>
        </is>
      </c>
      <c r="C74" s="19" t="inlineStr">
        <is>
          <t>公式</t>
        </is>
      </c>
      <c r="D74" s="19" t="inlineStr">
        <is>
          <t>formula</t>
        </is>
      </c>
      <c r="E74" s="19" t="inlineStr">
        <is>
          <t>是</t>
        </is>
      </c>
      <c r="F74" s="19" t="inlineStr"/>
      <c r="G74" s="19" t="inlineStr"/>
    </row>
    <row r="75">
      <c r="A75" s="19" t="inlineStr">
        <is>
          <t>整合紀錄_匯入</t>
        </is>
      </c>
      <c r="B75" s="19" t="inlineStr">
        <is>
          <t>聯絡日期</t>
        </is>
      </c>
      <c r="C75" s="19" t="inlineStr">
        <is>
          <t>建議</t>
        </is>
      </c>
      <c r="D75" s="19" t="inlineStr">
        <is>
          <t>date</t>
        </is>
      </c>
      <c r="E75" s="19" t="inlineStr">
        <is>
          <t>否</t>
        </is>
      </c>
      <c r="F75" s="19" t="inlineStr"/>
      <c r="G75" s="19" t="inlineStr"/>
    </row>
    <row r="76">
      <c r="A76" s="19" t="inlineStr">
        <is>
          <t>整合紀錄_匯入</t>
        </is>
      </c>
      <c r="B76" s="19" t="inlineStr">
        <is>
          <t>本次聯絡方式</t>
        </is>
      </c>
      <c r="C76" s="19" t="inlineStr">
        <is>
          <t>建議</t>
        </is>
      </c>
      <c r="D76" s="19" t="inlineStr">
        <is>
          <t>dropdown</t>
        </is>
      </c>
      <c r="E76" s="19" t="inlineStr">
        <is>
          <t>否</t>
        </is>
      </c>
      <c r="F76" s="19" t="inlineStr">
        <is>
          <t>聯絡方式</t>
        </is>
      </c>
      <c r="G76" s="19" t="inlineStr"/>
    </row>
    <row r="77">
      <c r="A77" s="19" t="inlineStr">
        <is>
          <t>整合紀錄_匯入</t>
        </is>
      </c>
      <c r="B77" s="19" t="inlineStr">
        <is>
          <t>聯絡結果</t>
        </is>
      </c>
      <c r="C77" s="19" t="inlineStr">
        <is>
          <t>建議</t>
        </is>
      </c>
      <c r="D77" s="19" t="inlineStr">
        <is>
          <t>dropdown</t>
        </is>
      </c>
      <c r="E77" s="19" t="inlineStr">
        <is>
          <t>否</t>
        </is>
      </c>
      <c r="F77" s="19" t="inlineStr">
        <is>
          <t>聯絡結果</t>
        </is>
      </c>
      <c r="G77" s="19" t="inlineStr"/>
    </row>
    <row r="78">
      <c r="A78" s="19" t="inlineStr">
        <is>
          <t>整合紀錄_匯入</t>
        </is>
      </c>
      <c r="B78" s="19" t="inlineStr">
        <is>
          <t>本次同意狀態</t>
        </is>
      </c>
      <c r="C78" s="19" t="inlineStr">
        <is>
          <t>建議</t>
        </is>
      </c>
      <c r="D78" s="19" t="inlineStr">
        <is>
          <t>dropdown</t>
        </is>
      </c>
      <c r="E78" s="19" t="inlineStr">
        <is>
          <t>否</t>
        </is>
      </c>
      <c r="F78" s="19" t="inlineStr">
        <is>
          <t>同意狀態</t>
        </is>
      </c>
      <c r="G78" s="19" t="inlineStr"/>
    </row>
    <row r="79">
      <c r="A79" s="19" t="inlineStr">
        <is>
          <t>整合紀錄_匯入</t>
        </is>
      </c>
      <c r="B79" s="19" t="inlineStr">
        <is>
          <t>本次簽約狀態</t>
        </is>
      </c>
      <c r="C79" s="19" t="inlineStr">
        <is>
          <t>建議</t>
        </is>
      </c>
      <c r="D79" s="19" t="inlineStr">
        <is>
          <t>dropdown</t>
        </is>
      </c>
      <c r="E79" s="19" t="inlineStr">
        <is>
          <t>否</t>
        </is>
      </c>
      <c r="F79" s="19" t="inlineStr">
        <is>
          <t>簽約狀態</t>
        </is>
      </c>
      <c r="G79" s="19" t="inlineStr"/>
    </row>
    <row r="80">
      <c r="A80" s="19" t="inlineStr">
        <is>
          <t>整合紀錄_匯入</t>
        </is>
      </c>
      <c r="B80" s="19" t="inlineStr">
        <is>
          <t>風險等級</t>
        </is>
      </c>
      <c r="C80" s="19" t="inlineStr">
        <is>
          <t>建議</t>
        </is>
      </c>
      <c r="D80" s="19" t="inlineStr">
        <is>
          <t>dropdown</t>
        </is>
      </c>
      <c r="E80" s="19" t="inlineStr">
        <is>
          <t>否</t>
        </is>
      </c>
      <c r="F80" s="19" t="inlineStr">
        <is>
          <t>風險等級</t>
        </is>
      </c>
      <c r="G80" s="19" t="inlineStr"/>
    </row>
    <row r="81">
      <c r="A81" s="19" t="inlineStr">
        <is>
          <t>整合紀錄_匯入</t>
        </is>
      </c>
      <c r="B81" s="19" t="inlineStr">
        <is>
          <t>下一步處理</t>
        </is>
      </c>
      <c r="C81" s="19" t="inlineStr">
        <is>
          <t>建議</t>
        </is>
      </c>
      <c r="D81" s="19" t="inlineStr">
        <is>
          <t>dropdown</t>
        </is>
      </c>
      <c r="E81" s="19" t="inlineStr">
        <is>
          <t>否</t>
        </is>
      </c>
      <c r="F81" s="19" t="inlineStr">
        <is>
          <t>下一步處理</t>
        </is>
      </c>
      <c r="G81" s="19" t="inlineStr"/>
    </row>
    <row r="82">
      <c r="A82" s="19" t="inlineStr">
        <is>
          <t>整合紀錄_匯入</t>
        </is>
      </c>
      <c r="B82" s="19" t="inlineStr">
        <is>
          <t>下次追蹤日期</t>
        </is>
      </c>
      <c r="C82" s="19" t="inlineStr">
        <is>
          <t>選填</t>
        </is>
      </c>
      <c r="D82" s="19" t="inlineStr">
        <is>
          <t>date</t>
        </is>
      </c>
      <c r="E82" s="19" t="inlineStr">
        <is>
          <t>否</t>
        </is>
      </c>
      <c r="F82" s="19" t="inlineStr"/>
      <c r="G82" s="19" t="inlineStr"/>
    </row>
    <row r="83">
      <c r="A83" s="19" t="inlineStr">
        <is>
          <t>整合紀錄_匯入</t>
        </is>
      </c>
      <c r="B83" s="19" t="inlineStr">
        <is>
          <t>溝通摘要</t>
        </is>
      </c>
      <c r="C83" s="19" t="inlineStr">
        <is>
          <t>選填</t>
        </is>
      </c>
      <c r="D83" s="19" t="inlineStr">
        <is>
          <t>text</t>
        </is>
      </c>
      <c r="E83" s="19" t="inlineStr">
        <is>
          <t>否</t>
        </is>
      </c>
      <c r="F83" s="19" t="inlineStr"/>
      <c r="G83" s="19" t="inlineStr"/>
    </row>
    <row r="84">
      <c r="A84" s="19" t="inlineStr">
        <is>
          <t>整合紀錄_匯入</t>
        </is>
      </c>
      <c r="B84" s="19" t="inlineStr">
        <is>
          <t>待補資料</t>
        </is>
      </c>
      <c r="C84" s="19" t="inlineStr">
        <is>
          <t>選填</t>
        </is>
      </c>
      <c r="D84" s="19" t="inlineStr">
        <is>
          <t>text</t>
        </is>
      </c>
      <c r="E84" s="19" t="inlineStr">
        <is>
          <t>否</t>
        </is>
      </c>
      <c r="F84" s="19" t="inlineStr"/>
      <c r="G84" s="19" t="inlineStr"/>
    </row>
    <row r="85">
      <c r="A85" s="19" t="inlineStr">
        <is>
          <t>整合紀錄_匯入</t>
        </is>
      </c>
      <c r="B85" s="19" t="inlineStr">
        <is>
          <t>備註</t>
        </is>
      </c>
      <c r="C85" s="19" t="inlineStr">
        <is>
          <t>選填</t>
        </is>
      </c>
      <c r="D85" s="19" t="inlineStr">
        <is>
          <t>text</t>
        </is>
      </c>
      <c r="E85" s="19" t="inlineStr">
        <is>
          <t>否</t>
        </is>
      </c>
      <c r="F85" s="19" t="inlineStr"/>
      <c r="G85" s="19" t="inlineStr"/>
    </row>
    <row r="86">
      <c r="A86" s="19" t="inlineStr">
        <is>
          <t>整合紀錄_匯入</t>
        </is>
      </c>
      <c r="B86" s="19" t="inlineStr">
        <is>
          <t>提示</t>
        </is>
      </c>
      <c r="C86" s="19" t="inlineStr">
        <is>
          <t>公式</t>
        </is>
      </c>
      <c r="D86" s="19" t="inlineStr">
        <is>
          <t>formula</t>
        </is>
      </c>
      <c r="E86" s="19" t="inlineStr">
        <is>
          <t>是</t>
        </is>
      </c>
      <c r="F86" s="19" t="inlineStr"/>
      <c r="G86" s="19" t="inlineStr"/>
    </row>
    <row r="87">
      <c r="A87" s="19" t="inlineStr">
        <is>
          <t>分配條件_匯入</t>
        </is>
      </c>
      <c r="B87" s="19" t="inlineStr">
        <is>
          <t>地主編號</t>
        </is>
      </c>
      <c r="C87" s="19" t="inlineStr">
        <is>
          <t>必填</t>
        </is>
      </c>
      <c r="D87" s="19" t="inlineStr">
        <is>
          <t>text</t>
        </is>
      </c>
      <c r="E87" s="19" t="inlineStr">
        <is>
          <t>否</t>
        </is>
      </c>
      <c r="F87" s="19" t="inlineStr"/>
      <c r="G87" s="19" t="inlineStr"/>
    </row>
    <row r="88">
      <c r="A88" s="19" t="inlineStr">
        <is>
          <t>分配條件_匯入</t>
        </is>
      </c>
      <c r="B88" s="19" t="inlineStr">
        <is>
          <t>對應地號</t>
        </is>
      </c>
      <c r="C88" s="19" t="inlineStr">
        <is>
          <t>建議</t>
        </is>
      </c>
      <c r="D88" s="19" t="inlineStr">
        <is>
          <t>text</t>
        </is>
      </c>
      <c r="E88" s="19" t="inlineStr">
        <is>
          <t>否</t>
        </is>
      </c>
      <c r="F88" s="19" t="inlineStr"/>
      <c r="G88" s="19" t="inlineStr"/>
    </row>
    <row r="89">
      <c r="A89" s="19" t="inlineStr">
        <is>
          <t>分配條件_匯入</t>
        </is>
      </c>
      <c r="B89" s="19" t="inlineStr">
        <is>
          <t>對應建號</t>
        </is>
      </c>
      <c r="C89" s="19" t="inlineStr">
        <is>
          <t>選填</t>
        </is>
      </c>
      <c r="D89" s="19" t="inlineStr">
        <is>
          <t>text</t>
        </is>
      </c>
      <c r="E89" s="19" t="inlineStr">
        <is>
          <t>否</t>
        </is>
      </c>
      <c r="F89" s="19" t="inlineStr"/>
      <c r="G89" s="19" t="inlineStr"/>
    </row>
    <row r="90">
      <c r="A90" s="19" t="inlineStr">
        <is>
          <t>分配條件_匯入</t>
        </is>
      </c>
      <c r="B90" s="19" t="inlineStr">
        <is>
          <t>地主姓名</t>
        </is>
      </c>
      <c r="C90" s="19" t="inlineStr">
        <is>
          <t>公式</t>
        </is>
      </c>
      <c r="D90" s="19" t="inlineStr">
        <is>
          <t>formula</t>
        </is>
      </c>
      <c r="E90" s="19" t="inlineStr">
        <is>
          <t>是</t>
        </is>
      </c>
      <c r="F90" s="19" t="inlineStr"/>
      <c r="G90" s="19" t="inlineStr"/>
    </row>
    <row r="91">
      <c r="A91" s="19" t="inlineStr">
        <is>
          <t>分配條件_匯入</t>
        </is>
      </c>
      <c r="B91" s="19" t="inlineStr">
        <is>
          <t>土地持分面積坪</t>
        </is>
      </c>
      <c r="C91" s="19" t="inlineStr">
        <is>
          <t>公式</t>
        </is>
      </c>
      <c r="D91" s="19" t="inlineStr">
        <is>
          <t>formula</t>
        </is>
      </c>
      <c r="E91" s="19" t="inlineStr">
        <is>
          <t>是</t>
        </is>
      </c>
      <c r="F91" s="19" t="inlineStr"/>
      <c r="G91" s="19" t="inlineStr"/>
    </row>
    <row r="92">
      <c r="A92" s="19" t="inlineStr">
        <is>
          <t>分配條件_匯入</t>
        </is>
      </c>
      <c r="B92" s="19" t="inlineStr">
        <is>
          <t>建物面積㎡</t>
        </is>
      </c>
      <c r="C92" s="19" t="inlineStr">
        <is>
          <t>公式</t>
        </is>
      </c>
      <c r="D92" s="19" t="inlineStr">
        <is>
          <t>formula</t>
        </is>
      </c>
      <c r="E92" s="19" t="inlineStr">
        <is>
          <t>是</t>
        </is>
      </c>
      <c r="F92" s="19" t="inlineStr"/>
      <c r="G92" s="19" t="inlineStr"/>
    </row>
    <row r="93">
      <c r="A93" s="19" t="inlineStr">
        <is>
          <t>分配條件_匯入</t>
        </is>
      </c>
      <c r="B93" s="19" t="inlineStr">
        <is>
          <t>建物持分面積㎡</t>
        </is>
      </c>
      <c r="C93" s="19" t="inlineStr">
        <is>
          <t>公式</t>
        </is>
      </c>
      <c r="D93" s="19" t="inlineStr">
        <is>
          <t>formula</t>
        </is>
      </c>
      <c r="E93" s="19" t="inlineStr">
        <is>
          <t>是</t>
        </is>
      </c>
      <c r="F93" s="19" t="inlineStr"/>
      <c r="G93" s="19" t="inlineStr"/>
    </row>
    <row r="94">
      <c r="A94" s="19" t="inlineStr">
        <is>
          <t>分配條件_匯入</t>
        </is>
      </c>
      <c r="B94" s="19" t="inlineStr">
        <is>
          <t>分配模式</t>
        </is>
      </c>
      <c r="C94" s="19" t="inlineStr">
        <is>
          <t>建議</t>
        </is>
      </c>
      <c r="D94" s="19" t="inlineStr">
        <is>
          <t>dropdown</t>
        </is>
      </c>
      <c r="E94" s="19" t="inlineStr">
        <is>
          <t>否</t>
        </is>
      </c>
      <c r="F94" s="19" t="inlineStr">
        <is>
          <t>分配模式</t>
        </is>
      </c>
      <c r="G94" s="19" t="inlineStr"/>
    </row>
    <row r="95">
      <c r="A95" s="19" t="inlineStr">
        <is>
          <t>分配條件_匯入</t>
        </is>
      </c>
      <c r="B95" s="19" t="inlineStr">
        <is>
          <t>每坪土地換建坪</t>
        </is>
      </c>
      <c r="C95" s="19" t="inlineStr">
        <is>
          <t>選填</t>
        </is>
      </c>
      <c r="D95" s="19" t="inlineStr">
        <is>
          <t>decimal</t>
        </is>
      </c>
      <c r="E95" s="19" t="inlineStr">
        <is>
          <t>否</t>
        </is>
      </c>
      <c r="F95" s="19" t="inlineStr"/>
      <c r="G95" s="19" t="inlineStr"/>
    </row>
    <row r="96">
      <c r="A96" s="19" t="inlineStr">
        <is>
          <t>分配條件_匯入</t>
        </is>
      </c>
      <c r="B96" s="19" t="inlineStr">
        <is>
          <t>地主分回比例</t>
        </is>
      </c>
      <c r="C96" s="19" t="inlineStr">
        <is>
          <t>選填</t>
        </is>
      </c>
      <c r="D96" s="19" t="inlineStr">
        <is>
          <t>decimal</t>
        </is>
      </c>
      <c r="E96" s="19" t="inlineStr">
        <is>
          <t>否</t>
        </is>
      </c>
      <c r="F96" s="19" t="inlineStr"/>
      <c r="G96" s="19" t="inlineStr"/>
    </row>
    <row r="97">
      <c r="A97" s="19" t="inlineStr">
        <is>
          <t>分配條件_匯入</t>
        </is>
      </c>
      <c r="B97" s="19" t="inlineStr">
        <is>
          <t>實施者分回比例</t>
        </is>
      </c>
      <c r="C97" s="19" t="inlineStr">
        <is>
          <t>公式</t>
        </is>
      </c>
      <c r="D97" s="19" t="inlineStr">
        <is>
          <t>formula</t>
        </is>
      </c>
      <c r="E97" s="19" t="inlineStr">
        <is>
          <t>是</t>
        </is>
      </c>
      <c r="F97" s="19" t="inlineStr"/>
      <c r="G97" s="19" t="inlineStr"/>
    </row>
    <row r="98">
      <c r="A98" s="19" t="inlineStr">
        <is>
          <t>分配條件_匯入</t>
        </is>
      </c>
      <c r="B98" s="19" t="inlineStr">
        <is>
          <t>分回坪數</t>
        </is>
      </c>
      <c r="C98" s="19" t="inlineStr">
        <is>
          <t>選填</t>
        </is>
      </c>
      <c r="D98" s="19" t="inlineStr">
        <is>
          <t>decimal</t>
        </is>
      </c>
      <c r="E98" s="19" t="inlineStr">
        <is>
          <t>否</t>
        </is>
      </c>
      <c r="F98" s="19" t="inlineStr"/>
      <c r="G98" s="19" t="inlineStr"/>
    </row>
    <row r="99">
      <c r="A99" s="19" t="inlineStr">
        <is>
          <t>分配條件_匯入</t>
        </is>
      </c>
      <c r="B99" s="19" t="inlineStr">
        <is>
          <t>分回車位數</t>
        </is>
      </c>
      <c r="C99" s="19" t="inlineStr">
        <is>
          <t>選填</t>
        </is>
      </c>
      <c r="D99" s="19" t="inlineStr">
        <is>
          <t>integer</t>
        </is>
      </c>
      <c r="E99" s="19" t="inlineStr">
        <is>
          <t>否</t>
        </is>
      </c>
      <c r="F99" s="19" t="inlineStr"/>
      <c r="G99" s="19" t="inlineStr"/>
    </row>
    <row r="100">
      <c r="A100" s="19" t="inlineStr">
        <is>
          <t>分配條件_匯入</t>
        </is>
      </c>
      <c r="B100" s="19" t="inlineStr">
        <is>
          <t>是否含車位</t>
        </is>
      </c>
      <c r="C100" s="19" t="inlineStr">
        <is>
          <t>建議</t>
        </is>
      </c>
      <c r="D100" s="19" t="inlineStr">
        <is>
          <t>dropdown</t>
        </is>
      </c>
      <c r="E100" s="19" t="inlineStr">
        <is>
          <t>否</t>
        </is>
      </c>
      <c r="F100" s="19" t="inlineStr">
        <is>
          <t>是否類</t>
        </is>
      </c>
      <c r="G100" s="19" t="inlineStr"/>
    </row>
    <row r="101">
      <c r="A101" s="19" t="inlineStr">
        <is>
          <t>分配條件_匯入</t>
        </is>
      </c>
      <c r="B101" s="19" t="inlineStr">
        <is>
          <t>是否含店面</t>
        </is>
      </c>
      <c r="C101" s="19" t="inlineStr">
        <is>
          <t>建議</t>
        </is>
      </c>
      <c r="D101" s="19" t="inlineStr">
        <is>
          <t>dropdown</t>
        </is>
      </c>
      <c r="E101" s="19" t="inlineStr">
        <is>
          <t>否</t>
        </is>
      </c>
      <c r="F101" s="19" t="inlineStr">
        <is>
          <t>是否類</t>
        </is>
      </c>
      <c r="G101" s="19" t="inlineStr"/>
    </row>
    <row r="102">
      <c r="A102" s="19" t="inlineStr">
        <is>
          <t>分配條件_匯入</t>
        </is>
      </c>
      <c r="B102" s="19" t="inlineStr">
        <is>
          <t>找補金額</t>
        </is>
      </c>
      <c r="C102" s="19" t="inlineStr">
        <is>
          <t>選填</t>
        </is>
      </c>
      <c r="D102" s="19" t="inlineStr">
        <is>
          <t>decimal</t>
        </is>
      </c>
      <c r="E102" s="19" t="inlineStr">
        <is>
          <t>否</t>
        </is>
      </c>
      <c r="F102" s="19" t="inlineStr"/>
      <c r="G102" s="19" t="inlineStr"/>
    </row>
    <row r="103">
      <c r="A103" s="19" t="inlineStr">
        <is>
          <t>分配條件_匯入</t>
        </is>
      </c>
      <c r="B103" s="19" t="inlineStr">
        <is>
          <t>是否書面化</t>
        </is>
      </c>
      <c r="C103" s="19" t="inlineStr">
        <is>
          <t>建議</t>
        </is>
      </c>
      <c r="D103" s="19" t="inlineStr">
        <is>
          <t>dropdown</t>
        </is>
      </c>
      <c r="E103" s="19" t="inlineStr">
        <is>
          <t>否</t>
        </is>
      </c>
      <c r="F103" s="19" t="inlineStr">
        <is>
          <t>是否類</t>
        </is>
      </c>
      <c r="G103" s="19" t="inlineStr"/>
    </row>
    <row r="104">
      <c r="A104" s="19" t="inlineStr">
        <is>
          <t>分配條件_匯入</t>
        </is>
      </c>
      <c r="B104" s="19" t="inlineStr">
        <is>
          <t>條件狀態</t>
        </is>
      </c>
      <c r="C104" s="19" t="inlineStr">
        <is>
          <t>建議</t>
        </is>
      </c>
      <c r="D104" s="19" t="inlineStr">
        <is>
          <t>dropdown</t>
        </is>
      </c>
      <c r="E104" s="19" t="inlineStr">
        <is>
          <t>否</t>
        </is>
      </c>
      <c r="F104" s="19" t="inlineStr">
        <is>
          <t>條件狀態</t>
        </is>
      </c>
      <c r="G104" s="19" t="inlineStr"/>
    </row>
    <row r="105">
      <c r="A105" s="19" t="inlineStr">
        <is>
          <t>分配條件_匯入</t>
        </is>
      </c>
      <c r="B105" s="19" t="inlineStr">
        <is>
          <t>風險等級</t>
        </is>
      </c>
      <c r="C105" s="19" t="inlineStr">
        <is>
          <t>建議</t>
        </is>
      </c>
      <c r="D105" s="19" t="inlineStr">
        <is>
          <t>dropdown</t>
        </is>
      </c>
      <c r="E105" s="19" t="inlineStr">
        <is>
          <t>否</t>
        </is>
      </c>
      <c r="F105" s="19" t="inlineStr">
        <is>
          <t>風險等級</t>
        </is>
      </c>
      <c r="G105" s="19" t="inlineStr"/>
    </row>
    <row r="106">
      <c r="A106" s="19" t="inlineStr">
        <is>
          <t>分配條件_匯入</t>
        </is>
      </c>
      <c r="B106" s="19" t="inlineStr">
        <is>
          <t>備註</t>
        </is>
      </c>
      <c r="C106" s="19" t="inlineStr">
        <is>
          <t>選填</t>
        </is>
      </c>
      <c r="D106" s="19" t="inlineStr">
        <is>
          <t>text</t>
        </is>
      </c>
      <c r="E106" s="19" t="inlineStr">
        <is>
          <t>否</t>
        </is>
      </c>
      <c r="F106" s="19" t="inlineStr"/>
      <c r="G106" s="19" t="inlineStr"/>
    </row>
    <row r="107">
      <c r="A107" s="19" t="inlineStr">
        <is>
          <t>分配條件_匯入</t>
        </is>
      </c>
      <c r="B107" s="19" t="inlineStr">
        <is>
          <t>公式檢核提示</t>
        </is>
      </c>
      <c r="C107" s="19" t="inlineStr">
        <is>
          <t>公式</t>
        </is>
      </c>
      <c r="D107" s="19" t="inlineStr">
        <is>
          <t>formula</t>
        </is>
      </c>
      <c r="E107" s="19" t="inlineStr">
        <is>
          <t>是</t>
        </is>
      </c>
      <c r="F107" s="19" t="inlineStr"/>
      <c r="G107" s="1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2" customWidth="1" min="13" max="13"/>
    <col width="13" customWidth="1" min="14" max="14"/>
  </cols>
  <sheetData>
    <row r="1">
      <c r="A1" s="18" t="inlineStr">
        <is>
          <t>使用分區</t>
        </is>
      </c>
      <c r="B1" s="18" t="inlineStr">
        <is>
          <t>同意狀態</t>
        </is>
      </c>
      <c r="C1" s="18" t="inlineStr">
        <is>
          <t>聯絡狀態</t>
        </is>
      </c>
      <c r="D1" s="18" t="inlineStr">
        <is>
          <t>簽約狀態</t>
        </is>
      </c>
      <c r="E1" s="18" t="inlineStr">
        <is>
          <t>是否類</t>
        </is>
      </c>
      <c r="F1" s="18" t="inlineStr">
        <is>
          <t>風險等級</t>
        </is>
      </c>
      <c r="G1" s="18" t="inlineStr">
        <is>
          <t>分配模式</t>
        </is>
      </c>
      <c r="H1" s="18" t="inlineStr">
        <is>
          <t>用途</t>
        </is>
      </c>
      <c r="I1" s="18" t="inlineStr">
        <is>
          <t>繼承狀態</t>
        </is>
      </c>
      <c r="J1" s="18" t="inlineStr">
        <is>
          <t>聯絡方式</t>
        </is>
      </c>
      <c r="K1" s="18" t="inlineStr">
        <is>
          <t>聯絡結果</t>
        </is>
      </c>
      <c r="L1" s="18" t="inlineStr">
        <is>
          <t>下一步處理</t>
        </is>
      </c>
      <c r="M1" s="18" t="inlineStr">
        <is>
          <t>條件狀態</t>
        </is>
      </c>
      <c r="N1" s="18" t="inlineStr">
        <is>
          <t>建物型態</t>
        </is>
      </c>
    </row>
    <row r="2">
      <c r="A2" s="20" t="inlineStr">
        <is>
          <t>住宅區</t>
        </is>
      </c>
      <c r="B2" s="20" t="inlineStr">
        <is>
          <t>未接觸</t>
        </is>
      </c>
      <c r="C2" s="20" t="inlineStr">
        <is>
          <t>未聯絡</t>
        </is>
      </c>
      <c r="D2" s="20" t="inlineStr">
        <is>
          <t>未簽</t>
        </is>
      </c>
      <c r="E2" s="20" t="inlineStr">
        <is>
          <t>是</t>
        </is>
      </c>
      <c r="F2" s="20" t="inlineStr">
        <is>
          <t>低</t>
        </is>
      </c>
      <c r="G2" s="20" t="inlineStr">
        <is>
          <t>坪換坪</t>
        </is>
      </c>
      <c r="H2" s="20" t="inlineStr">
        <is>
          <t>住宅</t>
        </is>
      </c>
      <c r="I2" s="20" t="inlineStr">
        <is>
          <t>無</t>
        </is>
      </c>
      <c r="J2" s="20" t="inlineStr">
        <is>
          <t>電話</t>
        </is>
      </c>
      <c r="K2" s="20" t="inlineStr">
        <is>
          <t>已說明</t>
        </is>
      </c>
      <c r="L2" s="20" t="inlineStr">
        <is>
          <t>再次電話</t>
        </is>
      </c>
      <c r="M2" s="20" t="inlineStr">
        <is>
          <t>草案</t>
        </is>
      </c>
      <c r="N2" s="20" t="inlineStr">
        <is>
          <t>公寓</t>
        </is>
      </c>
    </row>
    <row r="3">
      <c r="A3" s="20" t="inlineStr">
        <is>
          <t>商業區</t>
        </is>
      </c>
      <c r="B3" s="20" t="inlineStr">
        <is>
          <t>已接觸</t>
        </is>
      </c>
      <c r="C3" s="20" t="inlineStr">
        <is>
          <t>已聯絡</t>
        </is>
      </c>
      <c r="D3" s="20" t="inlineStr">
        <is>
          <t>洽談中</t>
        </is>
      </c>
      <c r="E3" s="20" t="inlineStr">
        <is>
          <t>否</t>
        </is>
      </c>
      <c r="F3" s="20" t="inlineStr">
        <is>
          <t>中</t>
        </is>
      </c>
      <c r="G3" s="20" t="inlineStr">
        <is>
          <t>比例分配</t>
        </is>
      </c>
      <c r="H3" s="20" t="inlineStr">
        <is>
          <t>店鋪</t>
        </is>
      </c>
      <c r="I3" s="20" t="inlineStr">
        <is>
          <t>辦理中</t>
        </is>
      </c>
      <c r="J3" s="20" t="inlineStr">
        <is>
          <t>LINE</t>
        </is>
      </c>
      <c r="K3" s="20" t="inlineStr">
        <is>
          <t>待回覆</t>
        </is>
      </c>
      <c r="L3" s="20" t="inlineStr">
        <is>
          <t>安排面談</t>
        </is>
      </c>
      <c r="M3" s="20" t="inlineStr">
        <is>
          <t>洽談中</t>
        </is>
      </c>
      <c r="N3" s="20" t="inlineStr">
        <is>
          <t>透天</t>
        </is>
      </c>
    </row>
    <row r="4">
      <c r="A4" s="20" t="inlineStr">
        <is>
          <t>工業區</t>
        </is>
      </c>
      <c r="B4" s="20" t="inlineStr">
        <is>
          <t>說明中</t>
        </is>
      </c>
      <c r="C4" s="20" t="inlineStr">
        <is>
          <t>無回應</t>
        </is>
      </c>
      <c r="D4" s="20" t="inlineStr">
        <is>
          <t>已簽</t>
        </is>
      </c>
      <c r="E4" s="20" t="inlineStr">
        <is>
          <t>不明</t>
        </is>
      </c>
      <c r="F4" s="20" t="inlineStr">
        <is>
          <t>高</t>
        </is>
      </c>
      <c r="G4" s="20" t="inlineStr">
        <is>
          <t>權利變換預估</t>
        </is>
      </c>
      <c r="H4" s="20" t="inlineStr">
        <is>
          <t>辦公</t>
        </is>
      </c>
      <c r="I4" s="20" t="inlineStr">
        <is>
          <t>已完成</t>
        </is>
      </c>
      <c r="J4" s="20" t="inlineStr">
        <is>
          <t>簡訊</t>
        </is>
      </c>
      <c r="K4" s="20" t="inlineStr">
        <is>
          <t>無回應</t>
        </is>
      </c>
      <c r="L4" s="20" t="inlineStr">
        <is>
          <t>寄送資料</t>
        </is>
      </c>
      <c r="M4" s="20" t="inlineStr">
        <is>
          <t>已確認</t>
        </is>
      </c>
      <c r="N4" s="20" t="inlineStr">
        <is>
          <t>華廈</t>
        </is>
      </c>
    </row>
    <row r="5">
      <c r="A5" s="20" t="inlineStr">
        <is>
          <t>住商混合</t>
        </is>
      </c>
      <c r="B5" s="20" t="inlineStr">
        <is>
          <t>同意</t>
        </is>
      </c>
      <c r="C5" s="20" t="inlineStr">
        <is>
          <t>已面談</t>
        </is>
      </c>
      <c r="D5" s="20" t="inlineStr">
        <is>
          <t>拒簽</t>
        </is>
      </c>
      <c r="F5" s="20" t="inlineStr">
        <is>
          <t>重大</t>
        </is>
      </c>
      <c r="G5" s="20" t="inlineStr">
        <is>
          <t>自訂條件</t>
        </is>
      </c>
      <c r="H5" s="20" t="inlineStr">
        <is>
          <t>工業</t>
        </is>
      </c>
      <c r="I5" s="20" t="inlineStr">
        <is>
          <t>有爭議</t>
        </is>
      </c>
      <c r="J5" s="20" t="inlineStr">
        <is>
          <t>Email</t>
        </is>
      </c>
      <c r="K5" s="20" t="inlineStr">
        <is>
          <t>同意</t>
        </is>
      </c>
      <c r="L5" s="20" t="inlineStr">
        <is>
          <t>補件確認</t>
        </is>
      </c>
      <c r="M5" s="20" t="inlineStr">
        <is>
          <t>待修正</t>
        </is>
      </c>
      <c r="N5" s="20" t="inlineStr">
        <is>
          <t>大樓</t>
        </is>
      </c>
    </row>
    <row r="6">
      <c r="H6" s="20" t="inlineStr">
        <is>
          <t>其他</t>
        </is>
      </c>
      <c r="J6" s="20" t="inlineStr">
        <is>
          <t>面談</t>
        </is>
      </c>
      <c r="K6" s="20" t="inlineStr">
        <is>
          <t>拒絕</t>
        </is>
      </c>
      <c r="L6" s="20" t="inlineStr">
        <is>
          <t>暫緩</t>
        </is>
      </c>
      <c r="N6" s="20" t="inlineStr">
        <is>
          <t>其他</t>
        </is>
      </c>
    </row>
    <row r="7">
      <c r="J7" s="20" t="inlineStr">
        <is>
          <t>其他</t>
        </is>
      </c>
      <c r="K7" s="20" t="inlineStr">
        <is>
          <t>需補資料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sanze-roster-filler-tool</dc:creator>
  <dc:title xmlns:dc="http://purl.org/dc/elements/1.1/">三策開發評估系統｜清冊匯入標準模板 v7</dc:title>
  <dcterms:created xmlns:dcterms="http://purl.org/dc/terms/" xmlns:xsi="http://www.w3.org/2001/XMLSchema-instance" xsi:type="dcterms:W3CDTF">2026-05-06T06:39:11Z</dcterms:created>
  <dcterms:modified xmlns:dcterms="http://purl.org/dc/terms/" xmlns:xsi="http://www.w3.org/2001/XMLSchema-instance" xsi:type="dcterms:W3CDTF">2026-05-06T06:39:18Z</dcterms:modified>
</cp:coreProperties>
</file>